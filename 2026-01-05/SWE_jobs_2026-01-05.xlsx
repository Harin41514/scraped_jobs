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in-87ea131d92f6f44c</t>
        </is>
      </c>
      <c r="B2" t="inlineStr">
        <is>
          <t>Software Engineer II</t>
        </is>
      </c>
      <c r="C2" t="inlineStr">
        <is>
          <t>Amazon.com</t>
        </is>
      </c>
      <c r="D2" t="inlineStr">
        <is>
          <t>indeed</t>
        </is>
      </c>
      <c r="E2" t="inlineStr"/>
      <c r="F2" t="inlineStr"/>
      <c r="G2" t="inlineStr">
        <is>
          <t>Seattle, WA, US</t>
        </is>
      </c>
      <c r="H2" s="2" t="n">
        <v>45951</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in-ba27e30724b7f58e</t>
        </is>
      </c>
      <c r="B3" t="inlineStr">
        <is>
          <t>Software Engineer II</t>
        </is>
      </c>
      <c r="C3" t="inlineStr">
        <is>
          <t>Amazon.com</t>
        </is>
      </c>
      <c r="D3" t="inlineStr">
        <is>
          <t>indeed</t>
        </is>
      </c>
      <c r="E3" t="inlineStr"/>
      <c r="F3" t="inlineStr"/>
      <c r="G3" t="inlineStr">
        <is>
          <t>San Francisco, CA, US</t>
        </is>
      </c>
      <c r="H3" s="2" t="n">
        <v>45951</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in-3e1663f53ff95f2d</t>
        </is>
      </c>
      <c r="B4" t="inlineStr">
        <is>
          <t>Software Engineer II</t>
        </is>
      </c>
      <c r="C4" t="inlineStr">
        <is>
          <t>Amazon.com</t>
        </is>
      </c>
      <c r="D4" t="inlineStr">
        <is>
          <t>indeed</t>
        </is>
      </c>
      <c r="E4" t="inlineStr"/>
      <c r="F4" t="inlineStr"/>
      <c r="G4" t="inlineStr">
        <is>
          <t>San Francisco,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in-b2dd68f610233728</t>
        </is>
      </c>
      <c r="B5" t="inlineStr">
        <is>
          <t>Software Engineer II</t>
        </is>
      </c>
      <c r="C5" t="inlineStr">
        <is>
          <t>Amazon.com</t>
        </is>
      </c>
      <c r="D5" t="inlineStr">
        <is>
          <t>indeed</t>
        </is>
      </c>
      <c r="E5" t="inlineStr"/>
      <c r="F5" t="inlineStr"/>
      <c r="G5" t="inlineStr">
        <is>
          <t>Irvine,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in-4879e32ea2b4995e</t>
        </is>
      </c>
      <c r="B6" t="inlineStr">
        <is>
          <t>Senior Software Engineer</t>
        </is>
      </c>
      <c r="C6" t="inlineStr">
        <is>
          <t>Amazon.com</t>
        </is>
      </c>
      <c r="D6" t="inlineStr">
        <is>
          <t>indeed</t>
        </is>
      </c>
      <c r="E6" t="inlineStr"/>
      <c r="F6" t="inlineStr"/>
      <c r="G6" t="inlineStr">
        <is>
          <t>San Francisco, CA, US</t>
        </is>
      </c>
      <c r="H6" s="2" t="n">
        <v>45924</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in-608f38ecf9b30405</t>
        </is>
      </c>
      <c r="B7" t="inlineStr">
        <is>
          <t>Senior Software Engineer</t>
        </is>
      </c>
      <c r="C7" t="inlineStr">
        <is>
          <t>Amazon.com</t>
        </is>
      </c>
      <c r="D7" t="inlineStr">
        <is>
          <t>indeed</t>
        </is>
      </c>
      <c r="E7" t="inlineStr"/>
      <c r="F7" t="inlineStr"/>
      <c r="G7" t="inlineStr">
        <is>
          <t>Seattle, WA, US</t>
        </is>
      </c>
      <c r="H7" s="2" t="n">
        <v>45924</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in-352bdfd73b503605</t>
        </is>
      </c>
      <c r="B8" t="inlineStr">
        <is>
          <t>Senior Software Engineer - Shelf Tags</t>
        </is>
      </c>
      <c r="C8" t="inlineStr">
        <is>
          <t>Publix</t>
        </is>
      </c>
      <c r="D8" t="inlineStr">
        <is>
          <t>indeed</t>
        </is>
      </c>
      <c r="E8" t="inlineStr"/>
      <c r="F8" t="inlineStr"/>
      <c r="G8" t="inlineStr">
        <is>
          <t>Lakeland, FL, US</t>
        </is>
      </c>
      <c r="H8" s="2" t="n">
        <v>46023</v>
      </c>
      <c r="I8" t="inlineStr">
        <is>
          <t>#### **Description**
Description:
Publix Super Markets, Inc., the largest employee\-owned company in the U.S., is driven by a dynamic technology team of 2,300\+ professionals delivering innovative solutions to 1,400\+ stores and 200,000\+ associates across 8 states. From IT security and platform engineering to architecture, software development, and infrastructure, we offer career opportunities at every level—internships through technical leadership. Join a company consistently ranked among Fortune’s “100 Best Companies to Work For” and help us build more than great subs—build the future of technology at Publix.
Join the Publix Shelf Tag team as a Senior Software Engineer. This team is responsible for developing and supporting Publix’s Item Management System applications. As part of this team, you will participate in all phases of development lifecycle and contribute to delivering high quality applications for our business areas.
Location: Flexible Hybrid (8 days per month in Lakeland, FL)
Work Model:
Enjoy the best of both worlds—collaborate in person and innovate remotely.
Why Join Us?
* Hybrid Flexibility:
Work remotely when you need focus time and join us onsite for high\-impact collaboration and brainstorming sessions.
* Operational Efficiency:
Ensure technology solutions support efficient workflows and enable automation to improve operational effectiveness.
* Empowered Culture:
We value autonomy, creativity, and continuous learning—your ideas shape the future of technology in our organization.
* Cutting\-Edge AI Projects:
Drive innovation in AI platforms, integrating advanced tools and frameworks to solve complex business challenges.
Your impact:
* Lead design and development of data\-oriented solutions involving On\-Prem and cloud (Microsoft Azure) technologies as a Python/Databricks Engineer on the Publix’s Item Management System team
* Provide hands\-on development for complex Python/Databricks solutions
* Lead development, deployment, maintenance, and optimization of data pipelines and workflows using Databricks
* Collaborate closely with data engineers, data scientists, and other stakeholders to understand requirements, design solutions, and implement them using Databricks’ platform
* Optimize and tune Databricks jobs for performance and scalability
* Convert requirements to technical design, develop high\-quality solutions, and implement while collaborating with other technical and business teams
* Lead technical team through problem determination and resolution on highly complex problems
* Work in a cross\-functional team environment utilizing an agile approach
* Maintain strong analytical, planning, problem solving, writing, and presentation skills
* Facilitate technical knowledge transfers and perform peer code reviews
* Mentor and guide junior developers, fostering a culture of continuous learning.
* Lead technical discussions and influence architectural decisions across teams.
* Communicate effectively with stakeholders to align technical solutions with business goals.
\#LI\-JB1
#### **Required Qualifications**
* Bachelor’s degree in management information systems, Computer Science, Business, or other analytical disciplines or equivalent experience
* 5\+ years of software engineering experience
* 3\+ years of experience developing large\-scale data manipulation processes
* 3\+ year of experience developing in .NET/C\# and Angular
* 3\+ years of experience with n\-tier applications.
* 3\+ years of experience with SQL Server including database design and advanced queries
* 2\+ years of experience with Azure DevOps for managing project tasks, managing code repositories, and creating YAML pipelines for CI/CD builds and deployments
* 3\+ years of experience translating business needs into scalable, high\-quality tech solutions
#### **Preferred Qualifications**
* 7\+ years of software engineering experience
* 1\+ years of experience utilizing Databricks
* 5\+ years of experience implementing large scale enterprise applications
* 5\+ years of experience translating business needs into scalable, high\-quality tech solutions
* 3\+ years of experience with EntityFramework, Dapper or other ORM tools
* 3\+ years of experience with UnitTesting and Integration Testing using Xunit for API.
* 3\+ years of experience with UnitTesting and EndToEnd Testing for Angular Apps.
* Experience in implementing enterprise applications using platform services like azure App service, Microservices, stream analytics, Redis Cache, OpenAPI etc.
* Familiarity with RedHat OpenShift, containerization (Docker) and orchestration tools (Kubernetes) in Azure.
* Experience with Design, develop, and maintain scalable data streaming solutions using Apache/Confluent Kafka to enable real\-time data processing and integration across distributed systems.
* Knowledge of monitoring and observability tools like Azure Monitor, Prometheus, or Grafana.
* Experience implementing role\-based access control (RBAC) and identity management in Azure.
**Hours of Work**
Minimum 45 hours per week **Frequency of Pay**
Monthly  
**Minimum Base Pay**
8,660 **Maximum Base Pay**
12\.990  
**Potential Annual Base Pay with Bonus**
112,580 \- 168,870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https://jobs.publix.com/benefits/
**Address**
3525 Aviation Drive **City**
Lakeland  
**State**
Florida **Zip Code**
33811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
#### **Facility**
Lak Information Systems Airside \- West B048W</t>
        </is>
      </c>
    </row>
    <row r="9">
      <c r="A9" t="inlineStr">
        <is>
          <t>in-6f88762d5c232342</t>
        </is>
      </c>
      <c r="B9" t="inlineStr">
        <is>
          <t>Senior Software Engineer, Twitch</t>
        </is>
      </c>
      <c r="C9" t="inlineStr">
        <is>
          <t>Amazon.com</t>
        </is>
      </c>
      <c r="D9" t="inlineStr">
        <is>
          <t>indeed</t>
        </is>
      </c>
      <c r="E9" t="inlineStr"/>
      <c r="F9" t="inlineStr"/>
      <c r="G9" t="inlineStr">
        <is>
          <t>San Francisco, CA, US</t>
        </is>
      </c>
      <c r="H9" s="2" t="n">
        <v>45995</v>
      </c>
      <c r="I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in-eecd2390d5bc7fc3</t>
        </is>
      </c>
      <c r="B10" t="inlineStr">
        <is>
          <t>Senior Software Engineer, Twitch</t>
        </is>
      </c>
      <c r="C10" t="inlineStr">
        <is>
          <t>Amazon.com</t>
        </is>
      </c>
      <c r="D10" t="inlineStr">
        <is>
          <t>indeed</t>
        </is>
      </c>
      <c r="E10" t="inlineStr"/>
      <c r="F10" t="inlineStr"/>
      <c r="G10" t="inlineStr">
        <is>
          <t>Seattle, WA, US</t>
        </is>
      </c>
      <c r="H10" s="2" t="n">
        <v>45995</v>
      </c>
      <c r="I1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in-9a725c8a077db2d2</t>
        </is>
      </c>
      <c r="B11" t="inlineStr">
        <is>
          <t>Senior Software Engineer</t>
        </is>
      </c>
      <c r="C11" t="inlineStr">
        <is>
          <t>Amazon.com</t>
        </is>
      </c>
      <c r="D11" t="inlineStr">
        <is>
          <t>indeed</t>
        </is>
      </c>
      <c r="E11" t="inlineStr"/>
      <c r="F11" t="inlineStr"/>
      <c r="G11" t="inlineStr">
        <is>
          <t>San Francisco, CA, US</t>
        </is>
      </c>
      <c r="H11" s="2" t="n">
        <v>45974</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in-6d06dd0d3e14c858</t>
        </is>
      </c>
      <c r="B12" t="inlineStr">
        <is>
          <t>Senior Software Engineer</t>
        </is>
      </c>
      <c r="C12" t="inlineStr">
        <is>
          <t>Amazon.com</t>
        </is>
      </c>
      <c r="D12" t="inlineStr">
        <is>
          <t>indeed</t>
        </is>
      </c>
      <c r="E12" t="inlineStr"/>
      <c r="F12" t="inlineStr"/>
      <c r="G12" t="inlineStr">
        <is>
          <t>Seattle, WA, US</t>
        </is>
      </c>
      <c r="H12" s="2" t="n">
        <v>45974</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in-555169fc72e75b50</t>
        </is>
      </c>
      <c r="B13" t="inlineStr">
        <is>
          <t>Software Engineer II, ML Infra</t>
        </is>
      </c>
      <c r="C13" t="inlineStr">
        <is>
          <t>Amazon.com</t>
        </is>
      </c>
      <c r="D13" t="inlineStr">
        <is>
          <t>indeed</t>
        </is>
      </c>
      <c r="E13" t="inlineStr"/>
      <c r="F13" t="inlineStr"/>
      <c r="G13" t="inlineStr">
        <is>
          <t>San Francisco, CA, US</t>
        </is>
      </c>
      <c r="H13" s="2" t="n">
        <v>45947</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in-f44a1c05f9806f18</t>
        </is>
      </c>
      <c r="B14" t="inlineStr">
        <is>
          <t>Software Engineer II, ML Infra</t>
        </is>
      </c>
      <c r="C14" t="inlineStr">
        <is>
          <t>Amazon.com</t>
        </is>
      </c>
      <c r="D14" t="inlineStr">
        <is>
          <t>indeed</t>
        </is>
      </c>
      <c r="E14" t="inlineStr"/>
      <c r="F14" t="inlineStr"/>
      <c r="G14" t="inlineStr">
        <is>
          <t>Irvine, CA, US</t>
        </is>
      </c>
      <c r="H14" s="2" t="n">
        <v>45947</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in-62a5488f5c8b1162</t>
        </is>
      </c>
      <c r="B15" t="inlineStr">
        <is>
          <t>Sr. Software Engineer (ML), AGI Foundations</t>
        </is>
      </c>
      <c r="C15" t="inlineStr">
        <is>
          <t>Amazon.com</t>
        </is>
      </c>
      <c r="D15" t="inlineStr">
        <is>
          <t>indeed</t>
        </is>
      </c>
      <c r="E15" t="inlineStr"/>
      <c r="F15" t="inlineStr"/>
      <c r="G15" t="inlineStr">
        <is>
          <t>Bellevue, WA, US</t>
        </is>
      </c>
      <c r="H15" s="2" t="n">
        <v>45803</v>
      </c>
      <c r="I1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in-c90be2ea71ebba7d</t>
        </is>
      </c>
      <c r="B16" t="inlineStr">
        <is>
          <t>Sr. Software Engineer (ML), AGI Foundations</t>
        </is>
      </c>
      <c r="C16" t="inlineStr">
        <is>
          <t>Amazon.com</t>
        </is>
      </c>
      <c r="D16" t="inlineStr">
        <is>
          <t>indeed</t>
        </is>
      </c>
      <c r="E16" t="inlineStr"/>
      <c r="F16" t="inlineStr"/>
      <c r="G16" t="inlineStr">
        <is>
          <t>Sunnyvale, CA, US</t>
        </is>
      </c>
      <c r="H16" s="2" t="n">
        <v>45803</v>
      </c>
      <c r="I1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in-6f74e5a7c6e09475</t>
        </is>
      </c>
      <c r="B17" t="inlineStr">
        <is>
          <t>Sr. Software Engineer (ML), AGI Customization</t>
        </is>
      </c>
      <c r="C17" t="inlineStr">
        <is>
          <t>Amazon.com</t>
        </is>
      </c>
      <c r="D17" t="inlineStr">
        <is>
          <t>indeed</t>
        </is>
      </c>
      <c r="E17" t="inlineStr"/>
      <c r="F17" t="inlineStr"/>
      <c r="G17" t="inlineStr">
        <is>
          <t>Sunnyvale, CA, US</t>
        </is>
      </c>
      <c r="H17" s="2" t="n">
        <v>45964</v>
      </c>
      <c r="I1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in-d6029074416168b4</t>
        </is>
      </c>
      <c r="B18" t="inlineStr">
        <is>
          <t>Sr. Software Engineer (ML), AGI Customization</t>
        </is>
      </c>
      <c r="C18" t="inlineStr">
        <is>
          <t>Amazon.com</t>
        </is>
      </c>
      <c r="D18" t="inlineStr">
        <is>
          <t>indeed</t>
        </is>
      </c>
      <c r="E18" t="inlineStr"/>
      <c r="F18" t="inlineStr"/>
      <c r="G18" t="inlineStr">
        <is>
          <t>Boston, MA, US</t>
        </is>
      </c>
      <c r="H18" s="2" t="n">
        <v>45964</v>
      </c>
      <c r="I18"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in-cc7ea4de1b70660c</t>
        </is>
      </c>
      <c r="B19" t="inlineStr">
        <is>
          <t>Software Engineer- AI/ML, AWS Neuron Distributed Training</t>
        </is>
      </c>
      <c r="C19" t="inlineStr">
        <is>
          <t>Amazon Web Services</t>
        </is>
      </c>
      <c r="D19" t="inlineStr">
        <is>
          <t>indeed</t>
        </is>
      </c>
      <c r="E19" t="inlineStr"/>
      <c r="F19" t="inlineStr"/>
      <c r="G19" t="inlineStr">
        <is>
          <t>Cupertino, CA, US</t>
        </is>
      </c>
      <c r="H19" s="2" t="n">
        <v>45727</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in-771ec584dc4ab582</t>
        </is>
      </c>
      <c r="B20" t="inlineStr">
        <is>
          <t>Software Engineer- AI/ML, AWS Neuron Distributed Training</t>
        </is>
      </c>
      <c r="C20" t="inlineStr">
        <is>
          <t>Amazon Web Services</t>
        </is>
      </c>
      <c r="D20" t="inlineStr">
        <is>
          <t>indeed</t>
        </is>
      </c>
      <c r="E20" t="inlineStr"/>
      <c r="F20" t="inlineStr"/>
      <c r="G20" t="inlineStr">
        <is>
          <t>Seattle, WA, US</t>
        </is>
      </c>
      <c r="H20" s="2" t="n">
        <v>45727</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in-e0e13d5e03be5124</t>
        </is>
      </c>
      <c r="B21" t="inlineStr">
        <is>
          <t>Sr. Software Engineer- AI/ML, AWS Neuron Distributed Training</t>
        </is>
      </c>
      <c r="C21" t="inlineStr">
        <is>
          <t>Amazon Web Services</t>
        </is>
      </c>
      <c r="D21" t="inlineStr">
        <is>
          <t>indeed</t>
        </is>
      </c>
      <c r="E21" t="inlineStr"/>
      <c r="F21" t="inlineStr"/>
      <c r="G21" t="inlineStr">
        <is>
          <t>Cupertino, CA, US</t>
        </is>
      </c>
      <c r="H21" s="2" t="n">
        <v>45713</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in-ebb0a7dc9f45e33c</t>
        </is>
      </c>
      <c r="B22" t="inlineStr">
        <is>
          <t>Sr. Software Engineer- AI/ML, AWS Neuron Distributed Training</t>
        </is>
      </c>
      <c r="C22" t="inlineStr">
        <is>
          <t>Amazon Web Services</t>
        </is>
      </c>
      <c r="D22" t="inlineStr">
        <is>
          <t>indeed</t>
        </is>
      </c>
      <c r="E22" t="inlineStr"/>
      <c r="F22" t="inlineStr"/>
      <c r="G22" t="inlineStr">
        <is>
          <t>Seattle, WA, US</t>
        </is>
      </c>
      <c r="H22" s="2" t="n">
        <v>45713</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in-368e68dfc8f407d1</t>
        </is>
      </c>
      <c r="B23" t="inlineStr">
        <is>
          <t>Software Engineer</t>
        </is>
      </c>
      <c r="C23" t="inlineStr">
        <is>
          <t>echoAR, Inc.</t>
        </is>
      </c>
      <c r="D23" t="inlineStr">
        <is>
          <t>indeed</t>
        </is>
      </c>
      <c r="E23" t="inlineStr"/>
      <c r="F23" t="inlineStr"/>
      <c r="G23" t="inlineStr">
        <is>
          <t>Brooklyn, NY, US</t>
        </is>
      </c>
      <c r="H23" s="2" t="n">
        <v>46027</v>
      </c>
      <c r="I23" t="inlineStr">
        <is>
          <t>**About echo3D**: echo3D is a 3D digital asset management (DAM) platform for teams to store, secure, optimize, and share 3D models and scans across their organization and beyond. We're a STARTUP\-NY Company so eligible employees are exempt from NY state and city income taxes.
**The Opportunity**: We’re looking for a talented and driven Software Engineer with at least 3 years of experience to join our growing team in New York City. You’ll be working closely with our engineering and business teams to build, maintain, and scale our 3D digital asset management solution.
**Location**: New York City, NY (Hybrid or Onsite) **Only accepting candidates in NY**
**Compensation**: $129,000\.
**Responsibilities:**
* Design and implement backend and frontend components for our cloud and on\-prem solutions.
* Collaborate with cross\-functional teams to define, design, and ship new features.
* Write clean, maintainable, and testable code.
* Identify bottlenecks and bugs, and devise solutions to mitigate and address them.
* Stay up to date with emerging trends and technologies in 3D and cloud computing.
**Requirements:**
* 3\+ years of professional experience in software development.
* Proficiency in at least one modern programming language such as JavaScript (Node.js / React), Python, or Java.
* Experience with cloud services (e.g., AWS, GCP, or Azure).
* Familiarity with REST APIs, databases (SQL/NoSQL), and version control (Git).
* Strong problem\-solving skills and attention to detail.
* Excellent communication and collaboration abilities.
**Bonus points:**
* Experience with 3D engines (e.g., Unity, Unreal) or AR/VR SDKs.
* Passion for immersive technologies and spatial computing.
**What We Offer**:
* Competitive salary and equity options.
* Flexible work environment with hybrid options.
* Opportunity to work on cutting\-edge technology shaping the future of 3D.
* Collaborative startup culture with room to grow.
* Eligible employees are exempt from NY state and city income taxes.
Job Type: Full\-time
Pay: $129,000\.00 per year
Benefits:
* 401(k)
* Paid time off
Work Location: Hybrid remote in Brooklyn, NY 11201</t>
        </is>
      </c>
    </row>
    <row r="24">
      <c r="A24" t="inlineStr">
        <is>
          <t>in-ea5b24e0a6ec67df</t>
        </is>
      </c>
      <c r="B24" t="inlineStr">
        <is>
          <t>Software Engineer</t>
        </is>
      </c>
      <c r="C24" t="inlineStr">
        <is>
          <t>LifeCare Advocates</t>
        </is>
      </c>
      <c r="D24" t="inlineStr">
        <is>
          <t>indeed</t>
        </is>
      </c>
      <c r="E24" t="inlineStr"/>
      <c r="F24" t="inlineStr"/>
      <c r="G24" t="inlineStr">
        <is>
          <t>Newton, MA, US</t>
        </is>
      </c>
      <c r="H24" s="2" t="n">
        <v>46027</v>
      </c>
      <c r="I24" t="inlineStr">
        <is>
          <t>*For over 30 years, Alder has been a trusted guide for more than 5,000 families across Greater Boston, helping them navigate the aging journey with compassion, clarity, and expert care. Our life care managers are seasoned social workers and nurses, providing both strategic direction and hands\-on support, from coordinating medical care and assessing home safety to attending appointments and facilitating meaningful family conversations.*
*Deeply rooted in the community, we leverage a broad professional network to connect families with trusted resources and foster collaboration across disciplines. Whether offering occasional consultations or urgent crisis support, we tailor our involvement to meet each individual’s unique needs. At the heart of our work is a simple goal: to help families approach the practical and emotional aspects of aging with confidence.*
 **The Role:**
We’re an early\-stage startup building the next\-generation of scalable, intelligent applications at an e\-commerce\-level scale, AI\-augmented development speed, and product\-driven engineering excellence. We’re small, ambitious, and moving fast and we’re looking for exceptional engineers who want to help shape the foundation of our product and culture.
As one of our **first core engineers**, you’ll have massive ownership and influence over architecture, technology direction, and how we scale our systems and our team. If you thrive in fast\-moving environments where learning never stops, and you love turning ideas into impact, this is for you.
 **Responsibilities:**
* **Design and build** end\-to\-end features across the stack (React frontend, Java\-based backend, AWS infrastructure).
* **Architect scalable systems** capable of handling high user traffic and complex data flows, similar to e\-commerce\-scale applications**.**
* **Leverage AI tools** (Claude Code, Copilot/Codex, custom LLM integrations, etc.) to augment and write, test, and ship code faster and smarter.
* **Collaborate closely** with CTO, founders and product to define and deliver new capabilities.
* **Drive technical excellence** to improve code quality, scalability, observability, and developer velocity.
* **Shape our engineering culture** through mentorship, tooling choices, and processes that balance speed and quality.
**Required skills / experiences:**
----------------------------------
* **Strong full\-stack experience** with Java (Spring Boot, Micronaut, or equivalent) and React (or similar frontend frameworks).
* **Deep understanding of scalability** in distributed systems, performance optimization, caching, and database design.
* **Hands\-on AWS experience** (EC2, Lambda, DynamoDB, S3, etc.) and DevOps best practices.
* **Self\-starter mindset** who thrives with autonomy, owns outcomes, and moves fast.
* **Curiosity and growth mindset**; you experiment, learn quickly, and adapt technologies as the product evolves.
* **Expertise with AI\-assisted development**; leveraging tools that amplify productivity and innovation.
**Why Join Us:**
----------------
* **Build from the ground up**: Be among the first few engineers shaping product and tech strategy.
* **Accelerate your growth**: Work directly with CTO and make decisions that drive company trajectory.
* **Cutting\-edge work**: Apply AI in real, high\-scale systems from day one.
* **Collaborative culture**: Transparent communication, fast iteration, and shared ownership.
* **Competitive compensation** with equity: Grow with the company you’re helping to build.
*In accordance with the Massachusetts Pay Transparency Act, the expected pay range for this position is $130,000\-$150,000 annually including bonus and equity. Actual compensation may vary based on factors such as licensure, years of experience, and other relevant qualifications.*</t>
        </is>
      </c>
    </row>
    <row r="25">
      <c r="A25" t="inlineStr">
        <is>
          <t>in-67e0125bdd8c580c</t>
        </is>
      </c>
      <c r="B25" t="inlineStr">
        <is>
          <t>Senior Software Engineer - Full Stack</t>
        </is>
      </c>
      <c r="C25" t="inlineStr">
        <is>
          <t>Visa</t>
        </is>
      </c>
      <c r="D25" t="inlineStr">
        <is>
          <t>indeed</t>
        </is>
      </c>
      <c r="E25" t="inlineStr"/>
      <c r="F25" t="inlineStr"/>
      <c r="G25" t="inlineStr">
        <is>
          <t>Austin, TX, US</t>
        </is>
      </c>
      <c r="H25" s="2" t="n">
        <v>46027</v>
      </c>
      <c r="I25"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Opportunities to make a difference on a global or local scale through mentorship and continued learning opportunities
* Designing, documenting, and implementing new systems, enhancements, and modifications to existing software that aligns with design specifications, security, and Java best practices.
* Interacting with both business and technical stakeholders to deliver high\-quality products and services that meet business requirements, using the latest tools and technology.
* Delivering zero\-defect code and ensuring the team's deliverables meet or exceed business expectations. Design, implement and evolve highly scalable and fault\-tolerant web based applications.
* Identifying opportunities for product innovation and improvements to best practices, standards, and processes.
* Contribute to efficient development process pipeline by leveraging best\-in\-class CI and CD tools.
* Develop and maintain back\-end services using Java and Spring Boot, design and develop test automation frameworks, maintain CI and CD pipelines, conduct performance and load testing, and write automated test cases.
* Presenting technical solutions, capabilities, considerations, and features in business terms.
* Communicating status, issues, and risks effectively and timely.
* Contributing to the design of backend DBs and queries, API creation and consumption, and front\-end UI development. Also manage backend operations and batch jobs to maintain the data. Leverage new technologies to build the next generation of Application stack.
* Working independently to develop software that conforms to Visa’s high standards of security, quality, performance, resiliency, and compliance.
Essential Functions:
* You are a Java expert, and you have experience with REST APIs, JSON.
* Solid Experience with back\-end technologies such as J2EE, JDBC, JMS and frameworks like Spring or Spring Batch, Spring Boot and vertex.
* Rich Front\-End development experience with Angular and React JS, Node.JS.
* Working experience with Kafka, Redis, Hazelcast, or NoSQL datastores is a plus.
* Hands on experience with database technologies like MySQL, DB2, Oracle.
* You have strong experience with Agile development incorporating Continuous Integration and Continuous Delivery, utilizing technologies such as GIT, Maven, Jenkins, Chef, Sonar, JUnit.
* Strong oral and written communications skills are required.
* Exceptional troubleshooting and analytical skills.
* Ability to multitask and handle multiple competing priorities with minimal direction from management.
* Must work well within a team in a fast\-paced high\-performance organization.
* We count on your curiosity and creativity, to want to understand the requirements and our processes and want to come up with creative solutions.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such as Java is preferred.
* Gen AI: Experience building and deploying services using AI technologies such as LangGraph, LangChain, A2A, MCP etc.
* Learner: Constant drive to learn new technologies such as Angular, React, Kubernetes, Docker, etc.
* Partnership: Experience collaborating with Product, Test, Dev\-ops, and Agile/Scrum teams
This is a hybrid position. Expectation of days in the office will be confirmed by your Hiring Manager.
 **Qualifications**  
Basic Qualifications  
2 or more years of work experience with a Bachelor’s Degree or an Advanced Degree (e.g. Masters, MBA, JD, MD, or PhD)  
Preferred Qualifications  
3 or more years of work experience with a Bachelor’s Degree or more than 2 years of work experience with an Advanced Degree (e.g. Masters, MBA, JD, MD)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110,700\.00 to 156,550\.00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6">
      <c r="A26" t="inlineStr">
        <is>
          <t>in-d120a81d086f8092</t>
        </is>
      </c>
      <c r="B26" t="inlineStr">
        <is>
          <t>Software Developer</t>
        </is>
      </c>
      <c r="C26" t="inlineStr">
        <is>
          <t>Naturescape</t>
        </is>
      </c>
      <c r="D26" t="inlineStr">
        <is>
          <t>indeed</t>
        </is>
      </c>
      <c r="E26" t="inlineStr"/>
      <c r="F26" t="inlineStr"/>
      <c r="G26" t="inlineStr">
        <is>
          <t>Muskego, WI, US</t>
        </is>
      </c>
      <c r="H26" s="2" t="n">
        <v>46026</v>
      </c>
      <c r="I26" t="inlineStr">
        <is>
          <t>**Naturescape**, a family\-owned business in **Muskego, WI,** operating for over 40 years, is looking for a remote/hybrid **Software Developer.** As a Software Developer at Naturescape, you'll create and maintain a wide variety of applications.
This position offers flexibility to work remotely, but candidates must reside in one of the states where we operate: Wisconsin, Minnesota, Illinois, Iowa, Nebraska, Michigan, Indiana, Kentucky, Tennessee, Georgia, South Carolina, Missouri, or North Carolina. If you're local to the Muskego, WI area, you'll also have the chance to collaborate in person from time to time.
This is an opportunity for meaningful work in a supportive and appreciative environment. Are you looking for a **long\-term career** with a **stable,** **family\-owned business**? Would you like to be a **valued and respected** member of a **close\-knit team**? If so, look no further!
**BENEFITS AT A GLANCE:**
* Starting at $60,320
* Full\-time, flexible schedule
* 401k with unheard\-of **200%** company match (vested immediately \- no waiting period!)
* Generous benefits: health, dental, vision, and supplemental insurance; HRA and HSA; up to 3 weeks of PTO and holidays in the first year of employment; and employee discounts
* Opportunities to **learn new skills**
* Military friendly, willing to work with current drill schedules
**A DAY IN THE LIFE OF A SOFTWARE DEVELOPER**
As a Software Developer at our company, you will be instrumental in crafting innovative software solutions that significantly elevate both the customer and employee experience. We offer the best of both worlds: the robust stability and resources of a larger organization, coupled with the agility and close\-knit collaboration of a focused, dynamic team. You'll be working primarily with JavaScript and Vue.js, as well as Kotlin and Capacitor for our internal Android applications. We're currently tackling exciting challenges such as optimizing vehicle fleet routing and maintenance, fostering excellent customer service through continuous development of our custom CMS/LMS, and maximizing the efficiency/effectiveness of our specialists in the field with our mobile app development.
We are passionate about delivering exceptional value, which translates into a stimulating and fast\-paced work environment with diverse projects and challenges. You will have an opportunity to immerse yourself in the core of our business operations, participating in the strategic planning and hands\-on implementation of solutions that directly impact our success.
In this multifaceted role, your responsibilities will encompass the entire software development lifecycle, from initial conceptualization and rigorous development through seamless deployment and ongoing maintenance. You will gain invaluable experience and quickly master new development skills within a flexible and supportive atmosphere that fosters continuous learning and professional growth. We are looking for individuals who bring dedication, a positive attitude, and a genuine desire to contribute to shaping the future trajectory of our company. Join us and make a tangible difference!
**QUALIFICATIONS**
A qualified candidate will be fluent in English, will have front\-end experience or a willingness to learn, and should be ready to assist us with back\-end programming. Professional experience with Node.js and Vue.js or React.js is essential, as is being comfortable working in a Linux environment.
**ABOUT NATURESCAPE**
Naturescape is a family\-owned company that is 100% committed to making our customers happy with our lawn and landscape care. Since our humble beginnings in Appleton, WI in 1986, we have been committed to providing the highest quality service, guaranteeing satisfaction, and offering very affordable prices. Because of these continued commitments, we have grown and now have 42 locations around the Midwest and South.
We know that we owe this success to our outstanding team. We care about employee satisfaction and want you to **love your job**. Here at Naturescape, we have a team culture where **management is always willing to train and take the time to help you succeed**.
For the benefit of our employees, customers, and anyone who interacts with Naturescape, we are proud to be a drug\-free workplace and provide safe and healthy working conditions at all of our branches.
**HERE'S WHAT OUR EMPLOYEES LOVE ABOUT WORKING AT NATURESCAPE**
*"Management is team\-oriented and genuinely interested in employees, team environment is positively reinforced and overall a great place to be."*
*"Everyone has made an effort in training me. People actually care about me and my family, along with things we are involved in."*
*"Naturescape is an awesome company to work for . . . very generous and have always been very caring and understanding. I am happy to have chosen Naturescape for my career."*
**ARE YOU READY TO JOIN OUR TEAM?**
If you feel that you would be right for this position, please fill out our initial **3\-minute, mobile\-friendly application** so that we can review your information. We look forward to meeting you!
**Come Grow With Us!**</t>
        </is>
      </c>
    </row>
    <row r="27">
      <c r="A27" t="inlineStr">
        <is>
          <t>in-08b9fe90fd3a0ca9</t>
        </is>
      </c>
      <c r="B27" t="inlineStr">
        <is>
          <t>Controls Software Engineer-Simulation</t>
        </is>
      </c>
      <c r="C27" t="inlineStr">
        <is>
          <t>Rolls-Royce</t>
        </is>
      </c>
      <c r="D27" t="inlineStr">
        <is>
          <t>indeed</t>
        </is>
      </c>
      <c r="E27" t="inlineStr"/>
      <c r="F27" t="inlineStr"/>
      <c r="G27" t="inlineStr">
        <is>
          <t>West Lafayette, IN, US</t>
        </is>
      </c>
      <c r="H27" s="2" t="n">
        <v>46026</v>
      </c>
      <c r="I27" t="inlineStr">
        <is>
          <t>**Job Description**
-------------------
**Job Title:** **Control Software Engineer\-Simulation**
**Working Pattern: Full\-time**
**Working location: West Lafayette, IN (Hybrid Work Schedule)**
Rolls\-Royce is looking for a Control Software Engineer\-Simulation to join our growing team. This is an exciting opportunity to work on flagship Rolls\-Royce programs and play a vital role in solving some of the most complex and interesting technological challenges in the industry while being part of a global, multi\-disciplinary team.
As a Control Software Engineer\-Simulation, you will be part of a multidiscipline team responsible for the development, testing and continuous integration of the hardware and software test environment used in the development and qualification of electronic engine control software and hardware\-in\-the\-loop investigations.
You will be involved at all stages of a project lifecycle from concept development, integrated/component testing through final production release and maintenance. You'll usually work in project teams with colleagues in other branches of engineering.
**Why Rolls\-Royce?**
Rolls\-Royce is one of the most enduring and iconic brands in the world and has been at the forefront of innovation for over a century. We design, build and service systems that provide critical power to customers where safety and reliability are paramount.
We are proud to be a force for progress, powering, protecting and connecting people everywhere.
We want to ensure that the excellence and ingenuity that has shaped our history continues into our future and we need people like you to come and join us on this journey.
Rolls\-Royce has been recognized as the top employer in the **Engineering \&amp; Manufacturing** category on the prestigious **Forbes Top Employers for Engineers** list for 2025\. This ranking highlights our commitment to innovation, employee development, and fostering a collaborative environment where engineers can thrive.
Be part of a team that sets the industry standard and drives groundbreaking solutions.
At Rolls\-Royce, we are committed to creating a workplace where all employees feel respected, supported, and empowered to do their best work. We foster a welcoming and innovative work environment that invests in you, giving you access to an incredible breadth and depth of opportunities where you can grow your career and make a difference.
Rolls\-Royce is an Equal Opportunity Employer. All qualified applicants will receive consideration for employment without regard to any protected characteristics.
**What you will be doing**
With this attractive opportunity you will get a chance to:
* Strong development experience
* Familiarity with the design and development of embedded software solutions
* Knowledge in software design patterns
* Familiarity with Integration (software/hardware and software/software) and component level testing
* Familiarity on software lifecycle (Design to release)
* Knowledge of software testing framework
**Who we’re looking for:**
At Rolls\-Royce we put safety first, do the right thing, keep it simple and make a difference. These principles form the behaviours that guide us and are an essential component of our assessment process. They are the fundamental qualities that we seek for all roles.
**Basic Requirements:**
* Bachelor’s degree in Aerospace, Computer Engineering, or Computer Science or Electrical Engineering with 1\+ year of software engineering experience OR
* Master’s degree Aerospace, Computer Engineering, or Computer Science or Electrical Engineering OR
* PhD in degree Aerospace, Computer Engineering, or Computer Science or Electrical Engineering
* In order to be eligible for consideration, you must be a U.S. Citizen
**Preferred Requirements:**
* Strong software development skills in areas such as: C/C\+\+, Python, CMake, Bash, Simulink, Continuous Integration/Automation (e.g. Jenkins), UNIX shell, or similar
* Modelling, Simulation, and Control System experience
* Knowledge in software design patterns and software testing framework
* Familiarity with Embedded Systems Architecture and Design
* Knowledge of electronics (sensors, actuators, and processors)
* Understanding of UNIX, Windows OS, and build environments
* Hardware (electronics/circuits) troubleshooting experience
* Current (or ability to obtain/maintain) US DOD Secret or Top\-Secret security Clearance
* Ability to present technical data to senior engineers and management
**What we offer**
We offer excellent development opportunities, a competitive salary, and exceptional benefits. These include bonus, employee support assistance and employee discounts.
Your needs are as unique as you are. Hybrid working is a way in which our people can balance their time between the office or home. It’s a locally managed and flexed informal discretionary arrangement. As a minimum we’re all expected to attend the workplace for collaboration and other specific reasons, on average three days per week.
Relocation assistance is available for this position.
Global Grade 9
**Closing date:** February 28th, 2026  
**Job Category**
----------------
Software Systems
**Job Posting Date**
--------------------
05 Jan 2026; 00:01
**Pay Range**
-------------
$70,629 \- $105,943\-Annually  
**Location:**
Indianapolis, IN  
**Benefits**
Rolls\-Royce provides a comprehensive and competitive Total Rewards package that includes base pay and a discretionary bonus plan. Eligible employees may have the opportunity to enroll in other benefits, including health, dental, vision, disability, life and accidental death \&amp; dismemberment insurance; a flexible spending account; a health savings account; a 401(k) retirement savings plan with a company match; Employee Assistance Program; Paid Time Off; certain paid holidays; paid parental and family care leave; tuition reimbursement; and a long\-term incentive plan. The options available to an employee may vary depending on eligibility factors such as date of hire, employment type, and the applicability of collective bargaining agreements.</t>
        </is>
      </c>
    </row>
    <row r="28">
      <c r="A28" t="inlineStr">
        <is>
          <t>in-3414ce72265b9834</t>
        </is>
      </c>
      <c r="B28" t="inlineStr">
        <is>
          <t>Software Engineer</t>
        </is>
      </c>
      <c r="C28" t="inlineStr"/>
      <c r="D28" t="inlineStr">
        <is>
          <t>indeed</t>
        </is>
      </c>
      <c r="E28" t="inlineStr"/>
      <c r="F28" t="inlineStr"/>
      <c r="G28" t="inlineStr">
        <is>
          <t>Littleton, CO, US</t>
        </is>
      </c>
      <c r="H28" s="2" t="n">
        <v>46026</v>
      </c>
      <c r="I28" t="inlineStr">
        <is>
          <t>Description:
**SOFTWARE ENGINEER**
Where Code Meets Craft
If you’re the kind of developer who sees systems inside the chaos, who gets a rush from solving problems other people can’t even articulate, and who wants their code to matter \- you’ll thrive here.
At Accu\-Precision, we don’t buy software off the shelf. We build the digital engine that drives our entire CNC manufacturing operation. Our custom ERP powers inventory, scheduling, quality, workflow, and real\-time data across a shop that makes aerospace parts… the kind that literally leave the planet.
You won’t be patching old code. You’ll be architecting the tools that make our people faster, smarter, and better at what they do.
You’ll design and refine our in\-house ERP system, write clean and scalable applications in C\#, React, TypeScript, JavaScript, and AWS, build solutions that connect machines to people, and turn raw data into clarity. You’ll collaborate with machinists, programmers, and inspectors to understand real problems and build software that transforms how work happens. Bonus points if you’ve worked with CMMC, cybersecurity best practices, or secure system architecture \- security matters when your parts go to space.
We invest in good people and the latest technology \- because both matter equally.
Our values guide everything we build:
* Self\-improvement
* Attention to Detail
* Integrity
* Teamwork
* Communication
* Success
When we’re not working, we’re still a team \- hosting summer picnics, holiday parties, chili cookoffs, and pie bake\-offs. Because culture isn’t something you post on a wall \- it’s something you live.
If you want your code to have impact \- real impact \- not months from now but today, in a place where your ideas actually shape the future... Apply today.
**Compensation:** $90K\-130K, based on experience and skills
**Schedule:** Monday\-Friday 7am\-3:30pm
**Location:** Onsite, hybrid potential
**Benefits**
* Competitive pay
* Retirement plan
* Paid time off
* Medical/Dental/Vision/Life \&amp; EAP
* Training opportunities
*Accu\-Precision is an equal opportunity employer. All qualified applicants will receive consideration for employment without regard to race, color, age, religion, sex, sexual orientation, gender identity, national origin, disability or veteran status.*
Requirements:
* Education: Bachelor’s degree in Computer Science, Software Engineering, or a related field.
* Experience: 3\+ years of experience in software development, preferably with a focus on ERP systems or manufacturing applications.
* Communication: Excellent verbal and written communication skills, able to convey technical information to both technical and non\-technical stakeholders.
* Proficiency in programming languages such as C\#, React, Javascript or AWS technologies including Lambda’s, Kibana, and Aurora.
* Experience with database management systems (e.g., MySQL, SQL Server).
* Familiarity with web technologies (HTML, CSS, TypeScript).</t>
        </is>
      </c>
    </row>
    <row r="29">
      <c r="A29" t="inlineStr">
        <is>
          <t>in-073a7fef4fa87b75</t>
        </is>
      </c>
      <c r="B29" t="inlineStr">
        <is>
          <t>Software Developer</t>
        </is>
      </c>
      <c r="C29" t="inlineStr">
        <is>
          <t>Contech Engineered Solutions LLC</t>
        </is>
      </c>
      <c r="D29" t="inlineStr">
        <is>
          <t>indeed</t>
        </is>
      </c>
      <c r="E29" t="inlineStr"/>
      <c r="F29" t="inlineStr"/>
      <c r="G29" t="inlineStr">
        <is>
          <t>West Chester, OH, US</t>
        </is>
      </c>
      <c r="H29" s="2" t="n">
        <v>46026</v>
      </c>
      <c r="I29" t="inlineStr">
        <is>
          <t>Contech Engineered Solutions LLC provides site solutions for engineers, contractors, architects, and owners. The Contech portfolio includes bridges, drainage, erosion control, retaining wall, sanitary sewer, and stormwater management products. Through cost\-effective engineered solutions, we help build, support, and sustain land development projects while protecting the environment.
**The Position**
Are you a skilled software developer looking for an opportunity to contribute to the growth of innovative technologies in a fast\-paced industry? Contech Engineered Solutions is seeking a Software Developer to join our team.Contech provides innovative, cost\-effective site solutions to engineers, contractors, and developers on projects across North America. As a Software Developer, you will play a vital role in expanding and improving the company's future technologies.
**This is an onsite position located in West Chester, OH. LOCAL CANDIDATES ONLY.**
**Why Should You Apply?**
* Work in a positive, team\-oriented environment where collaboration is a priority.
* Achieve your professional goals without sacrificing the balance between work and life.
* Grow your career with an industry leader known for world\-class design, manufacturing, sourcing, and distribution.
* A comprehensive benefits package with options to choose what works best for you and your family.
**About the role:**
* Meet and work with business, engineering, CAD, marketing, and manufacturing leaders to discuss projects.
* Gather necessary information and requirements from business leaders to complete a project. Develop and maintain project scopes, reports, and updates.
* Assist Technologies Manager and Director of Business Applications in organizing, reporting, and presenting project progress.
* Develop and create software ranging from desktop to web\-based depending on requirements.
* Maintain and continually upgrade existing software created by you or other team members.
* Perform engineering calculations and provide technical support during project development.
* Research and understand the technical aspects of the construction products industry in relation to internal and external customer needs and outlook.
* Maintain awareness of emerging technologies and materials relative to our business.
* Research adjacent markets for product and technology opportunities.
* Lead cross\-functional teams in the full cycle of product development and design to successfully bring products to market.
**Qualifications:**
* Technical degree in IT, Computer Science or related field required. Bachelor's degree preferred. An equivalent combination of experience and education will be considered.
* Proficiency in C\#, SQL, JS, Visual Studio, API integration, and Front end UI development is required.
* Preferred technical skills include familiarity with Azure, Git, ASP.net, WPF, Winforms, HTML, CSS, Python, and AutoCAD/Fusion 360/Inventor/Solid Works.
* Must be hands\-on, highly motivated, and energetic.
* Must possess demonstrated leadership skills with the ability to take ownership of product development projects and lead projects to successful completion – Full stack development.
* Must have the ability to prioritize and manage several projects and maintain critical project timelines.
* A high level of detail orientation, analytical skills, and problem\-solving is necessary.
* Excellent interpersonal, verbal, and written communication skills are required.
* Proficient with Microsoft Word, Excel, PowerPoint, etc.
* Engineering experience and engineering project management skills are preferred.
* Experience in performing engineering design and analysis and the development of 3\-D solid models utilizing Autodesk or similar software.
**Ready to Apply?**
* Applying is easy. Click on the “apply” button to get started. Good luck!
Contech is an Equal Opportunity/Affirmative Action Employer and participates in the E\-Verify Employment Verification Program. All qualified applicants will receive consideration for employment without regard to race, color, religion, sex, sexual orientation, gender identification, transgender status, national origin, protected veteran status, or status as an individual with a disability. Click here to view information regarding your Equal Employment Opportunity rights and protections: Know Your Rights \&amp; EEO is the Law Supplement. Contech is a drug\-free workplace and conducts pre\-employment testing as a condition of employment. If you are unable to apply online due to a disability, contact the Contech Recruiting team at (513\) 645\-7000\.</t>
        </is>
      </c>
    </row>
    <row r="30">
      <c r="A30" t="inlineStr">
        <is>
          <t>in-1216bb195a125f86</t>
        </is>
      </c>
      <c r="B30" t="inlineStr">
        <is>
          <t>Software Engineer II, Twitch</t>
        </is>
      </c>
      <c r="C30" t="inlineStr">
        <is>
          <t>Amazon.com</t>
        </is>
      </c>
      <c r="D30" t="inlineStr">
        <is>
          <t>indeed</t>
        </is>
      </c>
      <c r="E30" t="inlineStr"/>
      <c r="F30" t="inlineStr"/>
      <c r="G30" t="inlineStr">
        <is>
          <t>Seattle, WA, US</t>
        </is>
      </c>
      <c r="H30" s="2" t="n">
        <v>45995</v>
      </c>
      <c r="I3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in-c6fe631a60602cd6</t>
        </is>
      </c>
      <c r="B31" t="inlineStr">
        <is>
          <t>Software Engineer II, Android</t>
        </is>
      </c>
      <c r="C31" t="inlineStr">
        <is>
          <t>Amazon.com</t>
        </is>
      </c>
      <c r="D31" t="inlineStr">
        <is>
          <t>indeed</t>
        </is>
      </c>
      <c r="E31" t="inlineStr"/>
      <c r="F31" t="inlineStr"/>
      <c r="G31" t="inlineStr">
        <is>
          <t>San Francisco, CA, US</t>
        </is>
      </c>
      <c r="H31" s="2" t="n">
        <v>45995</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in-fd29df0911e8675c</t>
        </is>
      </c>
      <c r="B32" t="inlineStr">
        <is>
          <t>Software Engineer II, Twitch</t>
        </is>
      </c>
      <c r="C32" t="inlineStr">
        <is>
          <t>Amazon.com</t>
        </is>
      </c>
      <c r="D32" t="inlineStr">
        <is>
          <t>indeed</t>
        </is>
      </c>
      <c r="E32" t="inlineStr"/>
      <c r="F32" t="inlineStr"/>
      <c r="G32" t="inlineStr">
        <is>
          <t>San Francisco, CA, US</t>
        </is>
      </c>
      <c r="H32" s="2" t="n">
        <v>45995</v>
      </c>
      <c r="I3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in-f3e499957c791e35</t>
        </is>
      </c>
      <c r="B33" t="inlineStr">
        <is>
          <t>Software Engineer II, Android</t>
        </is>
      </c>
      <c r="C33" t="inlineStr">
        <is>
          <t>Amazon.com</t>
        </is>
      </c>
      <c r="D33" t="inlineStr">
        <is>
          <t>indeed</t>
        </is>
      </c>
      <c r="E33" t="inlineStr"/>
      <c r="F33" t="inlineStr"/>
      <c r="G33" t="inlineStr">
        <is>
          <t>Seattle, WA, US</t>
        </is>
      </c>
      <c r="H33" s="2" t="n">
        <v>45995</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in-e30f3f043d23be5b</t>
        </is>
      </c>
      <c r="B34" t="inlineStr">
        <is>
          <t>Software Engineer II, Android</t>
        </is>
      </c>
      <c r="C34" t="inlineStr">
        <is>
          <t>Amazon.com</t>
        </is>
      </c>
      <c r="D34" t="inlineStr">
        <is>
          <t>indeed</t>
        </is>
      </c>
      <c r="E34" t="inlineStr"/>
      <c r="F34" t="inlineStr"/>
      <c r="G34" t="inlineStr">
        <is>
          <t>Irvine, CA, US</t>
        </is>
      </c>
      <c r="H34" s="2" t="n">
        <v>45995</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in-e21e34d4e8a370f9</t>
        </is>
      </c>
      <c r="B35" t="inlineStr">
        <is>
          <t>Embedded Software Engineer, Merlin Manager</t>
        </is>
      </c>
      <c r="C35" t="inlineStr">
        <is>
          <t>Amazon.com</t>
        </is>
      </c>
      <c r="D35" t="inlineStr">
        <is>
          <t>indeed</t>
        </is>
      </c>
      <c r="E35" t="inlineStr"/>
      <c r="F35" t="inlineStr"/>
      <c r="G35" t="inlineStr">
        <is>
          <t>Sunnyvale, CA, US</t>
        </is>
      </c>
      <c r="H35" s="2" t="n">
        <v>45981</v>
      </c>
      <c r="I3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in-8d8a776e9f9a954f</t>
        </is>
      </c>
      <c r="B36" t="inlineStr">
        <is>
          <t>Embedded Software Engineer, Merlin Manager</t>
        </is>
      </c>
      <c r="C36" t="inlineStr">
        <is>
          <t>Amazon.com</t>
        </is>
      </c>
      <c r="D36" t="inlineStr">
        <is>
          <t>indeed</t>
        </is>
      </c>
      <c r="E36" t="inlineStr"/>
      <c r="F36" t="inlineStr"/>
      <c r="G36" t="inlineStr">
        <is>
          <t>Redmond, WA, US</t>
        </is>
      </c>
      <c r="H36" s="2" t="n">
        <v>45981</v>
      </c>
      <c r="I3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in-591a8700563afe0f</t>
        </is>
      </c>
      <c r="B37" t="inlineStr">
        <is>
          <t>Software Engineer I</t>
        </is>
      </c>
      <c r="C37" t="inlineStr">
        <is>
          <t>Amazon.com</t>
        </is>
      </c>
      <c r="D37" t="inlineStr">
        <is>
          <t>indeed</t>
        </is>
      </c>
      <c r="E37" t="inlineStr"/>
      <c r="F37" t="inlineStr"/>
      <c r="G37" t="inlineStr">
        <is>
          <t>Irvine, CA, US</t>
        </is>
      </c>
      <c r="H37" s="2" t="n">
        <v>45946</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in-19fee3555c1eba98</t>
        </is>
      </c>
      <c r="B38" t="inlineStr">
        <is>
          <t>Software Engineer I</t>
        </is>
      </c>
      <c r="C38" t="inlineStr">
        <is>
          <t>Amazon.com</t>
        </is>
      </c>
      <c r="D38" t="inlineStr">
        <is>
          <t>indeed</t>
        </is>
      </c>
      <c r="E38" t="inlineStr"/>
      <c r="F38" t="inlineStr"/>
      <c r="G38" t="inlineStr">
        <is>
          <t>San Francisco, CA, US</t>
        </is>
      </c>
      <c r="H38" s="2" t="n">
        <v>45946</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in-21ed8975c4542a7c</t>
        </is>
      </c>
      <c r="B39" t="inlineStr">
        <is>
          <t>Software Engineer II</t>
        </is>
      </c>
      <c r="C39" t="inlineStr">
        <is>
          <t>Amazon.com</t>
        </is>
      </c>
      <c r="D39" t="inlineStr">
        <is>
          <t>indeed</t>
        </is>
      </c>
      <c r="E39" t="inlineStr"/>
      <c r="F39" t="inlineStr"/>
      <c r="G39" t="inlineStr">
        <is>
          <t>San Francisco, CA, US</t>
        </is>
      </c>
      <c r="H39" s="2" t="n">
        <v>45938</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in-8b0540f148a08a57</t>
        </is>
      </c>
      <c r="B40" t="inlineStr">
        <is>
          <t>Software Engineer II</t>
        </is>
      </c>
      <c r="C40" t="inlineStr">
        <is>
          <t>Amazon.com</t>
        </is>
      </c>
      <c r="D40" t="inlineStr">
        <is>
          <t>indeed</t>
        </is>
      </c>
      <c r="E40" t="inlineStr"/>
      <c r="F40" t="inlineStr"/>
      <c r="G40" t="inlineStr">
        <is>
          <t>Seattle, WA, US</t>
        </is>
      </c>
      <c r="H40" s="2" t="n">
        <v>45938</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in-bc4c4701635851c6</t>
        </is>
      </c>
      <c r="B41" t="inlineStr">
        <is>
          <t>Software Engineer II</t>
        </is>
      </c>
      <c r="C41" t="inlineStr">
        <is>
          <t>Amazon.com</t>
        </is>
      </c>
      <c r="D41" t="inlineStr">
        <is>
          <t>indeed</t>
        </is>
      </c>
      <c r="E41" t="inlineStr"/>
      <c r="F41" t="inlineStr"/>
      <c r="G41" t="inlineStr">
        <is>
          <t>San Francisco, CA, US</t>
        </is>
      </c>
      <c r="H41" s="2" t="n">
        <v>45938</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in-6881fa999cc2e5f4</t>
        </is>
      </c>
      <c r="B42" t="inlineStr">
        <is>
          <t>Software Engineer II</t>
        </is>
      </c>
      <c r="C42" t="inlineStr">
        <is>
          <t>Amazon.com</t>
        </is>
      </c>
      <c r="D42" t="inlineStr">
        <is>
          <t>indeed</t>
        </is>
      </c>
      <c r="E42" t="inlineStr"/>
      <c r="F42" t="inlineStr"/>
      <c r="G42" t="inlineStr">
        <is>
          <t>Irvine, CA, US</t>
        </is>
      </c>
      <c r="H42" s="2" t="n">
        <v>45938</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in-5091da8c5eaf318c</t>
        </is>
      </c>
      <c r="B43" t="inlineStr">
        <is>
          <t>Software Engineer II</t>
        </is>
      </c>
      <c r="C43" t="inlineStr">
        <is>
          <t>Amazon.com</t>
        </is>
      </c>
      <c r="D43" t="inlineStr">
        <is>
          <t>indeed</t>
        </is>
      </c>
      <c r="E43" t="inlineStr"/>
      <c r="F43" t="inlineStr"/>
      <c r="G43" t="inlineStr">
        <is>
          <t>Culver City, CA, US</t>
        </is>
      </c>
      <c r="H43" s="2" t="n">
        <v>45938</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in-b38834c94b81b1f2</t>
        </is>
      </c>
      <c r="B44" t="inlineStr">
        <is>
          <t>Senior Software Engineer - Query Optimization, Aurora DSQL</t>
        </is>
      </c>
      <c r="C44" t="inlineStr">
        <is>
          <t>Amazon Web Services</t>
        </is>
      </c>
      <c r="D44" t="inlineStr">
        <is>
          <t>indeed</t>
        </is>
      </c>
      <c r="E44" t="inlineStr"/>
      <c r="F44" t="inlineStr"/>
      <c r="G44" t="inlineStr">
        <is>
          <t>East Palo Alto, CA, US</t>
        </is>
      </c>
      <c r="H44" s="2" t="n">
        <v>45931</v>
      </c>
      <c r="I4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in-856dae136181386c</t>
        </is>
      </c>
      <c r="B45" t="inlineStr">
        <is>
          <t>Senior Software Engineer - Query Optimization, Aurora DSQL</t>
        </is>
      </c>
      <c r="C45" t="inlineStr">
        <is>
          <t>Amazon Web Services</t>
        </is>
      </c>
      <c r="D45" t="inlineStr">
        <is>
          <t>indeed</t>
        </is>
      </c>
      <c r="E45" t="inlineStr"/>
      <c r="F45" t="inlineStr"/>
      <c r="G45" t="inlineStr">
        <is>
          <t>Seattle, WA, US</t>
        </is>
      </c>
      <c r="H45" s="2" t="n">
        <v>45931</v>
      </c>
      <c r="I4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in-d6460f6c8e3eb5a4</t>
        </is>
      </c>
      <c r="B46" t="inlineStr">
        <is>
          <t>Sr Software Engineer</t>
        </is>
      </c>
      <c r="C46" t="inlineStr">
        <is>
          <t>Amazon.com</t>
        </is>
      </c>
      <c r="D46" t="inlineStr">
        <is>
          <t>indeed</t>
        </is>
      </c>
      <c r="E46" t="inlineStr"/>
      <c r="F46" t="inlineStr"/>
      <c r="G46" t="inlineStr">
        <is>
          <t>Irvine, CA, US</t>
        </is>
      </c>
      <c r="H46" s="2" t="n">
        <v>45921</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in-5d3c6d54402ed4be</t>
        </is>
      </c>
      <c r="B47" t="inlineStr">
        <is>
          <t>Sr Software Engineer</t>
        </is>
      </c>
      <c r="C47" t="inlineStr">
        <is>
          <t>Amazon.com</t>
        </is>
      </c>
      <c r="D47" t="inlineStr">
        <is>
          <t>indeed</t>
        </is>
      </c>
      <c r="E47" t="inlineStr"/>
      <c r="F47" t="inlineStr"/>
      <c r="G47" t="inlineStr">
        <is>
          <t>San Francisco, CA, US</t>
        </is>
      </c>
      <c r="H47" s="2" t="n">
        <v>45921</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in-a5072087b1c215fc</t>
        </is>
      </c>
      <c r="B48" t="inlineStr">
        <is>
          <t>Software Engineer II</t>
        </is>
      </c>
      <c r="C48" t="inlineStr">
        <is>
          <t>Amazon.com</t>
        </is>
      </c>
      <c r="D48" t="inlineStr">
        <is>
          <t>indeed</t>
        </is>
      </c>
      <c r="E48" t="inlineStr"/>
      <c r="F48" t="inlineStr"/>
      <c r="G48" t="inlineStr">
        <is>
          <t>San Francisco, CA, US</t>
        </is>
      </c>
      <c r="H48" s="2" t="n">
        <v>45921</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in-7fa8e889f310cb9e</t>
        </is>
      </c>
      <c r="B49" t="inlineStr">
        <is>
          <t>Software Engineer II</t>
        </is>
      </c>
      <c r="C49" t="inlineStr">
        <is>
          <t>Amazon.com</t>
        </is>
      </c>
      <c r="D49" t="inlineStr">
        <is>
          <t>indeed</t>
        </is>
      </c>
      <c r="E49" t="inlineStr"/>
      <c r="F49" t="inlineStr"/>
      <c r="G49" t="inlineStr">
        <is>
          <t>Irvine, CA, US</t>
        </is>
      </c>
      <c r="H49" s="2" t="n">
        <v>45921</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in-6c0520863e7d2696</t>
        </is>
      </c>
      <c r="B50" t="inlineStr">
        <is>
          <t>Software Engineer I- Ad Demand</t>
        </is>
      </c>
      <c r="C50" t="inlineStr">
        <is>
          <t>Amazon.com</t>
        </is>
      </c>
      <c r="D50" t="inlineStr">
        <is>
          <t>indeed</t>
        </is>
      </c>
      <c r="E50" t="inlineStr"/>
      <c r="F50" t="inlineStr"/>
      <c r="G50" t="inlineStr">
        <is>
          <t>San Francisco, CA, US</t>
        </is>
      </c>
      <c r="H50" s="2" t="n">
        <v>45908</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in-72309516f603cd27</t>
        </is>
      </c>
      <c r="B51" t="inlineStr">
        <is>
          <t>Software Engineer I- Ad Demand</t>
        </is>
      </c>
      <c r="C51" t="inlineStr">
        <is>
          <t>Amazon.com</t>
        </is>
      </c>
      <c r="D51" t="inlineStr">
        <is>
          <t>indeed</t>
        </is>
      </c>
      <c r="E51" t="inlineStr"/>
      <c r="F51" t="inlineStr"/>
      <c r="G51" t="inlineStr">
        <is>
          <t>New York, NY, US</t>
        </is>
      </c>
      <c r="H51" s="2" t="n">
        <v>45908</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in-a2e3c252d0785688</t>
        </is>
      </c>
      <c r="B52" t="inlineStr">
        <is>
          <t>Software Developer Engineer - iOS, Ring</t>
        </is>
      </c>
      <c r="C52" t="inlineStr">
        <is>
          <t>Amazon.com</t>
        </is>
      </c>
      <c r="D52" t="inlineStr">
        <is>
          <t>indeed</t>
        </is>
      </c>
      <c r="E52" t="inlineStr"/>
      <c r="F52" t="inlineStr"/>
      <c r="G52" t="inlineStr">
        <is>
          <t>Irvine, CA, US</t>
        </is>
      </c>
      <c r="H52" s="2" t="n">
        <v>45812</v>
      </c>
      <c r="I5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in-a43366c6080e48ab</t>
        </is>
      </c>
      <c r="B53" t="inlineStr">
        <is>
          <t>Software Developer Engineer - iOS, Ring</t>
        </is>
      </c>
      <c r="C53" t="inlineStr">
        <is>
          <t>Amazon.com</t>
        </is>
      </c>
      <c r="D53" t="inlineStr">
        <is>
          <t>indeed</t>
        </is>
      </c>
      <c r="E53" t="inlineStr"/>
      <c r="F53" t="inlineStr"/>
      <c r="G53" t="inlineStr">
        <is>
          <t>Hawthorne, CA, US</t>
        </is>
      </c>
      <c r="H53" s="2" t="n">
        <v>45812</v>
      </c>
      <c r="I5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in-732d796d628d709d</t>
        </is>
      </c>
      <c r="B54" t="inlineStr">
        <is>
          <t>Software Developer Engineer - iOS, Ring</t>
        </is>
      </c>
      <c r="C54" t="inlineStr">
        <is>
          <t>Amazon.com</t>
        </is>
      </c>
      <c r="D54" t="inlineStr">
        <is>
          <t>indeed</t>
        </is>
      </c>
      <c r="E54" t="inlineStr"/>
      <c r="F54" t="inlineStr"/>
      <c r="G54" t="inlineStr">
        <is>
          <t>Austin, TX, US</t>
        </is>
      </c>
      <c r="H54" s="2" t="n">
        <v>45812</v>
      </c>
      <c r="I5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in-7ba0443848b629a4</t>
        </is>
      </c>
      <c r="B55" t="inlineStr">
        <is>
          <t>Senior Software Engineer - Query Processing, Aurora DSQL</t>
        </is>
      </c>
      <c r="C55" t="inlineStr">
        <is>
          <t>Amazon Web Services</t>
        </is>
      </c>
      <c r="D55" t="inlineStr">
        <is>
          <t>indeed</t>
        </is>
      </c>
      <c r="E55" t="inlineStr"/>
      <c r="F55" t="inlineStr"/>
      <c r="G55" t="inlineStr">
        <is>
          <t>Seattle, WA, US</t>
        </is>
      </c>
      <c r="H55" s="2" t="n">
        <v>45796</v>
      </c>
      <c r="I5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in-95c8b1012311ca02</t>
        </is>
      </c>
      <c r="B56" t="inlineStr">
        <is>
          <t>Senior Software Engineer - Query Processing, Aurora DSQL</t>
        </is>
      </c>
      <c r="C56" t="inlineStr">
        <is>
          <t>Amazon Web Services</t>
        </is>
      </c>
      <c r="D56" t="inlineStr">
        <is>
          <t>indeed</t>
        </is>
      </c>
      <c r="E56" t="inlineStr"/>
      <c r="F56" t="inlineStr"/>
      <c r="G56" t="inlineStr">
        <is>
          <t>East Palo Alto, CA, US</t>
        </is>
      </c>
      <c r="H56" s="2" t="n">
        <v>45796</v>
      </c>
      <c r="I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in-feed207174ff42a4</t>
        </is>
      </c>
      <c r="B57" t="inlineStr">
        <is>
          <t>Infrastructure Software Engineer, Control &amp; Calibration, AWS Center for Quantum Computing</t>
        </is>
      </c>
      <c r="C57" t="inlineStr">
        <is>
          <t>Amazon Web Services</t>
        </is>
      </c>
      <c r="D57" t="inlineStr">
        <is>
          <t>indeed</t>
        </is>
      </c>
      <c r="E57" t="inlineStr"/>
      <c r="F57" t="inlineStr"/>
      <c r="G57" t="inlineStr">
        <is>
          <t>San Francisco, CA, US</t>
        </is>
      </c>
      <c r="H57" s="2" t="n">
        <v>45757</v>
      </c>
      <c r="I57"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in-5f74b539df1fb354</t>
        </is>
      </c>
      <c r="B58" t="inlineStr">
        <is>
          <t>Infrastructure Software Engineer, Control &amp; Calibration, AWS Center for Quantum Computing</t>
        </is>
      </c>
      <c r="C58" t="inlineStr">
        <is>
          <t>Amazon Web Services</t>
        </is>
      </c>
      <c r="D58" t="inlineStr">
        <is>
          <t>indeed</t>
        </is>
      </c>
      <c r="E58" t="inlineStr"/>
      <c r="F58" t="inlineStr"/>
      <c r="G58" t="inlineStr">
        <is>
          <t>Pasadena, CA, US</t>
        </is>
      </c>
      <c r="H58" s="2" t="n">
        <v>45757</v>
      </c>
      <c r="I58"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in-6a28f770e318327a</t>
        </is>
      </c>
      <c r="B59" t="inlineStr">
        <is>
          <t>Embedded C++ Software Engineer, Machine Learning Acceleration</t>
        </is>
      </c>
      <c r="C59" t="inlineStr">
        <is>
          <t>Amazon Web Services</t>
        </is>
      </c>
      <c r="D59" t="inlineStr">
        <is>
          <t>indeed</t>
        </is>
      </c>
      <c r="E59" t="inlineStr"/>
      <c r="F59" t="inlineStr"/>
      <c r="G59" t="inlineStr">
        <is>
          <t>Austin, TX, US</t>
        </is>
      </c>
      <c r="H59" s="2" t="n">
        <v>45691</v>
      </c>
      <c r="I5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in-f08731b156a3c877</t>
        </is>
      </c>
      <c r="B60" t="inlineStr">
        <is>
          <t>Embedded C++ Software Engineer, Machine Learning Acceleration</t>
        </is>
      </c>
      <c r="C60" t="inlineStr">
        <is>
          <t>Amazon Web Services</t>
        </is>
      </c>
      <c r="D60" t="inlineStr">
        <is>
          <t>indeed</t>
        </is>
      </c>
      <c r="E60" t="inlineStr"/>
      <c r="F60" t="inlineStr"/>
      <c r="G60" t="inlineStr">
        <is>
          <t>Cupertino, CA, US</t>
        </is>
      </c>
      <c r="H60" s="2" t="n">
        <v>45691</v>
      </c>
      <c r="I60"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in-84a2fd1f2090b889</t>
        </is>
      </c>
      <c r="B61" t="inlineStr">
        <is>
          <t>Senior Software Engineer</t>
        </is>
      </c>
      <c r="C61" t="inlineStr">
        <is>
          <t>SECURA Insurance</t>
        </is>
      </c>
      <c r="D61" t="inlineStr">
        <is>
          <t>indeed</t>
        </is>
      </c>
      <c r="E61" t="inlineStr"/>
      <c r="F61" t="inlineStr"/>
      <c r="G61" t="inlineStr">
        <is>
          <t>Neenah, WI, US</t>
        </is>
      </c>
      <c r="H61" s="2" t="n">
        <v>46027</v>
      </c>
      <c r="I61" t="inlineStr">
        <is>
          <t>The Senior Software Engineer is responsible for designing, configuring, and testing software programs and applications that enable underwriting business processes for associate\-facing technologies for SECURA Insurance. This role involves providing technical and thought leadership within various teams and collaborating with internal and external partners to ensure the success of technology products. This role can be onsite, hybrid, or remote; most of the team is onsite/hybrid.
Responsibilities:
* Configure solutions working with various application teams, and review pull requests of peers.
* Participate on scrum teams and engage in sprint refinement, daily scrums, sprint planning, sprint demos, and sprint retrospectives; identifying and helping mitigate risks and blockers for the team.
* Coach and mentor other developers, fostering a knowledge\-sharing atmosphere.
* Partner with product owners to evaluate and prioritize technical debt.
* Analyze, design, program, test, and implement systems to fulfill business needs or solve problems, utilizing all phases of the system development lifecycle (SDLC).
* Assist the Technical Lead, setting strategy for implementation, ensuring quality and timely product delivery, and establishing standard processes and best practices.
* Participate in centers of excellence by developing and enforcing best practices and code review standards.
* Provide emerging technology thought leadership and planning, and stay current with P\&amp;C insurance knowledge and technology trends.
* Other duties as assigned.
QUALIFICATIONS: ESSENTIAL:
* Bachelor’s degree in an IT\-related field, or an Associate degree with equivalent experience.
* Superior oral and written communication skills.
* Highly motivated, organized, and a self\-starter.
* Results\-oriented.
* 5\+ years of Software Engineering experience.
* Experience with XML/Xpath, SQL, .Net, and object\-oriented design/programming.
* Ability to work with onsite and offshore teams, operating in a hybrid team model.
PREFFERED:
* Experience with agile development teams.
* Experience working in cross\-role functions, such as ScrumMaster, Business Analyst, or Product Owner.
* Insurance industry experience.
* Experience with Duck Creek software solutions.
* Experience with AzureDevOps (ADO).
At SECURA, we are transforming the insurance experience by putting authenticity at the forefront of everything we do. Our mission is clear: we’re making insurance genuine. We recognize that our associates are our greatest assets, and we invest in their well\-being and professional growth. We offer opportunities for continuous learning and career advancement, competitive benefits, and a culture that champions work\-life balance. Joining SECURA means becoming part of a dynamic team that values each individual’s contribution and fosters a collaborative atmosphere. Here, you’ll not only find a fulfilling career but also a place where you can make a positive impact every day.
SECURA Insurance strives to provide equal opportunity for all employees and is committed to fostering an inclusive work environment. We welcome applicants from all backgrounds and walks of life.
Equal Opportunity Employer  
This employer is required to notify all applicants of their rights pursuant to federal employment laws. For further information, please review the Know Your Rights notice from the Department of Labor.
Job Type: Full\-time
Benefits:
* 401(k)
* Dental insurance
* Health insurance
* Vision insurance
Work Location: Hybrid remote in Neenah, WI 54956</t>
        </is>
      </c>
    </row>
    <row r="62">
      <c r="A62" t="inlineStr">
        <is>
          <t>in-4d1ad25ee1f44ad8</t>
        </is>
      </c>
      <c r="B62" t="inlineStr">
        <is>
          <t>Sr. Software Engineer, JavaScript</t>
        </is>
      </c>
      <c r="C62" t="inlineStr">
        <is>
          <t>NBCUniversal</t>
        </is>
      </c>
      <c r="D62" t="inlineStr">
        <is>
          <t>indeed</t>
        </is>
      </c>
      <c r="E62" t="inlineStr"/>
      <c r="F62" t="inlineStr"/>
      <c r="G62" t="inlineStr">
        <is>
          <t>Universal City, CA, US</t>
        </is>
      </c>
      <c r="H62" s="2" t="n">
        <v>46027</v>
      </c>
      <c r="I62" t="inlineStr">
        <is>
          <t>**Company Description**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Our Media Group portfolio is a powerhouse collection of consumer\-first brands, supported by media industry leaders, Comcast, NBCUniversal and Sky. When you join our team, you’ll work across our dynamic portfolio including Peacock, NOW,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**What the team does**
* Creates and maintains performant HTML5 based features
* Constantly improving performance against KPI’s to give the user the best possible experience
* Collaborates with product and other internal teams to drive innovation and improvements
* Explores new technology, pushing the quality and speed capabilities of the systems, running POCs, and balancing innovation with stability
* Supports major consumer\-facing live events, including Olympics and the Super Bowl
**Responsibilities**
**Application Maintenance and Enhancement:**
* Regularly maintain and improve the existing codebase to ensure optimal performance and reliability.
* Debug and resolve complex issues, providing solutions to minimize downtime and enhance user experience.
**Feature Development:**
* Collaborate with the product team to design and develop new features, enhancements, and improvements.
* Implement front\-end functionality using JavaScript/TypeScript, HTML, CSS, and related technologies.
**Architectural Design and Optimization:**
* Evaluate the current application architecture and propose and implement improvements for scalability, maintainability, and efficiency.
* Make informed decisions regarding the selection of frameworks, libraries, and tools to support development efforts.
**Code Quality and Best Practices:**
* Enforce coding standards and best practices, including code reviews, testing, and documentation, to maintain a high\-quality codebase.
* Mentor and guide junior developers in the team, fostering a culture of continuous improvement.
**Performance Optimization:**
* Identify performance bottlenecks and optimize code and resources to ensure the application's responsiveness and efficiency.
**Cross\-functional Collaboration:**
* Collaborate closely with cross\-functional teams, including product managers, designers, and QA engineers, to deliver high\-quality software solutions.
**Technical Research:**
* Stay up\-to\-date with industry trends, emerging technologies, and best practices in web development, and apply them to the project when appropriate.
**Qualifications**  
* Proven experience as an experienced Software Engineer or similar role, with a strong portfolio of web applications.
* 5\+ years of professional software development experience using JavaScript and/or TypeScript
* Preferred proficiency with Lightning JS framework and HTML5 Canvas.
* 3\+ years of experience leveraging frameworks such as ReactNative/ReactJS, Angular, VueJS
* Experience with APIs and integrating 3rd party libraries.
* Experience with GraphQL.
* In\-depth knowledge of JavaScript/TypeScript, HTML5, CSS3, and related technologies.
* Familiarity with building applications for set\-top boxes (STB’s) and Connected TV devices (CTV’s).
* Demonstrates strong investigative abilities to track down source of bugs and areas of improvement.
* Strong architectural skills and the ability to design scalable and maintainable solutions.
* Dedication to best programming practices, code quality, and continuous learning.
* Familiarity with front\-end build tools and package managers (e.g., Webpack, npm).
* Experience with performance improvements and component design
* Strong CS fundamentals, troubleshooting, debugging, and problem\-solving skills
* Experience with test\-driven development
* Proficient in Git, Git commands and various Git workflows
* Solid grasp of development methodologies such as Scrum and Agile
* Experience with CI tools like Jenkins, CircleCI \&amp; MSFT DevOps
* Able to communicate ideas clearly and efficiently
* Confidently communicate and collaborate with external teams, such as backend and analytics team members
* An owner, committed to quality in every task, large or small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$160,000\.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63">
      <c r="A63" t="inlineStr">
        <is>
          <t>in-a12fd37c7c3edb3d</t>
        </is>
      </c>
      <c r="B63" t="inlineStr">
        <is>
          <t>Software Engineer - Remote</t>
        </is>
      </c>
      <c r="C63" t="inlineStr"/>
      <c r="D63" t="inlineStr">
        <is>
          <t>indeed</t>
        </is>
      </c>
      <c r="E63" t="inlineStr"/>
      <c r="F63" t="inlineStr"/>
      <c r="G63" t="inlineStr">
        <is>
          <t>Eden Prairie, MN, US</t>
        </is>
      </c>
      <c r="H63" s="2" t="n">
        <v>46026</v>
      </c>
      <c r="I6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This key position will work with the SI PACS software development team providing test automation of a cloud native PACS system, a medical imaging device supporting a global installation base. Your work will impact the medical device's quality and have a direct impact on providing to patient safety and enable your team to delivery values faster to the end customers. You will participate in design reviews to ensure that our software is designed in a testable way and formulate test scenarios for new features and capabilities.
You will write new and maintain existing end to end tests, integration tests and overall testing frameworks. You will file new defects, troubleshoot and resolve complex challenges.
You will review defect reports, specify defect fixes and ensure test coverage standard are satisfied while also continuing to increase overall test coverage.
You will work closely with developers, manual testers, product owners and management to ensure quality and a timely delivery.
You'll enjoy the flexibility to work remotely \* from anywhere within the U.S. as you take on some tough challenges. For all hires in the Minneapolis or Washington, D.C. area, you will be required to work in the office a minimum of four days per week.
 **Primary Responsibilities:**
* Adheres to high standards in writing quality secure, scalable, and supportable code
* Creation of documentation and adhering to standards as a medical device manufacturer
* Provides technical leadership to implement new functionality and improvements to existing implementations
* Provides training and mentoring to other team members in areas of expertise
* Interface with user representatives or other engineering groups to define requirements and/or necessary modifications when required
* Proactively collaborates with other teams to resolve roadblocks and ensure a smooth delivery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in Test Automation, QA or software development experience
* 3\+ years of experience in developing test automation with JavaScript / typescript / Node.js
 **Preferred Qualifications:**
* Bachelor's degree in Software Engineering, IT or related field
* 2\+ years of experience in developing automation solutions in GCP or another cloud platform
* 2\+ years of experience with test automation frameworks such as Cypress and Playwright
* 2\+ years of experience with CI/CD processes and tools
* 2\+ years of experience using API testing tools such as Postman
* 2\+ years of browser automation tools like Selenium WebDriver or Puppeteer
* 2\+ years of experience and use of tools like Jira, Confluence, Jenkins, Git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64">
      <c r="A64" t="inlineStr">
        <is>
          <t>in-315046f0d6716407</t>
        </is>
      </c>
      <c r="B64" t="inlineStr">
        <is>
          <t>(USA) Software Engineer III</t>
        </is>
      </c>
      <c r="C64" t="inlineStr">
        <is>
          <t>Walmart</t>
        </is>
      </c>
      <c r="D64" t="inlineStr">
        <is>
          <t>indeed</t>
        </is>
      </c>
      <c r="E64" t="inlineStr"/>
      <c r="F64" t="inlineStr"/>
      <c r="G64" t="inlineStr">
        <is>
          <t>Bentonville, AR, US</t>
        </is>
      </c>
      <c r="H64" s="2" t="n">
        <v>46026</v>
      </c>
      <c r="I64" t="inlineStr">
        <is>
          <t>**Position Summary...**
-----------------------
**What you'll do...**
---------------------
Job Description **Immigration sponsorship is not available for this role.**  
Join Walmart Global Tech as a **Software Engineer III (Backend)** to build and enhance scalable systems that power seamless digital experiences for millions of customers worldwide. You will work across diverse systems and domains, contributing to the design and development of critical backend services supporting Walmart’s digital ecosystem, from checkout and fulfillment to user engagement journeys.  
**About Team:**  
Focusing on customer, associate and business needs, this team works with Walmart International, which includes more than 5,200 retail units, operating in 23 countries such as Canada, Central America, Chile, China, India, Mexico and South Africa to name a few.
 **What You'll Do:**
* Architect, design, and develop scalable backend services and APIs to support complex digital experiences.
* Collaborate with cross\-functional teams across domains, including product, frontend, data, and UX teams, to design solutions that enhance the customer journey.
* Lead technical initiatives, including solution architecture, performance tuning, and system scalability enhancements.
* Optimize application performance and ensure high code quality.
* Mentor junior engineers and drive knowledge sharing within the team.
* Advocate for best practices in services architecture, security, and testing.
* Implement and maintain secure, high\-performance, and fault\-tolerant distributed systems.
* Develop reusable frameworks and components for backend service integrations.
* Maintain high code quality through automated testing, continuous integration, and code reviews.
* Troubleshoot and resolve production issues across complex services.
* Build scalable and reliable systems that handle large volumes of traffic and data.
* Write clean, efficient, and maintainable code while following engineering best practices.
* Debug and troubleshoot issues in distributed systems across environments.
* Contribute to performance optimization, security improvements, and system resilience.
* Participate in code reviews and provide constructive feedback to peers.
**What You'll bring:**
* 4 \+ years of total experience of which 3\+ years in Backend engineering platform development.
* 4\+ years of experience in Java technologies, Distributed systems and large\-scale application development and design.
* Hands on experience Spring Boot, REST, Kafka, Cassandra.
* Experience with containerization technology and Microservices
* Well versed in CI/CD, DevOps practices, and monitoring tools.
* Work with Java, Multithreading, Data Structures, Algorithm, Design Patterns and develop robust high\- performance and scalable applications.
* Strong adherence to SLDC process and Scrum/agile methodologies
 **About Walmart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retailers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on a scale that impacts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the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701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65">
      <c r="A65" t="inlineStr">
        <is>
          <t>in-fdef76020f25a2b8</t>
        </is>
      </c>
      <c r="B65" t="inlineStr">
        <is>
          <t>Senior Software Engineer</t>
        </is>
      </c>
      <c r="C65" t="inlineStr">
        <is>
          <t>SOCOTEC Group</t>
        </is>
      </c>
      <c r="D65" t="inlineStr">
        <is>
          <t>indeed</t>
        </is>
      </c>
      <c r="E65" t="inlineStr"/>
      <c r="F65" t="inlineStr"/>
      <c r="G65" t="inlineStr">
        <is>
          <t>Boston, MA, US</t>
        </is>
      </c>
      <c r="H65" s="2" t="n">
        <v>46027</v>
      </c>
      <c r="I65" t="inlineStr">
        <is>
          <t>**Company Description**  
SOCOTEC is a leader in niche consulting services within the architecture, engineering, and construction industries, with a focus on high\-performance buildings and specialty structures. We take an integrated, holistic approach to solving challenges in building envelopes, energy efficiency, sustainability, code advisory, and construction advisory projects. SOCOTEC’s reputation for excellence continues to drive its growth and recognition as a best\-in\-class service provider.
We offer a competitive salary and benefits package, mentorship and training opportunities, and regular team\-building activities. SOCOTEC is proud to be officially certified as a Great Place to Work® by the global authority on workplace culture.
 **Job Description**  
We are seeking an innovative and collaborative Senior Software Engineer who thrives in a fast\-paced environment and is passionate about developing both traditional software systems and AI\-driven applications. If you are excited about building cutting\-edge solutions that transform the AEC industry, we encourage you to apply.
As a Senior Software Engineer at SOCOTEC, you will play a key role in designing, developing, and maintaining robust software solutions that power our digital initiatives. In addition to core software engineering responsibilities, this role offers the opportunity to work on applied AI solutions that enhance our enterprise systems, automate complex workflows, and improve client experiences.
You’ll collaborate with cross\-functional teams—including product managers, UI/UX designers, data scientists, consultants, and engineers—to build scalable applications, deploy AI\-powered features, and drive innovation across our technology stack.
**Key Responsibilities:**
* **Software Design \&amp; Development:** Architect, design, and implement scalable, reliable, and maintainable software applications, services, and APIs.
* **Applied AI Development:** Design and deploy AI\-driven solutions that support SOCOTEC’s chatbot programs and automation initiatives.
* **Technical Leadership:** Provide technical guidance, code reviews, and mentorship to software engineers. Foster engineering best practices and ensure adherence to software quality standards.
* **AI Integration \&amp; Deployment:** Collaborate with AI/ML engineers and data scientists to integrate AI models into production applications, ensuring scalability, security, and performance.
* **Collaborate Across Teams:** Work with product managers, designers, and stakeholders to translate business requirements into intelligent software and AI\-powered solutions.
* **Performance Optimization:** Monitor, analyze, and optimize application and AI model performance, addressing bottlenecks, and ensuring systems are robust and efficient.
* **Continuous Improvement:** Drive continuous improvements in our software development lifecycle (SDLC), including CI/CD pipelines, automated testing, and deployment workflows.
* **Documentation:** Maintain clear and comprehensive documentation of software systems, AI workflows, APIs, and architecture decisions.
**Qualifications** **Programming Expertise:** Proficiency in Python with experience in JavaScript/TypeScript or another modern programming language.
**Backend \&amp; API Development:** Demonstrated experience designing and building scalable backend systems, including RESTful and/or GraphQL APIs and microservices architectures.
**Frontend Development:** Proficiency in modern frontend frameworks such as React or Vue, with experience building responsive, user\-friendly interfaces that integrate with backend and AI services.
**Applied AI/ML:**
* Hands\-on experience developing and deploying large language model (LLM)\-based applications in production environments.
* Deep familiarity with agentic workflows and orchestration frameworks such as LangChain, LangGraph, or similar tools.
* Proficient in AI/ML libraries and ecosystems including Hugging Face Transformers, TensorFlow, PyTorch, and Scikit\-learn.
* Proven ability to integrate AI\-driven functionality into complex software systems at scale.
**Cloud Platforms:** Experience deploying software and ML services on major cloud providers such as AWS, Azure, or GCP.
**Version Control \&amp; Collaboration:** Strong command of Git and GitHub workflows; experience working in agile development environments.
**Database Management:** Skilled in working with relational databases (e.g., PostgreSQL, MySQL) and NoSQL databases (e.g., MongoDB).
**Communication \&amp; Leadership:** Excellent collaboration and communication skills, with experience mentoring junior engineers and coordinating with cross\-functional stakeholders
 **Preferred Qualifications:**
Experience with containerization and orchestration (Docker, Kubernetes).
Familiarity with CI/CD pipelines and automated testing frameworks.
Knowledge of model monitoring, A/B testing, and continuous improvement strategies for AI systems.
Understanding of security best practices for both software and AI/ML applications.
Experience in the architecture, engineering, and construction (AEC) industry is a plus.
 **Additional Information**  
For more information, please visit www.socotec.us
SOCOTEC is an Equal Opportunity Employer. Your information will be kept confidential according to EEO guidelines. SOCOTEC is an Equal Opportunity Employer.
Salary range: $90,000\-$180,000 (final compensation is based on experience, technical depth, and scope of ownership).
SOCOTEC is an Equal Opportunity Employer.</t>
        </is>
      </c>
    </row>
    <row r="66">
      <c r="A66" t="inlineStr">
        <is>
          <t>in-ea297e83be3293c4</t>
        </is>
      </c>
      <c r="B66" t="inlineStr">
        <is>
          <t>Senior Software Engineer</t>
        </is>
      </c>
      <c r="C66" t="inlineStr">
        <is>
          <t>SOCOTEC Group</t>
        </is>
      </c>
      <c r="D66" t="inlineStr">
        <is>
          <t>indeed</t>
        </is>
      </c>
      <c r="E66" t="inlineStr"/>
      <c r="F66" t="inlineStr"/>
      <c r="G66" t="inlineStr">
        <is>
          <t>New York, NY, US</t>
        </is>
      </c>
      <c r="H66" s="2" t="n">
        <v>46027</v>
      </c>
      <c r="I66" t="inlineStr">
        <is>
          <t>**Company Description**  
SOCOTEC is a leader in niche consulting services within the architecture, engineering, and construction industries, with a focus on high\-performance buildings and specialty structures. We take an integrated, holistic approach to solving challenges in building envelopes, energy efficiency, sustainability, code advisory, and construction advisory projects. SOCOTEC’s reputation for excellence continues to drive its growth and recognition as a best\-in\-class service provider.
We offer a competitive salary and benefits package, mentorship and training opportunities, and regular team\-building activities. SOCOTEC is proud to be officially certified as a Great Place to Work® by the global authority on workplace culture.
 **Job Description**  
We are seeking an innovative and collaborative Senior Software Engineer who thrives in a fast\-paced environment and is passionate about developing both traditional software systems and AI\-driven applications. If you are excited about building cutting\-edge solutions that transform the AEC industry, we encourage you to apply.
As a Senior Software Engineer at SOCOTEC, you will play a key role in designing, developing, and maintaining robust software solutions that power our digital initiatives. In addition to core software engineering responsibilities, this role offers the opportunity to work on applied AI solutions that enhance our enterprise systems, automate complex workflows, and improve client experiences.
You’ll collaborate with cross\-functional teams—including product managers, UI/UX designers, data scientists, consultants, and engineers—to build scalable applications, deploy AI\-powered features, and drive innovation across our technology stack.
**Key Responsibilities:**
* **Software Design \&amp; Development:** Architect, design, and implement scalable, reliable, and maintainable software applications, services, and APIs.
* **Applied AI Development:** Design and deploy AI\-driven solutions that support SOCOTEC’s chatbot programs and automation initiatives.
* **Technical Leadership:** Provide technical guidance, code reviews, and mentorship to software engineers. Foster engineering best practices and ensure adherence to software quality standards.
* **AI Integration \&amp; Deployment:** Collaborate with AI/ML engineers and data scientists to integrate AI models into production applications, ensuring scalability, security, and performance.
* **Collaborate Across Teams:** Work with product managers, designers, and stakeholders to translate business requirements into intelligent software and AI\-powered solutions.
* **Performance Optimization:** Monitor, analyze, and optimize application and AI model performance, addressing bottlenecks, and ensuring systems are robust and efficient.
* **Continuous Improvement:** Drive continuous improvements in our software development lifecycle (SDLC), including CI/CD pipelines, automated testing, and deployment workflows.
* **Documentation:** Maintain clear and comprehensive documentation of software systems, AI workflows, APIs, and architecture decisions.
**Qualifications** **Programming Expertise:** Proficiency in Python with experience in JavaScript/TypeScript or another modern programming language.
**Backend \&amp; API Development:** Demonstrated experience designing and building scalable backend systems, including RESTful and/or GraphQL APIs and microservices architectures.
**Frontend Development:** Proficiency in modern frontend frameworks such as React or Vue, with experience building responsive, user\-friendly interfaces that integrate with backend and AI services.
**Applied AI/ML:**
* Hands\-on experience developing and deploying large language model (LLM)\-based applications in production environments.
* Deep familiarity with agentic workflows and orchestration frameworks such as LangChain, LangGraph, or similar tools.
* Proficient in AI/ML libraries and ecosystems including Hugging Face Transformers, TensorFlow, PyTorch, and Scikit\-learn.
* Proven ability to integrate AI\-driven functionality into complex software systems at scale.
**Cloud Platforms:** Experience deploying software and ML services on major cloud providers such as AWS, Azure, or GCP.
**Version Control \&amp; Collaboration:** Strong command of Git and GitHub workflows; experience working in agile development environments.
**Database Management:** Skilled in working with relational databases (e.g., PostgreSQL, MySQL) and NoSQL databases (e.g., MongoDB).
**Communication \&amp; Leadership:** Excellent collaboration and communication skills, with experience mentoring junior engineers and coordinating with cross\-functional stakeholders
 **Preferred Qualifications:**
Experience with containerization and orchestration (Docker, Kubernetes).
Familiarity with CI/CD pipelines and automated testing frameworks.
Knowledge of model monitoring, A/B testing, and continuous improvement strategies for AI systems.
Understanding of security best practices for both software and AI/ML applications.
Experience in the architecture, engineering, and construction (AEC) industry is a plus.
 **Additional Information**  
For more information, please visit www.socotec.us
SOCOTEC is an Equal Opportunity Employer. Your information will be kept confidential according to EEO guidelines. SOCOTEC is an Equal Opportunity Employer.
Salary range: $90,000\-$180,000 (final compensation is based on experience, technical depth, and scope of ownership).
SOCOTEC is an Equal Opportunity Employer.</t>
        </is>
      </c>
    </row>
    <row r="67">
      <c r="A67" t="inlineStr">
        <is>
          <t>in-c6e26298b534d937</t>
        </is>
      </c>
      <c r="B67" t="inlineStr">
        <is>
          <t>Staff/Senior Software Engineer (Backend) - (Dublin, CA)</t>
        </is>
      </c>
      <c r="C67" t="inlineStr">
        <is>
          <t>Articul8</t>
        </is>
      </c>
      <c r="D67" t="inlineStr">
        <is>
          <t>indeed</t>
        </is>
      </c>
      <c r="E67" t="inlineStr"/>
      <c r="F67" t="inlineStr"/>
      <c r="G67" t="inlineStr">
        <is>
          <t>Dublin, CA, US</t>
        </is>
      </c>
      <c r="H67" s="2" t="n">
        <v>46026</v>
      </c>
      <c r="I67" t="inlineStr">
        <is>
          <t>**About us:**
At Articul8 AI, we relentlessly pursue excellence and create exceptional AI products that exceed customer expectations. We are a team of dedicated individuals who take pride in our work and strive for greatness in every aspect of our business. We believe in using our advantages to make a positive impact on the world and inspiring others to do the same.
**Job Description:**
We're hiring a **Staff or Senior Software Engineer** to lead the design and development of our backend APIs—powering scalable, secure, high\-performance GenAI services. But more than just a backend expert, we're looking for a builder with a **100x mindset**. We expect our engineers to leverage modern AI tools (like GitHub Copilot, GPT\- based assistants, etc.) to deliver **10x\+ outcomes through leverage, not just effort**. We believe the best engineers who harness AI don't just become 10x—they become 1000x. But without human expertise, AI is just garbage in, garbage out. It's the fusion of sharp minds and powerful tools that creates breakthrough results. If you're excited by the idea of engineering at the edge of AI innovation—and using those tools to level yourself and others up—you'll thrive here.
**Responsibilities:**
* Design and build robust RESTful and GraphQL APIs using Python, Go, or Rust Architect scalable systems for real\-time AI/ML\-powered applications
* Partner with ML engineers and frontend developers to ship intelligent, user\- facing features
* Ensure performance, security, and reliability across hybrid (cloud/on\-prem) environments
* Lead technical architecture and long\-term backend strategy
* Drive best practices for code quality, observability, and API design
* Mentor engineers and help grow a high\-performance, AI\-augmented engineering culture
* Take ownership of customer deployments and support production excellence
**Required qualifications:**
* 8\+ years of backend software engineering experience (Python, Go, Rust)
* Bachelors degree in Computer Science, Engineering, or related technical field, or equivalent experience.
* Proven experience designing and scaling APIs in cloud\-native environments
* Strong systems thinking, debugging skills, and production engineering mindset
* Hands\-on with modern infra: Docker, Kubernetes, cloud platforms (AWS/GCP/Azure)
* Experience with distributed systems, async services (Kafka, RabbitMQ), and databases (SQL/NoSQL)
* Deep curiosity and a growth mindset—you love learning, experimenting, and iterating
* Comfortable using AI tools to accelerate your development workflow
**Preferred qualifications:**
* Master's or PhD degree in Computer Science, Engineering, or related technical field, or equivalent experience.
* Experience with AI/ML platforms or MLOps pipelines
* Familiarity with Graph or Vector databases, or large\-scale search infra\-Startup or hypergrowth environment experience
* Exposure to CI/CD pipelines, feature flagging, and testing frameworks
**Professional Attributes:**
* Problem Solving: ability to break down complex problems into manageable components, devising creative solutions, and iteratively refining ideas based on feedback and experimental evidence.
* Collaboration and Communication: proficiency in working within cross\-functional teams—communicating clearly, providing constructive criticism, delegating responsibilities, and respecting diverse perspectives.
* Project Management and Prioritization: demonstrated aptitude in balancing multiple projects, deadlines, and allocating time efficiently between short\-term objectives and long\-term goals. Ability to follow and oversee projects, coordinating resources, setting milestones, monitoring progress, and adjusting plans accordingly.
* Critical Thinking: ability to carefully evaluate assumptions, questioning established methodologies, challenging own biases, and maintaining skepticism when interpreting results.
* Curiosity and Continuous Learning: ability to stay curious about advances in related fields and constantly seeking opportunities to expand knowledge base.
* Emotional Intelligence and Intellectual Humility: capable of displaying empathy, resilience, adaptability, and self\-awareness. Ability to recognize own limitations, embracing uncertainty, acknowledging mistakes, and valuing others' contributions.
**What We Offer:**
By joining our team, you become part of a community that embraces diversity, inclusiveness, and lifelong learning. We nurture curiosity and creativity, encouraging exploration beyond conventional wisdom. Through mentorship, knowledge exchange, and constructive feedback, we cultivate an environment that supports both personal and professional development.
If you're ready to join a team that's changing the game, apply now to become a part of the Articul8 team. Join us on this adventure and help shape the future of Generative AI in the enterprise.</t>
        </is>
      </c>
    </row>
    <row r="68">
      <c r="A68" t="inlineStr">
        <is>
          <t>in-9f91e823275c137c</t>
        </is>
      </c>
      <c r="B68" t="inlineStr">
        <is>
          <t>Software Engineer, VOD</t>
        </is>
      </c>
      <c r="C68" t="inlineStr">
        <is>
          <t>NBCUniversal</t>
        </is>
      </c>
      <c r="D68" t="inlineStr">
        <is>
          <t>indeed</t>
        </is>
      </c>
      <c r="E68" t="inlineStr"/>
      <c r="F68" t="inlineStr"/>
      <c r="G68" t="inlineStr">
        <is>
          <t>New York, NY, US</t>
        </is>
      </c>
      <c r="H68" s="2" t="n">
        <v>46027</v>
      </c>
      <c r="I68" t="inlineStr">
        <is>
          <t>**Company Description**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The VOD Engineering team is looking for a Software Engineer to join our engineering team responsible for building and supporting business critical video workflows, systems, and video\-related cloud solutions.
**What the VOD Workflows team does**
* The Video On Demand (VOD) Workflows team is responsible for the automated media pipeline delivering VOD content to NBCUniversal’s streaming platforms
* Troubleshoots issues arising in the VOD workflow and during VOD Playback.
* Configures encoding of video, audio, and subtitles for delivery across various platforms/devices.
* Research new technologies and innovations in the stream media industry for use in our system
* Collaborates with Operations, Player, and Client teams to drive innovation and improvements in video delivery.
**Role Responsibilities**
* Work in a team and independently to build, deploy and support an automated, highly resilient VOD workflow system that provides content to NBCU streaming platforms.
* Use requirements and modeling to work with Product Owners to implement smart technology solutions and tools to deliver premium quality audio and video experiences.
* Continuously learn, improve, and optimize processes and ways of working.
* Manage and maintain cloud\-based content delivery and services.
* Work closely with vendors and provide them with clear requirements, identify and address bugs.
* Work closely with the Media Engineering team to deploy changes to media processing.
**Qualifications**  
* Bachelor’s degree or equivalent in Computer Science, Information Technology, or related field
* Minimum 3 years of experience working with web technologies, digital video workflow and operations, and digital video technology development
* 3\-5 years of software development experience in Streaming Media VOD processing, Video (or other media) processing workflows, or similar ETL workflow systems
* Programming Languages: Go (required) Python (desired)
* Applied experience with cloud\-based technologies, specifically within architecture/infrastructure (AWS)
* Key understanding of technology principles and work methods (Agile, Scrum, etc.)
* Strong quantitative, analytical, problem solving, debugging and decision\-making skills.
* Ability to integrate into a large agile development project and manage rapid development cycles
* Being an analytic problem solver with a strong sense of autonomy, but with an open collaborative approach to getting the job done.
* Interest in promoting an inclusive team culture where engineers of diverse backgrounds can grow
* Committed to quality and detail in every assignment, large or small
* Transparency, selflessness and authenticity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$105,000\- $145,000\.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69">
      <c r="A69" t="inlineStr">
        <is>
          <t>in-ed838311a41d289c</t>
        </is>
      </c>
      <c r="B69" t="inlineStr">
        <is>
          <t>Senior Bioinformatics Software Engineer</t>
        </is>
      </c>
      <c r="C69" t="inlineStr">
        <is>
          <t>Resource Energy Solutions</t>
        </is>
      </c>
      <c r="D69" t="inlineStr">
        <is>
          <t>indeed</t>
        </is>
      </c>
      <c r="E69" t="inlineStr"/>
      <c r="F69" t="inlineStr"/>
      <c r="G69" t="inlineStr">
        <is>
          <t>Remote, US</t>
        </is>
      </c>
      <c r="H69" s="2" t="n">
        <v>46027</v>
      </c>
      <c r="I69" t="inlineStr">
        <is>
          <t>Senior Bioinformatics Software Engineer
**MyEngene Canada Inc.** \| Calgary, AB (Hybrid) or Remote (Canada\-wide)
The Problem
Adverse drug reactions kill over 100,000 people annually in North America, more than car accidents, diabetes, or pneumonia. Most of these deaths are preventable. The science exists to predict which drugs will harm which patients based on their genetics. What's missing is the software infrastructure to make this actionable at scale.
The Opportunity
MyEngene is a Calgary\-based pharmacogenomics company. Our platform, **PGxME,** is a comprehensive genetic testing solution now entering the market. We're looking for a senior engineer to scale and maintain the platform as we grow, while building out new B2C e\-commerce capabilities for direct\-to\-consumer sales.
You'll work across the full stack: bioinformatics pipelines, web and mobile applications, cloud infrastructure, and databases.
What You'll Work On
**Platform Scaling \&amp; Maintenance**
* End\-to\-end automation and scaling of the bioinformatics pipeline including secondary and tertiary analysis and upload to the pharmacogenomics analysis platform. Ensure security, HIPAA and CLIA compliance
* Enhance the pharmacogenomics analysis web platform that clinicians use to access genetic reports
* Develop, deploy and manage AWS using IAAS and AWS containerized services Build integrations with laboratory partners and healthcare systems
**B2C E\-Commerce Development**
* Build direct\-to\-consumer e\-commerce platform for genetic testing products
* Implement payment processing, order management, and customer account systems
* Design user\-facing interfaces for test ordering and results delivery
* Implement CI/CD pipelines, automated testing, and production monitoring
What We're Looking For
You're a bioinformatician who can build and maintain production software. You understand genomic data formats and NGS workflows, and you can engineer reliable systems around them. Specifically:
* 5\+ years building bioinformatics pipelines and/or production software in biotech, pharma, or healthcare
* Hands\-on experience with NGS data analysis: fastq, bam, vcf pipelines and associated tooling
* Experience with bioinformatics workflow managers (Nextflow, Snakemake, or similar)
* Proficiency with variant calling and annotation tools (samtools, bcftools, GATK, VEP, SnpEff)
* Strong Python and Bash scripting; experience with Django or Flask
* Proficiency with building HIPAA complaint authentication and authorization modules
* Proficiency with React and modern JavaScript/TypeScript
* Production AWS experience: EC2, S3, RDS, Lambda, and ideally Batch/Fargate for compute workloads
* Infrastructure as code with Terraform; containerization with Docker
* Solid database skills: PostgreSQL schema design, query optimization, ETL pipelines
* Comfortable using AI tools (Claude, ChatGPT, Cursor, Copilot) to accelerate development
* Bachelor's degree in bioinformatics, Computer Science, Computational Biology, or equivalent experience
Bonus Points
* Experience with pharmacogenomics or clinical genomics
* E\-commerce platform development (payment integration, order management)
* Familiarity with PharmGKB, CPIC guidelines, or drug\-gene, drug\-drug interaction databases
* Knowledge of healthcare compliance requirements (HIPAA, PIPEDA)
* Previous startup experience (you know what you're signing up for)
Why Join Now
* **Ownership:** You won't be a cog. You'll own the platform architecture. Your decisions ship to production.
* **Impact:** The software you build will help clinicians make safer prescribing decisions for their patients.
* **Team:** You'll work alongside PhD scientists who know pharmacogenomics deeply. You bring engineering; they bring science.
* **Flexibility:** Remote\-friendly anywhere in Canada. We care about output, not hours logged.
How to Apply
Send your resume and a brief note on what you've built to **careers@myengene.com** with "Senior Bioinformatics Software Engineer" in the subject line.
*Skip the cover letter templates. Tell us about a pipeline you built or a gnarly data problem you solved. We read every application.*
Job Types: Full\-time, Contract
Pay: $95,000\.00 \- $130,000\.00 per year
Benefits:
* Flexible schedule
Work Location: Remote</t>
        </is>
      </c>
    </row>
    <row r="70">
      <c r="A70" t="inlineStr">
        <is>
          <t>in-766fe951235a0913</t>
        </is>
      </c>
      <c r="B70" t="inlineStr">
        <is>
          <t>Software Engineering Director</t>
        </is>
      </c>
      <c r="C70" t="inlineStr">
        <is>
          <t>ReminderMedia</t>
        </is>
      </c>
      <c r="D70" t="inlineStr">
        <is>
          <t>indeed</t>
        </is>
      </c>
      <c r="E70" t="inlineStr"/>
      <c r="F70" t="inlineStr"/>
      <c r="G70" t="inlineStr">
        <is>
          <t>Philadelphia, PA, US</t>
        </is>
      </c>
      <c r="H70" s="2" t="n">
        <v>46027</v>
      </c>
      <c r="I70" t="inlineStr">
        <is>
          <t>***Are you a confident, people\-first technology leader with deep expertise in Laravel and Firebase who thrives on building high\-performing teams? Do you want to lead meaningful software initiatives that power growth for thousands of small businesses?***
The **Software Development Director** is a full\-time, onsite role based at our headquarters in King of Prussia, PA, requiring extensive hands\-on experience with **Laravel and Firebase/Firestore**. In this role, you’ll lead a talented development team responsible for building and evolving our proprietary CRM and internal platforms. You’ll join a company recognized as a Top Place to Work, a 4x Inc. 5000 fastest\-growing organization, and an A\+ rated business by the Better Business Bureau, contributing directly to our mission to empower clients to close more deals and retain more business.
RESPONSIBILITIES
* Lead, coach, and develop a team of software developers, fostering accountability, communication, and collaboration
* Partner with Product, Operations, and Leadership to translate business needs into clear technical direction
* Oversee execution of development initiatives using Laravel and Firebase to ensure scalable, high\-quality solutions
* Maintain strong code quality standards through reviews, best practices, and mentorship
* Improve development processes, documentation, and workflows to support growth and efficiency
* Communicate progress, risks, and priorities clearly with technical and non\-technical stakeholders
COMPENSATION AND BENEFITS
* Highly competitive compensation package commensurate to experience
* Full benefits package includes medical, dental, vision, 401(k) with company match and much more
WORK ARRANGEMENT REQUIREMENTS
* This position reports onsite to the company headquarters in King of Prussia, PA
* 40\-hour standard weekly schedule from 9:00 a.m. to 6:00 p.m. weekdays with paid time off and paid holidays
QUALIFICATIONS
* Bachelor’s degree in Computer Science or a related field
* 5\+ years of professional software development experience, including leadership responsibility
* Extensive, hands\-on experience with Laravel and Firebase/Firestore in production environments
ABOUT US  
ReminderMedia is a leading marketing services provider that has helped over 100K small businesses across 200\+ industries grow their client base through a powerful suite of digital and direct\-mail marketing tools. Built strong on the pillars of integrity, inclusion, and respect, we proudly consider all qualified applicants with disabilities and diverse backgrounds. If you require alternative application methods, please contact our recruiting team directly. Through this application, you agree to receive texts, phone calls, and emails for recruiting purposes only. Selected candidates must undergo a pre\-hire background screen.
Job Type: Full\-time
Pay: $150,000\.00 \- $175,000\.00 per year
Benefits:
* Dental insurance
* Health insurance
* Vision insurance
Application Question(s):
* To be considered for this opportunity, qualified applicants must be able to work a traditional full\-time schedule with reliable transportation to and from the company headquarters in King of Prussia, PA. Please confirm you meet these criteria \[113].
Experience:
* Laravel: 2 years (Required)
* Firebase: 2 years (Required)
* Full\-stack development: 3 years (Required)
Work Location: Remote</t>
        </is>
      </c>
    </row>
    <row r="71">
      <c r="A71" t="inlineStr">
        <is>
          <t>in-87de6bb024a95f48</t>
        </is>
      </c>
      <c r="B71" t="inlineStr">
        <is>
          <t>Full Stack Software Developer</t>
        </is>
      </c>
      <c r="C71" t="inlineStr">
        <is>
          <t>Search Leaders, LLC</t>
        </is>
      </c>
      <c r="D71" t="inlineStr">
        <is>
          <t>indeed</t>
        </is>
      </c>
      <c r="E71" t="inlineStr"/>
      <c r="F71" t="inlineStr"/>
      <c r="G71" t="inlineStr">
        <is>
          <t>Minneapolis, MN, US</t>
        </is>
      </c>
      <c r="H71" s="2" t="n">
        <v>46027</v>
      </c>
      <c r="I71" t="inlineStr">
        <is>
          <t>Our client is a forward\-thinking leader in data\-driven solutions, with over 30 years of experience delivering innovative analytics across EdTech, federal research, and commercial markets. They specialize in modern, cloud\-based systems that provide high\-impact insights. With a focus on transparency, collaboration, and accountability, our client fosters an inclusive culture where team members contribute meaningfully to transformative technology.
 **Position Responsibilities:**
As a Full Stack Software Developer, you will play a key role in building and integrating web services that bridge front\-end interfaces with backend data architectures. You'll collaborate with multiple teams to implement scalable, secure, and maintainable solutions that serve a diverse set of clients.
* Design and develop web services to connect backend data systems with front\-end applications
* Create data\-driven controls to enable flexible, low\-code solutions
* Write, test, deploy, and maintain efficient, secure, and cost\-conscious code
* Troubleshoot issues and support internal and external users with analytic reporting tools
* Collaborate with cross\-functional teams to evolve middleware, data, and UI systems
* Translate complex requirements into simple, user\-friendly technical solutions
**Position requirements:**
* 3\+ years of experience in software development
* Proficient with TypeScript, JavaScript, and one or more frameworks such as Angular, Node.js, ReactJS, or Vue.js
* Solid understanding of SQL and experience with databases like MS SQL Server, PostgreSQL, Redshift, Snowflake, or DynamoDB
* Familiar with shell scripting tools like Unix Bash or PowerShell
* Hands\-on experience with developer tools such as JIRA, Jenkins, and GitHub
* Strong background in full stack development emphasizing web services and middleware
* Skilled in designing APIs and service interfaces (REST, SOAP, GraphQL)
* Ability to clearly communicate technical details to non\-technical stakeholders
* Comfortable in a fast\-paced, collaborative environment
* Strong grasp of data\-centric programming principles
* Ability to analyze business requirements and produce supporting technical documentation
**Preferred Requirements:**
* Experience using Postman, JMeter, Selenium, Playwright, or Cypress for API testing
* Exposure to cloud platforms such as AWS, Azure, or Google Cloud
* Understanding of identity and access management concepts like OAuth, SAML, SSO, and role\-based access
* Familiarity with business intelligence tools like Power BI, Tableau, or ThoughtSpot
* Knowledge of various database modeling techniques
* Experience with Agile methodologies like Scrum or Kanban
* Understanding of CI/CD pipelines and test\-driven development
* Bachelor’s degree in Computer Science, Software Engineering, or a related field
**Reasons to Apply:**
* Competitive salary plus a comprehensive benefits package.
* Health coverage, retirement plans, and other company\-sponsored perks.
* Generous paid time off, including holidays, to support work\-life balance.
* Flexible schedules and work life balance.
* Strong focus on employee development with on\-the\-job training and career growth.
* A positive company culture that values diversity and collaboration.
 **The pay range for this role is:**  
110,000 \- 125,000 USD per year(Remote (Minneapolis, Minnesota, US))</t>
        </is>
      </c>
    </row>
    <row r="72">
      <c r="A72" t="inlineStr">
        <is>
          <t>in-77577d54a7513876</t>
        </is>
      </c>
      <c r="B72" t="inlineStr">
        <is>
          <t>Software Engineer 0 (Hybrid) - Java/AI/ML/Kubernetes</t>
        </is>
      </c>
      <c r="C72" t="inlineStr">
        <is>
          <t>Captivation Software</t>
        </is>
      </c>
      <c r="D72" t="inlineStr">
        <is>
          <t>indeed</t>
        </is>
      </c>
      <c r="E72" t="inlineStr"/>
      <c r="F72" t="inlineStr"/>
      <c r="G72" t="inlineStr">
        <is>
          <t>Annapolis Junction, MD, US</t>
        </is>
      </c>
      <c r="H72" s="2" t="n">
        <v>46026</v>
      </c>
      <c r="I72"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an entry level software engineer who will be assisting with daily responsibilities.
**Requirements**
================
### **Security Clearance:**
* Must currently hold a Top Secret/SCI U.S. Government security clearance with a favorable Polygraph, therefore all candidates must be a U.S. citizen
### **Minimum Qualifications:**
* Bachelor's degree in Computer Science or related discipline from an accredited college or university is required
* Four (4\) years of SWE experience on projects with similar software processes may be substituted for a bachelor's degree.
### **Required Skills:**
* Minimal experience with Java
### **Desired Skills:**
* Experience with NLP
* AI/ML
* Kubernetes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73">
      <c r="A73" t="inlineStr">
        <is>
          <t>in-61a6a222179d4f3c</t>
        </is>
      </c>
      <c r="B73" t="inlineStr">
        <is>
          <t>Senior Software Engineer, Payloads, Surface Maritime</t>
        </is>
      </c>
      <c r="C73" t="inlineStr">
        <is>
          <t>Anduril</t>
        </is>
      </c>
      <c r="D73" t="inlineStr">
        <is>
          <t>indeed</t>
        </is>
      </c>
      <c r="E73" t="inlineStr"/>
      <c r="F73" t="inlineStr"/>
      <c r="G73" t="inlineStr">
        <is>
          <t>Costa Mesa, CA, US</t>
        </is>
      </c>
      <c r="H73" s="2" t="n">
        <v>46026</v>
      </c>
      <c r="I7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**Maritime Software Engineering** team builds, deploys, integrates, extends, and scales Anduril's software on Maritime platforms to deliver mission\-critical capabilities to our customers. As the software engineers closest to Anduril customers and end\-users, Mission Software Engineers solve technical challenges of operational scenarios while owning the end\-to\-end delivery of winning capabilities.
### **ABOUT THE JOB**
As a **Senior Software Engineer, Payloads** you will solve a wide variety of problems involving networking, autonomy, systems integration, robotics, and more, while making pragmatic engineering tradeoffs along the way. You will be the leading edge of the Maritime Software team — working in a tight feedback loop with vehicle platform software engineers and ensuring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 **WHAT YOU'LL DO**
* Design and implement trusted, safety critical Payload Management Systems that balance constraints, restrictions and requirements in a multi\-stakeholder environment
* Design and implement scalable payload sub\-systems including sensor processing, state estimation, contingency management, actuation, payload interfaces, and mission systems interfaces
* Develop real\-time embedded software using an RTOS
* Develop device drivers and interfaces to a variety of sensors and actuators
* Create test and simulation fixtures that operate with both software\-and hardware\-in\-the\-loop
* Support payload manufacturing and deployment
#### **REQUIRED QUALIFICATIONS**
* Bachelor's degree in Robotics, Mechatronics, Computer Science, Engineering, a relevant field, or equivalent experience
* Professional experience working as a Software Engineer with one or more domains and/or technologies of competence
* Systems programming skills including algorithms, data structures, concurrency and optimization
* Capacity learn and grow individually, while mentoring junior team members effectively, contributing to team cohesion and capacity
* Capacity to learn and grow individually, while mentoring junior team members effectively, contributing to team cohesion and capacity
* Experience troubleshooting and analyzing remotely deployed software systems
* Travel up to 30% of time to build, test, and deploy capabilities in the real world
* Eligible to obtain and maintain an active U.S. Top Secret security clearance
#### **PREFERRED QUALIFICATIONS**
* Experience in design and development of embedded applications in autonomous vehicle software systems
* Experienced and proficient at writing C
* Familiarity with communications busses and protocols (e.g. CAN, CANFD, UART/RS232/RS422/RS485, SPI, QSPI, I2C, Ethernet, ARINC\-825, ARINC\-429, MIL\-STD\-1553, etc)
* Experience with an RTOS
* Experience with development of high assurance safety critical software applications
* Experience in developing interfaces to sensors and actuators
* Experience troubleshooting and analyzing remotely deployed software systems
* Experience working with and testing electrical and mechanical systems
* Experience with DO\-178, IEC 61508, or similar certifications
* Familiarity with navigation and communications systems
* Desire to grow in to a Tech\-Lead\-Manager role, with responsibility for line management of engineers, in addition to delivery
* Experience working with RF systems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74">
      <c r="A74" t="inlineStr">
        <is>
          <t>in-7d2ff995e5a217c3</t>
        </is>
      </c>
      <c r="B74" t="inlineStr">
        <is>
          <t>Senior Software Engineer, .NET</t>
        </is>
      </c>
      <c r="C74" t="inlineStr">
        <is>
          <t>PerfectServe</t>
        </is>
      </c>
      <c r="D74" t="inlineStr">
        <is>
          <t>indeed</t>
        </is>
      </c>
      <c r="E74" t="inlineStr"/>
      <c r="F74" t="inlineStr"/>
      <c r="G74" t="inlineStr">
        <is>
          <t>Remote, US</t>
        </is>
      </c>
      <c r="H74" s="2" t="n">
        <v>46026</v>
      </c>
      <c r="I74" t="inlineStr">
        <is>
          <t>**What is PerfectServe?**
PerfectServe offers Best in KLAS assets in three categories: clinical communications, scheduling, and patient engagement solutions. We have seen an 88% growth rate over the past three years and need strong team members to help us continue to grow!
PerfectServe's mission is to accelerate speed to care by optimizing provider schedules and dynamically routing messages to the right person at the right time in any care setting; advancing patient care and clinical workflows.
By joining PerfectServe, you will have the unique opportunity to come alongside us as we further our vision of putting all of these solutions together to provide optimal patient outcomes and faster patient care interventions. By improving speed to care and cross\-continuum communication, we save lives, reduce length of stay, minimize re\-admissions, and bring joy back to caregivers.
We have an incredible portfolio of customers, with new ones recognizing the value of our solutions and joining the PerfectServe family every day.
At PerfectServe, we are driven by a mission to improve healthcare outcomes through innovative, reliable technology. We are looking for a passionate and collaborative engineer to join us and become a key contributor to our technical future. This is a unique opportunity to step into a dynamic environment and have a real impact, helping us build world\-class services that power clinical communication and collaboration.
### **The Opportunity: What's In It For You?**
* **Solve Meaningful Problems:** You will tackle complex and meaningful technical challenges related to building scalable, high\-availability voice and messaging communication systems that are critical to the healthcare industry.
* **Make a Visible Impact:** You will see the direct impact of your work on improving patient care, reducing administrative burden for clinicians, and streamlining critical clinical workflows.
* **Grow with a Modern Stack:** You will work with a modern .NET\-based technology stack and have a real voice in its evolution. We believe in using the right tool for the job and empowering our engineers to make technical decisions.
### **How We Build: The Power of Perspective**
We believe that the best and most innovative solutions are born from the collaboration of people with diverse backgrounds, experiences, and viewpoints. We highly value team players who can respectfully challenge ideas, contribute to technical debates, and work together to achieve a collective outcome that is greater than the sum of its parts.
**About the Team**
------------------
You will be joining one of our core platform pods, a team of 6\-8 focused on building and owning the C\#/SQL services at the heart of our platform. We operate in two\-week sprints, value open and honest communication, and own our services from initial design and development all the way through to deployment and support.
**How You'll Make an Impact**
-----------------------------
* As a key member of a high\-performing team of .NET/C\# experts, you will design, build, and maintain highly performant, well\-structured, and well\-tested code for our core services.
* Champion and evolve our team's best practices in code quality, automated testing, and observability to drive technical excellence.
* Pay it forward by formally and informally mentoring junior engineers, guiding them through technical challenges and helping them grow their careers at PerfectServe.
* Foster a 'one\-team' culture by actively engaging in code reviews and providing constructive, collaborative feedback to our distributed and offshore engineering partners.
* Collaborate effectively with Product Owners, QA, and other engineering teams to deliver on complex, multi\-team initiatives.
**What You'll Bring to the Team**
---------------------------------
**Required Qualifications:**
* 5\+ years of professional software engineering experience with C\#.
* 5\+ years of professional software engineering experience with ASP.NET Web API.
* Expert\-level knowledge of designing and building RESTful web APIs.
* Expert\-level knowledge of .NET data access frameworks (ADO.NET, Dapper, EF, etc.)
* Advanced level knowledge of MSSQL or a similar relational database including data modeling, query optimization and Stored Procedure development.
* Strong Unit and Integration Testing techniques.
* Demonstrable experience mentoring other engineers through code reviews, pair programming, and collaborative problem\-solving.
* Excellent communication skills with experience working in a team distributed across multiple time zones.
* Proficiency with Git, CI/CD tools, and modern software testing best practices.
**Beneficial Qualifications:**
* Bachelor's degree in Computer Science or a related field.
* Experience reverse engineering legacy .NET services and complex MSSQL stored procedures and functions
* Experience with .NET framework, ASP.NET Core, .NET 5\+.
* Experience with a message queue system like RabbitMQ.
* Experience with building dynamic SPAs using React and Angular with TypeScript with efficient state management and clean modular components
* Experience with observability and monitoring tools (e.g., New Relic, Grafana).
**Why Join PerfectServe?**  
At PerfectServe, we are transforming healthcare communication and collaboration to help clinicians deliver better care. You'll work with a dedicated and mission\-driven team in an environment that values growth, transparency, and innovation.
Please do not use AI tools to generate your application materials. We value authentic, personal communication and want to understand your unique voice and perspective.\*\*  
We offer a salary range of $125,000\-175,000 per year, with compensation tailored to your background, strengths, and potential to grow within the team.  
The salary range listed for this role reflects our commitment to pay transparency and is based on market data, internal equity, and the scope of responsibilities. compensation will be determined by a combination of factors, including the candidate's experience, skills, and the specific team or product area they support.  
We regularly review compensation across the company to ensure fairness and consistency. If you are a current employee and have questions about how your compensation aligns with our ranges, we encourage you to speak with your manager or People Operations.
**Benefits:**
* Remote first work environment
* Health, Dental, Vision, Life and Disability Insurance options available day one.
* 401K \- with match and immediately vested.
* 17 company holidays, 2 floating holidays plus competitive paid time off policy
* Internal Advancement Opportunities
PerfectServe offers unified healthcare communication solutions to help physicians, nurses, and care team members provide exceptional patient care. PerfectServe's cloud\-based solutions enhance patient safety and reduce provider burnout by automating workflows, speeding time to treatment, optimizing shift schedules, empowering nurse mobility, and engaging patients in their own care.</t>
        </is>
      </c>
    </row>
    <row r="75">
      <c r="A75" t="inlineStr">
        <is>
          <t>in-4f8bebbc4aa6f7c9</t>
        </is>
      </c>
      <c r="B75" t="inlineStr">
        <is>
          <t>Lead Software Engineer - TypeScript, React. Js and Node. js</t>
        </is>
      </c>
      <c r="C75" t="inlineStr">
        <is>
          <t>Grid Dynamics</t>
        </is>
      </c>
      <c r="D75" t="inlineStr">
        <is>
          <t>indeed</t>
        </is>
      </c>
      <c r="E75" t="inlineStr"/>
      <c r="F75" t="inlineStr"/>
      <c r="G75" t="inlineStr">
        <is>
          <t>Cupertino, CA, US</t>
        </is>
      </c>
      <c r="H75" s="2" t="n">
        <v>46026</v>
      </c>
      <c r="I75" t="inlineStr">
        <is>
          <t>We are looking for a high\-impact Lead Software Engineer to serve as a bridge between strategic architectural design and hands\-on execution. You will act as the on\-site anchor in San Jose, leading a globally distributed team of 20\+ engineers across UI, Backend, DevOps, and QA.  
Your mission is to drive the re\-platforming of client\-facing applications for Fortune 1000 companies, moving them toward modern, scalable micro\-services and micro\-frontend architectures. You will be responsible for delivering sophisticated end\-to\-end systems while fostering a culture of engineering excellence through Scrum, TDD, and CI/CD.
 **Responsibilities*** Hands\-on Development (50–60%): Write clean, modular, and reusable code. Develop complex features and core architectural components using TypeScript, React, and Node.js.
* Technical Leadership: Lead and mentor a global multi\-disciplinary team. Coordinate priorities between domestic stakeholders and offshore engineering teams.
* Architecture \&amp; Design: Design scalable solution architectures, create comprehensive integration diagrams, and oversee the implementation of 3D visualization tools (WebGL) and AI\-enhanced systems.
* Process Optimization: Drive CI/CD transformations using DORA metrics to increase deployment frequency. Lead sprint planning, estimations, and design sessions.
* Client Consulting: Interact directly with enterprise clients to translate business requirements into high\-performance technical solutions.
* Core Stack: Deep expertise in TypeScript, React.js, and Node.js (Express/Loopback).
* Frontend Architecture: Proven experience with Micro\-Frontend architecture and state management (Redux).
* 3D \&amp; AI Integration: Experience or strong interest in WebGL/Rendering engines (e.g., Babylon.js) and integrating AI\-powered validation or rendering tools.
* Backend \&amp; Data: Strong knowledge of GraphQL, REST APIs, and architecting Backends\-for\-Frontends (BFF).
* Modern Engineering: Expertise in unit testing (Jest/Enzyme) with high coverage standards and a “DevOps mindset” regarding automation and CI/CD pipelines.
* Leadership Experience: Proven track record of overseeing large\-scale projects from scratch through to production, managing teams of 10\+ developers.
 **Requirements*** Significant experience in a Lead or Architect role within an enterprise environment.
* The ability to manage a project’s full SDLC, from initial “greenfield” design to rolling out to production.
* Exceptional communication skills for “across\-the\-desk” stakeholder negotiations and cross\-departmental alignment.
* Experience with performance optimization and architecture assessment for high\-traffic applications.
* Bachelor’s/Master’s degree in Computer Science/ Engineering or a related field.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76">
      <c r="A76" t="inlineStr">
        <is>
          <t>in-5f9530c71d7e3bbf</t>
        </is>
      </c>
      <c r="B76" t="inlineStr">
        <is>
          <t>Lead Software Engineer - TypeScript, React. Js and Node. js</t>
        </is>
      </c>
      <c r="C76" t="inlineStr">
        <is>
          <t>Grid Dynamics</t>
        </is>
      </c>
      <c r="D76" t="inlineStr">
        <is>
          <t>indeed</t>
        </is>
      </c>
      <c r="E76" t="inlineStr"/>
      <c r="F76" t="inlineStr"/>
      <c r="G76" t="inlineStr">
        <is>
          <t>Sunnyvale, CA, US</t>
        </is>
      </c>
      <c r="H76" s="2" t="n">
        <v>46026</v>
      </c>
      <c r="I76" t="inlineStr">
        <is>
          <t>We are looking for a high\-impact Lead Software Engineer to serve as a bridge between strategic architectural design and hands\-on execution. You will act as the on\-site anchor in San Jose, leading a globally distributed team of 20\+ engineers across UI, Backend, DevOps, and QA.  
Your mission is to drive the re\-platforming of client\-facing applications for Fortune 1000 companies, moving them toward modern, scalable micro\-services and micro\-frontend architectures. You will be responsible for delivering sophisticated end\-to\-end systems while fostering a culture of engineering excellence through Scrum, TDD, and CI/CD.
 **Responsibilities*** Hands\-on Development (50–60%): Write clean, modular, and reusable code. Develop complex features and core architectural components using TypeScript, React, and Node.js.
* Technical Leadership: Lead and mentor a global multi\-disciplinary team. Coordinate priorities between domestic stakeholders and offshore engineering teams.
* Architecture \&amp; Design: Design scalable solution architectures, create comprehensive integration diagrams, and oversee the implementation of 3D visualization tools (WebGL) and AI\-enhanced systems.
* Process Optimization: Drive CI/CD transformations using DORA metrics to increase deployment frequency. Lead sprint planning, estimations, and design sessions.
* Client Consulting: Interact directly with enterprise clients to translate business requirements into high\-performance technical solutions.
* Core Stack: Deep expertise in TypeScript, React.js, and Node.js (Express/Loopback).
* Frontend Architecture: Proven experience with Micro\-Frontend architecture and state management (Redux).
* 3D \&amp; AI Integration: Experience or strong interest in WebGL/Rendering engines (e.g., Babylon.js) and integrating AI\-powered validation or rendering tools.
* Backend \&amp; Data: Strong knowledge of GraphQL, REST APIs, and architecting Backends\-for\-Frontends (BFF).
* Modern Engineering: Expertise in unit testing (Jest/Enzyme) with high coverage standards and a “DevOps mindset” regarding automation and CI/CD pipelines.
* Leadership Experience: Proven track record of overseeing large\-scale projects from scratch through to production, managing teams of 10\+ developers.
 **Requirements*** Significant experience in a Lead or Architect role within an enterprise environment.
* The ability to manage a project’s full SDLC, from initial “greenfield” design to rolling out to production.
* Exceptional communication skills for “across\-the\-desk” stakeholder negotiations and cross\-departmental alignment.
* Experience with performance optimization and architecture assessment for high\-traffic applications.
* Bachelor’s/Master’s degree in Computer Science/ Engineering or a related field.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77">
      <c r="A77" t="inlineStr">
        <is>
          <t>in-cbf933d38a2c9a9f</t>
        </is>
      </c>
      <c r="B77" t="inlineStr">
        <is>
          <t>Lead Software Engineer - TypeScript, React. Js and Node. js</t>
        </is>
      </c>
      <c r="C77" t="inlineStr">
        <is>
          <t>Grid Dynamics</t>
        </is>
      </c>
      <c r="D77" t="inlineStr">
        <is>
          <t>indeed</t>
        </is>
      </c>
      <c r="E77" t="inlineStr"/>
      <c r="F77" t="inlineStr"/>
      <c r="G77" t="inlineStr">
        <is>
          <t>San Ramon, CA, US</t>
        </is>
      </c>
      <c r="H77" s="2" t="n">
        <v>46026</v>
      </c>
      <c r="I77" t="inlineStr">
        <is>
          <t>We are looking for a high\-impact Lead Software Engineer to serve as a bridge between strategic architectural design and hands\-on execution. You will act as the on\-site anchor in San Jose, leading a globally distributed team of 20\+ engineers across UI, Backend, DevOps, and QA.  
Your mission is to drive the re\-platforming of client\-facing applications for Fortune 1000 companies, moving them toward modern, scalable micro\-services and micro\-frontend architectures. You will be responsible for delivering sophisticated end\-to\-end systems while fostering a culture of engineering excellence through Scrum, TDD, and CI/CD.
 **Responsibilities*** Hands\-on Development (50–60%): Write clean, modular, and reusable code. Develop complex features and core architectural components using TypeScript, React, and Node.js.
* Technical Leadership: Lead and mentor a global multi\-disciplinary team. Coordinate priorities between domestic stakeholders and offshore engineering teams.
* Architecture \&amp; Design: Design scalable solution architectures, create comprehensive integration diagrams, and oversee the implementation of 3D visualization tools (WebGL) and AI\-enhanced systems.
* Process Optimization: Drive CI/CD transformations using DORA metrics to increase deployment frequency. Lead sprint planning, estimations, and design sessions.
* Client Consulting: Interact directly with enterprise clients to translate business requirements into high\-performance technical solutions.
* Core Stack: Deep expertise in TypeScript, React.js, and Node.js (Express/Loopback).
* Frontend Architecture: Proven experience with Micro\-Frontend architecture and state management (Redux).
* 3D \&amp; AI Integration: Experience or strong interest in WebGL/Rendering engines (e.g., Babylon.js) and integrating AI\-powered validation or rendering tools.
* Backend \&amp; Data: Strong knowledge of GraphQL, REST APIs, and architecting Backends\-for\-Frontends (BFF).
* Modern Engineering: Expertise in unit testing (Jest/Enzyme) with high coverage standards and a “DevOps mindset” regarding automation and CI/CD pipelines.
* Leadership Experience: Proven track record of overseeing large\-scale projects from scratch through to production, managing teams of 10\+ developers.
 **Requirements*** Significant experience in a Lead or Architect role within an enterprise environment.
* The ability to manage a project’s full SDLC, from initial “greenfield” design to rolling out to production.
* Exceptional communication skills for “across\-the\-desk” stakeholder negotiations and cross\-departmental alignment.
* Experience with performance optimization and architecture assessment for high\-traffic applications.
* Bachelor’s/Master’s degree in Computer Science/ Engineering or a related field.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78">
      <c r="A78" t="inlineStr">
        <is>
          <t>in-40e723db2f34a45c</t>
        </is>
      </c>
      <c r="B78" t="inlineStr">
        <is>
          <t>Lead Software Engineer - TypeScript, React. Js and Node. js</t>
        </is>
      </c>
      <c r="C78" t="inlineStr">
        <is>
          <t>Grid Dynamics</t>
        </is>
      </c>
      <c r="D78" t="inlineStr">
        <is>
          <t>indeed</t>
        </is>
      </c>
      <c r="E78" t="inlineStr"/>
      <c r="F78" t="inlineStr"/>
      <c r="G78" t="inlineStr">
        <is>
          <t>Santa Clara, CA, US</t>
        </is>
      </c>
      <c r="H78" s="2" t="n">
        <v>46026</v>
      </c>
      <c r="I78" t="inlineStr">
        <is>
          <t>We are looking for a high\-impact Lead Software Engineer to serve as a bridge between strategic architectural design and hands\-on execution. You will act as the on\-site anchor in San Jose, leading a globally distributed team of 20\+ engineers across UI, Backend, DevOps, and QA.  
Your mission is to drive the re\-platforming of client\-facing applications for Fortune 1000 companies, moving them toward modern, scalable micro\-services and micro\-frontend architectures. You will be responsible for delivering sophisticated end\-to\-end systems while fostering a culture of engineering excellence through Scrum, TDD, and CI/CD.
 **Responsibilities*** Hands\-on Development (50–60%): Write clean, modular, and reusable code. Develop complex features and core architectural components using TypeScript, React, and Node.js.
* Technical Leadership: Lead and mentor a global multi\-disciplinary team. Coordinate priorities between domestic stakeholders and offshore engineering teams.
* Architecture \&amp; Design: Design scalable solution architectures, create comprehensive integration diagrams, and oversee the implementation of 3D visualization tools (WebGL) and AI\-enhanced systems.
* Process Optimization: Drive CI/CD transformations using DORA metrics to increase deployment frequency. Lead sprint planning, estimations, and design sessions.
* Client Consulting: Interact directly with enterprise clients to translate business requirements into high\-performance technical solutions.
* Core Stack: Deep expertise in TypeScript, React.js, and Node.js (Express/Loopback).
* Frontend Architecture: Proven experience with Micro\-Frontend architecture and state management (Redux).
* 3D \&amp; AI Integration: Experience or strong interest in WebGL/Rendering engines (e.g., Babylon.js) and integrating AI\-powered validation or rendering tools.
* Backend \&amp; Data: Strong knowledge of GraphQL, REST APIs, and architecting Backends\-for\-Frontends (BFF).
* Modern Engineering: Expertise in unit testing (Jest/Enzyme) with high coverage standards and a “DevOps mindset” regarding automation and CI/CD pipelines.
* Leadership Experience: Proven track record of overseeing large\-scale projects from scratch through to production, managing teams of 10\+ developers.
 **Requirements*** Significant experience in a Lead or Architect role within an enterprise environment.
* The ability to manage a project’s full SDLC, from initial “greenfield” design to rolling out to production.
* Exceptional communication skills for “across\-the\-desk” stakeholder negotiations and cross\-departmental alignment.
* Experience with performance optimization and architecture assessment for high\-traffic applications.
* Bachelor’s/Master’s degree in Computer Science/ Engineering or a related field.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79">
      <c r="A79" t="inlineStr">
        <is>
          <t>in-8d7777bc692dcb3f</t>
        </is>
      </c>
      <c r="B79" t="inlineStr">
        <is>
          <t>Sr. Software Engineer II (6131)</t>
        </is>
      </c>
      <c r="C79" t="inlineStr">
        <is>
          <t>Metrostar Systems</t>
        </is>
      </c>
      <c r="D79" t="inlineStr">
        <is>
          <t>indeed</t>
        </is>
      </c>
      <c r="E79" t="inlineStr"/>
      <c r="F79" t="inlineStr"/>
      <c r="G79" t="inlineStr">
        <is>
          <t>Tysons, VA, US</t>
        </is>
      </c>
      <c r="H79" s="2" t="n">
        <v>46026</v>
      </c>
      <c r="I79" t="inlineStr">
        <is>
          <t>As **Sr. Software Engineer II**, you'll bring creative architect solutions to end customers, with the goal to make an impact across the federal government.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**What you'll need to succeed:**
* A minimum of 7 years of experience in the Information Technology field, focusing on development projects using DevSecOps and AWS cloud environments
* A bachelor's degree in Computer Science, Information Technology Management or Engineering, or other comparable degree; or equivalent experience in leu of degree
* Active TS/SCI CI Poly clearance
* At least 6 years of specific experience with full stack engineering (defined as proficient in database development/integration as well as server and client application development/integration), including at least 6 years of experience deploying production enterprise applications in AWS
* Strong, repeat experience designing, developing, and deploying applications leveraging AWS cloud services in IL6\+ classified environments
* Proven experience in large\-scale, high\-performance enterprise big data application deployment and solution architecture on complex heterogeneous environments in AWS
* Strong experience with automation and engineering tasks, implementation, data, infrastructure/operations, and security engineer tasks in cloud environments
* The ability to perform, but not limited to, automation and engineering tasks, testing, implementation, data, AI/ML, infrastructure/operations, and security engineer tasks in cloud environments
* You have 3\+ years of experience with multiple of the following: Go, Python, Java, JavaScript, React, AngularJS, TypeScript, NextJS
SALARY RANGE: $143,000 \- $197,000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80">
      <c r="A80" t="inlineStr">
        <is>
          <t>in-eaf0967f52b3316d</t>
        </is>
      </c>
      <c r="B80" t="inlineStr">
        <is>
          <t>Sr. Software Engineer III (6129)</t>
        </is>
      </c>
      <c r="C80" t="inlineStr">
        <is>
          <t>Metrostar Systems</t>
        </is>
      </c>
      <c r="D80" t="inlineStr">
        <is>
          <t>indeed</t>
        </is>
      </c>
      <c r="E80" t="inlineStr"/>
      <c r="F80" t="inlineStr"/>
      <c r="G80" t="inlineStr">
        <is>
          <t>Tysons, VA, US</t>
        </is>
      </c>
      <c r="H80" s="2" t="n">
        <v>46026</v>
      </c>
      <c r="I80" t="inlineStr">
        <is>
          <t>As **Sr. Software Engineer III**, you'll bring creative architect solutions to end customers, with the goal to make an impact across the federal government.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areas
**What you'll need to succeed:**
* A minimum of 10 years of experience in the Information Technology field, focusing on development projects using DevSecOps and AWS cloud environments
* A bachelor's degree in Computer Science, Information Technology Management or Engineering, or other comparable degree; or equivalent experience in leu of degree
* Active TS/SCI CI Poly clearance
* At least 8 years of specific experience with full stack engineering (defined as proficient in database development/integration as well as server and client application development/integration), including at least 8 years of experience deploying production enterprise applications in AWS
* Expert\-level experience designing, developing, and deploying applications leveraging AWS cloud services in IL6\+ classified environments
* Expert experience in large\-scale, high\-performance enterprise big data application deployment and solution architecture on complex heterogeneous environments in AWS
* Expert experience leading automation, engineering, testing, and implementation tasks in cloud environments, including work across data, AI/ML, infrastructure/operations, and security.
* You have 8\+ years of experience with multiple of the following: Go, Python, Java, JavaScript, React, AngularJS, TypeScript, NextJS
SALARY RANGE: $166,000 \- $211,000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81">
      <c r="A81" t="inlineStr">
        <is>
          <t>in-3e1e1e88377b8afb</t>
        </is>
      </c>
      <c r="B81" t="inlineStr">
        <is>
          <t>Senior Software Engineer 2</t>
        </is>
      </c>
      <c r="C81" t="inlineStr">
        <is>
          <t>The Farmer's Dog</t>
        </is>
      </c>
      <c r="D81" t="inlineStr">
        <is>
          <t>indeed</t>
        </is>
      </c>
      <c r="E81" t="inlineStr"/>
      <c r="F81" t="inlineStr"/>
      <c r="G81" t="inlineStr">
        <is>
          <t>New York, NY, US</t>
        </is>
      </c>
      <c r="H81" s="2" t="n">
        <v>46026</v>
      </c>
      <c r="I81" t="inlineStr">
        <is>
          <t>**Who We Are**
--------------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**What We Stand For and Where You'll Come In**
----------------------------------------------
At The Farmer's Dog, we believe the best customer experience comes from owning the technology that powers it. That's why we design, build, and operate our systems in\-house, from subscription and e\-commerce to fulfillment and delivery, so that every dog and human gets the right experience, every time.
Our engineers work on problems that matter and that are hard: evolving systems to support rapid growth, building platforms flexible enough to serve customers with many different needs, and creating product experiences that didn't exist before.
You'll join a group of talented engineers and managers who care deeply about building reliable, scalable systems and about working well together. Here, you'll have the space and agency to help scale the business, solve novel customer problems, and build strong relationships along the way.
If you want to make an outsized impact on technology, on customers, and on the lives of dogs everywhere this is the right place for you.
**One Team:** We don't think of ourselves as "Acquisition Marketers", "Engineers", "Data Analysts", or "Product Managers".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 getting the right people, with the right context, in the right rooms/Zooms to solve problems holistically.
**We are skeptical about everything and precious about nothing:** Ideas can and should come from anywhere, and we aren't tied to our own. We proactively source input. We talk to our customers and leads regularly and are quick to change course if we know there's a better or more impactful way to solve problems.
**We consider the customer journey in all of our decisions:**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
**We Execute For Impact:** We don't subscribe to "best practices" or "industry KPIs". We're uninterested in how we compare to "benchmarks"; instead we orient ourselves around being the best we can possibly be. Similarly, we don't subscribe to rigid or classical expectations of roles – i.e. acquisition is hyper\-focused on improving customer retention and experience.
**We Are Focused and Work Without Assumption**: We are not beholden to ideas. We have goals and believe everything beyond that is a series of hypotheses to validate. To that end, we seek to work in sequence and not in parallel. We constantly ask ourselves, "what's the most important hypothesis I should be working on right now? How do I confirm or reject that hypothesis as fast as possible?". We rarely have timelines/deadlines and are constantly taking in new information and adjusting our priorities accordingly. We don't expect to be perfect the first time.
**How You'll Make an Impact**
-----------------------------
* Lead the end\-to\-end lifecycle of complex systems and features, from planning through maintenance, ensuring long\-term sustainability
* Improve team execution by refining processes, tools, and practices that raise the bar for everyone
* Collaborate with product managers, engineers, designers, and business stakeholders to shape strategy and achieve our goals
* Contribute to our engineering culture and mentor the team through knowledge sharing, feedback, and design and incident reviews
* Work our stack (TypeScript, Node.js, React, OpenAPI, AWS), but embrace learning and applying new tools as needed
**We're Excited About You Because**
-----------------------------------
* You lead by example and take full ownership over the success of the product, software and "pawd" (our name for cross\-functional teams)
* You are curious and regularly seek out ways to improve both our system and how we work
* You lead projects with impact beyond just your pawd's domain and you bring others along
* You elevate others through mentorship, code reviews and clear feedback
* You welcome diverse opinions and actively seek input to challenge your assumptions
* You see the value in communicating key decisions, tradeoffs and practices through writing
* You are committed to furthering the mission of The Farmer's Dog
**Office Guidelines**
---------------------
We are an in\-office culture, made of in\-office people who thrive on the collaboration and magnetism of working in a shared space. We are seeking individuals who excel in this type of environment, where being present fosters deeper connections and engagement.
**Our Belonging Philosophy:**
-----------------------------
At TFD, we believe Belonging is a shared commitment to creating a workplace where every person feels respected, valued, and empowered to be themselves. When people feel a true sense of belonging, they do their best work, take smart risks, and bring forward diverse perspectives — leading to stronger decisions and deeper relationships.  
We anchor this belief in a simple phrase: "Everyone's welcome at the dog park." No matter your background, identity, or role, there's space for you here. There's no one way to show up at the dog park—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
Together, these efforts reflect what Belonging means at TFD: a culture where everyone can thrive.
**A Few of Our Best Benefits**
------------------------------
* Dog\-friendly office in Greenwich Village
* Market\-competitive compensation and equity packages
* Comprehensive Healthcare, Dental, and Vision
* Company supported mental health benefits
* 12 week paid parental leave
* Competitive 401k plan with company match
* Flexible PTO
* Discounted fresh food for your pup
* Your pet interrupting video calls (and in\-person meetings) is now a feature, not a bug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**$205,000\.00 \- $240,000\.00**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**Equal Employment Opportunity Statement**
------------------------------------------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
**Reasonable Accommodations**
-----------------------------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
**We're Here to Help**
----------------------
We're happy to answer any questions you may have about the position or our hiring process \- please reach out at careers@thefarmersdog.com.</t>
        </is>
      </c>
    </row>
    <row r="82">
      <c r="A82" t="inlineStr">
        <is>
          <t>in-b874d4cc2eb5d1a6</t>
        </is>
      </c>
      <c r="B82" t="inlineStr">
        <is>
          <t>Staff Software Engineer</t>
        </is>
      </c>
      <c r="C82" t="inlineStr">
        <is>
          <t>The Farmer's Dog</t>
        </is>
      </c>
      <c r="D82" t="inlineStr">
        <is>
          <t>indeed</t>
        </is>
      </c>
      <c r="E82" t="inlineStr"/>
      <c r="F82" t="inlineStr"/>
      <c r="G82" t="inlineStr">
        <is>
          <t>New York, NY, US</t>
        </is>
      </c>
      <c r="H82" s="2" t="n">
        <v>46026</v>
      </c>
      <c r="I82" t="inlineStr">
        <is>
          <t>**Who We Are**
--------------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and much\-needed change to the way people feed and care for their pets.
\#LongLiveDogs
**What We Stand For and Where You'll Come In**
----------------------------------------------
At The Farmer's Dog, we believe the best customer experience comes from owning the technology that powers it. That's why we design, build, and operate our systems in\-house, from subscription and e\-commerce to fulfillment and delivery, so that every dog and human gets the best experience, every time.
Our engineers work on problems that matter and that are hard: evolving systems to support rapid growth, building platforms flexible enough to serve customers (humans and their best friends) with many different needs, and creating product experiences that didn't exist before.
You'll support a group of talented engineers and managers across "pawds" who care deeply about building reliable, scalable systems and about working well together. Here, you'll have the space and agency to have a direct hand in scaling the business, solving novel customer problems, and building strong relationships along the way.
If you want to make an outsized impact on technology, on customers, and on the lives of dogs everywhere this is the right place for you.
**One Team:** We don't think of ourselves as "Acquisition Marketers", "Engineers", "Data Analysts", or "Product Managers".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 getting the right people, with the right context, in the right rooms/Zooms to solve problems holistically.
**We are skeptical about everything and precious about nothing:** Ideas can and should come from anywhere, and we aren't tied to our own. We proactively source input. We talk to our customers and leads regularly and are quick to change course if we know there's a better or more impactful way to solve problems.
**We consider the customer journey in all of our decisions:**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
**We Execute For Impact:** We don't subscribe to "best practices" or "industry KPIs". We're uninterested in how we compare to "benchmarks"; instead we orient ourselves around being the best we can possibly be. Similarly, we don't subscribe to rigid or classical expectations of roles – i.e. acquisition is hyper\-focused on improving customer retention and experience.
**We Are Focused and Work Without Assumption**: We are not beholden to ideas. We have goals and believe everything beyond that is a series of hypotheses to validate. To that end, we seek to work in sequence and not in parallel. We constantly ask ourselves, "what's the most important hypothesis I should be working on right now? How do I confirm or reject that hypothesis as fast as possible?". We rarely have timelines/deadlines and are constantly taking in new information and adjusting our priorities accordingly. We don't expect to be perfect the first time.
**How You'll Make An Impact**
-----------------------------
* Guide the strategic evolution of core systems, establishing clear boundaries, leading migrations, and enabling resilient architecture that scales and adapts to business needs
* Influence product and business strategy through deep understanding of our system and products by identifying risks, constraints and opportunities
* Foster alignment across the organization by building trust between "pawds", refining priorities and ensuring the engineering strategy supports customer and company goals
* Partner closely with Staff engineers and other engineering leaders to steer and shape the organization
* Assess and introduce new technologies thoughtfully through research, prototypes, written briefs and, most importantly, ensuring alignment with our strategy
* Work with departments across the organization to ensure a cohesive experience across all of our digital and physical products for new customers
* Continuously raise the bar for engineering excellence by modeling high standards, mentoring senior engineers, and spreading best practices across the org
**We're Excited About You Because**
-----------------------------------
* You bring 10\+ years of experience in software engineering, with deep and varied expertise designing and evolving systems at scale
* You have led architectural initiatives that reshaped systems and made them more reliable, maintainable, and extensible
* You've partnered closely with product on business strategy and have helped organizations balance short and long term strategy
* You are able to succeed in a fast\-paced and ambiguous environment, naturally curious and proactive self\-starter, constantly on the lookout for new opportunities and solutions
* You thrive at working across teams, aligning people and systems, and driving impact beyond your immediate scope
* You mentor and elevate other senior engineers
* You are committed to furthering the mission of The Farmer's Dog
**Office Guidelines**
---------------------
We are an in\-office culture, made of in\-office people who thrive on the collaboration and magnetism of working in a shared space. We are seeking individuals who excel in this type of environment, where being present fosters deeper connections and engagement.
**Our Belonging Philosophy:**
-----------------------------
At TFD, we believe Belonging is a shared commitment to creating a workplace where every person feels respected, valued, and empowered to be themselves. When people feel a true sense of belonging, they do their best work, take smart risks, and bring forward diverse perspectives — leading to stronger decisions and deeper relationships.  
We anchor this belief in a simple phrase: "Everyone's welcome at the dog park." No matter your background, identity, or role, there's space for you here. There's no one way to show up at the dog park—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
Together, these efforts reflect what Belonging means at TFD: a culture where everyone can thrive.
**A Few of Our Best Benefits**
------------------------------
* Dog\-friendly office in Greenwich Village
* Market\-competitive compensation and equity packages
* Comprehensive Healthcare, Dental, and Vision
* Company supported mental health benefits
* 12 week paid parental leave
* Competitive 401k plan with company match
* Flexible PTO
* Discounted fresh food for your pup
* Your pet interrupting video calls (and in\-person meetings) is now a feature, not a bug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$230,000 \- $270,000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**Equal Employment Opportunity Statement**
------------------------------------------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
**Reasonable Accommodations**
-----------------------------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
**We're Here to Help**
----------------------
We're happy to answer any questions you may have about the position or our hiring process \- please reach out at careers@thefarmersdog.com.</t>
        </is>
      </c>
    </row>
    <row r="83">
      <c r="A83" t="inlineStr">
        <is>
          <t>in-b93d303b330667b1</t>
        </is>
      </c>
      <c r="B83" t="inlineStr">
        <is>
          <t>Senior CNO Software Engineer</t>
        </is>
      </c>
      <c r="C83" t="inlineStr">
        <is>
          <t>MANTECH</t>
        </is>
      </c>
      <c r="D83" t="inlineStr">
        <is>
          <t>indeed</t>
        </is>
      </c>
      <c r="E83" t="inlineStr"/>
      <c r="F83" t="inlineStr"/>
      <c r="G83" t="inlineStr">
        <is>
          <t>Hanover, MD, US</t>
        </is>
      </c>
      <c r="H83" s="2" t="n">
        <v>46026</v>
      </c>
      <c r="I83" t="inlineStr">
        <is>
          <t>**MANTECH** seeks a highly experienced and mission\-focused **Senior CNO Software Engineer** to join our CNO team in **Hanover, MD.**
As a Senior Software Engineer on our team, you will play a key role in developing advanced CNO capabilities that directly support national security. You’ll work in a collaborative environment focused on solving complex technical challenges in support of our customer’s most critical missions.
 **Responsibilities include but are not limited to:**
* Design and develop new hardware\- or software\-based CNO capabilities
* Independently contribute to the design, development, documentation, testing, and debugging of applications software and systems
* Apply knowledge of security concepts and network technologies
* Ensure software engineering standards are consistently met
 **Minimum Qualifications:**
* High School Diploma and 11\+ years of technical work experience, or BS Degree in a technical discipline and 7\+ years of technical work experience
* Experience in Python or C/C\+\+ programming
* Experience with troubleshooting and debugging complex systems
* Experience with networking (TCP/IP) and socket\-level programming
 **Preferred Qualifications:**
* Experience developing CNO capabilities
* Experience in software analysis or reverse engineering
* Experience in low\-level internals in one or more platforms (e.g., Windows, Unix, mobile, or network devices)
* Experience with programming in assembly languages
**Clearance Requirements:**
* Must have a current/active TS/SCI w/Polygraph security clearance and be willing and able to obtain another polygraph prior to start, if required.
 **Physical Requirements:**
* Must be able to remain in a stationary position 50% of the time</t>
        </is>
      </c>
    </row>
    <row r="84">
      <c r="A84" t="inlineStr">
        <is>
          <t>in-02724625979fb389</t>
        </is>
      </c>
      <c r="B84" t="inlineStr">
        <is>
          <t>Senior CNO Software Engineer</t>
        </is>
      </c>
      <c r="C84" t="inlineStr">
        <is>
          <t>MANTECH</t>
        </is>
      </c>
      <c r="D84" t="inlineStr">
        <is>
          <t>indeed</t>
        </is>
      </c>
      <c r="E84" t="inlineStr"/>
      <c r="F84" t="inlineStr"/>
      <c r="G84" t="inlineStr">
        <is>
          <t>Hanover, MD, US</t>
        </is>
      </c>
      <c r="H84" s="2" t="n">
        <v>46026</v>
      </c>
      <c r="I84" t="inlineStr">
        <is>
          <t>**MANTECH** seeks a highly experienced and mission\-focused **Senior CNO Software Engineer** to join our CNO team in **Hanover, MD.**
As a Senior Software Engineer on our team, you will play a key role in developing advanced CNO capabilities that directly support national security. You’ll work in a collaborative environment focused on solving complex technical challenges in support of our customer’s most critical missions.
 **Responsibilities include but are not limited to:**
* Design and develop new hardware\- or software\-based CNO capabilities
* Independently contribute to the design, development, documentation, testing, and debugging of applications software and systems
* Apply knowledge of security concepts and network technologies
* Ensure software engineering standards are consistently met
 **Minimum Qualifications:**
* High School Diploma and 11\+ years of technical work experience, or BS Degree in a technical discipline and 7\+ years of technical work experience
* Experience in Python or C/C\+\+ programming
* Experience with troubleshooting and debugging complex systems
* Experience with networking (TCP/IP) and socket\-level programming
 **Preferred Qualifications:**
* Experience developing CNO capabilities
* Experience in software analysis or reverse engineering
* Experience in low\-level internals in one or more platforms (e.g., Windows, Unix, mobile, or network devices)
* Experience with programming in assembly languages
**Clearance Requirements:**
* Must have a current/active TS/SCI w/Polygraph security clearance and be willing and able to obtain another polygraph prior to start, if required.
 **Physical Requirements:**
* Must be able to remain in a stationary position 50% of the time</t>
        </is>
      </c>
    </row>
    <row r="85">
      <c r="A85" t="inlineStr">
        <is>
          <t>in-7774246761677e05</t>
        </is>
      </c>
      <c r="B85" t="inlineStr">
        <is>
          <t>Software Engineer III - C#/.Net with Capital Markets exp- Neovest</t>
        </is>
      </c>
      <c r="C85" t="inlineStr">
        <is>
          <t>JPMorganChase</t>
        </is>
      </c>
      <c r="D85" t="inlineStr">
        <is>
          <t>indeed</t>
        </is>
      </c>
      <c r="E85" t="inlineStr"/>
      <c r="F85" t="inlineStr"/>
      <c r="G85" t="inlineStr">
        <is>
          <t>New York, NY, US</t>
        </is>
      </c>
      <c r="H85" s="2" t="n">
        <v>46026</v>
      </c>
      <c r="I85" t="inlineStr">
        <is>
          <t>**JOB DESCRIPTION**  
We have an exciting and rewarding opportunity for you to take your software engineering career to the next level.
As a Software Engineer III at JPMorgan Chase within the Neovest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 software solutions, including design, development, and technical troubleshooting, with the ability to think beyond routine or conventional approaches to build solutions or resolve technical problems.
* Create secure and high\-quality production code and maintain algorithms that run synchronously with appropriate systems.
* Produce architecture and design artifacts for complex applications while being accountable for ensuring design constraints are met by software code development.
* Gather, analyze, synthesize, and develop visualizations and reporting from large, diverse data sets to continuously improve software applications and systems.
* Proactively identify hidden problems and patterns in data and use these insights to drive improvements in coding hygiene and system architecture.
* Contribute to software engineering communities of practice and events that explore new and emerging technologies.
* Foster a team culture of diversity, equity, inclusion, and respect.
**Required Qualifications, Capabilities, and Skills:**
* Formal training or certification in software engineering concepts and 3\+ years of applied experience.
* Intermediate knowledge and experience with C\#/.Net.
* Intermediate knowledge and experience in developing multi\-threaded applications.
* Experience developing software that integrates with third\-party, external providers using REST, SOAP, FIX, and secure file transfer.
* Solid understanding of agile methodologies such as CI/CD, Application Resiliency, and Security.
* Experience in developing, debugging, and maintaining code in a large corporate environment with one or more modern programming languages and database querying languages.
* Extensive experience in Capital Markets (e.g., brokerage, trading).
* Experience in building and supporting capital markets applications.
* In\-depth knowledge of the markets and trading industry and their IT systems.
**Preferred Qualifications, Capabilities, and Skills:**
* Experience working with Portfolio Management systems.
* Ability to work in an Agile environment.
* Familiarity with modern User Interface architecture and design (e.g., React, Angular, TypeScript).
* Familiarity with data caching technologies (e.g., Redis, Hazelcast).
* Familiarity with message distribution technologies (e.g., RabbitMQ, Kafka).
* Advanced English language skills.
* Exposure to cloud\-native environments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86">
      <c r="A86" t="inlineStr">
        <is>
          <t>in-29cd5c51460ebc63</t>
        </is>
      </c>
      <c r="B86" t="inlineStr">
        <is>
          <t>Senior Backend Software Engineer, Fintech</t>
        </is>
      </c>
      <c r="C86" t="inlineStr">
        <is>
          <t>Produce Pay</t>
        </is>
      </c>
      <c r="D86" t="inlineStr">
        <is>
          <t>indeed</t>
        </is>
      </c>
      <c r="E86" t="inlineStr"/>
      <c r="F86" t="inlineStr"/>
      <c r="G86" t="inlineStr">
        <is>
          <t>Remote, US</t>
        </is>
      </c>
      <c r="H86" s="2" t="n">
        <v>46026</v>
      </c>
      <c r="I86" t="inlineStr">
        <is>
          <t>We are seeking a seasoned backend engineer with a passion for building robust, scalable financial platforms.
Join our team to take technical ownership of high\-impact features within our core financial product. You will leverage your expertise in financial systems and contribute to an engineering culture defined by ownership, product obsession, and relentless simplification. This is a chance to rapidly iterate on a mission\-critical, in\-house FinTech platform.
### **Responsibilities:**
* **Platform Design \&amp; Architecture**: Drive the technical direction and architecture for new features and core services within our financial platform, ensuring performance, reliability, and scalability.
* **Feature Ownership**: Take full ownership of high\-impact features, writing clean, well\-tested code in production environments.
* **System Health \&amp; Reliability**: Participate in on\-call rotations and incident response to maintain the stability and performance of our critical financial systems.
* **Mentorship \&amp; Growth**: Foster a culture of constant learning by mentoring engineers through rigorous code reviews, pair programming, and knowledge sharing.
* **Cross\-Functional Collaboration**: Work closely with product, design, sales, and marketing teams to translate customer needs into impactful, production\-ready software.
* **Documentation**: Enhance team knowledge and system maintainability by writing and improving runbooks and technical documentation.
**Requirements**
### **Core Technical Expertise**
* 5\+ years of experience shipping production\-quality backend software and building robust web applications.
* Extensive experience with Node.js and TypeScript.
* Direct experience with GraphQL, Postgres, and Serverless technologies on AWS.
* Strong SQL debugging skills required to troubleshoot complex data and transaction issues.
* Bachelor's degree in Computer Science or a related field.
### **FinTech Systems Experience**
* **Transaction Systems**: Proven experience designing and supporting complex financial transaction systems within FinTech, banking, or payments environments.
* **Architecture**: Deep understanding of event\-driven and/or workflow\-based architecture.
* **Integrations**: Prior experience integrating with critical third\-party systems (e.g., NetSuite, Salesforce, Modern Treasury, banking APIs).
* **Reliability Concepts**: Practical understanding of key reliability concepts, including idempotency, retries, and comprehensive error handling.
### **Nice to Have**
* **Accounting Knowledge**: Familiarity with core accounting concepts (e.g., double\-entry bookkeeping, ledgers, reconciliation).
* **Reconciliation**: Experience developing reconciliation workflows and identifying data mismatches.
* **Advanced Tech**: Experience with applying AI/ML techniques to improve workflows or leverage financial data.
**Benefits**
* Health Care Plan (Medical, Dental \&amp; Vision)
* Retirement Plan (401k)
* Life Insurance (Basic, Voluntary \&amp; AD\&amp;D)
* Paid Time Off (Vacation, Sick \&amp; Public Holidays)
* Family Leave (Maternity, Paternity)
* Short Term \&amp; Long Term Disability
* Training \&amp; Development
* Work From Home
* Wellness Resources
* **Location Disclosure:** *The salary will be adjusted at the time of the offer using market benchmarks for the location where the candidate lives, with the final offer falling within or near the posted range.*</t>
        </is>
      </c>
    </row>
    <row r="87">
      <c r="A87" t="inlineStr">
        <is>
          <t>in-c9102309cbce6237</t>
        </is>
      </c>
      <c r="B87" t="inlineStr">
        <is>
          <t>Software Engineer</t>
        </is>
      </c>
      <c r="C87" t="inlineStr">
        <is>
          <t>CAE</t>
        </is>
      </c>
      <c r="D87" t="inlineStr">
        <is>
          <t>indeed</t>
        </is>
      </c>
      <c r="E87">
        <f>HYPERLINK("https://www.indeed.com/viewjob?jk=c9102309cbce6237", "https://www.indeed.com/viewjob?jk=c9102309cbce6237")</f>
        <v/>
      </c>
      <c r="F87">
        <f>HYPERLINK("https://cae.wd3.myworkdayjobs.com/en-US/career/job/Arlington-TX/Software-Engineer_119717", "https://cae.wd3.myworkdayjobs.com/en-US/career/job/Arlington-TX/Software-Engineer_119717")</f>
        <v/>
      </c>
      <c r="G87" t="inlineStr">
        <is>
          <t>Arlington, TX, US</t>
        </is>
      </c>
      <c r="H87" s="3" t="n">
        <v>46026</v>
      </c>
      <c r="I87" t="inlineStr">
        <is>
          <t>About This Role  
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The Technology and Product Development (TPD) group oversees multiple projects that focus on creating synthetic environments, training, or mission planning and awareness. The TPD Software Engineer will focus on full stack web\-application development, working with a team of software engineers to build high performance, containerized training applications. At CAE we use a combination of C\# .NET, Python, and TypeScript.
Essential Duties and Responsibilities
Reasonable accommodations may be made to enable individuals with disabilities to perform the essential functions.* Help develop and implement new products, redesign existing products, and perform research and testing on product concepts.
* Must be able to perform effectively as part of a project team.
* Collaborate with Technical Leads and Product Managers to design, develop, test, and deploy new features and enhancements.
* Responsible for coding, integrating, testing, and documenting software/systems in support of products and R\&amp;D projects.
* Participate in all phases of the software development lifecycle (SDLC) in an Agile environment.
* Troubleshoot, debug, and upgrade existing systems.
Qualifications and Education Requirements* Bachelor’s degree in engineering, software, or computer science.
* Must have had formal software programming training classes.
* A major front\-end framework, specifically Angular or React for building responsive and dynamic user interfaces.
* Backend development using C\# and the .NET
* Building and consuming RESTful APIs.
* Foundational knowledge of relational databases, with hands\-on experience using PostgreSQL.
* Exposure to messaging systems like Kafka and caching systems like Redis.
* Familiarity with containerization technologies, primarily Docker and container orchestration platforms like Kubernetes (K8s)
* A basic working knowledge of Python \&amp; Bash for scripting, tooling, or minor service development.
* Good understanding of CI/CD pipelines and version control systems like Git.
* Familiar with Linux terminal commands and scripting.
* Experience with MS Visual Studio and VS Code.
* Experience with Machine Learning and Data Analytics; Virtual Reality; Cloud technologies (AWS, Azure, GCP); and 3D Modeling a plus.
* Related skill areas should include technical writing and presentation skills.
* Must be eligible for DoD Personal Security Clearance
* Good communication and organizational skills
* May include travel
* Ability to read, analyze, and interpret English language professional journals, technical procedures, or government specifications.
* Ability to write reports, business correspondence, and procedure manuals.
* Ability to effectively present information and respond to questions from groups of managers, clients, and customers.
* Due to U.S. Government contract requirements, only U.S. citizens are eligible for this role.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Incumbent must be eligible for DoD Personal Security Clearance.
Due to U.S. Government contract requirements, only U.S. citizens are eligible for this role.  
Work Environment* Duties performed in an office environment and manufacturing facility.
* Must be able to work overtime on and off\-shifts as required.
* The employee is on call 24x7 for the resolution of problems and issues.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t>
        </is>
      </c>
    </row>
    <row r="88">
      <c r="A88" t="inlineStr">
        <is>
          <t>in-b72d13cb0820576c</t>
        </is>
      </c>
      <c r="B88" t="inlineStr">
        <is>
          <t>Software Engineer</t>
        </is>
      </c>
      <c r="C88" t="inlineStr">
        <is>
          <t>CAE</t>
        </is>
      </c>
      <c r="D88" t="inlineStr">
        <is>
          <t>indeed</t>
        </is>
      </c>
      <c r="E88">
        <f>HYPERLINK("https://www.indeed.com/viewjob?jk=b72d13cb0820576c", "https://www.indeed.com/viewjob?jk=b72d13cb0820576c")</f>
        <v/>
      </c>
      <c r="F88">
        <f>HYPERLINK("https://cae.wd3.myworkdayjobs.com/fr-CA/career/job/Arlington-TX/Software-Engineer_119717", "https://cae.wd3.myworkdayjobs.com/fr-CA/career/job/Arlington-TX/Software-Engineer_119717")</f>
        <v/>
      </c>
      <c r="G88" t="inlineStr">
        <is>
          <t>Arlington, TX, US</t>
        </is>
      </c>
      <c r="H88" s="3" t="n">
        <v>46026</v>
      </c>
      <c r="I88" t="inlineStr">
        <is>
          <t>About This Role  
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The Technology and Product Development (TPD) group oversees multiple projects that focus on creating synthetic environments, training, or mission planning and awareness. The TPD Software Engineer will focus on full stack web\-application development, working with a team of software engineers to build high performance, containerized training applications. At CAE we use a combination of C\# .NET, Python, and TypeScript.
Essential Duties and Responsibilities
Reasonable accommodations may be made to enable individuals with disabilities to perform the essential functions.* Help develop and implement new products, redesign existing products, and perform research and testing on product concepts.
* Must be able to perform effectively as part of a project team.
* Collaborate with Technical Leads and Product Managers to design, develop, test, and deploy new features and enhancements.
* Responsible for coding, integrating, testing, and documenting software/systems in support of products and R\&amp;D projects.
* Participate in all phases of the software development lifecycle (SDLC) in an Agile environment.
* Troubleshoot, debug, and upgrade existing systems.
Qualifications and Education Requirements* Bachelor’s degree in engineering, software, or computer science.
* Must have had formal software programming training classes.
* A major front\-end framework, specifically Angular or React for building responsive and dynamic user interfaces.
* Backend development using C\# and the .NET
* Building and consuming RESTful APIs.
* Foundational knowledge of relational databases, with hands\-on experience using PostgreSQL.
* Exposure to messaging systems like Kafka and caching systems like Redis.
* Familiarity with containerization technologies, primarily Docker and container orchestration platforms like Kubernetes (K8s)
* A basic working knowledge of Python \&amp; Bash for scripting, tooling, or minor service development.
* Good understanding of CI/CD pipelines and version control systems like Git.
* Familiar with Linux terminal commands and scripting.
* Experience with MS Visual Studio and VS Code.
* Experience with Machine Learning and Data Analytics; Virtual Reality; Cloud technologies (AWS, Azure, GCP); and 3D Modeling a plus.
* Related skill areas should include technical writing and presentation skills.
* Must be eligible for DoD Personal Security Clearance
* Good communication and organizational skills
* May include travel
* Ability to read, analyze, and interpret English language professional journals, technical procedures, or government specifications.
* Ability to write reports, business correspondence, and procedure manuals.
* Ability to effectively present information and respond to questions from groups of managers, clients, and customers.
* Due to U.S. Government contract requirements, only U.S. citizens are eligible for this role.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Incumbent must be eligible for DoD Personal Security Clearance.
Due to U.S. Government contract requirements, only U.S. citizens are eligible for this role.  
Work Environment* Duties performed in an office environment and manufacturing facility.
* Must be able to work overtime on and off\-shifts as required.
* The employee is on call 24x7 for the resolution of problems and issues.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Régulier
CAE thanks all applicants for their interest. However, only those whose background and experience match the requirements of the role will be contacted.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t>
        </is>
      </c>
    </row>
    <row r="89">
      <c r="A89" t="inlineStr">
        <is>
          <t>in-307d69cb98c36666</t>
        </is>
      </c>
      <c r="B89" t="inlineStr">
        <is>
          <t>Software Engineer II</t>
        </is>
      </c>
      <c r="C89" t="inlineStr">
        <is>
          <t>Amazon.com</t>
        </is>
      </c>
      <c r="D89" t="inlineStr">
        <is>
          <t>indeed</t>
        </is>
      </c>
      <c r="E89">
        <f>HYPERLINK("https://www.indeed.com/viewjob?jk=307d69cb98c36666", "https://www.indeed.com/viewjob?jk=307d69cb98c36666")</f>
        <v/>
      </c>
      <c r="F89">
        <f>HYPERLINK("https://www.amazon.jobs/jobs/3113974/software-engineer-ii?cmpid=DA_INAD200785B", "https://www.amazon.jobs/jobs/3113974/software-engineer-ii?cmpid=DA_INAD200785B")</f>
        <v/>
      </c>
      <c r="G89" t="inlineStr">
        <is>
          <t>San Francisco, CA, US</t>
        </is>
      </c>
      <c r="H89" s="3" t="n">
        <v>45951</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in-68740dca1f4194d5</t>
        </is>
      </c>
      <c r="B90" t="inlineStr">
        <is>
          <t>Software Engineer II</t>
        </is>
      </c>
      <c r="C90" t="inlineStr">
        <is>
          <t>Amazon.com</t>
        </is>
      </c>
      <c r="D90" t="inlineStr">
        <is>
          <t>indeed</t>
        </is>
      </c>
      <c r="E90">
        <f>HYPERLINK("https://www.indeed.com/viewjob?jk=68740dca1f4194d5", "https://www.indeed.com/viewjob?jk=68740dca1f4194d5")</f>
        <v/>
      </c>
      <c r="F90">
        <f>HYPERLINK("https://www.amazon.jobs/jobs/3113974/software-engineer-ii?cmpid=DA_INAD200785B", "https://www.amazon.jobs/jobs/3113974/software-engineer-ii?cmpid=DA_INAD200785B")</f>
        <v/>
      </c>
      <c r="G90" t="inlineStr">
        <is>
          <t>Seattle, WA, US</t>
        </is>
      </c>
      <c r="H90" s="3" t="n">
        <v>45951</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in-a13a76ff2f348a4f</t>
        </is>
      </c>
      <c r="B91" t="inlineStr">
        <is>
          <t>Software Engineer II</t>
        </is>
      </c>
      <c r="C91" t="inlineStr">
        <is>
          <t>Amazon.com</t>
        </is>
      </c>
      <c r="D91" t="inlineStr">
        <is>
          <t>indeed</t>
        </is>
      </c>
      <c r="E91">
        <f>HYPERLINK("https://www.indeed.com/viewjob?jk=a13a76ff2f348a4f", "https://www.indeed.com/viewjob?jk=a13a76ff2f348a4f")</f>
        <v/>
      </c>
      <c r="F91">
        <f>HYPERLINK("https://www.amazon.jobs/jobs/3104730/software-engineer-ii?cmpid=DA_INAD200785B", "https://www.amazon.jobs/jobs/3104730/software-engineer-ii?cmpid=DA_INAD200785B")</f>
        <v/>
      </c>
      <c r="G91" t="inlineStr">
        <is>
          <t>Irvine, CA, US</t>
        </is>
      </c>
      <c r="H91" s="3" t="n">
        <v>45938</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in-3dfe9eb599b799f5</t>
        </is>
      </c>
      <c r="B92" t="inlineStr">
        <is>
          <t>Software Engineer II</t>
        </is>
      </c>
      <c r="C92" t="inlineStr">
        <is>
          <t>Amazon.com</t>
        </is>
      </c>
      <c r="D92" t="inlineStr">
        <is>
          <t>indeed</t>
        </is>
      </c>
      <c r="E92">
        <f>HYPERLINK("https://www.indeed.com/viewjob?jk=3dfe9eb599b799f5", "https://www.indeed.com/viewjob?jk=3dfe9eb599b799f5")</f>
        <v/>
      </c>
      <c r="F92">
        <f>HYPERLINK("https://www.amazon.jobs/jobs/3104730/software-engineer-ii?cmpid=DA_INAD200785B", "https://www.amazon.jobs/jobs/3104730/software-engineer-ii?cmpid=DA_INAD200785B")</f>
        <v/>
      </c>
      <c r="G92" t="inlineStr">
        <is>
          <t>San Francisco, CA, US</t>
        </is>
      </c>
      <c r="H92" s="3" t="n">
        <v>45938</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in-4077451d9b09e8e2</t>
        </is>
      </c>
      <c r="B93" t="inlineStr">
        <is>
          <t>Senior Software Engineer</t>
        </is>
      </c>
      <c r="C93" t="inlineStr">
        <is>
          <t>Amazon.com</t>
        </is>
      </c>
      <c r="D93" t="inlineStr">
        <is>
          <t>indeed</t>
        </is>
      </c>
      <c r="E93">
        <f>HYPERLINK("https://www.indeed.com/viewjob?jk=4077451d9b09e8e2", "https://www.indeed.com/viewjob?jk=4077451d9b09e8e2")</f>
        <v/>
      </c>
      <c r="F93">
        <f>HYPERLINK("https://www.amazon.jobs/jobs/3093435/senior-software-engineer?cmpid=DA_INAD200785B", "https://www.amazon.jobs/jobs/3093435/senior-software-engineer?cmpid=DA_INAD200785B")</f>
        <v/>
      </c>
      <c r="G93" t="inlineStr">
        <is>
          <t>San Francisco, CA, US</t>
        </is>
      </c>
      <c r="H93" s="3" t="n">
        <v>45924</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in-54209a94936855b4</t>
        </is>
      </c>
      <c r="B94" t="inlineStr">
        <is>
          <t>Senior Software Engineer</t>
        </is>
      </c>
      <c r="C94" t="inlineStr">
        <is>
          <t>Amazon.com</t>
        </is>
      </c>
      <c r="D94" t="inlineStr">
        <is>
          <t>indeed</t>
        </is>
      </c>
      <c r="E94">
        <f>HYPERLINK("https://www.indeed.com/viewjob?jk=54209a94936855b4", "https://www.indeed.com/viewjob?jk=54209a94936855b4")</f>
        <v/>
      </c>
      <c r="F94">
        <f>HYPERLINK("https://www.amazon.jobs/jobs/3093435/senior-software-engineer?cmpid=DA_INAD200785B", "https://www.amazon.jobs/jobs/3093435/senior-software-engineer?cmpid=DA_INAD200785B")</f>
        <v/>
      </c>
      <c r="G94" t="inlineStr">
        <is>
          <t>Seattle, WA, US</t>
        </is>
      </c>
      <c r="H94" s="3" t="n">
        <v>45924</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in-2cb0836cabad39cb</t>
        </is>
      </c>
      <c r="B95" t="inlineStr">
        <is>
          <t>Software Engineering Manager - Data, Burger King</t>
        </is>
      </c>
      <c r="C95" t="inlineStr">
        <is>
          <t>Burger King</t>
        </is>
      </c>
      <c r="D95" t="inlineStr">
        <is>
          <t>indeed</t>
        </is>
      </c>
      <c r="E95">
        <f>HYPERLINK("https://www.indeed.com/viewjob?jk=2cb0836cabad39cb", "https://www.indeed.com/viewjob?jk=2cb0836cabad39cb")</f>
        <v/>
      </c>
      <c r="F95">
        <f>HYPERLINK("https://rbi.wd3.myworkdayjobs.com/RBI_External_Career_Site/job/Corp---Miami-Corporate-Office/Data-Engineering-Manager--Burger-King_R2436", "https://rbi.wd3.myworkdayjobs.com/RBI_External_Career_Site/job/Corp---Miami-Corporate-Office/Data-Engineering-Manager--Burger-King_R2436")</f>
        <v/>
      </c>
      <c r="G95" t="inlineStr">
        <is>
          <t>Miami, FL, US</t>
        </is>
      </c>
      <c r="H95" s="3" t="n">
        <v>46026</v>
      </c>
      <c r="I95"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The Data Engineering Manager is responsible for leading a team of data engineers to design, build, and maintain robust data pipelines and infrastructure for The Burger King Company in the US. This role oversees the development and optimization of scalable data solutions that handle millions of transactions per day, enabling actionable insights and supporting strategic business initiatives. The ideal candidate will have extensive technical expertise, leadership experience, and a passion for innovation in data engineering.
RBI follows a 5 day, in\-office work schedule to support collaboration. Candidates should be comfortable working onsite 5 days per week out of our office in **Miami, FL**.
Role \&amp; Responsibilities:
* Lead and mentor a team of data engineers, fostering professional growth and knowledge sharing.
* Oversee day\-to\-day activities of the data engineering team, ensuring timely delivery of projects.
* Collaborate with cross\-functional teams, including data scientists, analysts, product managers, and IT, to develop and implement data solutions that meet business needs.
* Design, build, and maintain scalable and efficient data pipelines and ETL processes.
* Implement best practices for data integration, modeling, quality, and governance.
* Ensure data reliability, integrity, and availability for critical analytics workflows.
* Drive the development of the overall data engineering strategy and optimize processes to ensure efficiency and scalability.
* Plan and execute data engineering projects, ensuring alignment with organizational objectives.
* Gather and document requirements for projects, create data migration plans, and communicate progress with stakeholders.
* Manage relationships with technology vendors and oversee service\-level agreements.
* Continuously evaluate emerging technologies and methodologies to improve data engineering capabilities.
* Encourage a culture of innovation and continuous improvement within the team.
Qualifications \&amp; Skills:
* 5\+ years of progressive experience in data engineering,
* 2\+ years leading people and engineering teams.
* Bachelor’s or master’s degree in Computer Science, Engineering, Information Technology, or a related field.
* Strong programming skills in Python and SQL.
* Extensive experience with AWS services (e.g., S3, Glue, Athena, EMR, SNS, SQS, KMS).
* Experience with data warehousing solutions like Snowflake or Redshift.
* Proficiency with workflow orchestration tools (e.g., Apache Airflow, Dagster).
* Familiarity with reporting tools (e.g., Tableau, MicroStrategy).
* Experience with Infrastructure as Code (e.g., Terraform).
* Knowledge of NoSQL databases like DynamoDB.
* Experience with Retool development and ticketing systems such as JIRA.
* Demonstrated ability to lead and manage multiple complex projects in a fast\-paced environment.
* Excellent verbal and written communication skills, with the ability to translate technical concepts for non\-technical stakeholders.
* Strong analytical and problem\-solving abilities.
* Ability to build and maintain cross\-functional relationships while managing competing priorities.
* Self\-motivated and driven to continuously improve processes and outcomes.
\#BurgerKing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96">
      <c r="A96" t="inlineStr">
        <is>
          <t>in-d1863c8091d4cc8b</t>
        </is>
      </c>
      <c r="B96" t="inlineStr">
        <is>
          <t>Sr. Software Engineer - Data, Popeyes</t>
        </is>
      </c>
      <c r="C96" t="inlineStr">
        <is>
          <t>Popeyes</t>
        </is>
      </c>
      <c r="D96" t="inlineStr">
        <is>
          <t>indeed</t>
        </is>
      </c>
      <c r="E96">
        <f>HYPERLINK("https://www.indeed.com/viewjob?jk=d1863c8091d4cc8b", "https://www.indeed.com/viewjob?jk=d1863c8091d4cc8b")</f>
        <v/>
      </c>
      <c r="F96">
        <f>HYPERLINK("https://rbi.wd3.myworkdayjobs.com/RBI_External_Career_Site/job/Corp---Miami-Corporate-Office/Sr-Data-Engineer--Popeyes_R2417", "https://rbi.wd3.myworkdayjobs.com/RBI_External_Career_Site/job/Corp---Miami-Corporate-Office/Sr-Data-Engineer--Popeyes_R2417")</f>
        <v/>
      </c>
      <c r="G96" t="inlineStr">
        <is>
          <t>Miami, FL, US</t>
        </is>
      </c>
      <c r="H96" s="3" t="n">
        <v>46026</v>
      </c>
      <c r="I96"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Popeyes runs on trusted, well\-modeled data. We’re hiring a Senior Data Engineer to own the data warehouse end\-to\-end, blending modern Lakehouse practices (medallion) with classic Kimball dimensional modeling. You’ll partner closely with analytics and business stakeholders to anticipate needs, model clean and flexible data, and ensure our teams can make fast, confident decisions.
RBI follows a 5 day, in\-office work schedule to support collaboration. Candidates should be comfortable working onsite 5 days per week out of our office in **Miami, FL**.
Role \&amp; Responsibilities:
* Own the warehouse: set modeling standards, review PRs, manage environments, and drive a roadmap for conformed dimensions and high\-quality facts.
* Model the business (Kimball\-first): define grains, conformed dimensions, SCD1/2, surrogate keys, late\-arriving/early\-arriving data, bridge tables, and audit patterns.
* Build in dbt: develop models, snapshots, macros, seeds, tests (unique/not null/relationships/accepted values), tags, and exposures; maintain docs and lineage.
Medallion \+ marts: structure bronze silver* gold layers and publish well\-governed marts for analytics and operational use.
* Orchestrate \&amp; harden pipelines: run dbt Core against Snowflake via CI/CD (CircleCI/GitHub Actions) and/or Airflow/Glue; use Snowflake Tasks (and Streams where appropriate) for scheduled runs and dependency management; keep SLAs/freshness green.
* Performance \&amp; cost: tune materializations (table/view/incremental/ephemeral), clustering/partitioning, MERGE strategies, and dependency graphs.
* Data quality \&amp; governance: enforce data contracts, freshness checks, observability/alerting, documentation, and access controls (PII handling).
* Partner with the business: work with Analytics, Ops, Marketing, and Restaurant Tech to translate questions into durable dimensional models and standard metrics.
Qualifications \&amp; Skills:
* 6\+ years in data engineering with a focus on dimensional modeling and production warehouses.
* Must\-have: deep dbt expertise (models, snapshots, macros, tests, docs) and strong Kimball fundamentals (grain, conformed dimensions, SCD1/2, surrogate keys, slowly changing patterns, late/early data).
* Advanced SQL and performance tuning in a cloud warehouse (Snowflake).
* Experience owning a warehouse or major domain: SLAs, backlog, stakeholder comms, and incident prevention/response.
* Pipeline orchestration experience (dbt Cloud/Airflow/Prefect/Glue) and CI practices for data.
* Bonus: Python for data tooling, AWS Glue/Spark, streaming/CDC familiarity, and metrics/semantic layers.
* A genuine passion for data with curiosity, product thinking, and pride in clean, well\-modeled tables.
Tech Stack:
* Core: SQL, dbt (Core with Snowflake), Git
* Orchestration/ops: CI/CD (CircleCI/GitHub Actions) running dbt Core; Snowflake Tasks/Streams; Airflow/Prefect/AWS Glue (as needed)
* Cloud: AWS (S3, IAM, Lambda/Glue), Terraform (nice to have)
* Quality/observability: dbt tests \&amp; exposures, freshness checks, data contracts; Great Expectations/Monte Carlo (nice)
* BI/consumption: Tableau (partnering, not dashboard ownership)
\#Popeyes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97">
      <c r="A97" t="inlineStr">
        <is>
          <t>in-34dc2d12a0b68c6d</t>
        </is>
      </c>
      <c r="B97" t="inlineStr">
        <is>
          <t>Senior Software Engineer, Twitch</t>
        </is>
      </c>
      <c r="C97" t="inlineStr">
        <is>
          <t>Amazon.com</t>
        </is>
      </c>
      <c r="D97" t="inlineStr">
        <is>
          <t>indeed</t>
        </is>
      </c>
      <c r="E97">
        <f>HYPERLINK("https://www.indeed.com/viewjob?jk=34dc2d12a0b68c6d", "https://www.indeed.com/viewjob?jk=34dc2d12a0b68c6d")</f>
        <v/>
      </c>
      <c r="F97">
        <f>HYPERLINK("https://www.amazon.jobs/jobs/3138042/senior-software-engineer-twitch?cmpid=DA_INAD200785B", "https://www.amazon.jobs/jobs/3138042/senior-software-engineer-twitch?cmpid=DA_INAD200785B")</f>
        <v/>
      </c>
      <c r="G97" t="inlineStr">
        <is>
          <t>San Francisco, CA, US</t>
        </is>
      </c>
      <c r="H97" s="3" t="n">
        <v>45995</v>
      </c>
      <c r="I9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in-af4ab08429fdcc3d</t>
        </is>
      </c>
      <c r="B98" t="inlineStr">
        <is>
          <t>Senior Software Engineer, Twitch</t>
        </is>
      </c>
      <c r="C98" t="inlineStr">
        <is>
          <t>Amazon.com</t>
        </is>
      </c>
      <c r="D98" t="inlineStr">
        <is>
          <t>indeed</t>
        </is>
      </c>
      <c r="E98">
        <f>HYPERLINK("https://www.indeed.com/viewjob?jk=af4ab08429fdcc3d", "https://www.indeed.com/viewjob?jk=af4ab08429fdcc3d")</f>
        <v/>
      </c>
      <c r="F98">
        <f>HYPERLINK("https://www.amazon.jobs/jobs/3138042/senior-software-engineer-twitch?cmpid=DA_INAD200785B", "https://www.amazon.jobs/jobs/3138042/senior-software-engineer-twitch?cmpid=DA_INAD200785B")</f>
        <v/>
      </c>
      <c r="G98" t="inlineStr">
        <is>
          <t>Seattle, WA, US</t>
        </is>
      </c>
      <c r="H98" s="3" t="n">
        <v>45995</v>
      </c>
      <c r="I9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in-8fd83c6558aaee6e</t>
        </is>
      </c>
      <c r="B99" t="inlineStr">
        <is>
          <t>Software Engineer II, ML Infra</t>
        </is>
      </c>
      <c r="C99" t="inlineStr">
        <is>
          <t>Amazon.com</t>
        </is>
      </c>
      <c r="D99" t="inlineStr">
        <is>
          <t>indeed</t>
        </is>
      </c>
      <c r="E99">
        <f>HYPERLINK("https://www.indeed.com/viewjob?jk=8fd83c6558aaee6e", "https://www.indeed.com/viewjob?jk=8fd83c6558aaee6e")</f>
        <v/>
      </c>
      <c r="F99">
        <f>HYPERLINK("https://www.amazon.jobs/jobs/3112104/software-engineer-ii-ml-infra?cmpid=DA_INAD200785B", "https://www.amazon.jobs/jobs/3112104/software-engineer-ii-ml-infra?cmpid=DA_INAD200785B")</f>
        <v/>
      </c>
      <c r="G99" t="inlineStr">
        <is>
          <t>San Francisco, CA, US</t>
        </is>
      </c>
      <c r="H99" s="3" t="n">
        <v>45947</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in-6c30d11ffd41cf71</t>
        </is>
      </c>
      <c r="B100" t="inlineStr">
        <is>
          <t>Software Engineer II, ML Infra</t>
        </is>
      </c>
      <c r="C100" t="inlineStr">
        <is>
          <t>Amazon.com</t>
        </is>
      </c>
      <c r="D100" t="inlineStr">
        <is>
          <t>indeed</t>
        </is>
      </c>
      <c r="E100">
        <f>HYPERLINK("https://www.indeed.com/viewjob?jk=6c30d11ffd41cf71", "https://www.indeed.com/viewjob?jk=6c30d11ffd41cf71")</f>
        <v/>
      </c>
      <c r="F100">
        <f>HYPERLINK("https://www.amazon.jobs/jobs/3112104/software-engineer-ii-ml-infra?cmpid=DA_INAD200785B", "https://www.amazon.jobs/jobs/3112104/software-engineer-ii-ml-infra?cmpid=DA_INAD200785B")</f>
        <v/>
      </c>
      <c r="G100" t="inlineStr">
        <is>
          <t>Irvine, CA, US</t>
        </is>
      </c>
      <c r="H100" s="3" t="n">
        <v>45947</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in-5be151a57f5d9ded</t>
        </is>
      </c>
      <c r="B101" t="inlineStr">
        <is>
          <t>Software Developer</t>
        </is>
      </c>
      <c r="C101" t="inlineStr">
        <is>
          <t>KBR</t>
        </is>
      </c>
      <c r="D101" t="inlineStr">
        <is>
          <t>indeed</t>
        </is>
      </c>
      <c r="E101">
        <f>HYPERLINK("https://www.indeed.com/viewjob?jk=5be151a57f5d9ded", "https://www.indeed.com/viewjob?jk=5be151a57f5d9ded")</f>
        <v/>
      </c>
      <c r="F101">
        <f>HYPERLINK("https://careers.kbr.com/us/en/job/KIVKBRUSR2117151EXTERNALENUS/Software-Developer?utm_source=indeed&amp;utm_medium=phenom-feeds", "https://careers.kbr.com/us/en/job/KIVKBRUSR2117151EXTERNALENUS/Software-Developer?utm_source=indeed&amp;utm_medium=phenom-feeds")</f>
        <v/>
      </c>
      <c r="G101" t="inlineStr">
        <is>
          <t>Chantilly, VA, US</t>
        </is>
      </c>
      <c r="H101" s="3" t="n">
        <v>46026</v>
      </c>
      <c r="I101" t="inlineStr">
        <is>
          <t>**Title:**
Software Developer***Belong.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Provide developer support for systems and tools that process large volumes of data from diverse sources.
* Build and maintain scalable data pipelines using Java, Apache Kafka, and Apache NiFi.
* Develop Angular\-based web applications for analyst and data scientist use.
* Implement and optimize search capabilities using ElasticSearch/OpenSearch.
* Work in cloud\-based environments and leverage containerization technologies (e.g., Docker).
* Collaborate in Agile scrum teams to deliver high\-quality software solutions.
**Work Environment:**
* **Location:** On\-site
* **Travel Requirements:** Minimal
* **Working Hours:** Standard
**Qualifications:**
**Required:**
* Active TS/SCI\+\+
* Minimum of 10 years of experience
* Master’s degree in Computer Science, Information Systems, Engineering, or equivalent technical discipline (or additional years of specialized experience).
* Proven experience with Java, Apache Kafka, and Apache NiFi.
* Demonstrated experience building Angular web applications.
* Experience with ElasticSearch/OpenSearch.
* Experience in cloud\-based environments.
* Proficiency with containerization technologies (e.g., Docker).
* Excellent communication, collaboration, analytical, and problem\-solving skills.
**Desired:**
* Experience with Python.
* Experience with SQL (MySQL, PostgreSQL, Hive).
* Familiarity with Apache Hadoop ecosystem.
* Knowledge of Apache Spark and its APIs.
* Experience with orchestration tools (e.g., Kubernetes, Apache Airflow).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02">
      <c r="A102" t="inlineStr">
        <is>
          <t>in-572846ff114f4df1</t>
        </is>
      </c>
      <c r="B102" t="inlineStr">
        <is>
          <t>Sr. Software Engineer (ML), AGI Foundations</t>
        </is>
      </c>
      <c r="C102" t="inlineStr">
        <is>
          <t>Amazon.com</t>
        </is>
      </c>
      <c r="D102" t="inlineStr">
        <is>
          <t>indeed</t>
        </is>
      </c>
      <c r="E102">
        <f>HYPERLINK("https://www.indeed.com/viewjob?jk=572846ff114f4df1", "https://www.indeed.com/viewjob?jk=572846ff114f4df1")</f>
        <v/>
      </c>
      <c r="F102">
        <f>HYPERLINK("https://www.amazon.jobs/jobs/2993074/sr-software-engineer-ml-agi-foundations?cmpid=DA_INAD200785B", "https://www.amazon.jobs/jobs/2993074/sr-software-engineer-ml-agi-foundations?cmpid=DA_INAD200785B")</f>
        <v/>
      </c>
      <c r="G102" t="inlineStr">
        <is>
          <t>Bellevue, WA, US</t>
        </is>
      </c>
      <c r="H102" s="3" t="n">
        <v>45803</v>
      </c>
      <c r="I102"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in-0315a02e6482938d</t>
        </is>
      </c>
      <c r="B103" t="inlineStr">
        <is>
          <t>Sr. Software Engineer (ML), AGI Foundations</t>
        </is>
      </c>
      <c r="C103" t="inlineStr">
        <is>
          <t>Amazon.com</t>
        </is>
      </c>
      <c r="D103" t="inlineStr">
        <is>
          <t>indeed</t>
        </is>
      </c>
      <c r="E103">
        <f>HYPERLINK("https://www.indeed.com/viewjob?jk=0315a02e6482938d", "https://www.indeed.com/viewjob?jk=0315a02e6482938d")</f>
        <v/>
      </c>
      <c r="F103">
        <f>HYPERLINK("https://www.amazon.jobs/jobs/2993074/sr-software-engineer-ml-agi-foundations?cmpid=DA_INAD200785B", "https://www.amazon.jobs/jobs/2993074/sr-software-engineer-ml-agi-foundations?cmpid=DA_INAD200785B")</f>
        <v/>
      </c>
      <c r="G103" t="inlineStr">
        <is>
          <t>Sunnyvale, CA, US</t>
        </is>
      </c>
      <c r="H103" s="3" t="n">
        <v>45803</v>
      </c>
      <c r="I10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in-fdef76020f25a2b8</t>
        </is>
      </c>
      <c r="B104" t="inlineStr">
        <is>
          <t>Senior Software Engineer</t>
        </is>
      </c>
      <c r="C104" t="inlineStr">
        <is>
          <t>SOCOTEC Group</t>
        </is>
      </c>
      <c r="D104" t="inlineStr">
        <is>
          <t>indeed</t>
        </is>
      </c>
      <c r="E104">
        <f>HYPERLINK("https://www.indeed.com/viewjob?jk=fdef76020f25a2b8", "https://www.indeed.com/viewjob?jk=fdef76020f25a2b8")</f>
        <v/>
      </c>
      <c r="F104">
        <f>HYPERLINK("https://jobs.smartrecruiters.com/Socotec/744000101675938-senior-software-engineer-", "https://jobs.smartrecruiters.com/Socotec/744000101675938-senior-software-engineer-")</f>
        <v/>
      </c>
      <c r="G104" t="inlineStr">
        <is>
          <t>Boston, MA, US</t>
        </is>
      </c>
      <c r="H104" s="3" t="n">
        <v>46027</v>
      </c>
      <c r="I104" t="inlineStr">
        <is>
          <t>**Company Description**  
SOCOTEC is a leader in niche consulting services within the architecture, engineering, and construction industries, with a focus on high\-performance buildings and specialty structures. We take an integrated, holistic approach to solving challenges in building envelopes, energy efficiency, sustainability, code advisory, and construction advisory projects. SOCOTEC’s reputation for excellence continues to drive its growth and recognition as a best\-in\-class service provider.
We offer a competitive salary and benefits package, mentorship and training opportunities, and regular team\-building activities. SOCOTEC is proud to be officially certified as a Great Place to Work® by the global authority on workplace culture.
 **Job Description**  
We are seeking an innovative and collaborative Senior Software Engineer who thrives in a fast\-paced environment and is passionate about developing both traditional software systems and AI\-driven applications. If you are excited about building cutting\-edge solutions that transform the AEC industry, we encourage you to apply.
As a Senior Software Engineer at SOCOTEC, you will play a key role in designing, developing, and maintaining robust software solutions that power our digital initiatives. In addition to core software engineering responsibilities, this role offers the opportunity to work on applied AI solutions that enhance our enterprise systems, automate complex workflows, and improve client experiences.
You’ll collaborate with cross\-functional teams—including product managers, UI/UX designers, data scientists, consultants, and engineers—to build scalable applications, deploy AI\-powered features, and drive innovation across our technology stack.
**Key Responsibilities:**
* **Software Design \&amp; Development:** Architect, design, and implement scalable, reliable, and maintainable software applications, services, and APIs.
* **Applied AI Development:** Design and deploy AI\-driven solutions that support SOCOTEC’s chatbot programs and automation initiatives.
* **Technical Leadership:** Provide technical guidance, code reviews, and mentorship to software engineers. Foster engineering best practices and ensure adherence to software quality standards.
* **AI Integration \&amp; Deployment:** Collaborate with AI/ML engineers and data scientists to integrate AI models into production applications, ensuring scalability, security, and performance.
* **Collaborate Across Teams:** Work with product managers, designers, and stakeholders to translate business requirements into intelligent software and AI\-powered solutions.
* **Performance Optimization:** Monitor, analyze, and optimize application and AI model performance, addressing bottlenecks, and ensuring systems are robust and efficient.
* **Continuous Improvement:** Drive continuous improvements in our software development lifecycle (SDLC), including CI/CD pipelines, automated testing, and deployment workflows.
* **Documentation:** Maintain clear and comprehensive documentation of software systems, AI workflows, APIs, and architecture decisions.
**Qualifications** **Programming Expertise:** Proficiency in Python with experience in JavaScript/TypeScript or another modern programming language.
**Backend \&amp; API Development:** Demonstrated experience designing and building scalable backend systems, including RESTful and/or GraphQL APIs and microservices architectures.
**Frontend Development:** Proficiency in modern frontend frameworks such as React or Vue, with experience building responsive, user\-friendly interfaces that integrate with backend and AI services.
**Applied AI/ML:**
* Hands\-on experience developing and deploying large language model (LLM)\-based applications in production environments.
* Deep familiarity with agentic workflows and orchestration frameworks such as LangChain, LangGraph, or similar tools.
* Proficient in AI/ML libraries and ecosystems including Hugging Face Transformers, TensorFlow, PyTorch, and Scikit\-learn.
* Proven ability to integrate AI\-driven functionality into complex software systems at scale.
**Cloud Platforms:** Experience deploying software and ML services on major cloud providers such as AWS, Azure, or GCP.
**Version Control \&amp; Collaboration:** Strong command of Git and GitHub workflows; experience working in agile development environments.
**Database Management:** Skilled in working with relational databases (e.g., PostgreSQL, MySQL) and NoSQL databases (e.g., MongoDB).
**Communication \&amp; Leadership:** Excellent collaboration and communication skills, with experience mentoring junior engineers and coordinating with cross\-functional stakeholders
 **Preferred Qualifications:**
Experience with containerization and orchestration (Docker, Kubernetes).
Familiarity with CI/CD pipelines and automated testing frameworks.
Knowledge of model monitoring, A/B testing, and continuous improvement strategies for AI systems.
Understanding of security best practices for both software and AI/ML applications.
Experience in the architecture, engineering, and construction (AEC) industry is a plus.
 **Additional Information**  
For more information, please visit www.socotec.us
SOCOTEC is an Equal Opportunity Employer. Your information will be kept confidential according to EEO guidelines. SOCOTEC is an Equal Opportunity Employer.
Salary range: $90,000\-$180,000 (final compensation is based on experience, technical depth, and scope of ownership).
SOCOTEC is an Equal Opportunity Employer.</t>
        </is>
      </c>
    </row>
    <row r="105">
      <c r="A105" t="inlineStr">
        <is>
          <t>in-ea297e83be3293c4</t>
        </is>
      </c>
      <c r="B105" t="inlineStr">
        <is>
          <t>Senior Software Engineer</t>
        </is>
      </c>
      <c r="C105" t="inlineStr">
        <is>
          <t>SOCOTEC Group</t>
        </is>
      </c>
      <c r="D105" t="inlineStr">
        <is>
          <t>indeed</t>
        </is>
      </c>
      <c r="E105">
        <f>HYPERLINK("https://www.indeed.com/viewjob?jk=ea297e83be3293c4", "https://www.indeed.com/viewjob?jk=ea297e83be3293c4")</f>
        <v/>
      </c>
      <c r="F105">
        <f>HYPERLINK("https://jobs.smartrecruiters.com/Socotec/744000101674855-senior-software-engineer-", "https://jobs.smartrecruiters.com/Socotec/744000101674855-senior-software-engineer-")</f>
        <v/>
      </c>
      <c r="G105" t="inlineStr">
        <is>
          <t>New York, NY, US</t>
        </is>
      </c>
      <c r="H105" s="3" t="n">
        <v>46027</v>
      </c>
      <c r="I105" t="inlineStr">
        <is>
          <t>**Company Description**  
SOCOTEC is a leader in niche consulting services within the architecture, engineering, and construction industries, with a focus on high\-performance buildings and specialty structures. We take an integrated, holistic approach to solving challenges in building envelopes, energy efficiency, sustainability, code advisory, and construction advisory projects. SOCOTEC’s reputation for excellence continues to drive its growth and recognition as a best\-in\-class service provider.
We offer a competitive salary and benefits package, mentorship and training opportunities, and regular team\-building activities. SOCOTEC is proud to be officially certified as a Great Place to Work® by the global authority on workplace culture.
 **Job Description**  
We are seeking an innovative and collaborative Senior Software Engineer who thrives in a fast\-paced environment and is passionate about developing both traditional software systems and AI\-driven applications. If you are excited about building cutting\-edge solutions that transform the AEC industry, we encourage you to apply.
As a Senior Software Engineer at SOCOTEC, you will play a key role in designing, developing, and maintaining robust software solutions that power our digital initiatives. In addition to core software engineering responsibilities, this role offers the opportunity to work on applied AI solutions that enhance our enterprise systems, automate complex workflows, and improve client experiences.
You’ll collaborate with cross\-functional teams—including product managers, UI/UX designers, data scientists, consultants, and engineers—to build scalable applications, deploy AI\-powered features, and drive innovation across our technology stack.
**Key Responsibilities:**
* **Software Design \&amp; Development:** Architect, design, and implement scalable, reliable, and maintainable software applications, services, and APIs.
* **Applied AI Development:** Design and deploy AI\-driven solutions that support SOCOTEC’s chatbot programs and automation initiatives.
* **Technical Leadership:** Provide technical guidance, code reviews, and mentorship to software engineers. Foster engineering best practices and ensure adherence to software quality standards.
* **AI Integration \&amp; Deployment:** Collaborate with AI/ML engineers and data scientists to integrate AI models into production applications, ensuring scalability, security, and performance.
* **Collaborate Across Teams:** Work with product managers, designers, and stakeholders to translate business requirements into intelligent software and AI\-powered solutions.
* **Performance Optimization:** Monitor, analyze, and optimize application and AI model performance, addressing bottlenecks, and ensuring systems are robust and efficient.
* **Continuous Improvement:** Drive continuous improvements in our software development lifecycle (SDLC), including CI/CD pipelines, automated testing, and deployment workflows.
* **Documentation:** Maintain clear and comprehensive documentation of software systems, AI workflows, APIs, and architecture decisions.
**Qualifications** **Programming Expertise:** Proficiency in Python with experience in JavaScript/TypeScript or another modern programming language.
**Backend \&amp; API Development:** Demonstrated experience designing and building scalable backend systems, including RESTful and/or GraphQL APIs and microservices architectures.
**Frontend Development:** Proficiency in modern frontend frameworks such as React or Vue, with experience building responsive, user\-friendly interfaces that integrate with backend and AI services.
**Applied AI/ML:**
* Hands\-on experience developing and deploying large language model (LLM)\-based applications in production environments.
* Deep familiarity with agentic workflows and orchestration frameworks such as LangChain, LangGraph, or similar tools.
* Proficient in AI/ML libraries and ecosystems including Hugging Face Transformers, TensorFlow, PyTorch, and Scikit\-learn.
* Proven ability to integrate AI\-driven functionality into complex software systems at scale.
**Cloud Platforms:** Experience deploying software and ML services on major cloud providers such as AWS, Azure, or GCP.
**Version Control \&amp; Collaboration:** Strong command of Git and GitHub workflows; experience working in agile development environments.
**Database Management:** Skilled in working with relational databases (e.g., PostgreSQL, MySQL) and NoSQL databases (e.g., MongoDB).
**Communication \&amp; Leadership:** Excellent collaboration and communication skills, with experience mentoring junior engineers and coordinating with cross\-functional stakeholders
 **Preferred Qualifications:**
Experience with containerization and orchestration (Docker, Kubernetes).
Familiarity with CI/CD pipelines and automated testing frameworks.
Knowledge of model monitoring, A/B testing, and continuous improvement strategies for AI systems.
Understanding of security best practices for both software and AI/ML applications.
Experience in the architecture, engineering, and construction (AEC) industry is a plus.
 **Additional Information**  
For more information, please visit www.socotec.us
SOCOTEC is an Equal Opportunity Employer. Your information will be kept confidential according to EEO guidelines. SOCOTEC is an Equal Opportunity Employer.
Salary range: $90,000\-$180,000 (final compensation is based on experience, technical depth, and scope of ownership).
SOCOTEC is an Equal Opportunity Employer.</t>
        </is>
      </c>
    </row>
    <row r="106">
      <c r="A106" t="inlineStr">
        <is>
          <t>in-1f622bcd07d21166</t>
        </is>
      </c>
      <c r="B106" t="inlineStr">
        <is>
          <t>Sr. Software Engineer (ML), AGI Customization</t>
        </is>
      </c>
      <c r="C106" t="inlineStr">
        <is>
          <t>Amazon.com</t>
        </is>
      </c>
      <c r="D106" t="inlineStr">
        <is>
          <t>indeed</t>
        </is>
      </c>
      <c r="E106">
        <f>HYPERLINK("https://www.indeed.com/viewjob?jk=1f622bcd07d21166", "https://www.indeed.com/viewjob?jk=1f622bcd07d21166")</f>
        <v/>
      </c>
      <c r="F106">
        <f>HYPERLINK("https://www.amazon.jobs/jobs/3127625/sr-software-engineer-ml-agi-customization?cmpid=DA_INAD200785B", "https://www.amazon.jobs/jobs/3127625/sr-software-engineer-ml-agi-customization?cmpid=DA_INAD200785B")</f>
        <v/>
      </c>
      <c r="G106" t="inlineStr">
        <is>
          <t>Sunnyvale, CA, US</t>
        </is>
      </c>
      <c r="H106" s="3" t="n">
        <v>45964</v>
      </c>
      <c r="I10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in-ec605c1e1727acf0</t>
        </is>
      </c>
      <c r="B107" t="inlineStr">
        <is>
          <t>Sr. Software Engineer (ML), AGI Customization</t>
        </is>
      </c>
      <c r="C107" t="inlineStr">
        <is>
          <t>Amazon.com</t>
        </is>
      </c>
      <c r="D107" t="inlineStr">
        <is>
          <t>indeed</t>
        </is>
      </c>
      <c r="E107">
        <f>HYPERLINK("https://www.indeed.com/viewjob?jk=ec605c1e1727acf0", "https://www.indeed.com/viewjob?jk=ec605c1e1727acf0")</f>
        <v/>
      </c>
      <c r="F107">
        <f>HYPERLINK("https://www.amazon.jobs/jobs/3127625/sr-software-engineer-ml-agi-customization?cmpid=DA_INAD200785B", "https://www.amazon.jobs/jobs/3127625/sr-software-engineer-ml-agi-customization?cmpid=DA_INAD200785B")</f>
        <v/>
      </c>
      <c r="G107" t="inlineStr">
        <is>
          <t>Boston, MA, US</t>
        </is>
      </c>
      <c r="H107" s="3" t="n">
        <v>45964</v>
      </c>
      <c r="I10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in-b02b527e5dc5a7d5</t>
        </is>
      </c>
      <c r="B108" t="inlineStr">
        <is>
          <t>Software Engineer- AI/ML, AWS Neuron Distributed Training</t>
        </is>
      </c>
      <c r="C108" t="inlineStr">
        <is>
          <t>Amazon Web Services</t>
        </is>
      </c>
      <c r="D108" t="inlineStr">
        <is>
          <t>indeed</t>
        </is>
      </c>
      <c r="E108">
        <f>HYPERLINK("https://www.indeed.com/viewjob?jk=b02b527e5dc5a7d5", "https://www.indeed.com/viewjob?jk=b02b527e5dc5a7d5")</f>
        <v/>
      </c>
      <c r="F108">
        <f>HYPERLINK("https://www.amazon.jobs/jobs/2937757/software-engineer-aiml-aws-neuron-distributed-training?cmpid=DA_INAD200785B", "https://www.amazon.jobs/jobs/2937757/software-engineer-aiml-aws-neuron-distributed-training?cmpid=DA_INAD200785B")</f>
        <v/>
      </c>
      <c r="G108" t="inlineStr">
        <is>
          <t>Seattle, WA, US</t>
        </is>
      </c>
      <c r="H108" s="3" t="n">
        <v>45727</v>
      </c>
      <c r="I10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in-2a80bfef5ed587c5</t>
        </is>
      </c>
      <c r="B109" t="inlineStr">
        <is>
          <t>Software Engineer- AI/ML, AWS Neuron Distributed Training</t>
        </is>
      </c>
      <c r="C109" t="inlineStr">
        <is>
          <t>Amazon Web Services</t>
        </is>
      </c>
      <c r="D109" t="inlineStr">
        <is>
          <t>indeed</t>
        </is>
      </c>
      <c r="E109">
        <f>HYPERLINK("https://www.indeed.com/viewjob?jk=2a80bfef5ed587c5", "https://www.indeed.com/viewjob?jk=2a80bfef5ed587c5")</f>
        <v/>
      </c>
      <c r="F109">
        <f>HYPERLINK("https://www.amazon.jobs/jobs/2937757/software-engineer-aiml-aws-neuron-distributed-training?cmpid=DA_INAD200785B", "https://www.amazon.jobs/jobs/2937757/software-engineer-aiml-aws-neuron-distributed-training?cmpid=DA_INAD200785B")</f>
        <v/>
      </c>
      <c r="G109" t="inlineStr">
        <is>
          <t>Cupertino, CA, US</t>
        </is>
      </c>
      <c r="H109" s="3" t="n">
        <v>45727</v>
      </c>
      <c r="I10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in-464421df0b2003dd</t>
        </is>
      </c>
      <c r="B110" t="inlineStr">
        <is>
          <t>Sr. Software Engineer- AI/ML, AWS Neuron Distributed Training</t>
        </is>
      </c>
      <c r="C110" t="inlineStr">
        <is>
          <t>Amazon Web Services</t>
        </is>
      </c>
      <c r="D110" t="inlineStr">
        <is>
          <t>indeed</t>
        </is>
      </c>
      <c r="E110">
        <f>HYPERLINK("https://www.indeed.com/viewjob?jk=464421df0b2003dd", "https://www.indeed.com/viewjob?jk=464421df0b2003dd")</f>
        <v/>
      </c>
      <c r="F110">
        <f>HYPERLINK("https://www.amazon.jobs/jobs/2912412/sr-software-engineer-aiml-aws-neuron-distributed-training?cmpid=DA_INAD200785B", "https://www.amazon.jobs/jobs/2912412/sr-software-engineer-aiml-aws-neuron-distributed-training?cmpid=DA_INAD200785B")</f>
        <v/>
      </c>
      <c r="G110" t="inlineStr">
        <is>
          <t>Cupertino, CA, US</t>
        </is>
      </c>
      <c r="H110" s="3" t="n">
        <v>45713</v>
      </c>
      <c r="I11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in-4a65d53069be1d1a</t>
        </is>
      </c>
      <c r="B111" t="inlineStr">
        <is>
          <t>Sr. Software Engineer- AI/ML, AWS Neuron Distributed Training</t>
        </is>
      </c>
      <c r="C111" t="inlineStr">
        <is>
          <t>Amazon Web Services</t>
        </is>
      </c>
      <c r="D111" t="inlineStr">
        <is>
          <t>indeed</t>
        </is>
      </c>
      <c r="E111">
        <f>HYPERLINK("https://www.indeed.com/viewjob?jk=4a65d53069be1d1a", "https://www.indeed.com/viewjob?jk=4a65d53069be1d1a")</f>
        <v/>
      </c>
      <c r="F111">
        <f>HYPERLINK("https://www.amazon.jobs/jobs/2912412/sr-software-engineer-aiml-aws-neuron-distributed-training?cmpid=DA_INAD200785B", "https://www.amazon.jobs/jobs/2912412/sr-software-engineer-aiml-aws-neuron-distributed-training?cmpid=DA_INAD200785B")</f>
        <v/>
      </c>
      <c r="G111" t="inlineStr">
        <is>
          <t>Seattle, WA, US</t>
        </is>
      </c>
      <c r="H111" s="3" t="n">
        <v>45713</v>
      </c>
      <c r="I11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in-6d31f133e0c64654</t>
        </is>
      </c>
      <c r="B112" t="inlineStr">
        <is>
          <t>Software Engineer</t>
        </is>
      </c>
      <c r="C112" t="inlineStr">
        <is>
          <t>Sapa Investment Group</t>
        </is>
      </c>
      <c r="D112" t="inlineStr">
        <is>
          <t>indeed</t>
        </is>
      </c>
      <c r="E112">
        <f>HYPERLINK("https://www.indeed.com/viewjob?jk=6d31f133e0c64654", "https://www.indeed.com/viewjob?jk=6d31f133e0c64654")</f>
        <v/>
      </c>
      <c r="F112">
        <f>HYPERLINK("http://www.indeed.com/job/software-engineer-6d31f133e0c64654", "http://www.indeed.com/job/software-engineer-6d31f133e0c64654")</f>
        <v/>
      </c>
      <c r="G112" t="inlineStr">
        <is>
          <t>Salt Lake City, UT, US</t>
        </is>
      </c>
      <c r="H112" s="3" t="n">
        <v>46027</v>
      </c>
      <c r="I112" t="inlineStr">
        <is>
          <t>Job post summary
Pay: $68,000\.00 \- $70,000\.00 per year
**Job description:**
Job Listing: Software Engineer (React Native / SaaS)
We are seeking a highly skilled and motivated Software Engineer with expertise in React Native and Software\-as\-a\-Service (SaaS) development. This role is ideal for a developer who thrives in a fast\-paced environment and is passionate about building scalable, user\-focused mobile applications within a cloud\-first architecture.
**Responsibilities:**
\-Design and develop high\-quality mobile applications using React Native.
\-Collaborate with cross\-functional teams to define, design, and ship new features.
\-Build scalable and maintainable SaaS products with clean and efficient code.
\-Optimize applications for maximum speed and scalability.
\-Work closely with UI/UX designers to implement modern user interfaces.
\-Participate in code reviews, testing, and other quality assurance processes.
\-Maintain and improve existing applications and codebases.
**Requirements:**
\-Proven experience with React Native development (2\+ years preferred).
\-Strong understanding of mobile app lifecycle, state management, and performance optimization.
\-Experience building or contributing to SaaS platforms or cloud\-based solutions.
\-Proficiency in JavaScript/TypeScript and RESTful APIs.
\-Familiarity with modern CI/CD workflows and Git.
\-Knowledge of AWS, Firebase, or similar cloud services is a plus.
\-Excellent problem\-solving skills and attention to detail.
\-This role requires on\-site presence and is located in Salt Lake City, Utah.
**Preferred Qualifications**
\-Experience with Expo, Redux, or React Query.
\-Previous work in agile environments.
\-Comfortable working across both frontend and backend (full\-stack experience a plus).
**Benefits:**
Dental insurance
Health insurance
Vision insurance
Work Location: In person
Pay: $68,000\.00 \- $70,000\.00 per year
Benefits:
* Dental insurance
* Health insurance
* Paid time off
* Vision insurance
Work Location: In person</t>
        </is>
      </c>
    </row>
    <row r="113">
      <c r="A113" t="inlineStr">
        <is>
          <t>in-e787734b15ef3ae3</t>
        </is>
      </c>
      <c r="B113" t="inlineStr">
        <is>
          <t>Software Engineer Graduate (Site Reliability Engineering) - 2026 Start (BS/MS)</t>
        </is>
      </c>
      <c r="C113" t="inlineStr">
        <is>
          <t>TikTok</t>
        </is>
      </c>
      <c r="D113" t="inlineStr">
        <is>
          <t>indeed</t>
        </is>
      </c>
      <c r="E113">
        <f>HYPERLINK("https://www.indeed.com/viewjob?jk=e787734b15ef3ae3", "https://www.indeed.com/viewjob?jk=e787734b15ef3ae3")</f>
        <v/>
      </c>
      <c r="F113">
        <f>HYPERLINK("https://lifeattiktok.com/search/7591947799615260933", "https://lifeattiktok.com/search/7591947799615260933")</f>
        <v/>
      </c>
      <c r="G113" t="inlineStr">
        <is>
          <t>San Jose, CA, US</t>
        </is>
      </c>
      <c r="H113" s="3" t="n">
        <v>46026</v>
      </c>
      <c r="I113" t="inlineStr">
        <is>
          <t>DevOps
Software Engineer Graduate (Site Reliability Engineering) \- 2026 Start (BS/MS)
Location
:
San Jose
Employment Type
:
Regular
Job Code
:
A215974A
Responsibilities
TikTok’s Generalized Architecture US Tech and Operations team is dedicated to ensuring that TikTok’s core services run stable, efficient, and cost\-effective at global scale. We focus on enhancing the observability and operability of our infrastructure and services, using data\-driven insights to safeguard business stability 24/7\.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Candidates who pass resume screening will be invited to participate in TikTok's technical online assessment.
**Responsibilities:**  
* Ensure the stability and reliability of TikTok’s core services; respond quickly to production incidents and build mechanisms and platforms to continuously improve incident handling efficiency.
* Define and maintain system quality SLAs through continuous, comprehensive data operations; identify and manage system risks to improve reliability, scalability, and performance.
* Participate in TikTok’s disaster recovery initiatives, including risk assessment, disaster recovery design, capacity planning, and contingency plan development, to strengthen system resilience and fault tolerance.
* Develop and accumulate best practices, tools, and frameworks for operations and maintenance; provide guidance on system architecture design and component selection; produce high\-quality technical and operational documentation.
Qualifications
**Minimum Qualifications:**  
* BS/MS degree in Computer Science or equivalent majors/experience
* Foundation in computer science and software engineering, with understanding of operating systems (especially Linux), storage systems, and network I/O principles
* Proficiency in one or more programming languages, such as Python, Go, Java, PHP, C, or C\+\+
* Strong problem\-solving skills with a systematic approach, effective communication abilities, and a strong sense of ownership and responsibility
**Preferred Qualifications:**  
* Experience building AI\-powered tools to improve SRE/operations efficiency (e.g., intelligent runbooks, automated incident response, anomaly detection, or self\-healing systems)
Job Information
【For Pay Transparency】Compensation Description (Annually)
The base salary range for this position in the selected city is $118657 \- $187200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14">
      <c r="A114" t="inlineStr">
        <is>
          <t>in-4dcd2c6fc34b175b</t>
        </is>
      </c>
      <c r="B114" t="inlineStr">
        <is>
          <t>Software Engineer - HSIO Cables</t>
        </is>
      </c>
      <c r="C114" t="inlineStr">
        <is>
          <t>Amphenol</t>
        </is>
      </c>
      <c r="D114" t="inlineStr">
        <is>
          <t>indeed</t>
        </is>
      </c>
      <c r="E114">
        <f>HYPERLINK("https://www.indeed.com/viewjob?jk=4dcd2c6fc34b175b", "https://www.indeed.com/viewjob?jk=4dcd2c6fc34b175b")</f>
        <v/>
      </c>
      <c r="F114">
        <f>HYPERLINK("https://amphenol-icc.acquiretm.com/job_details_clean.aspx?ID=6121&amp;iframe=1", "https://amphenol-icc.acquiretm.com/job_details_clean.aspx?ID=6121&amp;iframe=1")</f>
        <v/>
      </c>
      <c r="G114" t="inlineStr">
        <is>
          <t>Nashua, NH, US</t>
        </is>
      </c>
      <c r="H114" s="3" t="n">
        <v>46026</v>
      </c>
      <c r="I114" t="inlineStr">
        <is>
          <t>**Location:**
Nashua, New Hampshire
**Department:**
Engineering
**Posted:**
1/5/2026
**Location Name:**
Nashua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**Title: Software Engineer \- High Speed Cables**
**Location: Nashua, NH**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High Speed Cables to join our team. The position is located on\-site, in Nashua, NH.  
Our collaborative software tools team develops manufacturing applications, and various specialty software tools for our hardware engineering teams. The focus of this position is on software that goes into our global tools for engineering and production of various cable and thermal loopback products, including active copper, passive copper and active optical. This area is rapidly evolving to support ever more complex communication chips, including linear active amplifiers to 80GHz, DSPs, as well as richer host interfaces, notably CMIS.
Responsibilities:
* Design, develop, debug and support of software for active high speed IO cables and thermal loopbacks. This includes working with customers, internal engineers, production facilities, as well as manufacturers of communication chips chosen.
* As a key resource, be contributing member of product teams that turn high speed IO cable concepts into products that then get handed off to manufacturing.
* Provide engineering support to team members working on fine tuning of communication settings by opening up back doors or interfaces as needed.
* Work hand\-in\-hand with developers responsible for manufacturing applications
* Provide software and tools support to product qualification, testing, and manufacturing
* Mentor other members as needed
* Ensure that all software is well documented and can be supported by other team members
* Includes travel as needed, to visit Amphenol manufacturing plants during product ramp up
Qualifications:
* BS in Computer Science or Computer Engineering
* 3\+ years of industry experience with software tools development on interconnect products or equivalent
* Experience with programming of software tools with simple human interfaces
* Good understanding of I2C, SPI buses, writing Windows GUI tools
* Experience in developing page\-based host interfaces for I2C Slaves, such as is used by Small Form Factor devices or CMIS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
Preferred Qualifications:
* Work experience in multi\-disciplinary engineering teams
* Accustomed to working in a global, hybrid environment, using tools such as Teams and Zoom
* Understanding of Signal Integrity theory and practice
* Familiarity in working with hardware interfaces and reading chip data sheets
* Experience working with high\-speed communication equipment, VNA, TDR, Scope, including knowledge about SFF standards
* Working experience with Digital Signal Processors
* Experience working with prototype hardware and lab settings
* Ability to improvise testing setups with bread boards and jumpers
* Comfortable working in C\+\+, preferably using Visual Studio
* Experience using SVN
* Familiarity with Linux and traditional command line interfaces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115">
      <c r="A115" t="inlineStr">
        <is>
          <t>in-ccd4486179aac750</t>
        </is>
      </c>
      <c r="B115" t="inlineStr">
        <is>
          <t>Software Engineer</t>
        </is>
      </c>
      <c r="C115" t="inlineStr">
        <is>
          <t>KBR</t>
        </is>
      </c>
      <c r="D115" t="inlineStr">
        <is>
          <t>indeed</t>
        </is>
      </c>
      <c r="E115">
        <f>HYPERLINK("https://www.indeed.com/viewjob?jk=ccd4486179aac750", "https://www.indeed.com/viewjob?jk=ccd4486179aac750")</f>
        <v/>
      </c>
      <c r="F115">
        <f>HYPERLINK("https://careers.kbr.com/us/en/job/KIVKBRUSR2117100EXTERNALENUS/Software-Engineer?utm_source=indeed&amp;utm_medium=phenom-feeds", "https://careers.kbr.com/us/en/job/KIVKBRUSR2117100EXTERNALENUS/Software-Engineer?utm_source=indeed&amp;utm_medium=phenom-feeds")</f>
        <v/>
      </c>
      <c r="G115" t="inlineStr">
        <is>
          <t>El Segundo, CA, US</t>
        </is>
      </c>
      <c r="H115" s="3" t="n">
        <v>46026</v>
      </c>
      <c r="I115" t="inlineStr">
        <is>
          <t>**Title:**
Software Engineer***Belong.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Design, engineer, analyze, and develop software prototypes and/or applications as part of a multi\-disciplinary team.
* Engage with stakeholders to better define the problem space and vision to determine capabilities and priorities.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 Drive continuous improvement through process and tooling recommendations.
* Mentor team members by sharing innovative ideas and industry best practices.
**Work Environment:**
* **Location:** On\-site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4 years of software development, including architecture, object\-oriented design, coding, and testing.
* Strong experience in one or more of the following: Python, Java, or Go.
* Proficiency in JavaScript and Node.js.
* Hands\-on experience developing web applications with microservices architecture.
* Hands\-on experience with database technologies such as PostgreSQL, MySQL, and others.
* Experience with Docker, AWS and / or Azure, and Kubernetes for containerization, cloud services, and orchestration.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7 years of software development, including architecture, object\-oriented design, coding, and testing.
* Experience working with Javascript fameworks such as Angular.
* Knowledge and experience in Jira and Confluence.
* Experience in implementing Agile Software Development methodologies for efficient and iterative project management.
* Experience with MILSATCOM, such as AEHF, EPS, WGS, and Tactical SATCOM or COMSATCOM.
* Experience with space and ground systems, such as satellite communication, ground terminals and DoD networks.
**Basic Compensation:** $102,000\-$126,000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16">
      <c r="A116" t="inlineStr">
        <is>
          <t>in-ae432aaa3702be48</t>
        </is>
      </c>
      <c r="B116" t="inlineStr">
        <is>
          <t>NS4R Software Developer</t>
        </is>
      </c>
      <c r="C116" t="inlineStr">
        <is>
          <t>KBR</t>
        </is>
      </c>
      <c r="D116" t="inlineStr">
        <is>
          <t>indeed</t>
        </is>
      </c>
      <c r="E116">
        <f>HYPERLINK("https://www.indeed.com/viewjob?jk=ae432aaa3702be48", "https://www.indeed.com/viewjob?jk=ae432aaa3702be48")</f>
        <v/>
      </c>
      <c r="F116">
        <f>HYPERLINK("https://careers.kbr.com/us/en/job/KIVKBRUSR2117102EXTERNALENUS/NS4R-Software-Developer?utm_source=indeed&amp;utm_medium=phenom-feeds", "https://careers.kbr.com/us/en/job/KIVKBRUSR2117102EXTERNALENUS/NS4R-Software-Developer?utm_source=indeed&amp;utm_medium=phenom-feeds")</f>
        <v/>
      </c>
      <c r="G116" t="inlineStr">
        <is>
          <t>Colorado Springs, CO, US</t>
        </is>
      </c>
      <c r="H116" s="3" t="n">
        <v>46026</v>
      </c>
      <c r="I116" t="inlineStr">
        <is>
          <t>**Title:**
NS4R Software Developer***Belong.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KBR is seeking an NS4R Software Developer to join our team in Colorado Springs, CO or El Segundo, CA.
This job supports SSC within the Joint Terminal Engineering Office (JTEO) as a developer on the National Security SATCOM Systems Synchronization Roadmap (NS4R) software application. The NS4R application is hosted on Defense Information Systems Agency’s (DISA) MilCloud and requires close coordination with DISA to resolve issues in a timely manner. In support of JTEO, duties include maintaining the NS4R database including security upgrades, development and implementation of enhancements to the NS4R tool, providing user held desk support, maintaining user accounts, providing NS4R database backups, maintaining configuration control and backups of the source code, support JTEO to evaluate and address security requirements and perform troubleshooting. The job requires the ability to assist Level 1 POCs with data entries and identify and correct incomplete or questionable data entries and management of the NS4R MilCloud Virtual Data Center (Memory/Storage/CPUs etc.). This also includes development and installation of patches to the Operating System and Data Base Server. As needed, you can expect to train Government and FFRDC personnel on the use and maintenance of the NS4R tool and database.
The MILSATCOM Systems Engineering, Integration, and Test (MSEIT) effort provides leading edge Systems Engineering \&amp; Integration (SE\&amp;I) for the Air Force’s Space and Missiles System Center. We support the Air Force’s acquisition of state\-of\-the\-art Military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**Work Environment:**
**Location:** On\-site
**Travel Requirements:** Minimal
**Working Hours:** Standard
**Qualifications:**
**Required:**
* **Active Secret clearance required for this position**
* Bachelor's degree in a STEM field
* Experience working with military or DOW civilian clients and managing professional relationships
* Strong interpersonal skills, communication (oral and written), and presentation skills
* Capable in Microsoft Office products (Word, Excel, PowerPoint)
* 2\+ years of experience across the following software suites: Angular, Java, Microservices, Docker, DISA Stratus, VMWare
**Desired:**
* 5\+ years of experience across the following software suites: Angular, Java, Microservices, Docker, DISA Stratus, VMWare
* 2\+ years of experience in SATCOM
* INCOSE CSEP or ESEP certification
**Basic Compensation:** $99,000\-$123,000 in California and $90,000\-$113,000 in Colorado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17">
      <c r="A117" t="inlineStr">
        <is>
          <t>in-fa193d039f43d1b4</t>
        </is>
      </c>
      <c r="B117" t="inlineStr">
        <is>
          <t>NS4R Software Developer</t>
        </is>
      </c>
      <c r="C117" t="inlineStr">
        <is>
          <t>KBR</t>
        </is>
      </c>
      <c r="D117" t="inlineStr">
        <is>
          <t>indeed</t>
        </is>
      </c>
      <c r="E117">
        <f>HYPERLINK("https://www.indeed.com/viewjob?jk=fa193d039f43d1b4", "https://www.indeed.com/viewjob?jk=fa193d039f43d1b4")</f>
        <v/>
      </c>
      <c r="F117">
        <f>HYPERLINK("https://careers.kbr.com/us/en/job/KIVKBRUSR2117102EXTERNALENUS/NS4R-Software-Developer?utm_source=indeed&amp;utm_medium=phenom-feeds", "https://careers.kbr.com/us/en/job/KIVKBRUSR2117102EXTERNALENUS/NS4R-Software-Developer?utm_source=indeed&amp;utm_medium=phenom-feeds")</f>
        <v/>
      </c>
      <c r="G117" t="inlineStr">
        <is>
          <t>El Segundo, CA, US</t>
        </is>
      </c>
      <c r="H117" s="3" t="n">
        <v>46026</v>
      </c>
      <c r="I117" t="inlineStr">
        <is>
          <t>**Title:**
NS4R Software Developer***Belong.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KBR is seeking an NS4R Software Developer to join our team in Colorado Springs, CO or El Segundo, CA.
This job supports SSC within the Joint Terminal Engineering Office (JTEO) as a developer on the National Security SATCOM Systems Synchronization Roadmap (NS4R) software application. The NS4R application is hosted on Defense Information Systems Agency’s (DISA) MilCloud and requires close coordination with DISA to resolve issues in a timely manner. In support of JTEO, duties include maintaining the NS4R database including security upgrades, development and implementation of enhancements to the NS4R tool, providing user held desk support, maintaining user accounts, providing NS4R database backups, maintaining configuration control and backups of the source code, support JTEO to evaluate and address security requirements and perform troubleshooting. The job requires the ability to assist Level 1 POCs with data entries and identify and correct incomplete or questionable data entries and management of the NS4R MilCloud Virtual Data Center (Memory/Storage/CPUs etc.). This also includes development and installation of patches to the Operating System and Data Base Server. As needed, you can expect to train Government and FFRDC personnel on the use and maintenance of the NS4R tool and database.
The MILSATCOM Systems Engineering, Integration, and Test (MSEIT) effort provides leading edge Systems Engineering \&amp; Integration (SE\&amp;I) for the Air Force’s Space and Missiles System Center. We support the Air Force’s acquisition of state\-of\-the\-art Military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**Work Environment:**
**Location:** On\-site
**Travel Requirements:** Minimal
**Working Hours:** Standard
**Qualifications:**
**Required:**
* **Active Secret clearance required for this position**
* Bachelor's degree in a STEM field
* Experience working with military or DOW civilian clients and managing professional relationships
* Strong interpersonal skills, communication (oral and written), and presentation skills
* Capable in Microsoft Office products (Word, Excel, PowerPoint)
* 2\+ years of experience across the following software suites: Angular, Java, Microservices, Docker, DISA Stratus, VMWare
**Desired:**
* 5\+ years of experience across the following software suites: Angular, Java, Microservices, Docker, DISA Stratus, VMWare
* 2\+ years of experience in SATCOM
* INCOSE CSEP or ESEP certification
**Basic Compensation:** $99,000\-$123,000 in California and $90,000\-$113,000 in Colorado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18">
      <c r="A118" t="inlineStr">
        <is>
          <t>in-e1803752a5339433</t>
        </is>
      </c>
      <c r="B118" t="inlineStr">
        <is>
          <t>Software Engineer I</t>
        </is>
      </c>
      <c r="C118" t="inlineStr">
        <is>
          <t>Amazon.com</t>
        </is>
      </c>
      <c r="D118" t="inlineStr">
        <is>
          <t>indeed</t>
        </is>
      </c>
      <c r="E118">
        <f>HYPERLINK("https://www.indeed.com/viewjob?jk=e1803752a5339433", "https://www.indeed.com/viewjob?jk=e1803752a5339433")</f>
        <v/>
      </c>
      <c r="F118">
        <f>HYPERLINK("https://www.amazon.jobs/jobs/3141336/software-engineer-i?cmpid=DA_INAD200785B", "https://www.amazon.jobs/jobs/3141336/software-engineer-i?cmpid=DA_INAD200785B")</f>
        <v/>
      </c>
      <c r="G118" t="inlineStr">
        <is>
          <t>Seattle, WA, US</t>
        </is>
      </c>
      <c r="H118" s="3" t="n">
        <v>46001</v>
      </c>
      <c r="I1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in-21b530043fe78c50</t>
        </is>
      </c>
      <c r="B119" t="inlineStr">
        <is>
          <t>Software Engineer I</t>
        </is>
      </c>
      <c r="C119" t="inlineStr">
        <is>
          <t>Amazon.com</t>
        </is>
      </c>
      <c r="D119" t="inlineStr">
        <is>
          <t>indeed</t>
        </is>
      </c>
      <c r="E119">
        <f>HYPERLINK("https://www.indeed.com/viewjob?jk=21b530043fe78c50", "https://www.indeed.com/viewjob?jk=21b530043fe78c50")</f>
        <v/>
      </c>
      <c r="F119">
        <f>HYPERLINK("https://www.amazon.jobs/jobs/3141336/software-engineer-i?cmpid=DA_INAD200785B", "https://www.amazon.jobs/jobs/3141336/software-engineer-i?cmpid=DA_INAD200785B")</f>
        <v/>
      </c>
      <c r="G119" t="inlineStr">
        <is>
          <t>San Francisco, CA, US</t>
        </is>
      </c>
      <c r="H119" s="3" t="n">
        <v>46001</v>
      </c>
      <c r="I1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in-dda67dfb7569c42e</t>
        </is>
      </c>
      <c r="B120" t="inlineStr">
        <is>
          <t>Software Engineer II, Twitch</t>
        </is>
      </c>
      <c r="C120" t="inlineStr">
        <is>
          <t>Amazon.com</t>
        </is>
      </c>
      <c r="D120" t="inlineStr">
        <is>
          <t>indeed</t>
        </is>
      </c>
      <c r="E120">
        <f>HYPERLINK("https://www.indeed.com/viewjob?jk=dda67dfb7569c42e", "https://www.indeed.com/viewjob?jk=dda67dfb7569c42e")</f>
        <v/>
      </c>
      <c r="F120">
        <f>HYPERLINK("https://www.amazon.jobs/jobs/3138052/software-engineer-ii-twitch?cmpid=DA_INAD200785B", "https://www.amazon.jobs/jobs/3138052/software-engineer-ii-twitch?cmpid=DA_INAD200785B")</f>
        <v/>
      </c>
      <c r="G120" t="inlineStr">
        <is>
          <t>Seattle, WA, US</t>
        </is>
      </c>
      <c r="H120" s="3" t="n">
        <v>45995</v>
      </c>
      <c r="I12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in-3d1c2b1056e24383</t>
        </is>
      </c>
      <c r="B121" t="inlineStr">
        <is>
          <t>Software Engineer II, Android</t>
        </is>
      </c>
      <c r="C121" t="inlineStr">
        <is>
          <t>Amazon.com</t>
        </is>
      </c>
      <c r="D121" t="inlineStr">
        <is>
          <t>indeed</t>
        </is>
      </c>
      <c r="E121">
        <f>HYPERLINK("https://www.indeed.com/viewjob?jk=3d1c2b1056e24383", "https://www.indeed.com/viewjob?jk=3d1c2b1056e24383")</f>
        <v/>
      </c>
      <c r="F121">
        <f>HYPERLINK("https://www.amazon.jobs/jobs/3138330/software-engineer-ii-android?cmpid=DA_INAD200785B", "https://www.amazon.jobs/jobs/3138330/software-engineer-ii-android?cmpid=DA_INAD200785B")</f>
        <v/>
      </c>
      <c r="G121" t="inlineStr">
        <is>
          <t>Irvine, CA, US</t>
        </is>
      </c>
      <c r="H121" s="3" t="n">
        <v>45995</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in-87b645c35ef97c25</t>
        </is>
      </c>
      <c r="B122" t="inlineStr">
        <is>
          <t>Software Engineer II, Android</t>
        </is>
      </c>
      <c r="C122" t="inlineStr">
        <is>
          <t>Amazon.com</t>
        </is>
      </c>
      <c r="D122" t="inlineStr">
        <is>
          <t>indeed</t>
        </is>
      </c>
      <c r="E122">
        <f>HYPERLINK("https://www.indeed.com/viewjob?jk=87b645c35ef97c25", "https://www.indeed.com/viewjob?jk=87b645c35ef97c25")</f>
        <v/>
      </c>
      <c r="F122">
        <f>HYPERLINK("https://www.amazon.jobs/jobs/3138330/software-engineer-ii-android?cmpid=DA_INAD200785B", "https://www.amazon.jobs/jobs/3138330/software-engineer-ii-android?cmpid=DA_INAD200785B")</f>
        <v/>
      </c>
      <c r="G122" t="inlineStr">
        <is>
          <t>San Francisco, CA, US</t>
        </is>
      </c>
      <c r="H122" s="3" t="n">
        <v>45995</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in-988ebb3de829fad8</t>
        </is>
      </c>
      <c r="B123" t="inlineStr">
        <is>
          <t>Software Engineer II, Android</t>
        </is>
      </c>
      <c r="C123" t="inlineStr">
        <is>
          <t>Amazon.com</t>
        </is>
      </c>
      <c r="D123" t="inlineStr">
        <is>
          <t>indeed</t>
        </is>
      </c>
      <c r="E123">
        <f>HYPERLINK("https://www.indeed.com/viewjob?jk=988ebb3de829fad8", "https://www.indeed.com/viewjob?jk=988ebb3de829fad8")</f>
        <v/>
      </c>
      <c r="F123">
        <f>HYPERLINK("https://www.amazon.jobs/jobs/3138330/software-engineer-ii-android?cmpid=DA_INAD200785B", "https://www.amazon.jobs/jobs/3138330/software-engineer-ii-android?cmpid=DA_INAD200785B")</f>
        <v/>
      </c>
      <c r="G123" t="inlineStr">
        <is>
          <t>Seattle, WA, US</t>
        </is>
      </c>
      <c r="H123" s="3" t="n">
        <v>45995</v>
      </c>
      <c r="I1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in-5d2ab70d8eba6ae1</t>
        </is>
      </c>
      <c r="B124" t="inlineStr">
        <is>
          <t>Software Engineer II, Twitch</t>
        </is>
      </c>
      <c r="C124" t="inlineStr">
        <is>
          <t>Amazon.com</t>
        </is>
      </c>
      <c r="D124" t="inlineStr">
        <is>
          <t>indeed</t>
        </is>
      </c>
      <c r="E124">
        <f>HYPERLINK("https://www.indeed.com/viewjob?jk=5d2ab70d8eba6ae1", "https://www.indeed.com/viewjob?jk=5d2ab70d8eba6ae1")</f>
        <v/>
      </c>
      <c r="F124">
        <f>HYPERLINK("https://www.amazon.jobs/jobs/3138052/software-engineer-ii-twitch?cmpid=DA_INAD200785B", "https://www.amazon.jobs/jobs/3138052/software-engineer-ii-twitch?cmpid=DA_INAD200785B")</f>
        <v/>
      </c>
      <c r="G124" t="inlineStr">
        <is>
          <t>San Francisco, CA, US</t>
        </is>
      </c>
      <c r="H124" s="3" t="n">
        <v>45995</v>
      </c>
      <c r="I12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in-38a0de77a2ebddf1</t>
        </is>
      </c>
      <c r="B125" t="inlineStr">
        <is>
          <t>Embedded Software Engineer, Merlin Manager</t>
        </is>
      </c>
      <c r="C125" t="inlineStr">
        <is>
          <t>Amazon.com</t>
        </is>
      </c>
      <c r="D125" t="inlineStr">
        <is>
          <t>indeed</t>
        </is>
      </c>
      <c r="E125">
        <f>HYPERLINK("https://www.indeed.com/viewjob?jk=38a0de77a2ebddf1", "https://www.indeed.com/viewjob?jk=38a0de77a2ebddf1")</f>
        <v/>
      </c>
      <c r="F125">
        <f>HYPERLINK("https://www.amazon.jobs/jobs/3136032/embedded-software-engineer-merlin-manager?cmpid=DA_INAD200785B", "https://www.amazon.jobs/jobs/3136032/embedded-software-engineer-merlin-manager?cmpid=DA_INAD200785B")</f>
        <v/>
      </c>
      <c r="G125" t="inlineStr">
        <is>
          <t>Redmond, WA, US</t>
        </is>
      </c>
      <c r="H125" s="3" t="n">
        <v>45981</v>
      </c>
      <c r="I12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in-978be6e5fc9cb66f</t>
        </is>
      </c>
      <c r="B126" t="inlineStr">
        <is>
          <t>Embedded Software Engineer, Merlin Manager</t>
        </is>
      </c>
      <c r="C126" t="inlineStr">
        <is>
          <t>Amazon.com</t>
        </is>
      </c>
      <c r="D126" t="inlineStr">
        <is>
          <t>indeed</t>
        </is>
      </c>
      <c r="E126">
        <f>HYPERLINK("https://www.indeed.com/viewjob?jk=978be6e5fc9cb66f", "https://www.indeed.com/viewjob?jk=978be6e5fc9cb66f")</f>
        <v/>
      </c>
      <c r="F126">
        <f>HYPERLINK("https://www.amazon.jobs/jobs/3136032/embedded-software-engineer-merlin-manager?cmpid=DA_INAD200785B", "https://www.amazon.jobs/jobs/3136032/embedded-software-engineer-merlin-manager?cmpid=DA_INAD200785B")</f>
        <v/>
      </c>
      <c r="G126" t="inlineStr">
        <is>
          <t>Sunnyvale, CA, US</t>
        </is>
      </c>
      <c r="H126" s="3" t="n">
        <v>45981</v>
      </c>
      <c r="I12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in-83d6b6fe7f9ff5d9</t>
        </is>
      </c>
      <c r="B127" t="inlineStr">
        <is>
          <t>Software Engineer</t>
        </is>
      </c>
      <c r="C127" t="inlineStr"/>
      <c r="D127" t="inlineStr">
        <is>
          <t>indeed</t>
        </is>
      </c>
      <c r="E127">
        <f>HYPERLINK("https://www.indeed.com/viewjob?jk=83d6b6fe7f9ff5d9", "https://www.indeed.com/viewjob?jk=83d6b6fe7f9ff5d9")</f>
        <v/>
      </c>
      <c r="F127">
        <f>HYPERLINK("https://amatriot.hrmdirect.com/employment/view.php?req=3512241&amp;jbsrc=1014&amp;location=b2d66620-df97-6306-f6d1-b6e335272db9", "https://amatriot.hrmdirect.com/employment/view.php?req=3512241&amp;jbsrc=1014&amp;location=b2d66620-df97-6306-f6d1-b6e335272db9")</f>
        <v/>
      </c>
      <c r="G127" t="inlineStr">
        <is>
          <t>Remote, US</t>
        </is>
      </c>
      <c r="H127" s="3" t="n">
        <v>45967</v>
      </c>
      <c r="I127" t="inlineStr">
        <is>
          <t>**Software Engineer**
**Security Clearance:** Secret
**Location:** Remote
**Job Type:**Full\-Time
**Target Salary Range\*:** $100k \- $150k
* This represents the potential salary range for this position depending on education level, years of experience and/or certifications in addition to other position specific requirements which may impact salary
**Key Responsibilities:**
* Provide application development services and technical support within defined project scopes
* Develop plans, workflows, and application logic for new or existing software solutions
* Code, test, debug, document, implement, and maintain software applications using Java, Git, and SQL
* Analyze requirements and support application component testing, maintenance, and integration
* Ensure successful implementation of system improvements and software upgrades
* Participate in Agile processes to deliver rapid and reliable solutions; collaborate on component, service, and tool development
* Build internal knowledge of company tools, processes, and client needs; provide guidance to new associates as needed
**Minimum Qualifications:**
* 5\+ years of professional experience in Java development, including microservices architectures
* 5\+ years of professional experience in Python driven script automation development
* Proficiency in Java, JSON, JDBC, and debugging methodologies
* Experience with Linux and Java Web Containers (e.g., JBoss, Tomcat)
* Hands\-on experience with microservice frameworks such as Spring Boot, Micronaut, Quarkus, or MicroProfile
* Strong problem\-solving, analytical, and communication skills
* Ability to interpret technical requirements and deliver scalable solutions
* Must have an active Secret clearance or above.
**Certifications:**
* CompTIA Security \+ or IAT lvl II Certification
**Preferred Qualifications:**
* Bachelor’s degree and familiarity with IntelliJ
* Experience with Bash scripting and Linux CLI/Terminal
* Experience with Amazon API Gateway and AWS Lambda
* Background with container technologies such as Docker, Kubernetes, and Helm
* Experience supporting federal agencies, including VA or Healthcare IT programs, and writing automated test cases</t>
        </is>
      </c>
    </row>
    <row r="128">
      <c r="A128" t="inlineStr">
        <is>
          <t>in-2c046085fa647dd7</t>
        </is>
      </c>
      <c r="B128" t="inlineStr">
        <is>
          <t>Software Engineer I</t>
        </is>
      </c>
      <c r="C128" t="inlineStr">
        <is>
          <t>Amazon.com</t>
        </is>
      </c>
      <c r="D128" t="inlineStr">
        <is>
          <t>indeed</t>
        </is>
      </c>
      <c r="E128">
        <f>HYPERLINK("https://www.indeed.com/viewjob?jk=2c046085fa647dd7", "https://www.indeed.com/viewjob?jk=2c046085fa647dd7")</f>
        <v/>
      </c>
      <c r="F128">
        <f>HYPERLINK("https://www.amazon.jobs/jobs/3111761/software-engineer-i?cmpid=DA_INAD200785B", "https://www.amazon.jobs/jobs/3111761/software-engineer-i?cmpid=DA_INAD200785B")</f>
        <v/>
      </c>
      <c r="G128" t="inlineStr">
        <is>
          <t>San Francisco, CA, US</t>
        </is>
      </c>
      <c r="H128" s="3" t="n">
        <v>45946</v>
      </c>
      <c r="I1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in-bac7a79a9ee2d23c</t>
        </is>
      </c>
      <c r="B129" t="inlineStr">
        <is>
          <t>Software Engineer I</t>
        </is>
      </c>
      <c r="C129" t="inlineStr">
        <is>
          <t>Amazon.com</t>
        </is>
      </c>
      <c r="D129" t="inlineStr">
        <is>
          <t>indeed</t>
        </is>
      </c>
      <c r="E129">
        <f>HYPERLINK("https://www.indeed.com/viewjob?jk=bac7a79a9ee2d23c", "https://www.indeed.com/viewjob?jk=bac7a79a9ee2d23c")</f>
        <v/>
      </c>
      <c r="F129">
        <f>HYPERLINK("https://www.amazon.jobs/jobs/3111761/software-engineer-i?cmpid=DA_INAD200785B", "https://www.amazon.jobs/jobs/3111761/software-engineer-i?cmpid=DA_INAD200785B")</f>
        <v/>
      </c>
      <c r="G129" t="inlineStr">
        <is>
          <t>Irvine, CA, US</t>
        </is>
      </c>
      <c r="H129" s="3" t="n">
        <v>45946</v>
      </c>
      <c r="I1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in-e3cbd84b18a7af8a</t>
        </is>
      </c>
      <c r="B130" t="inlineStr">
        <is>
          <t>Software Engineer II</t>
        </is>
      </c>
      <c r="C130" t="inlineStr">
        <is>
          <t>Amazon.com</t>
        </is>
      </c>
      <c r="D130" t="inlineStr">
        <is>
          <t>indeed</t>
        </is>
      </c>
      <c r="E130">
        <f>HYPERLINK("https://www.indeed.com/viewjob?jk=e3cbd84b18a7af8a", "https://www.indeed.com/viewjob?jk=e3cbd84b18a7af8a")</f>
        <v/>
      </c>
      <c r="F130">
        <f>HYPERLINK("https://www.amazon.jobs/jobs/3104734/software-engineer-ii?cmpid=DA_INAD200785B", "https://www.amazon.jobs/jobs/3104734/software-engineer-ii?cmpid=DA_INAD200785B")</f>
        <v/>
      </c>
      <c r="G130" t="inlineStr">
        <is>
          <t>Irvine, CA, US</t>
        </is>
      </c>
      <c r="H130" s="3" t="n">
        <v>45938</v>
      </c>
      <c r="I1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in-490d15cf8b6d1a51</t>
        </is>
      </c>
      <c r="B131" t="inlineStr">
        <is>
          <t>Software Engineer II</t>
        </is>
      </c>
      <c r="C131" t="inlineStr">
        <is>
          <t>Amazon.com</t>
        </is>
      </c>
      <c r="D131" t="inlineStr">
        <is>
          <t>indeed</t>
        </is>
      </c>
      <c r="E131">
        <f>HYPERLINK("https://www.indeed.com/viewjob?jk=490d15cf8b6d1a51", "https://www.indeed.com/viewjob?jk=490d15cf8b6d1a51")</f>
        <v/>
      </c>
      <c r="F131">
        <f>HYPERLINK("https://www.amazon.jobs/jobs/3104734/software-engineer-ii?cmpid=DA_INAD200785B", "https://www.amazon.jobs/jobs/3104734/software-engineer-ii?cmpid=DA_INAD200785B")</f>
        <v/>
      </c>
      <c r="G131" t="inlineStr">
        <is>
          <t>Culver City, CA, US</t>
        </is>
      </c>
      <c r="H131" s="3" t="n">
        <v>45938</v>
      </c>
      <c r="I1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in-40c9e14aef09a82f</t>
        </is>
      </c>
      <c r="B132" t="inlineStr">
        <is>
          <t>Software Engineer II</t>
        </is>
      </c>
      <c r="C132" t="inlineStr">
        <is>
          <t>Amazon.com</t>
        </is>
      </c>
      <c r="D132" t="inlineStr">
        <is>
          <t>indeed</t>
        </is>
      </c>
      <c r="E132">
        <f>HYPERLINK("https://www.indeed.com/viewjob?jk=40c9e14aef09a82f", "https://www.indeed.com/viewjob?jk=40c9e14aef09a82f")</f>
        <v/>
      </c>
      <c r="F132">
        <f>HYPERLINK("https://www.amazon.jobs/jobs/3104734/software-engineer-ii?cmpid=DA_INAD200785B", "https://www.amazon.jobs/jobs/3104734/software-engineer-ii?cmpid=DA_INAD200785B")</f>
        <v/>
      </c>
      <c r="G132" t="inlineStr">
        <is>
          <t>San Francisco, CA, US</t>
        </is>
      </c>
      <c r="H132" s="3" t="n">
        <v>45938</v>
      </c>
      <c r="I1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in-bff225b24c47b382</t>
        </is>
      </c>
      <c r="B133" t="inlineStr">
        <is>
          <t>Senior Software Engineer - Query Optimization, Aurora DSQL</t>
        </is>
      </c>
      <c r="C133" t="inlineStr">
        <is>
          <t>Amazon Web Services</t>
        </is>
      </c>
      <c r="D133" t="inlineStr">
        <is>
          <t>indeed</t>
        </is>
      </c>
      <c r="E133">
        <f>HYPERLINK("https://www.indeed.com/viewjob?jk=bff225b24c47b382", "https://www.indeed.com/viewjob?jk=bff225b24c47b382")</f>
        <v/>
      </c>
      <c r="F133">
        <f>HYPERLINK("https://www.amazon.jobs/jobs/3100177/senior-software-engineer--query-optimization-aurora-dsql?cmpid=DA_INAD200785B", "https://www.amazon.jobs/jobs/3100177/senior-software-engineer--query-optimization-aurora-dsql?cmpid=DA_INAD200785B")</f>
        <v/>
      </c>
      <c r="G133" t="inlineStr">
        <is>
          <t>East Palo Alto, CA, US</t>
        </is>
      </c>
      <c r="H133" s="3" t="n">
        <v>45931</v>
      </c>
      <c r="I13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in-b92c6647a944c6d3</t>
        </is>
      </c>
      <c r="B134" t="inlineStr">
        <is>
          <t>Senior Software Engineer - Query Optimization, Aurora DSQL</t>
        </is>
      </c>
      <c r="C134" t="inlineStr">
        <is>
          <t>Amazon Web Services</t>
        </is>
      </c>
      <c r="D134" t="inlineStr">
        <is>
          <t>indeed</t>
        </is>
      </c>
      <c r="E134">
        <f>HYPERLINK("https://www.indeed.com/viewjob?jk=b92c6647a944c6d3", "https://www.indeed.com/viewjob?jk=b92c6647a944c6d3")</f>
        <v/>
      </c>
      <c r="F134">
        <f>HYPERLINK("https://www.amazon.jobs/jobs/3100177/senior-software-engineer--query-optimization-aurora-dsql?cmpid=DA_INAD200785B", "https://www.amazon.jobs/jobs/3100177/senior-software-engineer--query-optimization-aurora-dsql?cmpid=DA_INAD200785B")</f>
        <v/>
      </c>
      <c r="G134" t="inlineStr">
        <is>
          <t>Seattle, WA, US</t>
        </is>
      </c>
      <c r="H134" s="3" t="n">
        <v>45931</v>
      </c>
      <c r="I13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in-53e350d804c0a398</t>
        </is>
      </c>
      <c r="B135" t="inlineStr">
        <is>
          <t>Sr Software Engineer</t>
        </is>
      </c>
      <c r="C135" t="inlineStr">
        <is>
          <t>Amazon.com</t>
        </is>
      </c>
      <c r="D135" t="inlineStr">
        <is>
          <t>indeed</t>
        </is>
      </c>
      <c r="E135">
        <f>HYPERLINK("https://www.indeed.com/viewjob?jk=53e350d804c0a398", "https://www.indeed.com/viewjob?jk=53e350d804c0a398")</f>
        <v/>
      </c>
      <c r="F135">
        <f>HYPERLINK("https://www.amazon.jobs/jobs/3090674/sr-software-engineer?cmpid=DA_INAD200785B", "https://www.amazon.jobs/jobs/3090674/sr-software-engineer?cmpid=DA_INAD200785B")</f>
        <v/>
      </c>
      <c r="G135" t="inlineStr">
        <is>
          <t>Irvine, CA, US</t>
        </is>
      </c>
      <c r="H135" s="3" t="n">
        <v>45921</v>
      </c>
      <c r="I1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in-b771a1fc8337c3ee</t>
        </is>
      </c>
      <c r="B136" t="inlineStr">
        <is>
          <t>Software Engineer II</t>
        </is>
      </c>
      <c r="C136" t="inlineStr">
        <is>
          <t>Amazon.com</t>
        </is>
      </c>
      <c r="D136" t="inlineStr">
        <is>
          <t>indeed</t>
        </is>
      </c>
      <c r="E136">
        <f>HYPERLINK("https://www.indeed.com/viewjob?jk=b771a1fc8337c3ee", "https://www.indeed.com/viewjob?jk=b771a1fc8337c3ee")</f>
        <v/>
      </c>
      <c r="F136">
        <f>HYPERLINK("https://www.amazon.jobs/jobs/3090680/software-engineer-ii?cmpid=DA_INAD200785B", "https://www.amazon.jobs/jobs/3090680/software-engineer-ii?cmpid=DA_INAD200785B")</f>
        <v/>
      </c>
      <c r="G136" t="inlineStr">
        <is>
          <t>San Francisco, CA, US</t>
        </is>
      </c>
      <c r="H136" s="3" t="n">
        <v>45921</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in-749dd29f84d66da4</t>
        </is>
      </c>
      <c r="B137" t="inlineStr">
        <is>
          <t>Software Engineer II</t>
        </is>
      </c>
      <c r="C137" t="inlineStr">
        <is>
          <t>Amazon.com</t>
        </is>
      </c>
      <c r="D137" t="inlineStr">
        <is>
          <t>indeed</t>
        </is>
      </c>
      <c r="E137">
        <f>HYPERLINK("https://www.indeed.com/viewjob?jk=749dd29f84d66da4", "https://www.indeed.com/viewjob?jk=749dd29f84d66da4")</f>
        <v/>
      </c>
      <c r="F137">
        <f>HYPERLINK("https://www.amazon.jobs/jobs/3090680/software-engineer-ii?cmpid=DA_INAD200785B", "https://www.amazon.jobs/jobs/3090680/software-engineer-ii?cmpid=DA_INAD200785B")</f>
        <v/>
      </c>
      <c r="G137" t="inlineStr">
        <is>
          <t>Irvine, CA, US</t>
        </is>
      </c>
      <c r="H137" s="3" t="n">
        <v>45921</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in-e42748ee84a2feef</t>
        </is>
      </c>
      <c r="B138" t="inlineStr">
        <is>
          <t>Sr Software Engineer</t>
        </is>
      </c>
      <c r="C138" t="inlineStr">
        <is>
          <t>Amazon.com</t>
        </is>
      </c>
      <c r="D138" t="inlineStr">
        <is>
          <t>indeed</t>
        </is>
      </c>
      <c r="E138">
        <f>HYPERLINK("https://www.indeed.com/viewjob?jk=e42748ee84a2feef", "https://www.indeed.com/viewjob?jk=e42748ee84a2feef")</f>
        <v/>
      </c>
      <c r="F138">
        <f>HYPERLINK("https://www.amazon.jobs/jobs/3090674/sr-software-engineer?cmpid=DA_INAD200785B", "https://www.amazon.jobs/jobs/3090674/sr-software-engineer?cmpid=DA_INAD200785B")</f>
        <v/>
      </c>
      <c r="G138" t="inlineStr">
        <is>
          <t>San Francisco, CA, US</t>
        </is>
      </c>
      <c r="H138" s="3" t="n">
        <v>45921</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in-b25cc5e6a6ec9c52</t>
        </is>
      </c>
      <c r="B139" t="inlineStr">
        <is>
          <t>Software Engineer, Prime Video</t>
        </is>
      </c>
      <c r="C139" t="inlineStr">
        <is>
          <t>Amazon.com</t>
        </is>
      </c>
      <c r="D139" t="inlineStr">
        <is>
          <t>indeed</t>
        </is>
      </c>
      <c r="E139">
        <f>HYPERLINK("https://www.indeed.com/viewjob?jk=b25cc5e6a6ec9c52", "https://www.indeed.com/viewjob?jk=b25cc5e6a6ec9c52")</f>
        <v/>
      </c>
      <c r="F139">
        <f>HYPERLINK("https://www.amazon.jobs/jobs/3083247/software-engineer-prime-video?cmpid=DA_INAD200785B", "https://www.amazon.jobs/jobs/3083247/software-engineer-prime-video?cmpid=DA_INAD200785B")</f>
        <v/>
      </c>
      <c r="G139" t="inlineStr">
        <is>
          <t>Austin, TX, US</t>
        </is>
      </c>
      <c r="H139" s="3" t="n">
        <v>45914</v>
      </c>
      <c r="I139"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in-18890e15d5ad585e</t>
        </is>
      </c>
      <c r="B140" t="inlineStr">
        <is>
          <t>Software Engineer, Prime Video</t>
        </is>
      </c>
      <c r="C140" t="inlineStr">
        <is>
          <t>Amazon.com</t>
        </is>
      </c>
      <c r="D140" t="inlineStr">
        <is>
          <t>indeed</t>
        </is>
      </c>
      <c r="E140">
        <f>HYPERLINK("https://www.indeed.com/viewjob?jk=18890e15d5ad585e", "https://www.indeed.com/viewjob?jk=18890e15d5ad585e")</f>
        <v/>
      </c>
      <c r="F140">
        <f>HYPERLINK("https://www.amazon.jobs/jobs/3083247/software-engineer-prime-video?cmpid=DA_INAD200785B", "https://www.amazon.jobs/jobs/3083247/software-engineer-prime-video?cmpid=DA_INAD200785B")</f>
        <v/>
      </c>
      <c r="G140" t="inlineStr">
        <is>
          <t>New York, NY, US</t>
        </is>
      </c>
      <c r="H140" s="3" t="n">
        <v>45914</v>
      </c>
      <c r="I140"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in-2d871d8d775ba5d6</t>
        </is>
      </c>
      <c r="B141" t="inlineStr">
        <is>
          <t>Software Engineer I- Ad Demand</t>
        </is>
      </c>
      <c r="C141" t="inlineStr">
        <is>
          <t>Amazon.com</t>
        </is>
      </c>
      <c r="D141" t="inlineStr">
        <is>
          <t>indeed</t>
        </is>
      </c>
      <c r="E141">
        <f>HYPERLINK("https://www.indeed.com/viewjob?jk=2d871d8d775ba5d6", "https://www.indeed.com/viewjob?jk=2d871d8d775ba5d6")</f>
        <v/>
      </c>
      <c r="F141">
        <f>HYPERLINK("https://www.amazon.jobs/jobs/3082168/software-engineer-i-ad-demand?cmpid=DA_INAD200785B", "https://www.amazon.jobs/jobs/3082168/software-engineer-i-ad-demand?cmpid=DA_INAD200785B")</f>
        <v/>
      </c>
      <c r="G141" t="inlineStr">
        <is>
          <t>New York, NY, US</t>
        </is>
      </c>
      <c r="H141" s="3" t="n">
        <v>45908</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in-bd060b6d060cd200</t>
        </is>
      </c>
      <c r="B142" t="inlineStr">
        <is>
          <t>Software Engineer I- Ad Demand</t>
        </is>
      </c>
      <c r="C142" t="inlineStr">
        <is>
          <t>Amazon.com</t>
        </is>
      </c>
      <c r="D142" t="inlineStr">
        <is>
          <t>indeed</t>
        </is>
      </c>
      <c r="E142">
        <f>HYPERLINK("https://www.indeed.com/viewjob?jk=bd060b6d060cd200", "https://www.indeed.com/viewjob?jk=bd060b6d060cd200")</f>
        <v/>
      </c>
      <c r="F142">
        <f>HYPERLINK("https://www.amazon.jobs/jobs/3082168/software-engineer-i-ad-demand?cmpid=DA_INAD200785B", "https://www.amazon.jobs/jobs/3082168/software-engineer-i-ad-demand?cmpid=DA_INAD200785B")</f>
        <v/>
      </c>
      <c r="G142" t="inlineStr">
        <is>
          <t>San Francisco, CA, US</t>
        </is>
      </c>
      <c r="H142" s="3" t="n">
        <v>45908</v>
      </c>
      <c r="I1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in-767dece976c81ec0</t>
        </is>
      </c>
      <c r="B143" t="inlineStr">
        <is>
          <t>Senior Software Engineer - Query Processing, Aurora DSQL</t>
        </is>
      </c>
      <c r="C143" t="inlineStr">
        <is>
          <t>Amazon Web Services</t>
        </is>
      </c>
      <c r="D143" t="inlineStr">
        <is>
          <t>indeed</t>
        </is>
      </c>
      <c r="E143">
        <f>HYPERLINK("https://www.indeed.com/viewjob?jk=767dece976c81ec0", "https://www.indeed.com/viewjob?jk=767dece976c81ec0")</f>
        <v/>
      </c>
      <c r="F143">
        <f>HYPERLINK("https://www.amazon.jobs/jobs/2987643/senior-software-engineer--query-processing-aurora-dsql?cmpid=DA_INAD200785B", "https://www.amazon.jobs/jobs/2987643/senior-software-engineer--query-processing-aurora-dsql?cmpid=DA_INAD200785B")</f>
        <v/>
      </c>
      <c r="G143" t="inlineStr">
        <is>
          <t>East Palo Alto, CA, US</t>
        </is>
      </c>
      <c r="H143" s="3" t="n">
        <v>45796</v>
      </c>
      <c r="I14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in-e9861e036d3e17d0</t>
        </is>
      </c>
      <c r="B144" t="inlineStr">
        <is>
          <t>Senior Software Engineer - Query Processing, Aurora DSQL</t>
        </is>
      </c>
      <c r="C144" t="inlineStr">
        <is>
          <t>Amazon Web Services</t>
        </is>
      </c>
      <c r="D144" t="inlineStr">
        <is>
          <t>indeed</t>
        </is>
      </c>
      <c r="E144">
        <f>HYPERLINK("https://www.indeed.com/viewjob?jk=e9861e036d3e17d0", "https://www.indeed.com/viewjob?jk=e9861e036d3e17d0")</f>
        <v/>
      </c>
      <c r="F144">
        <f>HYPERLINK("https://www.amazon.jobs/jobs/2987643/senior-software-engineer--query-processing-aurora-dsql?cmpid=DA_INAD200785B", "https://www.amazon.jobs/jobs/2987643/senior-software-engineer--query-processing-aurora-dsql?cmpid=DA_INAD200785B")</f>
        <v/>
      </c>
      <c r="G144" t="inlineStr">
        <is>
          <t>Seattle, WA, US</t>
        </is>
      </c>
      <c r="H144" s="3" t="n">
        <v>45796</v>
      </c>
      <c r="I14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in-b360067e0c8a5093</t>
        </is>
      </c>
      <c r="B145" t="inlineStr">
        <is>
          <t>Infrastructure Software Engineer, Control &amp; Calibration, AWS Center for Quantum Computing</t>
        </is>
      </c>
      <c r="C145" t="inlineStr">
        <is>
          <t>Amazon Web Services</t>
        </is>
      </c>
      <c r="D145" t="inlineStr">
        <is>
          <t>indeed</t>
        </is>
      </c>
      <c r="E145">
        <f>HYPERLINK("https://www.indeed.com/viewjob?jk=b360067e0c8a5093", "https://www.indeed.com/viewjob?jk=b360067e0c8a5093")</f>
        <v/>
      </c>
      <c r="F145">
        <f>HYPERLINK("https://www.amazon.jobs/jobs/2956016/infrastructure-software-engineer-control--calibration-aws-center-for-quantum-computing?cmpid=DA_INAD200785B", "https://www.amazon.jobs/jobs/2956016/infrastructure-software-engineer-control--calibration-aws-center-for-quantum-computing?cmpid=DA_INAD200785B")</f>
        <v/>
      </c>
      <c r="G145" t="inlineStr">
        <is>
          <t>San Francisco, CA, US</t>
        </is>
      </c>
      <c r="H145" s="3" t="n">
        <v>45757</v>
      </c>
      <c r="I145"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in-642a841244454bda</t>
        </is>
      </c>
      <c r="B146" t="inlineStr">
        <is>
          <t>Infrastructure Software Engineer, Control &amp; Calibration, AWS Center for Quantum Computing</t>
        </is>
      </c>
      <c r="C146" t="inlineStr">
        <is>
          <t>Amazon Web Services</t>
        </is>
      </c>
      <c r="D146" t="inlineStr">
        <is>
          <t>indeed</t>
        </is>
      </c>
      <c r="E146">
        <f>HYPERLINK("https://www.indeed.com/viewjob?jk=642a841244454bda", "https://www.indeed.com/viewjob?jk=642a841244454bda")</f>
        <v/>
      </c>
      <c r="F146">
        <f>HYPERLINK("https://www.amazon.jobs/jobs/2956016/infrastructure-software-engineer-control--calibration-aws-center-for-quantum-computing?cmpid=DA_INAD200785B", "https://www.amazon.jobs/jobs/2956016/infrastructure-software-engineer-control--calibration-aws-center-for-quantum-computing?cmpid=DA_INAD200785B")</f>
        <v/>
      </c>
      <c r="G146" t="inlineStr">
        <is>
          <t>Pasadena, CA, US</t>
        </is>
      </c>
      <c r="H146" s="3" t="n">
        <v>45757</v>
      </c>
      <c r="I146"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in-6eba264a0c320ff4</t>
        </is>
      </c>
      <c r="B147" t="inlineStr">
        <is>
          <t>Embedded C++ Software Engineer, Machine Learning Acceleration</t>
        </is>
      </c>
      <c r="C147" t="inlineStr">
        <is>
          <t>Amazon Web Services</t>
        </is>
      </c>
      <c r="D147" t="inlineStr">
        <is>
          <t>indeed</t>
        </is>
      </c>
      <c r="E147">
        <f>HYPERLINK("https://www.indeed.com/viewjob?jk=6eba264a0c320ff4", "https://www.indeed.com/viewjob?jk=6eba264a0c320ff4")</f>
        <v/>
      </c>
      <c r="F147">
        <f>HYPERLINK("https://www.amazon.jobs/jobs/2894488/embedded-c-software-engineer-machine-learning-acceleration?cmpid=DA_INAD200785B", "https://www.amazon.jobs/jobs/2894488/embedded-c-software-engineer-machine-learning-acceleration?cmpid=DA_INAD200785B")</f>
        <v/>
      </c>
      <c r="G147" t="inlineStr">
        <is>
          <t>Cupertino, CA, US</t>
        </is>
      </c>
      <c r="H147" s="3" t="n">
        <v>45691</v>
      </c>
      <c r="I14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in-1cd80ea4c2a1786d</t>
        </is>
      </c>
      <c r="B148" t="inlineStr">
        <is>
          <t>Embedded C++ Software Engineer, Machine Learning Acceleration</t>
        </is>
      </c>
      <c r="C148" t="inlineStr">
        <is>
          <t>Amazon Web Services</t>
        </is>
      </c>
      <c r="D148" t="inlineStr">
        <is>
          <t>indeed</t>
        </is>
      </c>
      <c r="E148">
        <f>HYPERLINK("https://www.indeed.com/viewjob?jk=1cd80ea4c2a1786d", "https://www.indeed.com/viewjob?jk=1cd80ea4c2a1786d")</f>
        <v/>
      </c>
      <c r="F148">
        <f>HYPERLINK("https://www.amazon.jobs/jobs/2894488/embedded-c-software-engineer-machine-learning-acceleration?cmpid=DA_INAD200785B", "https://www.amazon.jobs/jobs/2894488/embedded-c-software-engineer-machine-learning-acceleration?cmpid=DA_INAD200785B")</f>
        <v/>
      </c>
      <c r="G148" t="inlineStr">
        <is>
          <t>Austin, TX, US</t>
        </is>
      </c>
      <c r="H148" s="3" t="n">
        <v>45691</v>
      </c>
      <c r="I14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li-4330023010</t>
        </is>
      </c>
      <c r="B2" t="inlineStr">
        <is>
          <t>Software Engineer - Endpoint Technologies</t>
        </is>
      </c>
      <c r="C2" t="inlineStr">
        <is>
          <t>TradeCentric</t>
        </is>
      </c>
      <c r="D2" t="inlineStr">
        <is>
          <t>linkedin</t>
        </is>
      </c>
      <c r="E2" t="inlineStr"/>
      <c r="F2" t="inlineStr"/>
      <c r="G2" t="inlineStr">
        <is>
          <t>Charlottesville, VA</t>
        </is>
      </c>
      <c r="H2" t="inlineStr"/>
      <c r="I2" t="inlineStr">
        <is>
          <t>**Department:** 
 Product
**Location:** 
 US \- Remote
**Description**
**Job Summary:**
 As a Software Engineer \- Endpoint Technologies, you will work collaboratively within a Scrum environment to deliver B2B integration solutions between TradeCentric’s platform and its technology partners like Salesforce, Coupa, BigCommerce, NetSuite, and technology bridges for a wide variety of systems. With an emphasis on reliability, quality, security, and customer outcomes, the endpoint solutions you deliver will contribute to customer success and help drive TradeCentric’s next phase of growth.
**Report To:** 
 Software Engineering Manager
**Pay Range:** 
 $100,000\-$115,000 USD
*Final compensation will be determined based on skills, experience, and qualifications.*
**Work Location:** 
 This role is 100% remote. (EST/CST time zones preferred for this role)
 While we prefer candidates based in the below city/states, we are open to considering candidates from other locations if you feel you meet the role’s qualifications. Don’t hesitate to apply if you’re excited about this opportunity and believe you’re a great fit!
* Raleigh, North Carolina
* Charlottesville, Virginia
* Boston, Massachusetts
* Minneapolis, Minnesota
* Chicago, Illinois
**What You'll Do**
* Contribute to research, design, develop, test, and deploy software solutions for your area
* Champion quality and meet quality requirements for all work, including unit test development, adherence to quality gates, and contribution to test plans
* Research API and integration solutions from partner platforms
* Assist in assessing and diagnosing production issues, contribute to recommendations and resolution
* Collaborate with peers and stakeholders in all aspects of Scrum and other team ceremonies
* Contribute to discussions with Development Manager and Product Manager on research, prioritization, scoping, and acceptance criteria for roadmap deliverables
* Support and participate in continuous improvement efforts
**Who You Are**
* Bachelor Degree in Computer Science, Engineering, or a related field is strongly preferred
* 3\-6 years of software development experience
* Emerging technical expertise in at least one area of endpoint technologies, development discipline, or technology
* Adept at working with Git, containers, and Apache/Linux
* Creative problem\-solver
* A great teammate. Confident and passionate, yet humble and empathetic
* Works independently on routine assignments and seeks guidance for complex or new assignments
* A champion and practitioner of Scrum’s principle qualities
* Developing proficiency with PHP (Laravel/Zend) \&amp; JavaScript (Node.js); building scalable secure services/APIs and working with data platforms including Elasticsearch, Logstash, MySQL, and MongoDB.
* Experience working with various data formats including XML, cXML, JSON and HTTP/API protocols
* Experience with other formats such as X12 EDI is desirable but not mandatory
* Experience with one or more integration technologies and APIs for eCommerce and eProcurement platforms such as Adobe/Magento, Salesforce, BigCommerce, Shopify, Coupa, NetSuite, Ariba, SAP, or similar
**Company Benefits**
 At TradeCentric, we have a strong and innovative team dedicated to transforming the way our clients do business. It is our people who make it happen and we strive to take care of our employees in every way we can. Below is a list of benefits that are offered to employees, once eligibility is met:
 🩺 Health Benefits: Medical, Dental and Vision
 💰 Health Savings Account (HSA) and Flexible Spending Account (FSA)
 👨‍👩‍👧‍👦 Dependent Care FSA (DCFSA)
 📈 401k with Company Match
 🕒 Flexible Time Off
 🕒 Volunteer Time Off
 👶 Paid Parental Leave
 🛡️ Company paid Short Term \&amp; Long Term Disability
 🛡️ Company paid Life Insurance
 🏠 Monthly Work from Home Stipend
 🎓 Professional Development Reimbursement Program
**TradeCentric is an equal opportunity employer (M/F/D/V).**
 We recruit, employ, train, compensate, and promote without regard to race, religion, creed, color, national origin, age, gender, sexual orientation, gender identity, marital status, disability, veteran status, or any other basis protected by applicable federal, state or local law.
 Reasonable accommodations may be made to enable individuals with disabilities to perform the essential functions.</t>
        </is>
      </c>
    </row>
    <row r="3">
      <c r="A3" t="inlineStr">
        <is>
          <t>li-4354514597</t>
        </is>
      </c>
      <c r="B3" t="inlineStr">
        <is>
          <t>Senior Software Engineer - Retail Fresh Maintenance</t>
        </is>
      </c>
      <c r="C3" t="inlineStr">
        <is>
          <t>Publix Super Markets</t>
        </is>
      </c>
      <c r="D3" t="inlineStr">
        <is>
          <t>linkedin</t>
        </is>
      </c>
      <c r="E3" t="inlineStr"/>
      <c r="F3" t="inlineStr"/>
      <c r="G3" t="inlineStr">
        <is>
          <t>Lakeland, FL</t>
        </is>
      </c>
      <c r="H3" t="inlineStr"/>
      <c r="I3" t="inlineStr">
        <is>
          <t>**Description**
 Publix Super Markets, Inc., the largest employee\-owned company in the U.S., is driven by a dynamic technology team of 2,300\+ professionals delivering innovative solutions to 1,400\+ stores and 200,000\+ associates across 8 states. From IT security and platform engineering to architecture, software development, and infrastructure, we offer career opportunities at every level—internships through technical leadership. Join a company consistently ranked among Fortune’s “100 Best Companies to Work For” and help us build more than great subs—build the future of technology at Publix.
 Join the Publix Retail Fresh Maintenance team as a Senior Software Engineer where you will be part of a team maintaining and enhancing retail fresh applications leveraging a diverse and modern technology stack. You will be responsible for playing a key role in interacting with enterprise teams and product management. As a technologist, you will write user stories and groom product backlog items to develop features that consider a frictionless user experience while leading the delivery of lasting contributions to our store associates.
 Location: Flexible Hybrid (8 days per month in Lakeland, FL)Work Model:
 Enjoy the best of both worlds—collaborate in person and innovate remotely.
 Why Join Us?
* Hybrid Flexibility : Work remotely when you need focus time and join us onsite for high\-impact collaboration and brainstorming sessions.
* Operational Efficiency : Ensure technology solutions support efficient workflows and enable automation to improve operational effectiveness.
* Cutting\-Edge AI Projects : Drive innovation in AI platforms, integrating advanced tools and frameworks to solve complex business challenges.
* Empowered Culture : We value autonomy, creativity, and continuous learning—your ideas shape the future of technology in our organization.
**Your Impact**
* Develop and modify applications using C\#.NET based on technical designs and backlog items.
* Create user stories and refine backlog items to deliver features that enhance user experience for store associates.
* Diagnose and resolve complex issues by analyzing code, designing, coding, and testing solutions.
* Serve as Single Point Owner (SPO) for multiple projects, ensuring adherence to Publix IT development standards.
* Translate business requirements into scalable, high\-performance technology solutions.
* Prepare and maintain technical and user documentation for new and existing programs.
* Communicate and collaborate effectively with technical teams, vendors, and business stakeholders.
**Required Qualifications**
* Bachelor’s degree in computer science or other analytical discipline or equivalent experience
* 5\+ years’ experience in application design, development, and delivery in an enterprise environment
* 3\+ years of experience leveraging .NET Framework 4\.5/5\.0, .NET Core, C\#.NET, ASP.NET MVC and object\-oriented design
* 3\+ years of experience with SQL Server or similar relational databases
* 3\+ years of experience in designing enterprise solutions using object\-oriented programming concepts and design patterns
* Leadership experience in driving a team’s work in an agile scrum environment as a subject matter expert, product owner, business analyst, or similar position
* Experience in reviewing and approving design of complex technical solutions working with architects and other company resources
* Strong knowledge of architecture and design of solutions in an Azure environment to solve business problems
**Preferred Qualifications**
* 6\+ years’ experience gathering and documenting business and technical requirements
* 6\+ years’ experience with Agile and Scrum Development methodologies
* 3\+ years of experience in implementing enterprise applications using platform services like Azure App service, Azure SQL, Azure Service Bus, Databricks, notification hubs, event hubs, Microservices, stream analytics, Cosmos DB, Redis Cache, OpenAPI, IoT Hub, application insights, etc.
* 3\+ years’ experience using Xamarin, Xamarin Forms, or MAUI
* Familiarity with mobile development and deployment of Android and Apple applications
* Experience with event\-based messaging platforms like Kafka or MQTT
* Experience with Kubernetes (K3\), Docker, or other containerization technologies
* Experience planning, organizing, and managing projects and projects teams
* Experience or desire to work in event\-based/micro\-service style architecture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https://jobs.publix.com/benefits/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t>
        </is>
      </c>
    </row>
    <row r="4">
      <c r="A4" t="inlineStr">
        <is>
          <t>li-4303091924</t>
        </is>
      </c>
      <c r="B4" t="inlineStr">
        <is>
          <t>Senior Software Engineer - Data Acquisition</t>
        </is>
      </c>
      <c r="C4" t="inlineStr">
        <is>
          <t>WEX</t>
        </is>
      </c>
      <c r="D4" t="inlineStr">
        <is>
          <t>linkedin</t>
        </is>
      </c>
      <c r="E4" t="inlineStr"/>
      <c r="F4" t="inlineStr"/>
      <c r="G4" t="inlineStr">
        <is>
          <t>Chicago, IL</t>
        </is>
      </c>
      <c r="H4" t="inlineStr"/>
      <c r="I4" t="inlineStr">
        <is>
          <t>**About The Role**
**The
 **Data Acquisition Team** 
 is the entry point to WEX’s Data\-as\-a\-Service (DaaS) platform—responsible for ingesting, validating, and orchestrating raw data from dozens of internal systems and third\-party providers.**
**As a
 **Senior Software Engineer** 
 , you’ll play a key role in designing and building robust, scalable, and extensible pipelines that feed the entire data ecosystem at WEX. You’ll work across multiple data domains and ingestion patterns—batch, streaming, and event\-driven—while ensuring quality, performance, and governance are embedded in every step.**
**WEX is undergoing a data platform transformation—and this team builds the foundation. Every pipeline you create contributes directly to powering analytics, automation, and product intelligence across all business domains.**
**If you’re passionate about
 **scaling data platforms from the ground up** 
 , this is your chance to help shape how WEX ingests and leverages its most valuable asset: data.**
****What You’ll Do****
* Build and maintain high\-performance data acquisition pipelines that integrate with a variety of systems across WEX and third\-party vendors.
* Contribute to the development of a modular ingestion platform that enables reusability, reliability, and observability at scale.
* Implement core pipeline components such as schema validation, transformation orchestration, error handling, and audit logging.
* Support batch and streaming ingestion flows, ensuring the platform meets varying latency and volume requirements across business units.
* Ensure traceability, lineage, and security through integration with control plane and governance systems.
* Participate in code reviews, design sessions, and incident resolution—promoting high standards for code quality and operational reliability.
****What You Bring****
* B.Sc. in Computer Science, Engineering, or related technical field; M.Sc. a plus but not required.
* \+4 years of experience as a software or data engineer, ideally in high\-volume or distributed systems environments.
* Strong programming skills in Python, Java, Scala, or another systems\-focused language.
* Experience with data integration and ingestion pipelines—you understand what it means to bring data in from source systems, transform it, and deliver it reliably downstream.
* Solid grasp of engineering fundamentals, including version control, modular design, testing, and performance tuning.
* Familiarity with concepts like schema evolution, event\-driven architectures, observability, and role\-based access control.
* A collaborative mindset—comfortable working across domains, products, and infrastructure layers.
* A strong sense of ownership and accountability—you care deeply about building systems that last.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$120,000\.00 \- $160,000\.00</t>
        </is>
      </c>
    </row>
    <row r="5">
      <c r="A5" t="inlineStr">
        <is>
          <t>li-4279664000</t>
        </is>
      </c>
      <c r="B5" t="inlineStr">
        <is>
          <t>AI / ML Engineer, Software Engineering - Vice President</t>
        </is>
      </c>
      <c r="C5" t="inlineStr">
        <is>
          <t>iCapital</t>
        </is>
      </c>
      <c r="D5" t="inlineStr">
        <is>
          <t>linkedin</t>
        </is>
      </c>
      <c r="E5" t="inlineStr"/>
      <c r="F5" t="inlineStr"/>
      <c r="G5" t="inlineStr">
        <is>
          <t>New York, NY</t>
        </is>
      </c>
      <c r="H5" t="inlineStr"/>
      <c r="I5" t="inlineStr">
        <is>
          <t>iCapital is powering the world’s alternative investment marketplace. Our financial technology platform has transformed how advisors, wealth management firms, asset managers, and banks evaluate and recommend bespoke public and private market strategies for their high\-net\-worth clients. iCapital services, approximately $945 billion in global client assets invested in 1,940 funds, as of June 2025\.
 iCapital has been named to the Forbes Fintech 50 for seven consecutive years (2018\-2024\); a three\-time selection by Forbes to its list of Best Startup Employers (2021\-2023\); and a four\-time winner of MMI/Barron’s Solutions Provider award (See link below).
**About The Role**
 iCapital is seeking an experienced and forward\-thinking AI/ML Engineer Vice President with a strong engineering background and experience leading technical teams. The ideal candidate thrives at the intersection of AI/ML systems engineering, platform development, and intelligent agent design. This individual will play a key role in building and scaling AI capabilities across our platform, with a focus on production\-grade systems rather than data science. If you are passionate about developing systems that go beyond traditional ML models—systems that can reason, plan, and act in dynamic environments using tools, APIs, and memory—this is the role for you. While this is primarily a hands\-on engineering position, this role will also provide technical leadership, mentor junior engineers, and collaborate cross\-functionally to shape our AI strategy and execution.
**Responsibilities**
* Design, build, and optimize scalable AI/ML infrastructure and services powering intelligent features across our platform.
* Lead the development of AI agents capable of autonomous decision\-making, task execution, and multi\-step reasoning across internal and customer\-facing applications.
* Architect and implement modular agent frameworks by integrating tools, APIs, and memory systems for dynamic and context\-aware behavior.
* Collaborate with product, data, and infrastructure teams to embed AI capabilities into production systems.
* Drive the architecture and development of ML pipelines, model serving frameworks, and real\-time inference systems.
* Evaluate and integrate state\-of\-the\-art AI tools and frameworks to accelerate development and deployment.
* Provide technical mentorship and guidance to engineers, contributing to team growth and best practices.
* Partner with Data Science teams to operationalize models, ensuring a smooth transition from experimentation to production.
* Contribute to technical roadmaps and help define long\-term AI/ML platform and agent strategy.
* Optimize agent performance for latency, reliability, and safety in production environments.
* Stay current with the latest research and tools in LLMs, multi\-agent systems, and cognitive architectures.
* Contribute to the development of internal libraries, best practices, and reusable components for agentic systems.
**Qualifications**
* 8\+ years of experience in software engineering, with at least 2\+ years focused on AI/ML systems
* Proven experience in building and deploying ML models in production environments
* Hands\-on experience with AI agent frameworks (e.g., LangChain, Semantic Kernel, AutoGen, or custom\-built systems)
* Strong understanding of the ML lifecycle, including data pipelines, model training, evaluation, deployment, and monitoring
* Familiar with MLOps tools such as MLflow, Kubeflow, or SageMaker
* Deep understanding of LLM orchestration, prompt engineering, tool use, and memory architectures
* Familiar with various LLM inference engines such as vLLM or SGLang
* Experience in integrating agents with APIs, databases, and external systems
* Familiar with retrieval\-augmented generation (RAG), vector databases, and knowledge graphs
* Experience deploying AI systems in cloud environments (AWS, GCP, Azure) and utilizing containerization tools (Docker, Kubernetes)
* Demonstrated ability to lead projects or small teams, with excellent communication and collaboration skills
* Bachelor’s or master’s degree in computer science, engineering, or a related field
* Experience with LLMs, generative AI, or multi\-agent systems in production is a plus
* Background in distributed systems or real\-time data processing is a plus
* Experience in the finance industry is a plus
**Benefits**
 The base salary range for this role is $180,000 to $220,000\.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row>
    <row r="6">
      <c r="A6" t="inlineStr">
        <is>
          <t>li-3985806293</t>
        </is>
      </c>
      <c r="B6" t="inlineStr">
        <is>
          <t>Software Engineer (L4), Content &amp; Business Products</t>
        </is>
      </c>
      <c r="C6" t="inlineStr">
        <is>
          <t>Netflix</t>
        </is>
      </c>
      <c r="D6" t="inlineStr">
        <is>
          <t>linkedin</t>
        </is>
      </c>
      <c r="E6" t="inlineStr"/>
      <c r="F6" t="inlineStr"/>
      <c r="G6" t="inlineStr">
        <is>
          <t>Los Gatos, CA</t>
        </is>
      </c>
      <c r="H6" t="inlineStr"/>
      <c r="I6"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At Netflix, we want to entertain the world and are constantly innovating on how entertainment is imagined, created, and delivered to a global audience. Engineering teams within Netflix work hard every day to scale and innovate content production and member experiences in an ever\-growing complex software landscape.
 Our Content \&amp; Business Products (CBP) Engineering teams build the products and services to optimize and automate the content creation process including content planning, financing, production, promotion, and distribution. We support Netflix's enterprise needs including Finance, Talent, Tech Support, and Customer Support to ensure smooth operations. Our products enable the entire workflow of content production, from pitch to play, and provide innovative new ways to develop and manage entertainment at scale. The team’s work is critical to supporting the creation of movies and TV series that will thrill the world!
**Qualifications**
* You have experience crafting resilient, high\-scale, low\-latency microservices in production environments.
* Proficient with gRPC, GraphQL, or RESTful API design and implementation.
* Have recent proficient experience with Java, C\#, or other OO programming languages with a solid understanding of OO design principles, concurrency, multi\-threading, performance tuning, and observability.
* You have a proven track record of resilient data modeling through understanding and translating business requirements to technical requirements and identifying entities and their relationships that will serve the business process needs.
* You participate in our on\-call rotation and lead the incident reviews.
**What Sets You Apart**
* Curious about a broad range of new or unfamiliar technologies, the consumer base, and product vision.
* Seek different perspectives, feedback, and relevant information to continuously grow and improve.
* Maintain strong relationships with cross\-functional teams through clear communication.
* Take a thoughtful, practical approach to problem\-solving that considers tradeoffs and avoids over\-engineering.
* Comfortable asking questions and seeking knowledge in unfamiliar or ambiguous situations.
* You evangelize new ideas and exemplify technical leadership with a bias for action.
* You appreciate the complexity of engaging with a global challenge.
**Spotlight On CBP Engineering Teams**
**Title Launch Management (TLM)**
 TLM builds and innovates the technology foundations of the title experience that allows us to understand, organize, and launch titles globally at scale. We are the bridge between the title creation lifecycle and the consumer experience. Titles refer to any type of entertainment we launch on Netflix including series \&amp; movies, games, ads, live events, trailers, promotional videos, and more.
**Content Planning Engineering**
 The Content Planning Engineering (CPE) team is responsible for building products that are used for forecasting the overall Netflix content spend. As one of the most upstream products in a title’s pitch\-to\-play lifecycle, the forecasted data is critical to the planning and operations of a lot of downstream teams. We integrate with many other engineering and data science solutions to help power the overall Netflix content creation.
**Publishing and Fan Engagement Technology (PuFTech)**
 Publishing and Fan Engagement Technology Engineering connects the digital and physical worlds, creating interactive and immersive experiences for Netflix fans outside of the streaming service. We power the digital experience for Netflix House and Tudum—our fandom destination for all things Netflix— and develop technology that brings the coolest merchandise to life, from Netflix\-themed apparel to limited\-edition consumer products. This makes it easier than ever for fans to connect with their favorite Netflix stories in the real world. We also love experimenting with AI to create the most exciting experiences for our fans, both online and in the real world.
**Studio Orchestrator**
 The Studio Orchestrator Team develops and operates a robust platform designed for building media workflows and complete media business applications. This platform delivers essential development primitives and non\-functional requirements, such as content security, enabling quick and easy creation of media applications. Currently, this platform is foundational to managing and transforming hundreds of petabytes of footage, integrating GenAI and other machine capabilities into content production, and powering Netflix's animation and visual effects initiatives.
**Localization Tech**
 Our Content \&amp; Business Products (CBP) Engineering teams build the products and services that power the full content lifecycle—from pitch to play—enabling Netflix to create and manage entertainment at scale. Within CBP, the Localization Tech team extends the reach of our content by localizing it into 35 languages across dubbing, subtitling, closed captions, and more. We build products that enable the creation of high\-quality subtitling, dubbing, and accessibility assets, empowering linguists through advanced AI/ML\-driven creative tools. We develop platforms that manage and streamline logistics across the entire localization lifecycle, allowing partners to focus on strategic and creative decision\-making. Together, we ensure Netflix feels immersive, authentic, and meaningful for members in every language.
**A Few More Things About Us**
 As a team, we come from many different countries and our fields of education range from the humanities to engineering to computer science. Our team includes product managers, program managers, designers, full\-stack developers, distributed systems engineers, and data scientists. Folks have the opportunity to wear different hats, should they choose to. We strongly believe this diversity has helped us build an inclusive and empathetic environment and look forward to adding your perspective to the mix!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7">
      <c r="A7" t="inlineStr">
        <is>
          <t>li-4333562794</t>
        </is>
      </c>
      <c r="B7" t="inlineStr">
        <is>
          <t>Software Engineer 1</t>
        </is>
      </c>
      <c r="C7" t="inlineStr">
        <is>
          <t>Intuit</t>
        </is>
      </c>
      <c r="D7" t="inlineStr">
        <is>
          <t>linkedin</t>
        </is>
      </c>
      <c r="E7" t="inlineStr"/>
      <c r="F7" t="inlineStr"/>
      <c r="G7" t="inlineStr">
        <is>
          <t>New York, NY</t>
        </is>
      </c>
      <c r="H7" t="inlineStr"/>
      <c r="I7"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Vue.js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customers.
* Learn and apply proven best practices in designing, building, and supporting software projects.
* Receive hands\-on guidance, detailed feedback, and mentorship from experienced team members.
* Collaborate closely with peers across disciplines and build strong, supportive working relationships.
**Qualifications**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(e.g., HTML, CSS, JavaScript) and familiarity with frameworks or tools is a plus.
* Strong written, verbal, and collaboration skills with the ability to work effectively in a team environment.
* Awareness of AI concepts and a basic understanding of capabilities like Generative AI.
*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row>
    <row r="8">
      <c r="A8" t="inlineStr">
        <is>
          <t>li-4354376789</t>
        </is>
      </c>
      <c r="B8" t="inlineStr">
        <is>
          <t>Senior Backend Software Engineer, Fintech</t>
        </is>
      </c>
      <c r="C8" t="inlineStr">
        <is>
          <t>ProducePay</t>
        </is>
      </c>
      <c r="D8" t="inlineStr">
        <is>
          <t>linkedin</t>
        </is>
      </c>
      <c r="E8" t="inlineStr"/>
      <c r="F8" t="inlineStr"/>
      <c r="G8" t="inlineStr"/>
      <c r="H8" t="inlineStr"/>
      <c r="I8" t="inlineStr">
        <is>
          <t>We are seeking a seasoned backend engineer with a passion for building robust, scalable financial platforms.
 Join our team to take technical ownership of high\-impact features within our core financial product. You will leverage your expertise in financial systems and contribute to an engineering culture defined by ownership, product obsession, and relentless simplification. This is a chance to rapidly iterate on a mission\-critical, in\-house FinTech platform.
**Responsibilities:**
* Platform Design \&amp; Architecture: Drive the technical direction and architecture for new features and core services within our financial platform, ensuring performance, reliability, and scalability
* Feature Ownership: Take full ownership of high\-impact features, writing clean, well\-tested code in production environments
* System Health \&amp; Reliability: Participate in on\-call rotations and incident response to maintain the stability and performance of our critical financial systems
* Mentorship \&amp; Growth: Foster a culture of constant learning by mentoring engineers through rigorous code reviews, pair programming, and knowledge sharing
* Cross\-Functional Collaboration: Work closely with product, design, sales, and marketing teams to translate customer needs into impactful, production\-ready software
* Documentation: Enhance team knowledge and system maintainability by writing and improving runbooks and technical documentation
**Requirements**
**Core Technical Expertise**
* 5\+ years of experience shipping production\-quality backend software and building robust web applications
* Extensive experience with Node.js and TypeScript
* Direct experience with GraphQL, Postgres, and Serverless technologies on AWS
* Strong SQL debugging skills required to troubleshoot complex data and transaction issues
* Bachelor's degree in Computer Science or a related field
**FinTech Systems Experience**
* Transaction Systems: Proven experience designing and supporting complex financial transaction systems within FinTech, banking, or payments environments
* Architecture: Deep understanding of event\-driven and/or workflow\-based architecture
* Integrations: Prior experience integrating with critical third\-party systems (e.g., NetSuite, Salesforce, Modern Treasury, banking APIs)
* Reliability Concepts: Practical understanding of key reliability concepts, including idempotency, retries, and comprehensive error handling
**Nice to Have**
* Accounting Knowledge: Familiarity with core accounting concepts (e.g., double\-entry bookkeeping, ledgers, reconciliation)
* Reconciliation: Experience developing reconciliation workflows and identifying data mismatches
* Advanced Tech: Experience with applying AI/ML techniques to improve workflows or leverage financial data
**Benefits**
* Health Care Plan (Medical, Dental \&amp; Vision)
* Retirement Plan (401k)
* Life Insurance (Basic, Voluntary \&amp; AD\&amp;D)
* Paid Time Off (Vacation, Sick \&amp; Public Holidays)
* Family Leave (Maternity, Paternity)
* Short Term \&amp; Long Term Disability
* Training \&amp; Development
* Work From Home
* Wellness Resources
* Location Disclosure: The salary will be adjusted at the time of the offer using market benchmarks for the location where the candidate lives, with the final offer falling within or near the posted range</t>
        </is>
      </c>
    </row>
    <row r="9">
      <c r="A9" t="inlineStr">
        <is>
          <t>li-4331762404</t>
        </is>
      </c>
      <c r="B9" t="inlineStr">
        <is>
          <t>Full Stack Engineer II</t>
        </is>
      </c>
      <c r="C9" t="inlineStr">
        <is>
          <t>Samsara</t>
        </is>
      </c>
      <c r="D9" t="inlineStr">
        <is>
          <t>linkedin</t>
        </is>
      </c>
      <c r="E9" t="inlineStr"/>
      <c r="F9" t="inlineStr"/>
      <c r="G9" t="inlineStr"/>
      <c r="H9" t="inlineStr"/>
      <c r="I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 are seeking an experienced and highly motivated Software Engineer to join our Connected Asset Maintenance team. Maintenance is a brand\-new product at Samsara, offering the opportunity to shape its foundations. Our team is building a cutting\-edge platform that leverages digitization, intuitive interfaces, and centralized data to drive operational efficiency and modernize physical workflows.
 In this role, you’ll combine strong software engineering expertise with excellent communication skills to collaborate within and across teams. You’ll help build and scale systems that support Samsara’s rapidly growing customer base and build frameworks that integrate across multiple product surfaces.
**This is a remote position open to candidates residing in the US.**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Work with product managers, designers, firmware, and infra engineers to architect, build, test, and deliver full\-stack features across front\-end, back\-end, and mobile. GoLang, GraphQL, Typescript, React, and ReactNative are some of the components of our technology stack. Direct experience with these technologies is not required.
* Be responsible for maintaining the production systems that your team owns and provide operational support.
* Help build the culture of the team and make it an enjoyable place to work.
* Solve problems that enable our product for our global customers.
* Partner with other teams to take in requirements for prioritization and evangelize the platform we’re building.
* Champion, role model, and embed Samsara’s cultural principles (Focus on Customer Success, Build for the Long Term, Adopt a Growth Mindset, Be Inclusive, Win as a Team) as we scale globally and across new offices.
**Minimum requirements for the role:**
* 2\+ years of professional experience building customer\-facing applications
* Strong programming/coding fundamentals in a language such as Java, Python, Golang, or TypeScript
* Experience designing and architecting large, high\-scale systems
* An ability to estimate, communicate, and deliver upon project milestones with your team
**An ideal candidate also has:**
* Experience with a public cloud such as AWS
* Familiarity with multiple tiers, like React Frontends and Microservices
* Contributed heavily to driving significant value to their customers
* Curious about our customers, and is eager to improve their day\-to\-day experience
* Loves shipping features that are immediately used by our customers
* Seeks to iterate on new products based on customer feedback
* A Bachelor's or higher in Computer Science or a related discipline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$151,300—$178,000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0">
      <c r="A10" t="inlineStr">
        <is>
          <t>li-4118298061</t>
        </is>
      </c>
      <c r="B10" t="inlineStr">
        <is>
          <t>ML Software Engineer L4/L5, AI for Member Systems</t>
        </is>
      </c>
      <c r="C10" t="inlineStr">
        <is>
          <t>Netflix</t>
        </is>
      </c>
      <c r="D10" t="inlineStr">
        <is>
          <t>linkedin</t>
        </is>
      </c>
      <c r="E10" t="inlineStr"/>
      <c r="F10" t="inlineStr"/>
      <c r="G10" t="inlineStr"/>
      <c r="H10" t="inlineStr"/>
      <c r="I10"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**About**
 As Netflix continues to grow, so do the opportunities to enhance our personalization systems and algorithms. We're looking for a passionate and talented Software Engineer for Machine Learning to join our Al for Member Systems team. In this role, you will apply your expertise in software engineering to design, develop, and scale solutions for the machine learning algorithms that power the Netflix experience. You will work closely with our machine learning researchers, product managers, and other engineers to come up with new systems, improve existing ones, and enable offline experiments and A/B tests. For more details about software engineering for personalization at Netflix, see these links:
* Consolidating ML models
* InTune: Reinforcement Learning\-based Data Pipeline Optimization for Deep Recommendation Models
* Evidence Personalization
* Page Simulation for Better Offline Metrics at Netflix
* RecSysOps
 As a software engineer in the team, you will contribute to the next generation of algorithms used to generate the Netflix experience by driving the vision, requirements, design, implementation, testing, and ownership of software components essential for our algorithmic innovation. You will collaborate with our applied researchers and data scientists to implement scalable, flexible, production\-ready solutions for our algorithms. You will also guide the team towards better software engineering practices and systems by identifying areas for improvement and mentorship. You will collaborate with other engineers to create solutions that are used beyond our team. To excel in this role, you should have a robust software engineering background, a keen sense of software engineering principles and design, a proven experience with large\-scale applications involving machine learning, a love of learning, possess strong communication skills, and the ability to work well in large cross\-functional teams.
**What We Are Looking For**
* A degree in Computer Science or a related field
* 4\+ years of full time software engineering experience with a bachelor’s degree; or 2\+ years of experience with a graduate degree
* Excellent software design and development skills in Python along with Scala, Java, C\+\+, or C\#
* Solid understanding of various software engineering best practices and their appropriate application
* Experience building web\-scale parallel and distributed computing systems
* Experience with large\-scale data frameworks such as Spark or Flink
* Excellent collaboration skills
* Broad understanding of core machine learning concepts and their application in large\-scale, real\-world machine\-learning systems
**Preferred, But Not Required**
* Experience building or enhancing personalization systems, machine learning platforms, search engines, or similar large\-scale machine learning applications.
* Experience building machine learning models or LLMs
* Experience scaling and optimizing the training and serving of machine learning models
* Experience with machine learning libraries TensorFlow, PyTorch, JAX or Keras
* Experience with cloud computing platforms like AWS
* Background in math, statistics, or numerical computation
* Significant contributions to open\-source projects
**What We Offer**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**Note: Level and compensation are determined based on your demonstrated experience, skills, and interview performance. We have several open positions within the personalization, search, and recommendations space. The specific role will be determined based on the candidate's skills and fit, which will be evaluated after the initial round.**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1">
      <c r="A11" t="inlineStr">
        <is>
          <t>li-4333582517</t>
        </is>
      </c>
      <c r="B11" t="inlineStr">
        <is>
          <t>Software Engineer 1</t>
        </is>
      </c>
      <c r="C11" t="inlineStr">
        <is>
          <t>Intuit</t>
        </is>
      </c>
      <c r="D11" t="inlineStr">
        <is>
          <t>linkedin</t>
        </is>
      </c>
      <c r="E11" t="inlineStr"/>
      <c r="F11" t="inlineStr"/>
      <c r="G11" t="inlineStr">
        <is>
          <t>Mountain View, CA</t>
        </is>
      </c>
      <c r="H11" t="inlineStr"/>
      <c r="I11"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Vue.js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customers.
* Learn and apply proven best practices in designing, building, and supporting software projects.
* Receive hands\-on guidance, detailed feedback, and mentorship from experienced team members.
* Collaborate closely with peers across disciplines and build strong, supportive working relationships.
**Qualifications**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(e.g., HTML, CSS, JavaScript) and familiarity with frameworks or tools is a plus.
* Strong written, verbal, and collaboration skills with the ability to work effectively in a team environment.
* Awareness of AI concepts and a basic understanding of capabilities like Generative AI.
*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row>
    <row r="12">
      <c r="A12" t="inlineStr">
        <is>
          <t>li-4354613591</t>
        </is>
      </c>
      <c r="B12" t="inlineStr">
        <is>
          <t>Java Software Engineer I</t>
        </is>
      </c>
      <c r="C12" t="inlineStr">
        <is>
          <t>Esri</t>
        </is>
      </c>
      <c r="D12" t="inlineStr">
        <is>
          <t>linkedin</t>
        </is>
      </c>
      <c r="E12" t="inlineStr"/>
      <c r="F12" t="inlineStr"/>
      <c r="G12" t="inlineStr">
        <is>
          <t>Redlands, CA</t>
        </is>
      </c>
      <c r="H12" t="inlineStr"/>
      <c r="I12" t="inlineStr">
        <is>
          <t>**Overview**
 Build the next generation of ArcGIS Enterprise, a suite of products delivering state\-of\-the\-art mapping and analytics capability to thousands of customers and millions of users worldwide.
 Our team builds cutting\-edge, highly\-scalable and reliable distributed software for on\-premises and the cloud to make maps, geographic information, and analyses available on any device, anywhere, at any time. Our software engineers provide a strong technical voice in the product development process and use the best tools available to design, develop, and deliver a high\-quality distributed systems platform.
 As a software engineer, you will work with our cross\-functional global team of software engineers, product engineers, designers, product managers, and release engineers. You will be actively involved in enhancing the capability of the ArcGIS Enterprise platform from feature inception to delivery, using bleeding edge technology.
 If you are passionate about building great distributed systems, micro\-services architecture, and spatial data analytics, join us!
**Responsibilities**
* Build server\-side Java components and web services to power user experience and geospatial workflows
* Prototype, design, develop, and deliver complete software features and products that can scale, are fault tolerant, and handle concurrent workloads
* Design, architect, and develop complete software features/products to meet customer requirements
* Find, analyze, and fix bugs/performance problems whenever and wherever they occur
* Work collaboratively with other teams to understand requirements and incorporate them into the software
**Requirements**
* 1\+ years of experience developing middleware software components using core Java, Servlets (JavaEE), JSP
* Good understanding of cloud computing platforms (AWS and Azure) and services such as Amazon S3, SQS, EC2 and Azure services such as Blob Service, Table Service, and more
* Good understanding of Java design patterns
* Knowledge of relational databases such as SQL Server, Oracle, PostgreSQL, or DB2
* Experience working with large code bases
* Fundamental understanding of web services including REST and SOAP
* Proficient in debugging and profiling tools (Eclipse/IntelliJ Debugger, JProfiler, and more)
* Knowledge of working with a source control system, preferably GIT
* Excellent problem\-solving, design, development, and debugging skills
* Excellent written and verbal communication and time management skills
* Bachelor's degree in math, computer science, physics, or related field
**Recommended Qualifications**
* Familiarity with JSON and XML
* Knowledge of and familiarity with Java build systems, such as Maven and ANT
* Experience with HTTP monitoring tools (Fiddler) and JDK debugging tools (JProfiler, jmap)
* Knowledge of Docker containers and orchestrators such as Kubernetes
* Master's degree in math, computer science, physics, or related field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$79,040 USD \- $129,792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13">
      <c r="A13" t="inlineStr">
        <is>
          <t>li-4333572792</t>
        </is>
      </c>
      <c r="B13" t="inlineStr">
        <is>
          <t>Software Engineer 1</t>
        </is>
      </c>
      <c r="C13" t="inlineStr">
        <is>
          <t>Intuit</t>
        </is>
      </c>
      <c r="D13" t="inlineStr">
        <is>
          <t>linkedin</t>
        </is>
      </c>
      <c r="E13" t="inlineStr"/>
      <c r="F13" t="inlineStr"/>
      <c r="G13" t="inlineStr">
        <is>
          <t>San Diego, CA</t>
        </is>
      </c>
      <c r="H13" t="inlineStr"/>
      <c r="I13"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Vue.js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customers.
* Learn and apply proven best practices in designing, building, and supporting software projects.
* Receive hands\-on guidance, detailed feedback, and mentorship from experienced team members.
* Collaborate closely with peers across disciplines and build strong, supportive working relationships.
**Qualifications**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(e.g., HTML, CSS, JavaScript) and familiarity with frameworks or tools is a plus.
* Strong written, verbal, and collaboration skills with the ability to work effectively in a team environment.
* Awareness of AI concepts and a basic understanding of capabilities like Generative AI.
*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row>
    <row r="14">
      <c r="A14" t="inlineStr">
        <is>
          <t>li-4330087736</t>
        </is>
      </c>
      <c r="B14" t="inlineStr">
        <is>
          <t>Full Stack Engineer with AI experience</t>
        </is>
      </c>
      <c r="C14" t="inlineStr">
        <is>
          <t>Pasito</t>
        </is>
      </c>
      <c r="D14" t="inlineStr">
        <is>
          <t>linkedin</t>
        </is>
      </c>
      <c r="E14" t="inlineStr"/>
      <c r="F14" t="inlineStr"/>
      <c r="G14" t="inlineStr"/>
      <c r="H14" t="inlineStr"/>
      <c r="I14" t="inlineStr">
        <is>
          <t>**About Pasito**
 Pasito is the AI workspace for employee benefits.
 We’re rethinking how group insurance and benefits are underwritten, delivered, used and measured \- by the people who design them and the people who depend on them. Instead of static PDFs, disconnected systems, and manual workflows, Pasito brings plan design, payroll and benefits data, claims, and financial context into a single, AI‑native workspace that helps benefits actually work for the 178 million Americans who depend on this system.
 We don’t build
 *for* 
 brokers, carriers and employers \- we build
 *with* 
 them. That collaboration shows up in everything we ship: AI agents that extract and structure plan data, tools that turn complexity into clarity for employees, and workflows that save carriers and consultants hundreds of hours per case.
 Today, Pasito supports many of the largest insurance carriers and brokers in the U.S. We’re backed by Y Combinator and Core Innovation Capital, and we’re growing quickly. We ship fast, iterate relentlessly, and care deeply about building systems that are accurate, scalable, and human.
 If you’re excited to work alongside exceptional operators and engineers, and apply AI in a legacy industry where precision and trust matter, Pasito is the place for you.
**The Role** 
 \\ \\ We’re looking for a
 **Full Stack Software Engineer with AI experience** 
 to help build and scale the core systems that power Pasito’s AI workspace.
 This role is for an engineer who enjoys working across backend systems, data pipelines, and user\-facing features \- and who is excited about building production\-grade AI workflows into real products. You’ll own features end\-to\-end, from system design and APIs to AI integrations and product surfaces.
 As an early member of the engineering team, you’ll have real ownership and influence: shaping architecture, defining standards, and building systems that carriers, brokers, and employers rely on every day.
**What You’ll Do**
**Develop AI\-native workflows** 
 \\ Build and integrate AI and LLM\-powered systems for extracting, structuring, and reasoning over complex benefits data.
**Own backend and data\-heavy systems** 
 \\ Design scalable services, data models, and pipelines that support accuracy, performance, and long\-term maintainability.
**Build end\-to\-end product systems** 
 \\ Design, implement, and ship features across backend services, APIs, data layers, and frontend integrations that power Pasito’s platform.
**Collaborate cross\-functionally** 
 \\ Work closely with Product, Design, Sales, and Client teams to understand customer workflows and translate them into durable technical solutions.
**Continuously improve systems** 
 \\ Refine existing architecture, reduce operational complexity, and help define what “great” looks like as the platform scales.
**Who You Are**
* A full stack engineer with 3\+ years of experience building complex web applications
* Comfortable owning backend systems and APIs, while collaborating closely on frontend experiences
* Experienced integrating AI / LLM\-powered systems into real products
* Curious, adaptable, and energized by working in fast\-moving, ambiguous environments
* A collaborative partner to product managers, designers, and other engineers
**Technical Experience We’re Excited About**
* Strong experience with TypeScript across frontend and backend (Node.js)
* Experience building and operating backend services, APIs, and data pipelines
* Hands\-on experience working with AI / LLMs (e.g., ChatGPT, Claude) in production systems
* Familiarity with modern frontend frameworks such as Next.js
* Experience with testing, observability, and maintaining production systems
* Experience integrating with third\-party systems or complex data sources
*Experience in insurance, healthcare, or financial services is a plus, but not required.*
**What’s In It For You**
* Meaningful ownership: Build foundational systems used by carriers, brokers, employers, and employees at scale
* Real impact: Your work directly improves how people understand and use their benefits
* Growth: Join early and grow with the company as we scale our product, team, and distribution
* Competitive compensation: Salary, meaningful equity, and full benefits: medical, dental, vision, 401(k) with match, life insurance, and flexible PTO
* Remote‑first: Work from anywhere in the U.S. with a highly collaborative team
**Statement of Equal Opportunity**
 We are a company that values diversity and appreciates the benefits a diverse workforce produces for our team and clients. We welcome all qualified applicants to apply.</t>
        </is>
      </c>
    </row>
    <row r="15">
      <c r="A15" t="inlineStr">
        <is>
          <t>li-4313295752</t>
        </is>
      </c>
      <c r="B15" t="inlineStr">
        <is>
          <t>Software Engineer</t>
        </is>
      </c>
      <c r="C15" t="inlineStr">
        <is>
          <t>LogRocket</t>
        </is>
      </c>
      <c r="D15" t="inlineStr">
        <is>
          <t>linkedin</t>
        </is>
      </c>
      <c r="E15" t="inlineStr"/>
      <c r="F15" t="inlineStr"/>
      <c r="G15" t="inlineStr"/>
      <c r="H15" t="inlineStr"/>
      <c r="I15" t="inlineStr">
        <is>
          <t>**About LogRocket**
 Founded in 2016, LogRocket's goal is to make every experience on the web as perfect as possible. We're solving a huge challenge for product managers and developers \- understanding the user experience. LogRocket is the first system that gives these teams complete visibility into their customer's experience using their web apps \- through pixel\-perfect replays of user sessions and clear insight into logs, errors, and network activity. We've already attracted an elite roster of over 2,500 customers including Reddit, Ikea, and Airbnb, just to name a few. Our focus is on building software with care and craftsmanship and our engineering blog posts offer a taste of that.
 Backed by top investors such as Matrix Partners, Battery Ventures, and Delta\-V Capital, we've raised $55M in funding and we're eager to bring talented people onboard to support our growth. We're on a mission to improve society's experience with software and that's where you come in.
**Responsibilities**
* Design a system to automatically detect the most common user paths across millions of events
* Create a plugin to support react\-native in our mobile recording SDK
* Implement a search backend that allows users to search in real time across billions of log entries
* Build a machine learning pipeline that automatically detects bugs in our users' apps
* Enrich Salesforce data with customer usage data to help make our sales team more effective
* Automate database scaling to improve operating cost while maintaining the ability to respond to traffic spikes
* Build a system that automatically recommends integrations for customers based on their toolset
**Qualifications**
* 2\+ years of experience in a full stack or backend development role, preferably with a SaaS company
* Familiarity with the state of the art in cloud technologies, including architectural principles, specific tools of the trade, and their strengths and weaknesses
* Some experience in development environments with demanding scalability or availability requirements
* Familiarity with modern Javascript\-based applications and frameworks
* A strong collaborator who is transparent about progress on tasks, seeks feedback early and often, works effectively with the team
* If you don’t meet all of these, we still encourage you to apply. We believe that code is code, regardless of language, and learning different tools is part of joining a new company.
 Benefits \&amp; Perks
* Catered lunch and an impressive array of your favorite snacks (healthy AND non\-healthy!)
* Unlimited vacation policy
* Health, Dental, Vision benefits, 401k, commuter benefits
* Generous stock options
* Regular team outings and activities (from boat rides to paintball, we’ll try anything!)
 This range is intended to provide a guideline for our typical compensation and may be modified based on location or experience of our finalist candidate.
 LogRocket is an equal opportunity employer. We celebrate diversity and are committed to creating an inclusive environment for all employees.
 LogRocket will consider sponsoring visas for applicants in the US that need work authorization.</t>
        </is>
      </c>
    </row>
    <row r="16">
      <c r="A16" t="inlineStr">
        <is>
          <t>li-4043202910</t>
        </is>
      </c>
      <c r="B16" t="inlineStr">
        <is>
          <t>Robotics Software Engineer</t>
        </is>
      </c>
      <c r="C16" t="inlineStr">
        <is>
          <t>Skild AI</t>
        </is>
      </c>
      <c r="D16" t="inlineStr">
        <is>
          <t>linkedin</t>
        </is>
      </c>
      <c r="E16" t="inlineStr"/>
      <c r="F16" t="inlineStr"/>
      <c r="G16" t="inlineStr"/>
      <c r="H16" t="inlineStr"/>
      <c r="I16" t="inlineStr">
        <is>
          <t>\*We are hiring in San Francisco and Pittsburgh locations
**Company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seeking a versatile Robotics Software Engineer to develop and implement software solutions for our robotic systems. Your work will entail building systems for navigation, planning and controls, SLAM, manipulation, and/or perception. You should be comfortable working with both general\-purpose and specialized robotics applications. This role involves close collaboration with research scientists and machine learning engineers to integrate state\-of\-the\-art machine learning models into our robots.
**Responsibilities** 
* Design, implement, and test software to bring our robots to life, focusing on navigation, planning and control, SLAM, perception, manipulation, and/or high\-level behaviors.
* Write and maintain production\-level C\+\+ and Python code for our robotic platforms.
* Collaborate with machine learning engineers and researchers to deploy state\-of\-the\-art models on our robots.
* Work with deployment and test engineers to deploy and monitor robotic solutions at various sites, ensuring robust performance and reliability.
* Continuously improve and optimize robotic software for performance, reliability, and scalability.
**Preferred Qualifications** 
* BS, MS or higher degree in Computer Science, Robotics, Engineering or a related field, or equivalent practical experience.
* Proficiency developing in C\+\+ or Python.
* Prior experience developing and deploying software on real robots.
* Strong systems\-level understanding of the various software modules and their interfaces in a robotic application Strong technical experience in at least one of the following: navigation, motion planning and controls, SLAM, perception/computer vision, or manipulation.
* Experience with ROS/ROS2 or other robotics middleware platforms.
* Deep understanding and practical experience with software engineering principles, including algorithms, data structures, and system design.
* Familiarity with machine learning integration and deployment in robotic systems.
 Base Salary Range
 $100,000 \- $300,000 USD</t>
        </is>
      </c>
    </row>
    <row r="17">
      <c r="A17" t="inlineStr">
        <is>
          <t>li-4103788357</t>
        </is>
      </c>
      <c r="B17" t="inlineStr">
        <is>
          <t>Software Engineer - Data Acquisition / Web Crawling</t>
        </is>
      </c>
      <c r="C17" t="inlineStr">
        <is>
          <t>xAI</t>
        </is>
      </c>
      <c r="D17" t="inlineStr">
        <is>
          <t>linkedin</t>
        </is>
      </c>
      <c r="E17" t="inlineStr"/>
      <c r="F17" t="inlineStr"/>
      <c r="G17" t="inlineStr">
        <is>
          <t>Palo Alto, CA</t>
        </is>
      </c>
      <c r="H17" t="inlineStr"/>
      <c r="I17"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Join a cutting\-edge Data Acquisition team at xAI, where you'll power the future of AI by building world\-class systems to collect and process hundreds of petabytes of data across diverse modalities — web, code, images, audio, video, and beyond. As a Software Engineer specializing in Data Acquisition and Web Crawling, you'll architect and operate large\-scale distributed systems that fuel groundbreaking models like Grok 3 and its successors, delivering the high\-quality data that drives xAI's mission to understand the universe.
 You'll work closely with pre\-training, reasoning, multimodal, and other teams to meet their unique data needs, collaborating with researchers to define precise requirements and deploy large\-scale classifiers for filtering and categorizing vast datasets. This is your opportunity to tackle complex, petabyte\-scale challenges, pushing the boundaries of data engineering to create the foundation for the world's most advanced AI systems.
 This role is for hands\-on engineers who thrive on solving tough problems, working in a flat, fast\-paced environment where initiative and excellence shape leadership. If you're passionate about building robust, high\-throughput data pipelines and want to directly impact the evolution of transformative AI, this is your chance to shine.
 What You'll Do
* Building petabyte\-scale, high\-throughput data processing systems managing hundreds of petabytes to exabytes of data.
* Designing and operating large\-scale distributed systems and pipelines processing hundreds of thousands to millions of operations per second.
* Managing workloads across large cloud compute clusters.
* Pre\-processing datasets for AI training.
* Building and operating large\-scale crawlers, gathering and communicating requirements clearly and concisely.
 Who You Are
* Strong engineering skills with a passion for improving different aspects of data and model performance.
* Strong proficiency in at least one compiled language: Rust, Go, C\+\+, or Java.
* Has worked on one or more modalities other than text and demonstrated exceptional work.
* Building bespoke data processing libraries from scratch.
* Designing and implementing distributed systems in Rust.
* Keeping up with state\-of\-the\-art techniques for preparing AI training data.
* Experience with performance optimization of large\-scale systems is preferred.
* Organizing and meticulously bookkeeping data across multiple clouds, of multiple modalities, and from many sources.
* Experience with SQL/NoSQL databases, especially columnar databases, is a plus.
* Great debugging skills are a must.
* Must have deep knowledge of how the internet works, including DNS, OSI model, crawler architectures, challenges operating crawlers, and headless browsers.
 Tech Stack
* Python
* Rust
* Spark
* Kubernetes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four technical interviews:
2. Coding assessment in a language of your choice.
4. Systems hands\-on: Demonstrate practical skills in a live problem\-solving session.
6. Project deep\-dive: Present your past exceptional work to a small audience.
8. Meet and greet with the wider team.
 Our goal is to finish the main process within one week. All interviews will be conducted via Google Meet.
 Location
 The role is based in the Bay Area \[San Francisco and Palo Alto]. Candidates are expected to be located near the Bay Area or open to relocation.
**Annual Salary Range** 
 $180,000 \- $440,000 USD
*xAI is an equal opportunity employer and does not unlawfully discriminate based on race, color, religion, ethnicity, ancestry, national origin, sex (including pregnancy, childbirth, or related medical conditions), sexual orientation, gender, gender identity, gender expression, age, disability, medical conditions, genetic information, marital status, military or veteran status, or any other applicable legally protected characteristics.* 
*Qualified applicants with arrest or conviction records will be considered for employment in accordance with all applicable federal, state, and local laws, including the San Francisco Fair Chance Ordinance, Los Angeles County Fair Chance Ordinance for Employers, and the California Fair Chance Act.* 
***For Los Angeles County (unincorporated) Candidates:***
*xAI reasonably believes that criminal history may have a direct, adverse and negative relationship on the following job duties, potentially resulting in the withdrawal of a conditional offer of employment:* 
* *Access to information technology systems and confidential information, including proprietary and trade secret information, and/or user data;*
* *Interacting with internal and/or external clients and colleagues; and*
* *Exercising sound judgment.*
 California Consumer Privacy Act (CCPA) Notice</t>
        </is>
      </c>
    </row>
    <row r="18">
      <c r="A18" t="inlineStr">
        <is>
          <t>li-4324047359</t>
        </is>
      </c>
      <c r="B18" t="inlineStr">
        <is>
          <t>Full Stack Engineer</t>
        </is>
      </c>
      <c r="C18" t="inlineStr">
        <is>
          <t>Adobe</t>
        </is>
      </c>
      <c r="D18" t="inlineStr">
        <is>
          <t>linkedin</t>
        </is>
      </c>
      <c r="E18" t="inlineStr"/>
      <c r="F18" t="inlineStr"/>
      <c r="G18" t="inlineStr">
        <is>
          <t>New York, NY</t>
        </is>
      </c>
      <c r="H18" t="inlineStr"/>
      <c r="I1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Content Authenticity Initiative**
 With the increasing power and availability of powerful generative AI tools, the world of creativity is exploding with potential. But with this power comes responsibility, and digital content, provenance, or Content Credentials is critical to ensure transparency for consumers. It’s also an important part of addressing the spread of disinformation and ultimately restoring trust in content, wherever we find it.
 The Content Authenticity Initiative team at Adobe believes that creating a long\-term solution is a shared responsibility among creators, technology companies, civil society, and media publishers. We succeed by joining together to develop an international technical standard (C2PA), bolstered by a rich open\-source ecosystem and simple user experiences. This is the work of the Adobe CAI team. With over 5000 members, the CAI serves a community of implementers and ensures leading Content Credentials experiences are available across the entire Adobe product suite.
**The Opportunity**
 We are looking for an experienced Full Stack Engineer to join our team and make an impact to our solutions for Adobe applications and external customers. You will work in a collaborative environment with designers, product management, and engineers and will interact with innovative product teams across Adobe. You'll be expected to build features, test, and maintain new and existing code. The ideal candidate will have a keen eye for detail, deep awareness of tradeoffs, and very high standards for code quality and efficiency.
**What You'll Do**
* Develop and maintain SDKs used within flagship products like Adobe Firefly, AEM, Express, and more
* Work on various web\-focused solutions, including the Adobe Content Authenticity website and open\-source web components
* Collaborate closely with various teams to drive the adoption of new technologies, contributing to the continuous improvement of our products and services
* Work on highly visible technology projects that are at the forefront of the industry, playing a pivotal role in shaping the future of digital media and bringing trust and transparency to the ecosystem
* Actively participate in architectural discussions, proposing innovative solutions to complex technical challenges and driving consensus with the team
* Promote a high standard of code quality and software craftsmanship
* Thrive in a high\-velocity team environment, prioritizing tasks effectively and delivering results with speed and precision
**Required Experience**
* Experience making production applications that require a combination of Javascript/CSS/HTML and at least one backend language
* Ability to design solutions to be implemented by yourself or others
* Fluency with Git and GitHub
* Reverence for great documentation and excitement to produce it where sensible
* An appreciation for well\-tested code and pragmatism about when and where to build test infrastructure
* Passion for solving problems of any scope elegantly every day!
* Ability to give and embrace constructive criticism from your colleagues
* Demonstrated drive to improve your skills and knowledge
**Plusses**
* Polyglot language experience and interest; we like Rust, Node, Python, C\+\+ and many other tools
* Experience with MySQL, DynamoDB, or other similar databases
* Experience with caching layers such as Redis
* Working knowledge of Docker/containerization
* Experience with instrumentation, metrics, and tools like Splunk and New Relic
* A Bachelor’s and/or advanced degree in a related field or equivalent experience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In New York,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9">
      <c r="A19" t="inlineStr">
        <is>
          <t>li-4354367698</t>
        </is>
      </c>
      <c r="B19" t="inlineStr">
        <is>
          <t>Software Engineer (Java, SQL)</t>
        </is>
      </c>
      <c r="C19" t="inlineStr">
        <is>
          <t>Airbnb</t>
        </is>
      </c>
      <c r="D19" t="inlineStr">
        <is>
          <t>linkedin</t>
        </is>
      </c>
      <c r="E19" t="inlineStr"/>
      <c r="F19" t="inlineStr"/>
      <c r="G19" t="inlineStr"/>
      <c r="H19" t="inlineStr"/>
      <c r="I19" t="inlineStr">
        <is>
          <t>**About The Company** 
 Airbnb, founded in 2007, revolutionized the hospitality industry by creating a platform that connects travelers with hosts offering unique accommodations and experiences worldwide. Starting from a simple idea of hosting guests in San Francisco, Airbnb has grown exponentially to become a global community with over 5 million hosts welcoming more than 2 billion guest arrivals across nearly every country. The company's mission is to foster a sense of belonging and authentic travel experiences, enabling individuals to connect with diverse communities and cultures through its innovative platform. Airbnb is committed to maintaining a dynamic, inclusive, and innovative work environment that values creativity, collaboration, and continuous learning.
**About The Role** 
 The Staff Software Engineer, Experimentation Data at Airbnb plays a pivotal role in developing and maintaining the company's experimentation platform, which supports data\-driven decision\-making across the organization. The successful candidate will work within the Experimentation team, responsible for building infrastructure that enables reliable, scalable, and insightful A/B testing and experimentation analysis. This role involves designing and optimizing data pipelines, developing analytical libraries, and enhancing the platform's ability to compute results accurately at scale. The engineer will collaborate closely with Data Science, Product, and Engineering teams to implement sophisticated statistical methodologies, improve existing systems, and push the boundaries of experimentation capabilities. The position offers an exciting opportunity to work with cutting\-edge technologies such as Spark, Trino, Python, and Airflow, contributing to Airbnb’s mission of making data\-driven insights accessible and actionable across the company.
**Qualifications** 
* 9\+ years of professional experience in software engineering, with a proven track record of delivering high\-quality, scalable systems.
* Proficiency in at least one modern programming language such as Python or Java.
* Extensive experience with scientific and statistical computation, particularly in online experimentation and A/B testing.
* Strong background in building and maintaining large\-scale data pipelines and analytical libraries.
* Expertise in SQL, capable of deep debugging and optimization.
* Experience with big data technologies like Spark, Dataflow, or similar frameworks.
* Familiarity with designing ergonomic interfaces for technical users, especially data scientists.
* Experience with distributed stream processing frameworks such as Flink, Kafka, or Dataflow is a plus.
* Knowledge of frameworks that generate data pipelines at scale is desirable.
**Responsibilities** 
* Design, develop, and optimize complex data processing pipelines to support experimentation and analytics.
* Contribute to Airbnb’s library for flexible, on\-demand analysis of experiments, ensuring reliability and extensibility.
* Collaborate with cross\-functional teams to improve the impact and usability of the experimentation platform across the organization.
* Participate in all phases of the software development lifecycle, including architecture, design, implementation, testing, and on\-call support.
* Work closely with Data Science partners to incorporate advanced statistical methodologies into the platform.
* Conduct experiment reviews to understand user needs, identify areas for platform improvement, and support feature rollouts.
* Stay updated with the latest technologies and methodologies in data processing, experimentation, and analytics to continuously enhance the platform.
**Benefits** 
* Competitive salary and performance\-based bonuses.
* Equity options and Employee Travel Credits.
* Comprehensive health, dental, and vision insurance plans.
* Flexible work arrangements including remote work options.
* Generous paid time off and holidays.
* Opportunities for professional development and continuous learning.
* Inclusive and diverse work environment that values innovation and collaboration.
 Equal Opportunity
 Airbnb is an equal opportunity employer committed to fostering an inclusive environment for all employees. We believe diverse ideas and perspectives drive innovation and excellence. All qualified individuals are encouraged to apply, regardless of race, color, religion, gender, sexual orientation, gender identity or expression, national origin, age, disability, or any other protected status. We strive to provide a disability\-inclusive application and interview process and are happy to accommodate candidates with disabilities.</t>
        </is>
      </c>
    </row>
    <row r="20">
      <c r="A20" t="inlineStr">
        <is>
          <t>li-4302855394</t>
        </is>
      </c>
      <c r="B20" t="inlineStr">
        <is>
          <t>Software Engineer - Data Engineering, Robotics</t>
        </is>
      </c>
      <c r="C20" t="inlineStr">
        <is>
          <t>Google DeepMind</t>
        </is>
      </c>
      <c r="D20" t="inlineStr">
        <is>
          <t>linkedin</t>
        </is>
      </c>
      <c r="E20" t="inlineStr"/>
      <c r="F20" t="inlineStr"/>
      <c r="G20" t="inlineStr">
        <is>
          <t>Mountain View, CA</t>
        </is>
      </c>
      <c r="H20" t="inlineStr"/>
      <c r="I20" t="inlineStr">
        <is>
          <t>**Snapshot**
 Google Deepmind Robotics’s mission is to
 **solve AGI in the physical world** 
 . We are looking for an exceptional software engineer passionate about robotics and data, to tackle one of the major bottlenecks towards this mission \- high quality data, lots of them.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As a software engineer with a focus on data, you work closely with researchers, engineers, and operation teams, tackling some of the largest scale and most complex data quality and systems problems across the full data lifecycle from data collection to ML training and evaluation. You play a crucial role in advancing our embodied AI technologies, and making a transformative impact in the real\-world.
**Key Responsibilities**
* Design and implement large scale data acquisition, processing and curation pipelines, assuming end\-to\-end ownership over the full lifecycle of high quality datasets for training advanced robotics foundation models.
* Systematically improve data quality by performing sophisticated data analysis, debugging and experiments, developing metrics, tests and monitoring mechanisms, which directly contribute to ML model improvements.
* Develop, improve large scale data pipeline infrastructure and tooling. Improve system reliability, usability and scalability, data safety and security over the full data lifecycle.
**About You**
 You are a multi\-disciplinary and hands\-on engineer with deep curiosity and willingness to stretch and learn. You embrace risks and have a healthy disregard for the status quo. You’re passionate about all the aspects of data and willing to dig into the most hairy and difficult problems into the data life cycle.
 In order to set you up for success as a Software Engineer \- Data Engineering at Google DeepMind, we look for the following skills and experience:
**Requirements** 
 :
* Bachelor’s degree or equivalent practical experience.
* 2\+ years of experience with software development in one or more programming languages, or 1 year of experience with an advanced degree.
* Experience with production data systems and quality projects.
* C\+\+ and Python programming experience.
* Experience in data analysis, debugging, experiment design and evaluation.
* Strong problem\-solving skills.
 In addition, the following would be an advantage:
* Experience with production ML\-oriented systems or applications.
* Rich experience working with very large datasets using Google data infrastructure and tooling ecosystems like Flume and PLX.
* Industry experiences in robotics or automation.
* Product mindset, willingness to learn, work with research and product colleagues, focus on delivering value in real\-world applications.
 The US base salary range for this full\-time position is between $141,000 \- $202,000 \+ bonus \+ equity \+ benefits. Your recruiter can share more about the specific salary range for your targeted location during the hiring process.
 Application deadline: Oct 10th, 2025 12PM PST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21">
      <c r="A21" t="inlineStr">
        <is>
          <t>li-4331761379</t>
        </is>
      </c>
      <c r="B21" t="inlineStr">
        <is>
          <t>Software Engineer - Training</t>
        </is>
      </c>
      <c r="C21" t="inlineStr">
        <is>
          <t>Samsara</t>
        </is>
      </c>
      <c r="D21" t="inlineStr">
        <is>
          <t>linkedin</t>
        </is>
      </c>
      <c r="E21" t="inlineStr"/>
      <c r="F21" t="inlineStr"/>
      <c r="G21" t="inlineStr"/>
      <c r="H21" t="inlineStr"/>
      <c r="I2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a full\-stack Software Engineer on Samsara’s Training team, you will design and develop features for two new products – Connected Training and Qualification Management. Connected Training provides our customers an intelligent, data\-driven platform for employee training that ensures our customers’ workforce is prepared to perform their jobs safely and efficiently. Qualifications Management gives our customers a scalable solution for managing critical documents that verify safe, compliant operations. You’ll own solving engineering challenges end\-to\-end, from underlying infrastructure needs to user\-facing UI and feature development on both web and mobile.
 This role can be office\-based or fully remote in the US and Canada.
**You should apply if:**
* You want to impact the industries that run our world: The software, firmware, and hardware you build will result in real\-world impact – 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 – together.
**In this role, you will:**
* Leverage AI to design and develop tooling and features that feel like magic to our customers \- saving them time and money by avoiding toil from painful manual processes.
* Design and develop tooling for seamlessly handling multi\-language support in training course content generation.
* Develop multi\-step automations that integrate our features with other areas of the Samsara platform, eliminating manual configuration and increasing the value of our products.
**Minimum requirements for the role:**
* Bachelor's Degree in Computer Science/Engineering or equivalent practical experience
* Has 2\+ years of relevant industry experience in software development
* Strong programming/coding fundamentals
* Enjoys understanding users and what would make their day to day processes easier
* Ships high\-quality features that are immediately used by customers
**An ideal candidate also has:**
* A track record of delivery in a fast\-paced, startup environment
* Strong bias for action and desire for individual ownership
* Desire to work collaboratively on a distributed, highly engaged team
* Desire to iterate on new products based on customer feedback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$105,910—$178,000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22">
      <c r="A22" t="inlineStr">
        <is>
          <t>li-4354515561</t>
        </is>
      </c>
      <c r="B22" t="inlineStr">
        <is>
          <t>Java Software Engineer II</t>
        </is>
      </c>
      <c r="C22" t="inlineStr">
        <is>
          <t>Esri</t>
        </is>
      </c>
      <c r="D22" t="inlineStr">
        <is>
          <t>linkedin</t>
        </is>
      </c>
      <c r="E22" t="inlineStr"/>
      <c r="F22" t="inlineStr"/>
      <c r="G22" t="inlineStr">
        <is>
          <t>Redlands, CA</t>
        </is>
      </c>
      <c r="H22" t="inlineStr"/>
      <c r="I22" t="inlineStr">
        <is>
          <t>**Overview**
 Build the next generation of ArcGIS Enterprise, a suite of products delivering state\-of\-the\-art mapping and analytics capability to thousands of customers and millions of users worldwide.
 Our team builds cutting\-edge, highly\-scalable and reliable distributed software for on\-premises and the cloud to make maps, geographic information, and analyses available on any device, anywhere, at any time. Our software engineers provide a strong technical voice in the product development process and use the best tools available to design, develop, and deliver a high\-quality distributed systems platform.
 As a software engineer, you will work with our cross\-functional global team of software engineers, product engineers, designers, product managers, and release engineers. You will be actively involved in enhancing the capability of the ArcGIS Enterprise platform from feature inception to delivery, using bleeding edge technology.
 If you are passionate about building great distributed systems, micro\-services architecture, and spatial data analytics, join us!
**Responsibilities**
* Build server\-side Java components and web services to power user experience and geospatial workflows
* Prototype, design, develop, and deliver complete software features and products that can scale, are fault tolerant, and handle concurrent workloads
* Design, architect, and develop complete software features/products to meet customer requirements
* Find, analyze, and fix bugs/performance problems whenever and wherever they occur
* Work collaboratively with other teams to understand requirements and incorporate them into the software
**Requirements**
* 2\+ years of experience developing middleware software components using core Java, Servlets (JavaEE), JSP
* Good understanding of cloud computing platforms (AWS and Azure) and services such as Amazon S3, SQS, EC2 and Azure services such as Blob Service, Table Service, and more
* Good understanding of Java design patterns
* Knowledge of relational databases such as SQL Server, Oracle, PostgreSQL, or DB2
* Experience working with large code bases
* Fundamental understanding of web services including REST and SOAP
* Proficient in debugging and profiling tools (Eclipse/IntelliJ Debugger, JProfiler, and more)
* Knowledge of working with a source control system, preferably GIT
* Excellent problem\-solving, design, development, and debugging skills
* Excellent written and verbal communication and time management skills
* Bachelor's degree in math, computer science, physics, or related field
**Recommended Qualifications**
* Master's degree in math, computer science, physics, or related field
* Familiarity with JSON and XML
* Knowledge of and familiarity with Java build systems, such as Maven and ANT
* Experience with HTTP monitoring tools (Fiddler) and JDK debugging tools (JProfiler, jmap)
* Knowledge of Docker containers and orchestrators such as Kubernetes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$97,760 USD \- $163,280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23">
      <c r="A23" t="inlineStr">
        <is>
          <t>li-4293023724</t>
        </is>
      </c>
      <c r="B23" t="inlineStr">
        <is>
          <t>Software Engineer II, Backend</t>
        </is>
      </c>
      <c r="C23" t="inlineStr">
        <is>
          <t>Included Health</t>
        </is>
      </c>
      <c r="D23" t="inlineStr">
        <is>
          <t>linkedin</t>
        </is>
      </c>
      <c r="E23" t="inlineStr"/>
      <c r="F23" t="inlineStr"/>
      <c r="G23" t="inlineStr"/>
      <c r="H23" t="inlineStr"/>
      <c r="I23" t="inlineStr">
        <is>
          <t>**The Role**
 We are seeking a Backend Software Engineer to join our growing Engineering team to help develop our internal suite of products in a fast, accessible, and intuitive way. You will closely partner with our Product and Design along with Care and Clinical teams on application design, user experience, developer workflows, deployment strategies, and testing of the applications.
**Qualifications**
* You have professional experience in building and maintaining consumer grade web applications, suggested 3\+ years experience.
* You are an exceptional problem solver utilizing first\-principles thinking.
* You have strong programming skills, CS fundamentals, and a track record of implementing highly reliable software. A formal CS degree is not required.
* You consider yourself a high growth individual, continuously looking to recognize growth areas and improve in both technical and non\-technical skills.
* Experience in our current technologies is a bonus: Go, GraphQL, Docker, or AWS
**Responsibilities**
* Partner with product managers to lead the technical planning of member experience improvements.
* Design systems that span multiple services to allow consistent, fast, clean data flow.
* Swiftly address any issues and invest in resolutions that improve the product's reliability going forward.
* Participate in and influence technical decisions of the wider Applications Engineering team.
* Promote software engineering best practices across teams.
 The United States new hire base salary target ranges for this full\-time position are:
 Zone A: $118,640\.00 \- $167,580\.00 \+ equity \+ benefits
 Zone B: $136,436\.00 \- $192,720\.00 \+ equity \+ benefits
 Zone C: $148,300\.00 \- $209,480\.00 \+ equity \+ benefits
 Zone D: $154,232\.00 \- $217,850\.00 \+ equity \+ benefits
 This range reflects the minimum and maximum target for new hire salaries for candidates based on their respective Zone. Below is additional information on Included Health's commitment to maintaining transparent and equitable compensation practices across our distinct geographic zones.
 Starting base salary for the successful candidate will depend on several job\-related factors, unique to each candidate, which may include, but not limited to, education; training; skill set; years and depth of experience; certifications and licensure; business needs; internal peer equity; organizational considerations; and alignment with geographic and market data. Compensation structures and ranges are tailored to each zone's unique market conditions to ensure that all employees receive fair and competitive compensation based on their roles and locations.
 *Your Recruiter can share details of your geographic alignment upon inquiry.*
 In addition to receiving a competitive base salary, the compensation package may include, depending on the role, the following:
 Remote\-first culture
 401(k) savings plan through Fidelity
 Comprehensive medical, vision, and dental coverage through multiple medical plan options (including disability insurance)
 Full suite of Included Health telemedicine (e.g. behavioral health, urgent care, etc.) and health care navigation products and services offered at no cost for employees and dependents
 Generous Paid Time Off ("PTO") and Discretionary Time Off (“DTO")
 12 weeks of 100% Paid Parental leave
 Up to $25,000 Fertility and Family Building Benefit
 Compassionate Leave (paid leave for employees who experience a failed pregnancy, surrogacy, adoption or fertility treatment)
 11 Holidays Paid with one Floating Paid Holiday
 Work\-From\-Home reimbursement to support team collaboration and effective home office work
 24 hours of Paid Volunteer Time Off (“VTO”) Per Year to Volunteer with Charitable Organizations
*Your recruiter will share more about the specific salary range and benefits package for your role during the hiring process.*
**About Included Health**
 Included Health is a new kind of healthcare company,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 It’s all included. Learn more at
 **includedhealth.com.**
 Included Health is an Equal Opportunity Employer and considers applicants for employment without regard to race, color, religion, sex, orientation, national origin, age, disability, genetics or any other basis forbidden under federal, state, or local law. Included Health considers all qualified applicants with arrest or conviction records in accordance with the San Francisco Fair Chance Ordinance, the Los Angeles County Fair Chance Ordinance, and California law.
 Included Health uses AI\-assisted tools at select stages of the hiring process to enhance efficiency, consistency, and communication. AI does not make hiring decisions—final decisions are made exclusively by our recruiting and hiring teams.</t>
        </is>
      </c>
    </row>
    <row r="24">
      <c r="A24" t="inlineStr">
        <is>
          <t>li-4226027212</t>
        </is>
      </c>
      <c r="B24" t="inlineStr">
        <is>
          <t>Robotics Software Engineer</t>
        </is>
      </c>
      <c r="C24" t="inlineStr">
        <is>
          <t>OpenAI</t>
        </is>
      </c>
      <c r="D24" t="inlineStr">
        <is>
          <t>linkedin</t>
        </is>
      </c>
      <c r="E24" t="inlineStr"/>
      <c r="F24" t="inlineStr"/>
      <c r="G24" t="inlineStr">
        <is>
          <t>San Francisco, CA</t>
        </is>
      </c>
      <c r="H24" t="inlineStr"/>
      <c r="I24" t="inlineStr">
        <is>
          <t>**About The Team**
 Our Robotics team is focused on unlocking general\-purpose robotics and pushing towards AGI\-level intelligence in dynamic, real\-world settings. Working across the entire model stack, we integrate cutting\-edge hardware and software to explore a broad range of robotic form factors. We strive to seamlessly blend high\-level AI capabilities with the constraints of physical systems to improve peoples’ lives.
**About The Role**
 We're seeking talented Robotics Software Engineers to expand our robotics data collection and evaluation program. This highly technical role involves designing, implementing, and optimizing software solutions across diverse robotics hardware. You'll work closely and collaboratively with multidisciplinary teams; including software, hardware, research, and operations \- to drive advancements in our robotic systems.
**This role is based in San Francisco, CA, and requires in\-person 4 days a week.**
**In This Role, You Will**
* Help develop and grow our data collection labs, owning the entire integration lifecycle, from identifying and sourcing new hardware to collaborating with mechanical and electrical engineers on setup, software integration, and operational deployment.
* Develop innovative robot control interfaces suited to a variety of morphologies, environments, and tasks.
* Collaborate closely with research and engineering teams to develop automation tools and machinery that facilitate the evaluation of advanced robotic policies.
* Lead the design and implementation of data collection, visualization, and quality control processes.
**You Might Thrive In This Role If You**
* Have 5\+ years of professional software engineering experience developing and shipping production\-quality systems in robotics or hardware\-integrated environments.
* Have extensive experience integrating and deploying industrial automation systems, off\-the\-shelf robotics platforms, or custom hardware into production environments.
* Bring hands\-on experience delivering production\-quality software within collaborative, cross\-functional engineering teams.
* Have strong proficiency in Rust or C\+\+.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$325K</t>
        </is>
      </c>
    </row>
    <row r="25">
      <c r="A25" t="inlineStr">
        <is>
          <t>li-4290774655</t>
        </is>
      </c>
      <c r="B25" t="inlineStr">
        <is>
          <t>Full Stack Software Engineer</t>
        </is>
      </c>
      <c r="C25" t="inlineStr">
        <is>
          <t>Chalk</t>
        </is>
      </c>
      <c r="D25" t="inlineStr">
        <is>
          <t>linkedin</t>
        </is>
      </c>
      <c r="E25" t="inlineStr"/>
      <c r="F25" t="inlineStr"/>
      <c r="G25" t="inlineStr">
        <is>
          <t>San Francisco, CA</t>
        </is>
      </c>
      <c r="H25" t="inlineStr"/>
      <c r="I25"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software engineers who are comfortable solving business problems across all layers of the software stack. At Chalk, we build reliable data processing systems that can operate performantly at scale with a laser\-focus on developer experience.
 We need engineers who can build world\-class user experiences across CLI and web surfaces, while also understanding and contributing to a codebase that contains ideas from compilers, query planners, and distributed systems.
**What you will do**
* Work directly with Chalk’s co\-founders to productionize our first iteration
* Write TypeScript, Python, Go, and React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systems
* A record of developing sophisticated user\-facing applications that are pleasant to use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26">
      <c r="A26" t="inlineStr">
        <is>
          <t>li-4343662505</t>
        </is>
      </c>
      <c r="B26" t="inlineStr">
        <is>
          <t>Backend Engineer</t>
        </is>
      </c>
      <c r="C26" t="inlineStr">
        <is>
          <t>Shipt</t>
        </is>
      </c>
      <c r="D26" t="inlineStr">
        <is>
          <t>linkedin</t>
        </is>
      </c>
      <c r="E26" t="inlineStr"/>
      <c r="F26" t="inlineStr"/>
      <c r="G26" t="inlineStr">
        <is>
          <t>Greater Birmingham, Alabama Area</t>
        </is>
      </c>
      <c r="H26" t="inlineStr"/>
      <c r="I26" t="inlineStr">
        <is>
          <t>**Impact**
 As a Software Engineer on the Shopper Supply team, you will collaborate with a talented cross\-functional group of Product Managers, Engineers, and Partner Teams to build scalable, high\-performance solutions that power our Shopper Backend ecosystem. Your work will directly impact the reliability and efficiency of mission\-critical systems, including our services that introduce prospective shoppers to our systems. In this role, you will work as part of a collaborative team of 6 engineers to design, develop, test, deploy, and maintain Go\-based microservices. You will leverage API integrations, observability best practices, and infrastructure tools like SQL databases and Kafka (nice to have) to drive impactful, scalable solutions. You’ll be responsible for developing, testing, deploying, and monitoring the effectiveness of your contributions, ensuring they create value for end users and align with our business objectives.
****What You’ll Need to Be Successful****
* 2\+ years of relevant work experience
* 2\+ years programming in Golang, Ruby, C, C\+\+, Java, Python or similar language
* You are comfortable working with SQL databases (Postgres preferred).
* You actively participate in the design process to build efficient, scalable, and maintainable architecture.
* You have experience diagnosing and solving complex technical problems and performance bottlenecks using data.
* Experience reviewing and collaborating with other engineers on their code
* Excellent written and verbal communication skills; able to effectively collaborate with diverse teams
* You have experience designing, developing, and maintaining systems that integrate with third\-party services.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$75,900\-$151,700
 All other locations:
 $63,100\-$126,300
*Please note that the salary range above is a guideline, and individual total compensation will vary based on factors such as qualifications, skill level, competencies, and work location.*</t>
        </is>
      </c>
    </row>
    <row r="27">
      <c r="A27" t="inlineStr">
        <is>
          <t>li-4330088092</t>
        </is>
      </c>
      <c r="B27" t="inlineStr">
        <is>
          <t>Senior Software Developer</t>
        </is>
      </c>
      <c r="C27" t="inlineStr">
        <is>
          <t>TherapyNotes, LLC</t>
        </is>
      </c>
      <c r="D27" t="inlineStr">
        <is>
          <t>linkedin</t>
        </is>
      </c>
      <c r="E27" t="inlineStr"/>
      <c r="F27" t="inlineStr"/>
      <c r="G27" t="inlineStr">
        <is>
          <t>Horsham, PA</t>
        </is>
      </c>
      <c r="H27" t="inlineStr"/>
      <c r="I27"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Senior Software Developer to join our growing team. We are looking for a passionate and experienced engineer skilled in building scalable and responsive web applications and services using Angular and ASP.NET Core. The ideal candidate will have demonstrated expertise in implementing robust APIs using event\-based software design and adhering to Service\-Oriented Architecture (SOA) principles. They should excel in a collaborative environment and have a proven track record of mentoring and developing others.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Mentor and assist in the training and onboarding of new developers
* Maintain high standards, attention to detail, accuracy and completeness
**What We're Looking For**
* 5 or more years experience developing software in an Agile, team\-based environment
* 3 or more years experience developing responsive web applications
* BS and/or MS in a technical discipline (Computer Science or Software Engineering required)
* Strong understanding of OOP concepts and design patterns
* Expertise with Angular, ASP.NET Core, C\#, JavaScript, TypeScript, CSS, SASS, and HTML
* Expertise in building robust APIs and adhering to Service\-Oriented Architecture (SOA) principles
* Experience in event\-based software design and event\-driven architecture
* Experience with PostgreSQL or other relational databases, and Entity Framework Core or similar object\-relational mapping frameworks
* Excellent problem solving and communication skills
**What We Offer**
* Competitive salary $110,000 \- $135,000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1/2/2026</t>
        </is>
      </c>
    </row>
    <row r="28">
      <c r="A28" t="inlineStr">
        <is>
          <t>li-4254370678</t>
        </is>
      </c>
      <c r="B28" t="inlineStr">
        <is>
          <t>Software Engineer, Machine Learning</t>
        </is>
      </c>
      <c r="C28" t="inlineStr">
        <is>
          <t>Meta</t>
        </is>
      </c>
      <c r="D28" t="inlineStr">
        <is>
          <t>linkedin</t>
        </is>
      </c>
      <c r="E28" t="inlineStr"/>
      <c r="F28" t="inlineStr"/>
      <c r="G28" t="inlineStr">
        <is>
          <t>New York, NY</t>
        </is>
      </c>
      <c r="H28" t="inlineStr"/>
      <c r="I2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9">
      <c r="A29" t="inlineStr">
        <is>
          <t>li-4268364964</t>
        </is>
      </c>
      <c r="B29" t="inlineStr">
        <is>
          <t>Software Engineer, Database Systems</t>
        </is>
      </c>
      <c r="C29" t="inlineStr">
        <is>
          <t>OpenAI</t>
        </is>
      </c>
      <c r="D29" t="inlineStr">
        <is>
          <t>linkedin</t>
        </is>
      </c>
      <c r="E29" t="inlineStr"/>
      <c r="F29" t="inlineStr"/>
      <c r="G29" t="inlineStr">
        <is>
          <t>San Francisco, CA</t>
        </is>
      </c>
      <c r="H29" t="inlineStr"/>
      <c r="I29" t="inlineStr">
        <is>
          <t>**About The Team**
 The Database Systems team specializes in high\-performance distributed databases. Our team built Rockset, the real\-time search, analytics, and vector database that powers all vector search and retrieval augmented generation (RAG) at OpenAI. In addition to retrieval, as an online database, Rockset powers core functionality across all of OpenAI's product lines and many critical internal use cases.
**About The Role**
 We are looking for engineers passionate about distributed systems, close\-to\-the\-metal performance optimization (our core engine is written in C\+\+), and building scalable database infrastructure from the ground up. As an engineer on the Database Systems team, you'll contribute to the core database engine, driving improvements across ingestion, query execution, indexing, and storage. You'll partner with teams across OpenAI to unlock new product capabilities and help scale online database reliability and throughput as usage grows by orders of magnitude.
**In This Role You Will**
* Design, build, and operate high\-performance distributed systems
* Identify and resolve performance bottlenecks to scale infrastructure to the next order of magnitude
* Define long\-term technical direction and guide system evolution
* Collaborate with product, engineering, and research teams to deliver scalable and reliable infrastructure
* Dig deep into complex production issues across the stack
* Contribute to incident response, postmortems, and best practices for system reliability
**You Might Thrive In This Role If You**
* Have significant experience building, scaling, and optimizing distributed systems at scale
* Are curious about database internals, storage engines, or low\-latency query systems
* Enjoy debugging challenging performance issues in complex, high\-throughput systems
* Have experience operating production clusters at scale (e.g., Kubernetes or other orchestration systems)
* Think rigorously about scalability, correctness, and reliability
* Thrive in fast\-paced environments with high autonomy and impact
**Qualifications**
* 4\+ years of relevant industry experience, with 2\+ years leading large scale, complex projects or teams as an engineer or tech lead
* Experience with distributed systems at scale, with a strong focus on performance, reliability, and scalability
* Strong communication skills and ability to collaborate across highly technical and cross\-functional teams
* Proficiency in a systems programming language such as C\+\+ (our core engine is written in C\+\+) is strongly preferred
* Fluency in cloud environments (AWS, GCP, Azure) and IaC tools (Terraform or similar)
* Experience with Linux systems, CI/CD pipelines, and modern observability stacks (Prometheus, Grafana, etc.)
* Domain knowledge in areas such as databases, data systems, storage engines, indexing, and query processing is a plus but not required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30">
      <c r="A30" t="inlineStr">
        <is>
          <t>li-4326473562</t>
        </is>
      </c>
      <c r="B30" t="inlineStr">
        <is>
          <t>Software Engineer</t>
        </is>
      </c>
      <c r="C30" t="inlineStr">
        <is>
          <t>Energize Group</t>
        </is>
      </c>
      <c r="D30" t="inlineStr">
        <is>
          <t>linkedin</t>
        </is>
      </c>
      <c r="E30" t="inlineStr"/>
      <c r="F30" t="inlineStr"/>
      <c r="G30" t="inlineStr"/>
      <c r="H30" t="inlineStr"/>
      <c r="I30" t="inlineStr">
        <is>
          <t>A fast\-growing robotics company is building affordable robots designed to take on repetitive and physically demanding work. Their systems combine cutting\-edge hardware with a human\-in\-the\-loop teleoperation stack allowing real\-world deployment today while scaling autonomy for tomorrow.
 The company is well\-funded, with proven customers and a clear path to scale.
 You’ll be joining a team of world\-class roboticists and engineers (ex–Boston Dynamics, Tesla, Figure) who are delivering production robots to active customer sites.
**What You’ll Do** 
* Own the core robot software stack including controls, autonomy, perception, and system monitoring.
* Develop real\-time perception pipelines to enhance operator and robot awareness.
* Build teleoperation\-aware autonomy (state handoff, recovery, and return\-to\-autonomy flows).
* Implement reliability systems such as watchdogs, health monitoring, and deterministic logging for fast debugging.
* Create high\-leverage internal tools with visualization to simplify problem\-solving and speed up iteration.
**What Makes You a Great Fit** 
* You’ve shipped robotics or complex hardware–software systems to real users.
* Strong proficiency in
 **modern C\+\+** 
 and a focus on
 **safety, latency, and determinism** 
 .
* You prefer practical, reliable solutions over academic ones — optimizing for real\-world customer value.
* Bonus points for experience with time\-sync (PTP), CAN/EtherCAT/SPI, sensor modeling, camera stacks, or IMU fusion.
**Tech Stack** 
 Primarily
 **C\+\+** 
 , with
 **Python** 
 for prototyping. (No ROS.)
**Why You’ll Love It** 
 You’ll see your work in the real world robots doing useful work in active deployments, every shift.
**Location** 
 On\-site – San Francisco</t>
        </is>
      </c>
    </row>
    <row r="31">
      <c r="A31" t="inlineStr">
        <is>
          <t>li-4330097610</t>
        </is>
      </c>
      <c r="B31" t="inlineStr">
        <is>
          <t>UI Software Engineer</t>
        </is>
      </c>
      <c r="C31" t="inlineStr">
        <is>
          <t>Pasito</t>
        </is>
      </c>
      <c r="D31" t="inlineStr">
        <is>
          <t>linkedin</t>
        </is>
      </c>
      <c r="E31" t="inlineStr"/>
      <c r="F31" t="inlineStr"/>
      <c r="G31" t="inlineStr"/>
      <c r="H31" t="inlineStr"/>
      <c r="I31" t="inlineStr">
        <is>
          <t>**About Pasito**
 Pasito is the AI workspace for employee benefits.
 We’re rethinking how group insurance and benefits are underwritten, delivered, used and measured \- by the people who design them and the people who depend on them. Instead of static PDFs, disconnected systems, and manual workflows, Pasito brings plan design, payroll and benefits data, claims, and financial context into a single, AI‑native workspace that helps benefits actually work for the 178 million Americans who depend on this system.
 We don’t build
 *for* 
 brokers, carriers and employers \- we build
 *with* 
 them. That collaboration shows up in everything we ship: AI agents that extract and structure plan data, tools that turn complexity into clarity for employees, and workflows that save carriers and consultants hundreds of hours per case.
 Today, Pasito supports many of the largest insurance carriers and brokers in the U.S. We’re backed by Y Combinator and Core Innovation Capital, and we’re growing quickly. We ship fast, iterate relentlessly, and care deeply about building systems that are accurate, scalable, and human.
 If you’re excited to work alongside exceptional operators and engineers, and apply AI in a legacy industry where precision and trust matter, Pasito is the place for you.
 \\
 **The Role**
 We’re looking for a
 **UI\-heavy, product\-focused Software Engineer** 
 to help us build the core product experiences that power Pasito’s AI workspace.
 We’re specifically looking for someone whose strength is building sophisticated, state\-rich user interfaces, and who can operate across the stack as needed to deliver those experiences end\-to\-end.
 You’ll work closely with Product and Design, take deep ownership of complex UI systems, and help define how AI\-native software should
 *feel* 
 in a regulated, high\-impact industry.
 As an early member of the engineering team, you’ll have real ownership and influence: shaping UI architecture, setting quality standards, and delivering mission\-critical experiences for highly engaged clients.
**What You’ll Do**
**Own complex, state\-rich UI systems** 
 \\ Design and build rich editing and collaboration experiences using ProseMirror / Tiptap and Yjs, with a focus on correctness, performance, and excellent UX.
**Build AI\-native product experiences** 
 \\ Integrate AI and LLM\-powered workflows directly into the UI \- especially within rich\-text, data\-dense, and collaborative environments.
**Collaborate cross\-functionally** 
 \\ Work closely with Product, Design, Sales, and Client teams to understand real customer workflows and translate them into durable product solutions.
**Continuously improve systems** 
 \\ Refine existing patterns, challenge assumptions, and help define what “great” looks like as the product and team scale.
 \\
 **Who You Are**
* A UI\-first, product\-driven engineer with 3\+ years building complex web applications
* You care deeply about interaction quality, performance, and building interfaces that feel intuitive and trustworthy
* You have strong technical judgment and know when to prioritize innovation vs. stability
* You’re comfortable operating across the stack, with strength in frontend and user\-facing systems
* You enjoy close collaboration with product managers and designers
**Technical Experience We’re Excited About**
* Deep expertise building rich UI editors using ProseMirror / Tiptap
* Experience building real\-time collaboration and local\-first applications using Yjs
* Experienced with TypeScript, Node.js, and modern frameworks like Next.js
* Hands\-on experience integrating AI / LLM\-powered workflows (e.g., ChatGPT or Claude) into user\-facing products
* Strong familiarity with frontend testing tools and best practices
**What’s In It For You**
* Meaningful ownership: Build foundational systems used by carriers, brokers, employers, and employees at scale
* Real impact: Your work directly improves how people understand and use their benefits
* Growth: Join early and grow with the company as we scale product, team, and distribution
* Competitive compensation: Salary, meaningful equity, and full benefits: medical, dental, vision, 401(k) with match, life insurance, and flexible PTO
* Remote‑first: Work from anywhere in the U.S. with a highly collaborative team
**Statement of Equal Opportunity**
 We are a company that values diversity and appreciates the benefits a diverse workforce produces for our team and clients. We welcome all qualified applicants to apply.</t>
        </is>
      </c>
    </row>
    <row r="32">
      <c r="A32" t="inlineStr">
        <is>
          <t>li-4043758858</t>
        </is>
      </c>
      <c r="B32" t="inlineStr">
        <is>
          <t>Senior/Staff Software Engineer, ML Data Infrastructure</t>
        </is>
      </c>
      <c r="C32" t="inlineStr">
        <is>
          <t>Nuro</t>
        </is>
      </c>
      <c r="D32" t="inlineStr">
        <is>
          <t>linkedin</t>
        </is>
      </c>
      <c r="E32" t="inlineStr"/>
      <c r="F32" t="inlineStr"/>
      <c r="G32" t="inlineStr">
        <is>
          <t>Mountain View, CA</t>
        </is>
      </c>
      <c r="H32" t="inlineStr"/>
      <c r="I32"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Nuro takes a machine\-learning\-first approach to autonomous driving technology. In an ML\-first system, the overall system performance depends heavily on the quantity and diversity of its training and evaluation data.
 The team plays a crucial role in the advancement of autonomous driving systems by creating a scalable and reliable data infrastructure. This infrastructure is designed to produce training and evaluation data derived from both on\-road collected logs and simulation logs. Additionally, the team collaborates closely with system engineers to thoroughly validate the autonomous driving system before its deployment.
**About The Work**
* Design and develop unified, introspectable, large\-scale batch and streaming data pipelines that can ingest and process data across a wide range of use cases relevant to evaluation.
* Create and implement a storage system capable of accommodating both the large volume and diverse range of evaluation and performance metrics.
* Construct intuitive dashboards and reports to present evaluation results, facilitating straightforward comparisons that highlight both improvements and regressions of the ML components and the overall system.
* Develop and maintain continuous testing and monitoring systems to guarantee the integrity and resilience of our data and associated data pipelines.
* Develop data mining tools with applied ML techniques to support data discovery needs from Autonomy including Perception, Behavior, and Mapping
* Develop data annotation tools to support first\-party and third\-party labeling workforce to provide high fidelity perception, mapping, and driving trajectory labels
* Scale data annotation labels with applied State\-of\-the\-art ML techniques
**About You**
* You have a degree in BS, MS.c or Ph.D, plus 4 years of relevant work experience
* Strong proficiency in Python or similar languages
* Domain experience: Experience working with large\-scale data and building scalable \&amp; reliable systems/data pipelines; ability to understand and design complex systems
* Engineering leadership: Experience setting team or project product and technical vision, timelines, and prioritization; being a Technical Lead, mentoring and support junior engineers
* Technical excellence: Ability and willingness to deep dive into implementation, driving technical standards and best practices across broader software organization
* A bachelor's degree in Computer Science, Electrical Engineering, or a closely related field
**Bonus Points**
* Strong proficiency in C\+\+ or other high\-performance low\-level languages
* Strong knowledge of GCP, GCS, BigQuery, or PostgreSQL
* Knowledge of data engineering, and its tooling and best practices
* Knowledge of batch and streaming data processing, warehousing, and analytics solutions
* Experience working with large\-scale distributed data systems
* Experience with system \&amp; framework design
* Experience with data workflow orchestration platforms
 At Nuro, your base pay is one part of your total compensation package. For this position, the reasonably expected pay range is between $193,930 and $352,290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33">
      <c r="A33" t="inlineStr">
        <is>
          <t>li-4330291643</t>
        </is>
      </c>
      <c r="B33" t="inlineStr">
        <is>
          <t>Full Stack Engineer</t>
        </is>
      </c>
      <c r="C33" t="inlineStr">
        <is>
          <t>Alpine Solutions Group</t>
        </is>
      </c>
      <c r="D33" t="inlineStr">
        <is>
          <t>linkedin</t>
        </is>
      </c>
      <c r="E33" t="inlineStr"/>
      <c r="F33" t="inlineStr"/>
      <c r="G33" t="inlineStr">
        <is>
          <t>Chicago, IL</t>
        </is>
      </c>
      <c r="H33" t="inlineStr"/>
      <c r="I33" t="inlineStr">
        <is>
          <t>**MUST:** 
* 3\-5\+ years as a full stack software developer
* Computer science bachelors degree
* Front end\= React \&amp; Typescript
* Backend\= Java, Spring Boot, SQL
* Strong experience using Rest Api’s
* Expert with spring boot development
* Strong in Java development (back end)
* Understands multi threading
* Ability to write PostgreSQL queries manually
* Strong experience with one of these for testing: cypress, playwright, react testing framework
* Experience with at least one type of SQL relational database
**PLUS:** 
* RXjs
* AWS
* Start Up experience
* Used Postman for testing
**Day to day:** 
 As a key member of a fast\-moving startup engineering team, your day\-to\-day will include:
 Front\-End Development (Primary Focus)
* Building, enhancing, and maintaining user\-facing features using React and TypeScript.
* Translating product requirements and wireframes into high\-quality, responsive UI components.
* Implementing front\-end logic, state management, and reusable component libraries.
* Writing and maintaining automated front\-end tests using Cypress, Playwright, or React Testing Library.
 Back\-End Development (Secondary but Important)
* Designing, building, and maintaining backend services using Java and Spring Boot.
* Developing scalable RESTful APIs and integrating them with the front\-end.
* Working with multi\-threaded Java applications and contributing to performance optimizations.
* Writing and optimizing manual PostgreSQL queries and working with relational database schemas.
 Cross\-Functional \&amp; Collaboration
* Working closely with product managers, designers, and other engineers to deliver features end\-to\-end.
* Participating in code reviews, providing constructive feedback, and upholding engineering best practices.
* Supporting debugging efforts across the stack—front end, back end, database, and APIs.
* Contributing to architectural discussions and helping shape technical decisions for the platform.
 Operational Responsibilities
* Working in a startup environment that requires flexibility, autonomy, and accountability.
* Owning features from concept to deployment, ensuring reliability and production readiness.
* Maintaining consistent work history and demonstrating long\-term commitment to projects and teams.</t>
        </is>
      </c>
    </row>
    <row r="34">
      <c r="A34" t="inlineStr">
        <is>
          <t>li-4267577725</t>
        </is>
      </c>
      <c r="B34" t="inlineStr">
        <is>
          <t>Software Engineer - CPX</t>
        </is>
      </c>
      <c r="C34" t="inlineStr">
        <is>
          <t>Front</t>
        </is>
      </c>
      <c r="D34" t="inlineStr">
        <is>
          <t>linkedin</t>
        </is>
      </c>
      <c r="E34" t="inlineStr"/>
      <c r="F34" t="inlineStr"/>
      <c r="G34" t="inlineStr">
        <is>
          <t>San Francisco, CA</t>
        </is>
      </c>
      <c r="H34" t="inlineStr"/>
      <c r="I34" t="inlineStr">
        <is>
          <t>Front is the leading AI\-powered customer service platform built for collaboration. Front brings core support channels into a modern, intuitive workspace where teams can collaborate on requests, automate manual processes, and delight customers across their entire lifecycle. Front’s flexible workflows, AI features, and customer intelligence provide the efficiency and insights to keep entire organizations customer\-first, every day. More than 9,000 of the most innovative companies worldwide including CultureAmp, HootSuite, and Y Combinator use Front to deliver five\-star service at scale.
 Backed by Sequoia Capital and Salesforce Ventures, Front has raised $204M from leading venture capital firms and independent investors including top executives at Atlassian, Okta, Qualtrics, Zoom, and PagerDuty. Front has received numerous Great Place to Work accolades, including
 **Built In's 100 Best Midsize Places to Work in SF 2025** 
 ,
 **Top Places to Work by USA Today 2025** 
**,** 
**Y Combinator's list of Top Companies in 2023** 
 ,
 **\#4 on Fortune’s Best Workplaces in the Bay Area™** 
 ,
 **Inc. Magazine's 2022 Best Workplaces list** 
 , and
 **Forbes Best Startup Employers 2022 List** 
 .
 We currently have openings on our Core Product and Client Platform teams for Software Engineers who want to work on complex engineering challenges. These teams collectively own the backbone of our user experience, maintaining the Desktop (Electron), Mobile (React Native), and Web foundations that power Front, along with the core UX for our powerful shared inbox \- a multi\-player application with high\-performance demands.
 We're looking for a Senior Software Engineer who are comfortable working with modern tools to deliver key improvements and new features to both our end\-users and internal engineering teams. This is a great opportunity to join one of the teams that powers the most used features within Front!
**What will you be doing?**
* Own and drive significant components of Front’s client\-side codebase across Desktop, Mobile, or Web platforms.
* Champion code quality, performance, and maintainability, setting standards for the team.
* Provide technical leadership and mentorship to other engineers, fostering a culture of learning and growth.
* Collaborate with product and design teams to deliver on the product roadmap, translating high\-level specs into functional features.
**What skills and experience do you need?**
* Extensive experience building and maintaining fast, reliable, real\-time applications.
* Deep understanding of modern web technologies and frameworks (React, Redux, Typescript, Webpack, etc.) and/or experience with React Native and/or Electron.
* Proven track record of delivering complex projects with high quality and performance.
* Strong product sense and a commitment to creating the best user experience for both end\-users and internal engineers.
* Excellent communication and collaboration skills, with the ability to articulate technical concepts clearly.
* Ability to thrive in a dynamic, fast\-paced environment and adapt to evolving priorities.
* A pragmatic approach to problem\-solving, balancing idealism with practical constraints.
**Bonus Points**
* Experience working on texting editors.
* Experience handling real time communication in front\-end engineering.
**Front operates on a hybrid model — we come together in the office each Tuesday, Wednesday, and Thursday to collaborate and stay connected.**
**What We Offer**
* Competitive salary
* Equity (we are post\-series D \&amp; backed by some of the best VCs in the US)
* Private health insurance, including plan options at no cost to employees
* Paid parental leave
* Flexible time off policy
* Flexibility to work from home Monday and Friday (unless posted as a full\-remote role)
* Mental health support with Workplace Options
* Family planning support with Maven
* $100 per month Lifestyle Stipend to spend on fitness, health and wellness,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t>
        </is>
      </c>
    </row>
    <row r="35">
      <c r="A35" t="inlineStr">
        <is>
          <t>li-4333337113</t>
        </is>
      </c>
      <c r="B35" t="inlineStr">
        <is>
          <t>Senior Software Engineer</t>
        </is>
      </c>
      <c r="C35" t="inlineStr">
        <is>
          <t>Talkiatry</t>
        </is>
      </c>
      <c r="D35" t="inlineStr">
        <is>
          <t>linkedin</t>
        </is>
      </c>
      <c r="E35" t="inlineStr"/>
      <c r="F35" t="inlineStr"/>
      <c r="G35" t="inlineStr"/>
      <c r="H35" t="inlineStr"/>
      <c r="I35" t="inlineStr">
        <is>
          <t>About the Role:
 We’re looking for a Senior Full\-Stack Engineer to join our New\-Patient Experience team, a growth\-focused product team responsible for improving the experience that guides patients from their first interaction through to their initial appointment. This team plays a pivotal role in Talkiatry’s mission by optimizing how new patients discover, evaluate, and begin care with us.
 As a senior engineer on this team, you’ll lead development of new features and systems that improve patient conversion rates, streamline the onboarding process, and ensure a seamless digital start\-of\-care experience. You’ll collaborate closely with product, design, and data to design and build reliable, extensible, and maintainable systems in TypeScript across both frontend and backend, running on AWS.
 About Talkiatry:
 Talkiatry transforms psychiatry with accessible, human, and responsible care. We’re a national mental health practice co\-founded by a patient and a triple\-board\-certified psychiatrist to solve the problems both groups face in accessing and providing the highest quality treatment.
 60% of adults in the U.S. with a diagnosable mental illness go untreated every year because care is inaccessible, while 45% of clinicians are out of network with insurers because reimbursement rates are low, and paperwork is unduly burdensome. With innovative technology and a human\-centered philosophy, we provide patients with the care they need—and allow psychiatrists to focus on why they got into medicine.
**You will:**
* Lead the design, development, and rollout of key product features and large\-scale initiatives that directly impactpatient growth and conversion.
* Write clear technical specifications, define architecture, and identify risks before project kickoffs.
* Champion engineering best practices—including code reviews, documentation, testing, and post\-mortemsto improve team efficiency and code quality.
* Collaborate cross\-functionally with product managers, designers, and analysts to translate growth goals into actionable, measurable features.
* Contribute across the stack: from building intuitive frontend experiences in React/TypeScript to designing robust backend services and APIs.
* Drive simplicity and scalability in system design to support rapid growth while maintaining reliability.
* Mentor teammates and, as needed, take on tech lead responsibilities for high\-impact initiatives.
**You have:**
* 5\+ years of professional software development experience.
* Strong expertise in TypeScript and modern frontend frameworks (React preferred).
* Solid experience building backend services in TypeScript (Node.js, Express, or similar).
* Demonstrated ability to deliver complex projects from design through production.
* Experience collaborating with product and growth teams to design A/B tests, measure outcomes, and iterate quickly.
* Excellent communication and documentation skills.
* A bias for reducing complexity, improving systems, and mentoring others.
* Nice to Have
* Experience with experimentation platforms, analytics tools, or conversion optimization.
* Familiarity with healthcare, telehealth, or regulated industries.
* Comfort working in a fast\-paced, high\-growth environment.
**Why Talkiatry:**
* Top\-notch team: we're a diverse, experienced group motivated to make a difference in mental health care
* Collaborative environment: be part of building something from the ground up at a fast\-paced startup
* Excellent benefits: medical, dental, vision, effective day 1 of employment, 401K with match, generous PTO plus paid holidays, paid parental leave, and more!
* Grow your career with us: hone your skills and build new ones with our Learning team as Talkiatry expands
* It all comes back to care: we’re a mental health company, and we put our team’s well\-being first
 Talkiatry participates in E\-Verify and will provide the federal government with your Form I\-9 information to confirm that you are authorized to work in the U.S. only after a job offer is accepted and Form I\-9 is completed. For more information on E\-Verify, please visit the following: EVerify Participation \&amp; IER Right to Work.
 At Talkiatry, we are an equal opportunity employer committed to a diverse, inclusive, and equitable workplace and candidate experience. We strive to create an environment where everyone has a sense of belonging and purpose, and where we learn from the unique experiences of those around us.
 We encourage all qualified candidates to apply regardless of race, color, ancestry, religion, national origin, sexual orientation, age, citizenship, marital or family status, disability, gender, gender identity or expression, pregnancy or caregiver status, veteran status,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for this position is $160,000 to $185,000, depending on experience; actual compensation will be dependent upon the specific role, location, as well as the individual’s qualifications, experience, skills and certifications.</t>
        </is>
      </c>
    </row>
    <row r="36">
      <c r="A36" t="inlineStr">
        <is>
          <t>li-4354555273</t>
        </is>
      </c>
      <c r="B36" t="inlineStr">
        <is>
          <t>Software Engineer (API, Roku)</t>
        </is>
      </c>
      <c r="C36" t="inlineStr">
        <is>
          <t>The Walt Disney Company</t>
        </is>
      </c>
      <c r="D36" t="inlineStr">
        <is>
          <t>linkedin</t>
        </is>
      </c>
      <c r="E36" t="inlineStr"/>
      <c r="F36" t="inlineStr"/>
      <c r="G36" t="inlineStr"/>
      <c r="H36" t="inlineStr"/>
      <c r="I36" t="inlineStr">
        <is>
          <t>**About The Company** 
 Disney Entertainment and ESPN Product \&amp; Technology is a global leader in media and entertainment, dedicated to creating innovative and engaging experiences for audiences worldwide. As part of The Walt Disney Company, we leverage cutting\-edge technology, storytelling, and creativity to deliver world\-class content across multiple platforms. Our organization comprises a diverse team of engineers, product developers, designers, data scientists, and technologists who work collaboratively to build and enhance the technological backbone supporting Disney’s extensive media portfolio. We are committed to fostering an inclusive environment that encourages innovation, creativity, and continuous learning, ensuring that our products and services remain at the forefront of the industry.
**About The Role** 
 We are seeking a highly skilled and experienced Lead Software Engineer to join our remote team, focusing on the development and maintenance of our Roku media playback library. This role is integral to delivering a seamless streaming experience across Disney’s direct\-to\-consumer brands, including Disney\+, Hulu, and ESPN. The successful candidate will collaborate closely with cross\-functional teams to design, develop, and implement media playback solutions that are scalable, reliable, and innovative. You will play a key role in shaping media playback architecture, ensuring consistency across platforms, and driving media technology advancements to enhance user engagement and satisfaction. This position offers an exciting opportunity to contribute to Disney’s legacy of storytelling through technological excellence, impacting millions of viewers globally.
**Qualifications** 
* Bachelor’s Degree in Computer Science, Information Systems, Software Engineering, Electrical or Electronics Engineering, or a related field
* Minimum of 7 years of professional work experience in software engineering or related roles
* At least 2 years of experience developing applications for Roku using Brightscript
* Strong communication skills, both verbal and written, with the ability to present data effectively
* Proven track record in senior and lead software engineering roles, demonstrating leadership and technical expertise
* Experience working with Video Playback technologies such as MSE/EME, HLS, MPEG\-DASH, Transport Stream, CMAF (preferred)
* Knowledge of media content processing, normalization, and packaging workflows
* Experience in designing and implementing APIs and collaborating with cross\-functional teams
* Familiarity with media streaming protocols and adaptive streaming technologies
**Responsibilities** 
* Design and implement new features for the media playback library, integrating with various Disney media services and back\-end systems
* Collaborate with front\-end and media backend teams to ensure consistent software architecture and optimal user experience
* Conduct research and development to improve media playback experiences, including testing and integration efforts
* Participate in project planning, code reviews, and team operations to ensure high\-quality deliverables
* Maintain and optimize the Roku media playback library for performance, scalability, and reliability
* Identify and resolve technical issues related to media playback and streaming performance
* Contribute to the development of best practices and standards for media playback across platforms
* Stay current with emerging media streaming technologies and incorporate innovative solutions into the product
**Benefits** 
* Competitive salary aligned with industry standards
* Comprehensive health, dental, and vision insurance plans
* Retirement savings options with company contributions
* Flexible work arrangements supporting remote work
* Paid time off and holidays to promote work\-life balance
* Opportunities for professional development and career growth
* Access to Disney’s extensive resources and learning platforms
* Inclusive and diverse work environment fostering innovation
 Equal Opportunity
 Disney Streaming Technology LLC is an equal opportunity employer. We are committed to creating a diverse and inclusive workplace where all employees are valued and respected. We do not discriminate based on race, religion, color, sex, sexual orientation, gender identity, gender expression, national origin, age, marital status, veteran status, disability, or any other protected characteristic.</t>
        </is>
      </c>
    </row>
    <row r="37">
      <c r="A37" t="inlineStr">
        <is>
          <t>li-4330147614</t>
        </is>
      </c>
      <c r="B37" t="inlineStr">
        <is>
          <t>Senior Software Engineer</t>
        </is>
      </c>
      <c r="C37" t="inlineStr">
        <is>
          <t>Engtal</t>
        </is>
      </c>
      <c r="D37" t="inlineStr">
        <is>
          <t>linkedin</t>
        </is>
      </c>
      <c r="E37" t="inlineStr"/>
      <c r="F37" t="inlineStr"/>
      <c r="G37" t="inlineStr">
        <is>
          <t>Austin, TX</t>
        </is>
      </c>
      <c r="H37" t="inlineStr"/>
      <c r="I37" t="inlineStr">
        <is>
          <t>**Software Engineer – Backend Systems (Energy Infrastructure Platform)** 
 We’re working with a bold, mission\-driven power company that’s rebuilding the backbone of the American energy system. By combining software, distributed infrastructure, and engineering speed, they are rolling out a next\-gen platform that strengthens the grid and empowers communities nationwide.
 If you’re passionate about transforming critical infrastructure and building software that touches the real world, this is your moment.
 The team is developing the operating system powering their entire distributed energy platform. From orchestrating fleets of batteries and real\-time grid response to managing field deployments and automating logistics, this is the digital foundation for the future of American power.
 As a backend software engineer, you’ll help scale the core systems that bring this infrastructure to life.
**What You’ll Do:** 
* Design core backend services and scalable APIs that control everything from grid balancing to field ops.
* Own the stack: Work primarily in Go and Python, deploying into modern AWS\-based cloud environments.
* Use Terraform to define infrastructure\-as\-code and Temporal to orchestrate complex workflows.
* Collaborate across disciplines—deployment, hardware, and operations—to build high\-reliability systems that cross physical and digital boundaries.
* Every line of code you write will have real\-world impact on homes, businesses, and the grid.
**What You Bring:** 
* 2\+ years of professional experience in backend software development (open to multiple seniority levels).
* Proficiency in Go, Python, Java, or similar languages.
* Familiarity with AWS, Docker, Kubernetes, or other modern cloud and container technologies.
* Passion for clean, maintainable code and solid testing practices.
* Strong product mindset—you're thinking about the impact and user outcome, not just the implementation.
 This is your chance to build systems that don’t just ship a product, they power a nationwide platform that’s redefining how energy works in America. You’ll shape system behavior from silicon to deployment, partner with elite engineers, and lead innovation in one of the most critical and dynamic sectors of our time.</t>
        </is>
      </c>
    </row>
    <row r="38">
      <c r="A38" t="inlineStr">
        <is>
          <t>li-4328712323</t>
        </is>
      </c>
      <c r="B38" t="inlineStr">
        <is>
          <t>Junior Software Engineer</t>
        </is>
      </c>
      <c r="C38" t="inlineStr">
        <is>
          <t>BeaconFire Inc.</t>
        </is>
      </c>
      <c r="D38" t="inlineStr">
        <is>
          <t>linkedin</t>
        </is>
      </c>
      <c r="E38" t="inlineStr"/>
      <c r="F38" t="inlineStr"/>
      <c r="G38" t="inlineStr">
        <is>
          <t>Georgia, United States</t>
        </is>
      </c>
      <c r="H38" t="inlineStr"/>
      <c r="I38"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9">
      <c r="A39" t="inlineStr">
        <is>
          <t>li-4303285340</t>
        </is>
      </c>
      <c r="B39" t="inlineStr">
        <is>
          <t>Senior Software Engineer</t>
        </is>
      </c>
      <c r="C39" t="inlineStr">
        <is>
          <t>Kraken</t>
        </is>
      </c>
      <c r="D39" t="inlineStr">
        <is>
          <t>linkedin</t>
        </is>
      </c>
      <c r="E39" t="inlineStr"/>
      <c r="F39" t="inlineStr"/>
      <c r="G39" t="inlineStr">
        <is>
          <t>New York, United States</t>
        </is>
      </c>
      <c r="H39" t="inlineStr"/>
      <c r="I39" t="inlineStr">
        <is>
          <t>Help us use technology to make a big green dent in the universe!
 Kraken
  powers some of the most innovative global developments in energy.
 We’re a technology company focused on creating a smart, sustainable energy system. From optimising renewable generation, creating a more intelligent grid and enabling utilities to provide excellent customer experiences, our operating system for energy is transforming the industry around the world in a way that benefits everyone.
 It’s a really exciting time in energy. Help us make a real impact on shaping a better, more sustainable future.
**What you'll do:** 
* We have lots of difficult design challenges to solve. The US energy market is complicated, outdated and process\-heavy \- there's a lot of domain modelling that we need to get right. Strong attention to detail is essential
* We have difficult technical problems to solve. With the advent of smart meters, we'll soon be processing millions of meter readings a day. We need the right technology in place to handle this smoothly as well as feeding data into a machine learning pipeline that models and predicts consumption
* Often, we can only give you the question and not the answer, because if we knew the answer, we wouldn’t be hiring \- are you someone who not only finds answers but creates value by coming back and asking better questions?
* There's a great opportunity for disruption in the US energy market. The big suppliers still dominate, but are not popular. The energy landscape is changing as we move to more dis\-aggregated forms of generation, with less predictability, more dynamism and smarter technology. Octopus Energy were the first UK supplier to introduce a "tracker" tariff whose prices track the daily wholesale prices: http://www.cleanenergynews.co.uk/news/efficiency/octopus\-offers\-transparency\-with\-wholesale\-price\-tariff
* You'll be working for a company that’s fighting climate change. Our parent company is the largest investor in solar generation in the UK, and are funding wind and anaerobic digestion. As a supplier, we're helping people to use greener technology and renewable energy, all helping move the UK towards a lower carbon future
**What you'll have:** 
* A minimum of 5 years of professional python software development experience is required.
* General interest in technology and problem\-solving; Diligent and thoughtful
* Good communication skills
* Python
* Django
* Django REST Framework
* Domain modelling
* HTTP and REST APIs
* Writing robust and fault\-tolerant software
* Celery and async processing
* Postgres
* Legally able to work within the USA
 Plus experience in the following would be a bonus:
 * AWS
* Terraform, Packer, Consul
* React and Redux
* Professional understanding of the US energy domain
**What you'll love about us** 
* Great
 **medical,** 
 **dental** 
 , and
 **vision insurance** 
 options including FSAs
* **paid time off** 
 — we know working hard means also being able to recharge as needed, we trust our employees to get the work done and take the time they need
* **401(k) plan** 
 with employer match
* **Parental leave** 
 . Biological, adoptive and foster parents are all eligible.
* Pre\-tax commuter benefits
* **Flexible working environment** 
 : you need to shift around your schedule? You do you, we genuinely believe in work/life balance.
* **Equity Options** 
 : every Octopus employee owns part of the business. We’re a team, working together towards huge goals. Every person is crucial to our success, you should be rewarded as such.
* **Modern office** 
 or co\-working spaces depending on location
* We hire a wide range of experience levels into our software teams. The
 **salary range** 
 for this position in NYC ranges on average from $150K\-$210K (with some flexibility) depending on relevant experience, role alignment, and technical expertise demonstrated throughout the interview process. While the full salary range is listed, not all candidates will be placed at the top of the range—this will be determined by the overall fit for the position. If you have questions about this, just ask! Our recruiters are happy to provide more context.
 We are hiring this role in our New York City office, but would also consider candidates who are remote within the East Coast region/timezone. We cannot consider candidates outside this region.
**Kraken is a certified Great Place to Work in France, Germany, Spain, Japan and Australia. In the UK we are one of the Best Workplaces on Glassdoor with a score of 4\.7\. Check out our Welcome to the Jungle site (** 
**FR** 
**/** 
**EN** 
**) to learn more about our teams and culture.** 
*Are you ready for a career with us? We want to ensure you have all the tools and environment you need to unleash your potential. If you have any specific accommodations or a unique preference, please contact us at inclusion@kraken.tech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Kraken,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We consider all applicants without regard to race, colour, religion, national origin, age, sex, gender identity or expression, sexual orientation, marital or veteran status, disability, or any other legally protected status. U.S. based candidates can learn more about their EEO rights here.* 
*Our (i)* 
*Applicant and Candidate Privacy Notice and Artificial Intelligence (AI) Notice* 
*, (ii)* 
*Website Privacy Notice* 
*and (iii)* 
*Cookie Notice* 
*govern the collection and use of your personal data in connection with your application and use of our website. These policies explain how we handle your data and outline your rights under applicable laws, including, but not limited to, the General Data Protection Regulation (GDPR) and the California Consumer Privacy Act (CCPA). Depending on your location, you may have the right to access, correct, or delete your information, object to processing, or withdraw consent. By applying, you acknowledge that you’ve read, understood and consent to these terms*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0">
      <c r="A40" t="inlineStr">
        <is>
          <t>li-4350791881</t>
        </is>
      </c>
      <c r="B40" t="inlineStr">
        <is>
          <t>Associate Software Engineer</t>
        </is>
      </c>
      <c r="C40" t="inlineStr">
        <is>
          <t>BeaconFire Inc.</t>
        </is>
      </c>
      <c r="D40" t="inlineStr">
        <is>
          <t>linkedin</t>
        </is>
      </c>
      <c r="E40" t="inlineStr"/>
      <c r="F40" t="inlineStr"/>
      <c r="G40" t="inlineStr">
        <is>
          <t>Texas, United States</t>
        </is>
      </c>
      <c r="H40" t="inlineStr"/>
      <c r="I40" t="inlineStr">
        <is>
          <t>**Associate Software Engineer – Python/React** 
**Location:** 
 New Jersey (Onsite)
**Experience:** 
 0–1 years
**Education:** 
 Master’s degree in Computer Science, Software Engineering, or related discipline
**Salary:** 
 $60,000 – $75,000 per year
**Job Description:** 
 We are hiring an
 **Associate Software Engineer** 
 to join our technology team and work on modern web applications using
 **Python, React, and Node.js** 
 . The ideal candidate is passionate about software development and eager to learn in a fast\-paced, collaborative environment.
**Responsibilities:** 
* Contribute to the design, development, and testing of web applications
* Write high\-quality Python code and integrate with React frontends
* Collaborate with cross\-functional teams on new feature development
* Troubleshoot and fix issues in existing systems
* Stay up to date with emerging technologies in web development
**Required Skills:** 
* Hands\-on experience with Python, React.js, and Node.js
* Knowledge of Python frameworks such as Flask or FastAPI
* Basic understanding of Git, REST APIs, and cloud platforms (AWS/Azure)
* Strong analytical and debugging skills
* Excellent communication and teamwork abilities
**Why Join Us:** 
* Competitive salary and benefits package.
* Career growth and mentorship opportunities.
* Collaborative and learning\-focused work environment.
***Beaconfire is an e\-verified company and provides equal employment opportunities (visa sponsorship provided).***</t>
        </is>
      </c>
    </row>
    <row r="41">
      <c r="A41" t="inlineStr">
        <is>
          <t>li-4350791893</t>
        </is>
      </c>
      <c r="B41" t="inlineStr">
        <is>
          <t>Junior Software Engineer</t>
        </is>
      </c>
      <c r="C41" t="inlineStr">
        <is>
          <t>BeaconFire Inc.</t>
        </is>
      </c>
      <c r="D41" t="inlineStr">
        <is>
          <t>linkedin</t>
        </is>
      </c>
      <c r="E41" t="inlineStr"/>
      <c r="F41" t="inlineStr"/>
      <c r="G41" t="inlineStr">
        <is>
          <t>Massachusetts, United States</t>
        </is>
      </c>
      <c r="H41" t="inlineStr"/>
      <c r="I41"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42">
      <c r="A42" t="inlineStr">
        <is>
          <t>li-4142865296</t>
        </is>
      </c>
      <c r="B42" t="inlineStr">
        <is>
          <t>Software Engineer, Infrastructure (2-8 YOE)</t>
        </is>
      </c>
      <c r="C42" t="inlineStr">
        <is>
          <t>Airtable</t>
        </is>
      </c>
      <c r="D42" t="inlineStr">
        <is>
          <t>linkedin</t>
        </is>
      </c>
      <c r="E42" t="inlineStr"/>
      <c r="F42" t="inlineStr"/>
      <c r="G42" t="inlineStr"/>
      <c r="H42" t="inlineStr"/>
      <c r="I42" t="inlineStr">
        <is>
          <t>Airtable is the no\-code app platform that empowers people closest to the work to accelerate their most critical business processes. More than 500,000 organizations, including 80% of the Fortune 100, rely on Airtable to transform how work gets done.
 Airtable’s infrastructure is evolving to meet the needs of our fast growing engineering org. We are looking for backend engineers to join our team to help improve critical product infrastructure, with a focus on building systems that have a great developer experience and will scale as we grow.
**We Currently Have Openings On** 
- Base Infrastructure: The Base Infrastructure team owns the system that powers the core of Airtable’s product\-\-serving Airtable bases. We are investing in the foundations of our homegrown in\-memory database. Key projects include building replication to support zero downtime failovers, optimizing performance and memory usage, and vertical scaling.
- Compute: The compute pod builds and manages our Kubernetes\-based platform that supports every service at Airtable, including all new AI services such as vector databases, AI evals store, and document extraction and understanding services. We have a lot of exciting foundational work in our roadmap, such as
* Overhauling our network stack and service discovery, to simplify service setup and strengthen security
* Region level disaster recovery, and bringing up compute platform from 0\-\&gt;1 in a new region
* Building custom Kubernetes operators for reliably managing some of our most critical workloads
* Data Infrastructure: The Data Infrastructure team’s mission is to enable data\-driven decision making at Airtable by providing reliable, self\-service, high\-performance analytics infrastructure. We use technologies like Apache Spark, Kafka, and Apache Flink to process vast quantities of data in our data warehouse. This infrastructure is used by Airtable’s data engineers and analysts, as well as product developers building features powered by business data. The team is focused on scaling to petabyte volume, enabling sub\-second streaming, tightening data governance, and delivering cost efficient ML\-ready datasets to power Airtable’s native AI products with fresh, high quality signals.
* Developer Platform: The Developer Platform team sits at the intersection of all engineering at Airtable, focusing on building the internal tooling, frameworks, and CI/CD systems that power our product teams. We strive to streamline developer workflows—from build and test cycles to production deployments—and foster a best\-in\-class developer experience. Join us if you’re passionate about creating high\-leverage solutions that enable engineers to deliver features quickly, reliably, and at scale.
* Observability: The Observability team's mission is to empower Airtable's engineering team with effective monitoring and debugging tools. We provide actionable insights into errors and crashes, and improve performance through enhanced visibility. You’ll build tools that are in\-use by nearly every engineer at Airtable in our logging, metrics, and tracing pipelines.
* Storage: The Storage team’s mission is to accelerate product development at Airtable by providing scalable, reliable, and easy\-to\-use storage abstractions. We use RDS MySQL, DynamoDB, Redis, and TiDB. We’re looking for folks interested in distributed systems and databases who are excited to work on business\-critical, petabyte\-scale storage systems. You will own all aspects of building, running, and improving these systems, from the underlying infrastructure all the way to the developer\-facing code abstractions.
* Traffic: We are looking for founding members of our Traffic Engineering team. We recently formed a Traffic Infrastructure team to ensure that traffic across Airtable’s network and routing infrastructure is managed in a reliable, flexible, and secure manner. This will support improved performance in our secondary regions (EU and Australia) as well as other customer\-driven projects. We are looking for software engineers experienced in shipping code in the areas of cloud network routing, network security, and traffic engineering.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Proactively identify and lead significant improvements to Airtable’s infrastructure, working across teams and product areas to maximize business and engineering impact.
* Work on systems\-level problems in a complex design space where scalability, efficiency, reliability, and security really matter.
* Build clean, reusable, and maintainable abstractions that will be used by Airtable’s engineers for years to come.
* Take full ownership of components of Airtable’s infrastructure, including responsibility for reliability, performance, efficiency, and observability of our production environment.
**Who You Are**
* You have 2\-8 years of industry experience, and are excited about learning new technologies and applying them in a fast\-changing environment. Please note this is not a new grad position.
* You have experience in areas such as databases, distributed systems, service\-oriented architectures, and data infrastructure.
* You derive joy from refactoring and building clean abstractions in order to make complex systems fun to develop on and easy to understand.
* You have a strong background in computer science with a degree in CS or a related field.
* You are currently based or willing to relocate to the San Francisco Bay Area.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$148,100 \- $250,000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43">
      <c r="A43" t="inlineStr">
        <is>
          <t>li-4350701877</t>
        </is>
      </c>
      <c r="B43" t="inlineStr">
        <is>
          <t>Full Stack Engineer</t>
        </is>
      </c>
      <c r="C43" t="inlineStr">
        <is>
          <t>BeaconFire Inc.</t>
        </is>
      </c>
      <c r="D43" t="inlineStr">
        <is>
          <t>linkedin</t>
        </is>
      </c>
      <c r="E43" t="inlineStr"/>
      <c r="F43" t="inlineStr"/>
      <c r="G43" t="inlineStr">
        <is>
          <t>New Jersey, United States</t>
        </is>
      </c>
      <c r="H43" t="inlineStr"/>
      <c r="I43"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44">
      <c r="A44" t="inlineStr">
        <is>
          <t>li-4255814121</t>
        </is>
      </c>
      <c r="B44" t="inlineStr">
        <is>
          <t>Software Engineer, Product</t>
        </is>
      </c>
      <c r="C44" t="inlineStr">
        <is>
          <t>Meta</t>
        </is>
      </c>
      <c r="D44" t="inlineStr">
        <is>
          <t>linkedin</t>
        </is>
      </c>
      <c r="E44" t="inlineStr"/>
      <c r="F44" t="inlineStr"/>
      <c r="G44" t="inlineStr">
        <is>
          <t>Foster City, CA</t>
        </is>
      </c>
      <c r="H44" t="inlineStr"/>
      <c r="I44"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5">
      <c r="A45" t="inlineStr">
        <is>
          <t>li-4133291932</t>
        </is>
      </c>
      <c r="B45" t="inlineStr">
        <is>
          <t>Software Engineer</t>
        </is>
      </c>
      <c r="C45" t="inlineStr">
        <is>
          <t>Optiver</t>
        </is>
      </c>
      <c r="D45" t="inlineStr">
        <is>
          <t>linkedin</t>
        </is>
      </c>
      <c r="E45" t="inlineStr"/>
      <c r="F45" t="inlineStr"/>
      <c r="G45" t="inlineStr">
        <is>
          <t>Austin, TX</t>
        </is>
      </c>
      <c r="H45" t="inlineStr"/>
      <c r="I45" t="inlineStr">
        <is>
          <t>Our Software Engineers build proprietary trading systems which directly impact the financial markets. Our software engineering teams leverage technology to solve a variety of difficult problems.
 Our trading strategies must respond to market events in microseconds or less, and we automatically price large, diverse sets of financial instruments with extremely low error tolerance. We continually refine, store, and analyze terabytes of data produced by market activity and our trading systems. Our user interfaces must present coherent, responsive real\-time visualizations of market activity and system performance while providing intuitive control of a highly complex system. Our core systems must provide a stable, performant, and trusted foundation on which our systems are built.
**Technology at Optiver:**
 At Optiver we pride ourselves on being real engineers, not just coders. Our engineers work closely with traders to identify the business problems we face and determine how they should be solved. We apply a disciplined and scientific approach. We engineer simple, well\-architected solutions that meet the dynamic needs of our traders. Our passion is to solve problems which really matter to the business, and we take pride in the quality of our solutions.
**What you’ll do:**
* Design, develop, support, and maintain trading systems, tools, and infrastructure
* Collaborate deeply with traders, risk analysts, researchers, and other engineers
* Gain and develop an in\-depth understanding of trading theory and practice
**What you’ll get:**
 You’ll join a culture of collaboration and excellence, surrounded by curious thinkers and creative problem\-solvers. Motivated by a passion for continuous improvement, you’ll thrive in a supportive, high\-performing environment alongside talented colleagues, collectively tackling some of the toughest challenges in the financial markets.
 In addition, you’ll receive:
* The opportunity to work alongside best\-in\-class professionals from over 40 different countries
* A highly competitive compensation package
* Global profit\-sharing pool and performance\-based bonus structure
* 401(k) match up to 50%
* Comprehensive health, mental, dental, vision, disability, and life coverage
* 25 paid vacation days alongside market holidays
* Extensive office perks, including breakfast, lunch and snacks, regular social events, clubs, sporting leagues and more
**Who you are:**
* Strong engineering instincts and a deep understanding of computer science fundamentals
* Experience writing software in C\+\+, C\#, C, and/or Python
* A passion for clean code, simple well\-architected systems and continuous improvement
* Ability to collaborate with developers, traders, and business operations
**Who we are:**
 Optiver is a tech\-driven trading firm and leading global market maker. As one of the oldest market making institutions, we are a trusted partner of 70\+ exchanges across the globe. Our mission is to constantly improve the market by injecting liquidity, providing accurate pricing, increasing transparency and acting as a stabilizing force no matter the market conditions. With a focus on continuous improvement, we participate in the safeguarding of healthy and efficient markets for everyone who participates.
 Based in ‘The Domain’ neighborhood, Optiver’s Austin office serves as the firm’s innovation nucleus, with a strong focus on quantitative research, software and hardware engineering initiatives. With tech innovation an integral part of our core business, the booming city proved an ideal backdrop for our heavy investment into machine learning, research infrastructure and big data computing. What’s more, with world\-class music, food and art scenes, as well as countless scenic outdoor activities, the quality of life for Austin Optiverians is second to none.
**Diversity statement**
 Optiver is committed to diversity and inclusion.</t>
        </is>
      </c>
    </row>
    <row r="46">
      <c r="A46" t="inlineStr">
        <is>
          <t>li-4349081432</t>
        </is>
      </c>
      <c r="B46" t="inlineStr">
        <is>
          <t>Robotics Software Engineer</t>
        </is>
      </c>
      <c r="C46" t="inlineStr">
        <is>
          <t>EVONA</t>
        </is>
      </c>
      <c r="D46" t="inlineStr">
        <is>
          <t>linkedin</t>
        </is>
      </c>
      <c r="E46" t="inlineStr"/>
      <c r="F46" t="inlineStr"/>
      <c r="G46" t="inlineStr"/>
      <c r="H46" t="inlineStr"/>
      <c r="I46" t="inlineStr">
        <is>
          <t>**🚁 Robotics Software Engineer (Customer Facing) \| Aerial Autonomy \| UAV \| Drones \| Remote \| US\-Based** 
 We’re working with one of the most exciting venture\-backed robotics startups in the defense\-tech space, developing real\-time autonomous systems that operate
 *in the air* 
 and are used directly by operators in the field. Backed by leading investors, this team builds mission\-critical UAV software that integrates into next\-generation defense platforms.
 They’re hiring a
 **Customer Facing Robotics Software Engineer** 
 to join their growing technical team. If you have spent the last few years working on drones or UAVs, building C\+\+ based robotics systems, and want to bring real autonomy into real\-world environments, this is the one.
**What you'll be working on:**
* Developing and iterating on UAV and robotics software used in defense\-focused environments
* Working directly with operators to understand how the system behaves in the field
* Prototyping UAV features, running flight tests, collecting feedback and refining quickly
* Supporting mapping, navigation, perception and mission capabilities for aerial robots
* Troubleshooting live issues in the field and shaping product direction based on operator needs
* Collaborating with autonomy, hardware and product teams to take UAV systems from lab to deployment
**What you'll bring:**
* Hands\-on experience with
 **UAVs or drones**
* Strong C\+\+ skills and solid robotics software foundations
* Experience with navigation, mapping, or computer vision
* Comfort working directly with end users, operators and field teams
* Ability to operate without rigid requirements and iterate through trial and error
* A proactive, hands\-on mindset suited to small, fast\-moving engineering teams
**Bonus points for:** 
 PX4 or Ardupilot experience, computer vision, startup experience, university robotics or drone competition work
**Why this role?**
 Work on cutting\-edge UAV tech with real\-world deployment
 Be part of a fast\-moving, VC\-backed startup with huge growth potential
 Full benefits package, flexibility, and a collaborative culture
 See your UAV software used directly by operators in critical environments
 This role is open to
 **US\-based engineers only** 
 \-
 **US Citizens or Green Card Holders (Compliant with ITAR).** 
 Apply now or for more information, please contact
 **Ciara Holmes at EVONA.**</t>
        </is>
      </c>
    </row>
    <row r="47">
      <c r="A47" t="inlineStr">
        <is>
          <t>li-4324231588</t>
        </is>
      </c>
      <c r="B47" t="inlineStr">
        <is>
          <t>Sr Software Engineer</t>
        </is>
      </c>
      <c r="C47" t="inlineStr">
        <is>
          <t>The Walt Disney Company</t>
        </is>
      </c>
      <c r="D47" t="inlineStr">
        <is>
          <t>linkedin</t>
        </is>
      </c>
      <c r="E47" t="inlineStr"/>
      <c r="F47" t="inlineStr"/>
      <c r="G47" t="inlineStr">
        <is>
          <t>New York, NY</t>
        </is>
      </c>
      <c r="H47" t="inlineStr"/>
      <c r="I47" t="inlineStr">
        <is>
          <t>**Disney Entertainment \&amp; ESPN Product \&amp; Technology**
 Technology is at the heart of Disney’s past, present, and future. Disney Entertainment and ESPN Product \&amp; Technology (DEEP\&amp;T)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Commerce, Data \&amp; Identity (CDI) provides the core product management functions for areas crucial to Disney’s media businesses. These include initiatives and products that power digital commerce, identity, and growth, as well as those that reach uniquely across The Walt Disney Company enterprise, such as messaging and privacy, among others. Additionally, it is responsible for the data engineering, science, and products for Disney Entertainment \&amp; ESPN, along with their interconnection with other parts of The Walt Disney Company.
 We are seeking a motivated and detail\-oriented Senior Software Engineer to join our dynamic team, focusing on leading and overseeing the development of our data infrastructure. You will be responsible for helping implement software solutions to automate, enhance, and support our data platform, primarily leveraging Snowflake and cloud technologies. This is an excellent opportunity to demonstrate your expertise in software engineering, cloud data platforms, Infrastructure as Code (IaC), and automation, while guiding the creation of a robust, scalable, and secure data ecosystem. You’ll get to understand the challenges of how data is being used at Disney’s world\-class streaming services while pushing the boundaries of what is possible using the latest technologies available in AWS, Snowflake, and beyond.
**Responsibilities**
* Contribute to the development and maintenance of software solutions using Python to automate and enhance the management of the Snowflake data platform, including user access, permissions, and resource utilization.
* Help maintain integrations between Snowflake and other systems using Python, APIs, and Snowflake connectors, ensuring robustness and maintainability
* Collaborate with the team to design and implement data models, applying advanced software engineering principles to ensure database schema design is scalable and maintainable
* Help leadership mentor junior engineers through constructive code reviews, pair programming, and active knowledge sharing.
**Basic Qualifications**
* Experience with Infrastructure\-as\-Code (IaC) tools, especially Terraform, CICD, or automation tools
* Problem\-solving skills and the ability to learn new technologies quickly. Extensive, production\-level Python programming experience that demonstrates strong software engineering fundamentals (e.g., modularity, testing, clean code, object\-oriented design). Verifiable experience building data APIs, reusable libraries, and automation frameworks is essential.
* Snowflake expert, including architecture, management, and key features
* Strong SQL skills, including the ability to write, debug, and optimize complex queries for large\-scale datasets
**Preferred Qualifications**
* Comprehensive understanding of data warehousing concepts and cloud platforms (AWS, Azure, or GCP). Experience with data modeling techniques (e.g., dimensional modeling, star schema, data vault)
* Expertise in designing complex systems and making key architectural decisions with reasonable trade\-offs
* Hands\-on experience with Databricks and PySpark for large\-scale data processing, ETL, or machine learning engineering. Professional experience with Apache Airflow or Prefect for managing complex, interdependent data pipelines.
* Master’s Degree in Computer Science
**Required Education**
* At least 5 years of relevant professional experience and Bachelor’s degree in Computer Science or related field OR 3\+ years of relevant professional experiences and a Master’s degree in Computer Science or related field
**Additional Information**
 \#DISNEYTECH
 \#CDI
 The hiring range for this position in New York, NY is $148,700 to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8">
      <c r="A48" t="inlineStr">
        <is>
          <t>li-4351195405</t>
        </is>
      </c>
      <c r="B48" t="inlineStr">
        <is>
          <t>Senior Software Engineer</t>
        </is>
      </c>
      <c r="C48" t="inlineStr">
        <is>
          <t>SoTalent</t>
        </is>
      </c>
      <c r="D48" t="inlineStr">
        <is>
          <t>linkedin</t>
        </is>
      </c>
      <c r="E48" t="inlineStr"/>
      <c r="F48" t="inlineStr"/>
      <c r="G48" t="inlineStr">
        <is>
          <t>Texas, United States</t>
        </is>
      </c>
      <c r="H48" t="inlineStr"/>
      <c r="I48" t="inlineStr">
        <is>
          <t>**Job Title : Senior Software Engineer** 
**Location : Texas, United States (Remote)** 
**Job Type : Full Time** 
 Our client, a leading organization driving large\-scale digital transformation, is seeking a Senior Software Engineer to help shape and deliver next\-generation technology platforms. This role partners closely with product, engineering, and design leaders to challenge conventions, solve complex problems, and bring innovative solutions to market.
**Key Responsibilities** 
* Define and champion a clear technical vision for your domain, aligning strategy with execution
* Break down complex technical challenges into practical, scalable, and operational solutions
* Ensure high standards of system design, architecture, and implementation quality
* Act as a subject\-matter authority on non\-functional requirements including performance, scalability, reliability, and operability
* Drive continuous learning and introduce advanced technical practices across the engineering community
* Manage and prioritize multiple initiatives simultaneously to maximize business impact
* Serve as a mentor and role model, strengthening technical depth across engineering and product teams
* Enable abstraction of client\-facing applications from core systems of record
* Lead client migrations to a core\-agnostic GraphQL interface layer
* Deliver automation and tooling that accelerates client onboarding to modern platforms
* Ensure seamless functionality and stability across applications following migration efforts
**Basic Qualifications** 
* Bachelor’s degree
* 7\+ years of experience in software engineering
* 5\+ years of hands\-on experience with Java, Python, or Node.js
* 3\+ years of experience working with public cloud platforms (AWS, Azure, or GCP)
**Preferred Qualifications** 
* Master’s degree
* 9\+ years of overall software engineering experience
* 5\+ years of experience with AWS
* Proven experience designing and building cloud\-native applications
* Background in event\-driven systems and microservices architectures</t>
        </is>
      </c>
    </row>
    <row r="49">
      <c r="A49" t="inlineStr">
        <is>
          <t>li-4351145683</t>
        </is>
      </c>
      <c r="B49" t="inlineStr">
        <is>
          <t>Software Engineer</t>
        </is>
      </c>
      <c r="C49" t="inlineStr">
        <is>
          <t>Grass Valley</t>
        </is>
      </c>
      <c r="D49" t="inlineStr">
        <is>
          <t>linkedin</t>
        </is>
      </c>
      <c r="E49" t="inlineStr"/>
      <c r="F49" t="inlineStr"/>
      <c r="G49" t="inlineStr">
        <is>
          <t>Nevada City, CA</t>
        </is>
      </c>
      <c r="H49" t="inlineStr"/>
      <c r="I49" t="inlineStr">
        <is>
          <t>**The Role:** 
 The main responsibilities:
* Working in a multi\-disciplinary team with system architects, software and FPGA and hardware engineers
* Implement and debug embedded software modules/libraries from a list of requirements given an architecture and guidelines
* Comply with processes and coding rules agreed upon by the team
* Participate in design reviews and code reviews
* In\-lab testing of developed new software components
* Software development to include design, implement, test, debug, QA support, and release.
* Estimate tasks and strive to meet commitments
* Collaborate closely with FPGA developers and system architect
* Document work
* Design embedded software components using commonly known software concepts
* Use, contribute and maintain deployment and build systems
* Contribute to design reviews and code reviews
* Document APIs and write guides/tutorials (wiki) on how to use solutions
* Support the test and QA engineers
* Collaborate with multi\-disciplinary team to remotely troubleshoot and resolve customer issues.
* Help associate embedded software developers
**Preferred qualifications:** 
* B.S. degree in Electrical/Software/Computer engineering or equivalent experience
* Understanding of fundamental software design patterns, including but not limited to Singleton, Factory, and Adapter, with the ability to apply them effectively in engineering solutions
* Know your way into Linux (bash, configuration, …)
* Knowledge of Linux and Windows based platforms and embedded Linux control systems
* Experience with virtual machines on VMWare or VirtualBox
* Intermediate knowledge of C and C\+\+ and object oriented programming
* Experience with x86 and ARM processors in real\-time multi\-threaded embedded Linux applications
* Experience with Eclipse IDE and Visual Studio IDE for cross development compile and debug
* Knowledge of embedded control protocols (I2C, SPI, PCIe, USB) and TCP/IP protocols.
* Experience with broadcast video, signaling, and SMPTE standards.
* Experience with Buildroot, BSP/SBC, and cross compiling and debugging
* Experience with deployment systems such as Jenkins, TeamCity
* Experience with version control systems such as GIT, SVN
* Good communication skills especially for technical writing
* Experience with agile management systems such as JIRA
* Experience in a scrum\-agile development environment
* Experience with Windows Presentation Foundation (WPF), Visual Studio XAML Designer, .NET Framework API, C\# in a Windows GUI environment
**Nice to have:** 
* Knowledge of Java, javascript and web technologies
* Experience using oscilloscopes/logic analyzers/waveform monitors
* Experience in audio/video processing
* Experience with network and streaming technologies
* Experience with kernel driver development
**Other Requirements** 
* Ability to work on site at our R\&amp;D Facility in Nevada City, CA
* Able to sit or stand for an extended period of time without aid
* Ability to lift up to 25lbs, unassisted
**We offer** 
* Competitive compensation package
* Comprehensive benefits including a flexible time off policy
* Energizing and supportive work environment
* Salary Range: $90,000 – $130,000 annually, based on experience and qualifications
 \_\_\_\_\_\_\_\_\_\_\_\_\_\_\_\_\_\_\_\_\_\_\_\_\_\_\_\_\_\_\_\_\_\_\_\_\_\_\_\_\_\_\_\_\_\_\_\_\_
 This job description is intended to describe the general nature and level of work involved for this job. It is not an exhaustive list of all responsibilities, duties and skills required of this job.
 Grass Valley is an equal opportunity employer and makes employment decisions without regard to gender, marital status, race, religion, color, age, disability, sexual orientation or protected veteran status.</t>
        </is>
      </c>
    </row>
    <row r="50">
      <c r="A50" t="inlineStr">
        <is>
          <t>li-4354515494</t>
        </is>
      </c>
      <c r="B50" t="inlineStr">
        <is>
          <t>Software Engineer II</t>
        </is>
      </c>
      <c r="C50" t="inlineStr">
        <is>
          <t>Bugcrowd</t>
        </is>
      </c>
      <c r="D50" t="inlineStr">
        <is>
          <t>linkedin</t>
        </is>
      </c>
      <c r="E50" t="inlineStr"/>
      <c r="F50" t="inlineStr"/>
      <c r="G50" t="inlineStr"/>
      <c r="H50" t="inlineStr"/>
      <c r="I50" t="inlineStr">
        <is>
          <t>**About The Company**
 We are Bugcrowd. Since 2012, we’ve been empowering organizations to take back control and stay ahead of threat actors by uniting the collective ingenuity and expertise of our customers and trusted alliance of elite hackers, with our patented data and AI‑powered Security Knowledge Platform™. Our network of hackers brings diverse expertise to uncover hidden weaknesses, adapting swiftly to evolving threats, even against zero‑day exploits. With unmatched scalability and adaptability, our data and AI‑driven CrowdMatch™ technology in our platform finds the perfect talent for your unique fight. We aim to create a new era of modern crowdsourced security that outpaces threat actors.
**About The Role**
 We are seeking a highly skilled and detail\-oriented Software Engineer to join our Integration Engineering team. In this role, you will play a crucial part in designing and developing a cloud\-native, API\-first platform that powers our patented Security Knowledge Platform™. Your responsibilities will include building scalable integrations, transitioning to cloud\-native architectures, and ensuring high reliability and performance of our platform. You will collaborate with cross\-functional teams, including designers and security specialists, to create robust, accessible, and standards\-compliant solutions. This position offers an exciting opportunity to work at the forefront of cybersecurity, leveraging AI and modern microservices architecture to enhance our platform’s capabilities and security posture.
**Qualifications**
* 4\+ years of professional experience in software development
* Bachelor’s or Master’s degree in Computer Science, Engineering, or a related field
* Experience in the cybersecurity domain
* Strong technical skills with expertise in cloud\-native API and microservices architecture
* Deep understanding of scalable API design, service patterns, and API standards
* Experience with enterprise UI frameworks
* Proficiency with event streaming platforms such as Kafka or similar
* Knowledge of AI tools and their strategic application in security
* Experience with agile methodologies, backlog management, and stakeholder communication
* Strong problem\-solving, prioritization, and decision\-making skills
* Excellent collaboration and mentoring abilities
**Responsibilities**
* Design and develop scalable, API\-first architecture for our security platform
* Lead efforts to transition our systems towards a cloud\-native, service\-oriented architecture
* Build and maintain integrations connecting our platform with customer systems, security tools, and workflow engines
* Ensure high reliability, performance, and security of all integration workflows
* Implement consistent service patterns, interfaces, and guarantees around performance
* Enhance internal engineering tools supporting security triage and vulnerability workflows
* Collaborate with designers to ensure accessibility and standards compliance using our design system (bugcrowd.design)
* Deepen platform capabilities by leveraging event streaming platforms like Kafka
* Mentor engineers across multiple teams to promote engineering excellence
* Participate in modernization initiatives to improve platform scalability and reliability
**Benefits**
* Competitive salary and performance\-based incentives
* Flexible remote work environment
* Comprehensive health, dental, and vision insurance plans
* Generous paid time off and holidays
* Professional development opportunities and continuous learning support
* Inclusive and diverse company culture that values work\-life balance
* Access to cutting\-edge cybersecurity tools and technologies
* Participation in innovative projects that impact global cybersecurity
 Equal Opportunity
 Bugcrowd is committed to creating an inclusive environment for all employees. We are an Equal Opportunity Employer and do not discriminate based on race, color, religion, national origin, age, sex, marital status, disability, veteran status, gender identity, sexual orientation, or any other protected characteristic. We encourage applications from individuals of diverse backgrounds and experiences, and we are dedicated to providing reasonable accommodations to support candidates throughout the hiring process.</t>
        </is>
      </c>
    </row>
    <row r="51">
      <c r="A51" t="inlineStr">
        <is>
          <t>li-4290745188</t>
        </is>
      </c>
      <c r="B51" t="inlineStr">
        <is>
          <t>Senior Software Engineer, Backend</t>
        </is>
      </c>
      <c r="C51" t="inlineStr">
        <is>
          <t>Oscar Health</t>
        </is>
      </c>
      <c r="D51" t="inlineStr">
        <is>
          <t>linkedin</t>
        </is>
      </c>
      <c r="E51" t="inlineStr"/>
      <c r="F51" t="inlineStr"/>
      <c r="G51" t="inlineStr">
        <is>
          <t>Phoenix, AZ</t>
        </is>
      </c>
      <c r="H51" t="inlineStr"/>
      <c r="I51" t="inlineStr">
        <is>
          <t>Hi, we're Oscar. We're hiring a Senior Software Engineer, Backend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As a Senior Software Engineer, you will build reliable and maintainable applications, infrastructure, and interfaces that make interacting with the health care system easier for members and providers. You will work with partners, product managers, and designers to solve challenging problems. Senior Engineers collaborate with other engineers on the team to improve technology and apply best practices.
**Work Location:** 
 This position is based in our Tempe, AZ office, requiring a hybrid work schedule with 3 days of in\-office work per week.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Become the expert on your team's business and technical domains.
* Lead the planning, execution and release of complex technical projects.
* Work with partners, product managers, and designers to solve challenging problems.
* Collaborate with other engineers on the team to improve technology and apply best practices.
* Implement step\-wise technical migrations of our existing services and applications.
* Own small to medium features or infrastructure projects from technical design through completion with little required guidance.
* Independent contributor to their team. Work effectively across the codebase with appropriate guidance from code owners.
* Make steady, well\-paced progress without requiring frequent significant feedback from more senior engineers.
* Compliance with all applicable laws and regulations
* Other duties as assigned
**Qualifications**
* 5\+ years of professional software engineering experience, working with a variety of technologies, and have increasingly impactful accomplishments
* Experience proposing, experimenting, and iterating, whether it be a new shiny technology or an arcane, ill\-conceived data structure; our company may be new, but the health industry isn't!
* Experience with technical contributions, improving the quality of what you create, and are excited to build fault\-tolerant, and scalable software systems.
* Demonstrates solid understanding of the practical application of CS concepts within their team.
* Consistently writes stable, correct, and maintainable code with little oversight; writes modular, adaptable code with guidance.
 Bonus Points
* Experience supporting libraries and writing in Python and Golang.
* Experience owning observability stack tooling, e.g. Grafana, BigQuery, Kubernetes.
* Experience working in data and engineering tooling, e.g. discovery libraries, data replication, data transfer tools, authentication, authorization libraries.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52">
      <c r="A52" t="inlineStr">
        <is>
          <t>li-4348814507</t>
        </is>
      </c>
      <c r="B52" t="inlineStr">
        <is>
          <t>Senior Software Engineer</t>
        </is>
      </c>
      <c r="C52" t="inlineStr">
        <is>
          <t>Boscov's Department Store, LLC</t>
        </is>
      </c>
      <c r="D52" t="inlineStr">
        <is>
          <t>linkedin</t>
        </is>
      </c>
      <c r="E52" t="inlineStr"/>
      <c r="F52" t="inlineStr"/>
      <c r="G52" t="inlineStr">
        <is>
          <t>Bernville, PA</t>
        </is>
      </c>
      <c r="H52" t="inlineStr"/>
      <c r="I52" t="inlineStr">
        <is>
          <t>***Boscov's Senior Software Engineer***
 Experienced Software Engineers\- bring your experience to work for you where people love to shop! Boscov's is a chain of full service department stores serving the total family needs of our customers. For over 100 years, Boscov's has been known for its great values and famous brands, and for offering a broad selection of quality merchandise in its stores and online. We are looking for a Senior Software Engineer to join our team!
 The Senior Software Engineer will develop, implement, and maintain high\-quality full\-stack software solutions with a focus on backend systems that drive innovation and meet business requirements. This role requires deep technical expertise, leadership in design decisions, and the ability to mentor other engineers while working across our diverse technology ecosystem.
**Job Responsibilities:**
***Technical Development***
* Design and develop high\-quality, scalable full\-stack applications with emphasis on backend systems and APIs
* Build and maintain web front end user interfaces using modern frameworks and technologies
* Develop server\-side applications and MVC\-based web pages
* Create and maintain middle tier services and RESTful APIs
* Design and implement database solutions on enterprise database systems including mainframe and relational databases
* Develop and maintain desktop applications and batch process applications
* Write clean, efficient, maintainable, and well\-documented code following SOLID principles
* Apply Object\-Oriented Programming best practices and Service\-Oriented Architecture patterns
* Troubleshoot, debug, and upgrade existing systems across the entire technology stack
***Quality and Testing***
* Write and maintain automated unit tests and end\-to\-end tests to ensure code quality
* Own and ensure software builds successfully on the build server
* Own and ensure automated tests run during build processes and successfully validate functionality
* Own and ensure successful automated deployment of software to specified environments
* Participate in code reviews and provide constructive feedback to team members
***Collaboration and Leadership***
* Learn, manage, and implement solutions for systems and applications at Boscov's
* Provide technical guidance and mentorship to junior engineers and team members
* Seek knowledge and guidance from coworkers and teammates with specific system or technology expertise
* Participate in architectural discussions and contribute to technical design decisions
* Attend, participate, and contribute to progress updates and team meetings
***Agile Practices***
* Attend and participate in writing, reviewing, and updating User Stories with User Story Sentences, Acceptance Criteria, Technical Notes, and Story Points
* Attend and participate in sizing every story as if you have to complete it
* Attend, participate, and demonstrate your team's work throughout the iteration to anyone attending the meeting
* Attend, participate, and contribute to retrospectives by sharing celebrations, identifying pain points, dot voting on priorities, and suggesting solutions
* Attend, participate, and contribute to iteration planning and the fist of five exercise to rate confidence in completing planned stories
* Attend, participate, and contribute to Epic Kickoffs where objectives and key results are reviewed
* Participate and contribute to breaking down Epics into independently deployable User Stories that are demonstrable, necessary to achieving objectives, and measurable by key results
* Own and be accountable for completing every User Story in the planned iteration
* Write and update User Stories and subtasks as needed
* Manage and update Subtask, User Story, and Epic issue statuses in Jira to accurately represent work progress
**Qualifications:**
***Required***
* Bachelor's degree in Computer Science, Software Engineering, or related field, or equivalent professional experience
* 5\+ years of software development experience with demonstrated progression of responsibilities
* Strong proficiency in Object\-Oriented Programming
* Expert\-level experience with backend development using C\# or other modern programming languages
* Proficiency in frontend development with HTML, CSS, and modern JavaScript frameworks
* Strong experience with SQL and relational databases
* Experience designing and implementing RESTful APIs
* Solid understanding and application of SOLID principles
* Experience with Service\-Oriented Architecture (SOA) patterns and practices
* Proven experience writing automated unit tests and end\-to\-end tests
* Strong understanding of software development methodologies
* Excellent problem\-solving, analytical, and communication skills
* Ability to work independently and lead technical initiatives
***Preferred Qualifications***
* Experience with modern web frameworks and technologies (ASP.NET, React, Node.js, etc.)
* Experience with enterprise database systems including mainframe databases
* Experience using Object Relational Mapping (ORM) libraries
* Experience with microservice architecture
* Experience with CI/CD pipelines and DevOps practices
* Knowledge of containerization technologies (Docker, Kubernetes)
* Experience with cloud platforms (AWS, Azure, or Google Cloud)
* Experience in the retail industry
* Experience with Agile development methodologies (Scrum, SAFe, etc.)
**Benefits**
 At Boscov's, we value our employees, and that's why we provide a competitive compensation and benefits package. As a Full\-Time member of our team, you will be eligible to receive:
* Comprehensive benefits package, including medical/dental/vision
* Short term disability/ Long term disability\- voluntary
* Life Insurance (company paid)
* 401(k) w/ company match
* Weekly Pay
* Paid vacation
* Liberal employee discount
***Work where people love to shop!***
 Equal Opportunity Employer</t>
        </is>
      </c>
    </row>
    <row r="53">
      <c r="A53" t="inlineStr">
        <is>
          <t>li-4330264652</t>
        </is>
      </c>
      <c r="B53" t="inlineStr">
        <is>
          <t>Junior Software Engineer</t>
        </is>
      </c>
      <c r="C53" t="inlineStr">
        <is>
          <t>Tech Consulting</t>
        </is>
      </c>
      <c r="D53" t="inlineStr">
        <is>
          <t>linkedin</t>
        </is>
      </c>
      <c r="E53" t="inlineStr"/>
      <c r="F53" t="inlineStr"/>
      <c r="G53" t="inlineStr">
        <is>
          <t>Michigan, United States</t>
        </is>
      </c>
      <c r="H53" t="inlineStr"/>
      <c r="I53" t="inlineStr">
        <is>
          <t>**Job Title: Junior Software Engineer (\*\*Immediate Joining\*\*)** 
**Location:** 
 \[Anywhere in USA]
**Experience:** 
 1–3 years
**Employment Type:** 
 Full\-Time
 Are you excited about taking your technical career to new heights with a full\-time, W\-2 role as a consultant in a dynamic and rapidly growing company? If you are, let's get in touch –
 *your interest is the first step to starting the conversation.* 
***\*\*No Sponsorship\*\****
**What This Role Requires:** 
* 1\-3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is>
      </c>
    </row>
    <row r="54">
      <c r="A54" t="inlineStr">
        <is>
          <t>li-4354386673</t>
        </is>
      </c>
      <c r="B54" t="inlineStr">
        <is>
          <t>Software Engineer (Go, Python)</t>
        </is>
      </c>
      <c r="C54" t="inlineStr">
        <is>
          <t>DigitalOcean</t>
        </is>
      </c>
      <c r="D54" t="inlineStr">
        <is>
          <t>linkedin</t>
        </is>
      </c>
      <c r="E54" t="inlineStr"/>
      <c r="F54" t="inlineStr"/>
      <c r="G54" t="inlineStr"/>
      <c r="H54" t="inlineStr"/>
      <c r="I54" t="inlineStr">
        <is>
          <t>**About The Company**
 Join DigitalOcean, a leading cloud infrastructure provider dedicated to simplifying cloud computing for developers worldwide. With a mission to make deploying, scaling, and managing applications straightforward and accessible, DigitalOcean empowers millions of developers, startups, and enterprises to build and grow their digital presence. Our innovative platform combines ease of use with robust performance, enabling users to focus on their core ideas rather than complex infrastructure challenges. As a disruptive force in the industry, we foster a culture of continuous learning, collaboration, and impact, ensuring our team remains at the forefront of technology and customer satisfaction.
**About The Role**
 We are seeking a highly experienced Principal Engineer to lead the technical strategy and architecture of our Platform\-as\-a\-Service (PaaS) offerings at DigitalOcean. In this pivotal role, you will influence the future of our cloud\-native services, including App Platform, Functions, and CI/CD pipelines. Your expertise will drive the design of scalable, reliable, and secure systems that support our global infrastructure. Collaborating closely with product managers and engineering teams, you will establish long\-term technical roadmaps, solve complex distributed system challenges, and mentor engineers to elevate the organization’s technical excellence. This role offers a unique opportunity to shape how developers worldwide deploy and manage software on a platform optimized for simplicity and scale, making a meaningful impact on the developer community and our company's growth trajectory.
**Qualifications**
* 11\+ years of experience designing and building large\-scale distributed systems.
* Proficiency in one or more backend programming languages such as Go, Python, C\+\+, or Java.
* Strong foundation in systems architecture, infrastructure, and cloud\-native technologies.
* Proven experience leading the development of high\-availability services used by thousands or millions of users.
* Exceptional problem\-solving skills in distributed and scalable system design.
* Experience mentoring and leading engineering teams, fostering technical growth and excellence.
* Ability to stay ahead of emerging industry trends, tools, and best practices in PaaS and serverless ecosystems.
* Excellent communication and collaboration skills to partner effectively across teams and stakeholders.
**Responsibilities**
* Architect and oversee the implementation of high\-scale, reliable, and secure cloud platform systems.
* Define and drive the technical vision, including system design, scalability, observability, and developer experience enhancements.
* Collaborate with product management and engineering leadership to develop and execute strategic roadmaps.
* Identify potential platform bottlenecks, inefficiencies, and risks, designing proactive solutions.
* Partner with cross\-functional teams to ensure seamless integration of platform services, infrastructure, and developer tools.
* Mentor engineers across all levels, promoting a culture of technical excellence, inclusivity, and impact.
* Research and incorporate emerging technologies, patterns, and best practices in cloud\-native and serverless environments.
* Monitor key performance metrics such as platform availability, system performance, and developer satisfaction to inform improvements.
**Benefits**
* Competitive salary within the range of $227,040 – $283,800, commensurate with experience.
* Flexible remote work environment, supporting work\-life balance.
* Comprehensive health and wellness benefits, including Employee Assistance Programs.
* Opportunities for professional development through conferences, training, and LinkedIn Learning courses.
* Performance\-based bonuses and equity compensation packages, including stock grants and Employee Stock Purchase Programs.
* Supportive and inclusive workplace culture that values diversity and innovation.
 Equal Opportunity
 DigitalOcean is an equal‑opportunity employer. We celebrate diversity and are committed to creating an inclusive environment for all employees. We do not discriminate based on race, religion, color, ancestry, national origin, caste, sex, sexual orientation, gender, gender identity or expression, age, disability, medical condition, pregnancy, genetic information, marital status, or military service. All qualified applicants will receive consideration for employment without regard to these factors.</t>
        </is>
      </c>
    </row>
    <row r="55">
      <c r="A55" t="inlineStr">
        <is>
          <t>li-4343836451</t>
        </is>
      </c>
      <c r="B55" t="inlineStr">
        <is>
          <t>Full Stack Engineer</t>
        </is>
      </c>
      <c r="C55" t="inlineStr">
        <is>
          <t>BCforward</t>
        </is>
      </c>
      <c r="D55" t="inlineStr">
        <is>
          <t>linkedin</t>
        </is>
      </c>
      <c r="E55" t="inlineStr"/>
      <c r="F55" t="inlineStr"/>
      <c r="G55" t="inlineStr">
        <is>
          <t>Minneapolis, MN</t>
        </is>
      </c>
      <c r="H55" t="inlineStr"/>
      <c r="I55" t="inlineStr">
        <is>
          <t>**BCForward is currently seeking a highly motivated Full Stack Engineer for an onsite opportunity in Minneapolis, MN.** 
**Position Title: Full\-Stack Engineer** 
**Location: Minneapolis, MN** 
**Anticipated Start Date:** 
 01/19/2026
 Please note this is the target date and is subject to change. BCforward will send an official notice ahead of a confirmed start date.
**Expected Duration:** 
 1\+ Year
**Job Type:** 
 Contract – onsite
 We’re looking for a Full Stack Engineer with strong experience in building web applications using C\#, .NET, and React. You’ll work across the backend, frontend, and databases to develop, enhance, and maintain scalable web solutions.
**Key Responsibilities:** 
* Develop and maintain backend services using C\# and .NET.
* Build responsive and user\-friendly frontends using React.
* Work with SQL and MongoDB for data storage and management.
* Collaborate with cross\-functional teams to deliver high\-quality features.
* Debug, optimize, and improve application performance.
* Follow best coding and security practices.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56">
      <c r="A56" t="inlineStr">
        <is>
          <t>li-4338696547</t>
        </is>
      </c>
      <c r="B56" t="inlineStr">
        <is>
          <t>Founding Software Engineer - Fullstack</t>
        </is>
      </c>
      <c r="C56" t="inlineStr">
        <is>
          <t>Fitt Insider</t>
        </is>
      </c>
      <c r="D56" t="inlineStr">
        <is>
          <t>linkedin</t>
        </is>
      </c>
      <c r="E56" t="inlineStr"/>
      <c r="F56" t="inlineStr"/>
      <c r="G56" t="inlineStr"/>
      <c r="H56" t="inlineStr"/>
      <c r="I56" t="inlineStr">
        <is>
          <t>Fitt Talent Partners is a specialized recruitment firm working with top health and wellness companies.
 We’re filling this role for a client, that is building the infrastructure layer for personalized, scalable, and affordable healthcare — the behind\-the\-scenes backbone that powers every recommendation, intervention, workflow, and outcome across the entire health ecosystem.
**Job Description** 
 This role offers a high impact opportunity for a product\-minded, entrepreneurial engineer to define, build, and own core features and technologies foundational to the company’s success. You’ll collaborate closely with the founding team to create scalable systems and exceptional user experiences that make high\-quality healthcare more accessible for everyone.
**About You** 
* Able to commute to our office in downtown SF; we’re building a hybrid work culture
* Significant experience building sizeable products from scratch and understanding the engineering and product tradeoffs made early on
* Significant experience with AI coding tools, i.e. Cursor
* Ability to independently design and build complex features that span the entire stack
* Comfort building sophisticated user interfaces in React (Typescript)
* Comfort with API design, data modeling, and defining backend architectures from scratch
* Interest in and experience with product scoping and customer research
**Nice to Haves** 
* Experience setting up and managing infrastructure in GCP
* Prior experience in health tech and building in HIPAA\-regulated environments
* Entrepreneurial ambitions; let us be your launch pad
* Personal interest in health, wellness, and longevity</t>
        </is>
      </c>
    </row>
    <row r="57">
      <c r="A57" t="inlineStr">
        <is>
          <t>li-4279846462</t>
        </is>
      </c>
      <c r="B57" t="inlineStr">
        <is>
          <t>Software Developer 3</t>
        </is>
      </c>
      <c r="C57" t="inlineStr">
        <is>
          <t>Oracle</t>
        </is>
      </c>
      <c r="D57" t="inlineStr">
        <is>
          <t>linkedin</t>
        </is>
      </c>
      <c r="E57" t="inlineStr"/>
      <c r="F57" t="inlineStr"/>
      <c r="G57" t="inlineStr"/>
      <c r="H57" t="inlineStr"/>
      <c r="I57"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We are seeking hands\-on Senior Member of Technical Staff Engineers that share our passion and excitement of operating distributed systems at hyper scale using cloud native best practices. You will have part in the disruption of the health care industry and will help deliver better patient care.
 As a SMTS engineer in our team, you’ll be responsible and lead efforts in designing and building scalable, distributed, and resilient software components and services to support health care platform, applications, and our end users. We believe in ownership and expect you to think long term, mentor, and empower other engineers. As a tech lead you will own the complete SDLC from architecture, development, testing, first class monitoring, to production.
**Responsibilities**
**Minimum Qualifications**
* BS or MS degree in computer science, or equivalent
* 5\+ years of developing and shipping enterprise distributed and/or cloud native systems
* Strong grasp of system design fundamentals and distributed systems architectural best practices
* Demonstrated ability to write great code in Java, Python, or similar OO languages
* Experience with web application development using microservices frameworks such as Helidon, Dropwizard, Spring, etc.
* Experience with containers and container orchestration technologies (Kubernetes, Docker)
* Strong desire to make an impact and thrive in collaborative and energetic environments
* Ability to effectively communicate technical concepts verbally and through design aspects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8">
      <c r="A58" t="inlineStr">
        <is>
          <t>li-4351205516</t>
        </is>
      </c>
      <c r="B58" t="inlineStr">
        <is>
          <t>Software Engineer</t>
        </is>
      </c>
      <c r="C58" t="inlineStr">
        <is>
          <t>Albert Bow</t>
        </is>
      </c>
      <c r="D58" t="inlineStr">
        <is>
          <t>linkedin</t>
        </is>
      </c>
      <c r="E58" t="inlineStr"/>
      <c r="F58" t="inlineStr"/>
      <c r="G58" t="inlineStr">
        <is>
          <t>New York, United States</t>
        </is>
      </c>
      <c r="H58" t="inlineStr"/>
      <c r="I58" t="inlineStr">
        <is>
          <t>**Software Engineer \| Trading and Execution \| New York OR Chicago, USA** 
 We’re hiring a backend\-focused Software Engineer to join a core trading execution team responsible for one of the most performance\-critical systems in the business. This role sits at the heart of a global trading platform, building the services that connect directly to exchanges and liquidity providers.
 If you enjoy working close to the system, optimizing for latency and throughput, and solving real engineering problems at scale, this role will suit you!
**Responsibilities** 
* Designing and building low\-latency trading execution services in Golang
* Developing high\-throughput connectivity to exchanges and liquidity providers
* Working with REST, WebSockets (FIX experience a strong plus)
* Optimizing concurrency, performance, and system reliability
* Improving monitoring, alerting, and observability for critical services
* Collaborating with senior engineers on distributed system architecture
**Requirements** 
* 1\-3 years of backend or systems engineering experience
* **Strong experience in Golang and/or C\+\+ on Linux**
* Proven exposure to performance\-critical or low\-latency systems
* Solid understanding of concurrent programming
* Experience working with real\-time APIs
* Strong problem\-solving skills and clear communication
**Nice to have** 
* FIX protocol experience
* Trading, exchange connectivity, or financial infrastructure exposure
* Crypto or DeFi experience (interest matters more than background)
* Kafka, NATS, gRPC
* Docker, Kubernetes, or similar orchestration tools
 This role is based in New York or Chicago, US with a lucrative salary paying up to $140,00 USD annually.
 If you are interested, please apply with an updated resume or to lizeviljoen@albertbow.com – Initial Interviews are happening ASAP!</t>
        </is>
      </c>
    </row>
    <row r="59">
      <c r="A59" t="inlineStr">
        <is>
          <t>li-4354524958</t>
        </is>
      </c>
      <c r="B59" t="inlineStr">
        <is>
          <t>Quantitative Software Developer</t>
        </is>
      </c>
      <c r="C59" t="inlineStr">
        <is>
          <t>Alexander Chapman</t>
        </is>
      </c>
      <c r="D59" t="inlineStr">
        <is>
          <t>linkedin</t>
        </is>
      </c>
      <c r="E59" t="inlineStr"/>
      <c r="F59" t="inlineStr"/>
      <c r="G59" t="inlineStr">
        <is>
          <t>New York, United States</t>
        </is>
      </c>
      <c r="H59" t="inlineStr"/>
      <c r="I59" t="inlineStr">
        <is>
          <t>As an individual contributor, you will design, build, and maintain robust software systems that support:
* Portfolio optimization \&amp; risk modeling
* Trade generation \&amp; execution pipelines
* Custom client reporting infrastructure
* Tools to support
 **quantitative research** 
 , including exploratory work in
 **AI\-based trading models**
* This is a unique opportunity for someone who thrives on autonomy and wants to own complex systems end\-to\-end while collaborating closely with PMs, researchers, quants, and traders.
**Ideal Candidate Profile:** 
 We’re looking for smart, curious, and self\-driven developers, preferably from
 **buy\-side environments** 
 (hedge funds, asset managers, prop trading) \- with the following background:
* BSc in Computer Science, Math, Statistics, Physics, or related field (Ivy League preferred)
* Strong working knowledge of
 **C\+\+ or C\#**
* 3\+ years of professional experience in software development (finance domain is a plus)
* Solid understanding of
 **algorithms** 
 ,
 **numerical methods** 
 , and basic
 **statistics**
* Eager to explore and implement
 **quantitative models** 
 and
 **systematic strategies**
* Willing and able to work
 **onsite in Manhattan 4 days a week**
**What We Offer** 
* Direct exposure to front\-office trading and research
* Freedom to explore new ideas and implement your own research tools
* Opportunity to grow into a hybrid
 **quant\-dev / quant\-research** 
 role
* Tight\-knit team with a strong engineering and quant culture
* Competitive compensation, including performance\-based bonuses</t>
        </is>
      </c>
    </row>
    <row r="60">
      <c r="A60" t="inlineStr">
        <is>
          <t>li-4345890091</t>
        </is>
      </c>
      <c r="B60" t="inlineStr">
        <is>
          <t>Senior Software Engineer - Data Platform</t>
        </is>
      </c>
      <c r="C60" t="inlineStr">
        <is>
          <t>Orbis Group</t>
        </is>
      </c>
      <c r="D60" t="inlineStr">
        <is>
          <t>linkedin</t>
        </is>
      </c>
      <c r="E60" t="inlineStr"/>
      <c r="F60" t="inlineStr"/>
      <c r="G60" t="inlineStr"/>
      <c r="H60" t="inlineStr"/>
      <c r="I60" t="inlineStr">
        <is>
          <t>**Software Engineer \- Data Platform** 
 Fintech Unicorn
**About the Company:** 
 Join a fintech unicorn that's revolutionizing how fintechs fight fraud and manage identity risk. Our client processes over 1 million identity decisions daily, protecting 600\+ banks, credit unions, and fintechs globally from increasingly sophisticated fraud attacks.
 As fraud evolves with AI\-powered attacks and synthetic identities, they're building the next generation of their data infrastructure to handle massive scale, real\-time decisioning, and complex data orchestration across global markets.
**The Opportunity:** 
 We're seeking a
 **Senior Software Engineer / Data Platform Engineer** 
 to architect and build a greenfield centralized data platform that will become the backbone of our client's fraud prevention ecosystem. This is a rare opportunity to work alongside a Data Platform SME and shape the technical foundation that powers real\-time fraud detection for hundreds of financial institutions processing billions in transactions.
 You'll be instrumental in designing a platform that ingests, transforms, and analyzes massive volumes of identity and transaction data, enabling machine learning models to detect fraud patterns, compliance teams to monitor suspicious activity, and product teams to build next\-generation risk decisioning tools.
**What You'll Build:** 
 As a core member of the Data Platform team, you'll:
* Design the architecture for a high\-throughput data platform handling millions of daily identity verification events, real\-time fraud signals, and historical pattern analysis
* Build scalable data pipelines that orchestrate information from 200\+ third\-party data sources (credit bureaus, identity providers, document verification services) and transform it for ML models and analytics
* Create the data infrastructure that powers AI\-driven fraud detection, enabling the platform to identify emerging attack patterns and provide actionable intelligence to financial institutions
* Own technical strategy alongside the Data Platform Lead, your decisions will shape how the platform scales from processing millions to potentially billions of decisions
**What's required from you to apply?** 
* 4\+ years building production data platforms at scale, ideally in AWS environments.
* Deep expertise in ETL/ELT patterns and data pipeline orchestration
* Distributed systems knowledge, you understand data partitioning, eventual consistency, and designing for fault tolerance
* Terraform expertise
**Preferred experience:** 
* Experience in fintech, fraud detection, or Series A/B/C scale\-ups.
* Background with real\-time streaming architectures (Kafka, Kinesis, Flink)
* Familiarity with data security and privacy requirements in regulated industries
* Understanding of ML infrastructure and supporting data science teams
**Compensation \&amp; Benefits:** 
**Base Salary:** 
 $180,000 \- $225,000 (commensurate with experience)
**Equity:** 
 Meaningful stock options in a high\-growth fintech unicorn
**Benefits:** 
* Comprehensive medical, dental, and vision insurance with HSA options
* 401(k) with 100% company match up to 4%
* Generous parental leave (up to 16 weeks for eligible parents)
* Unlimited PTO policy (with encouraged usage)
* Professional development and well\-being stipends
* Hybrid work flexibility (in\-office collaboration balanced with remote work)</t>
        </is>
      </c>
    </row>
    <row r="61">
      <c r="A61" t="inlineStr">
        <is>
          <t>li-4330207753</t>
        </is>
      </c>
      <c r="B61" t="inlineStr">
        <is>
          <t>Sr. Software Engineer, Front End</t>
        </is>
      </c>
      <c r="C61" t="inlineStr">
        <is>
          <t>North</t>
        </is>
      </c>
      <c r="D61" t="inlineStr">
        <is>
          <t>linkedin</t>
        </is>
      </c>
      <c r="E61" t="inlineStr"/>
      <c r="F61" t="inlineStr"/>
      <c r="G61" t="inlineStr">
        <is>
          <t>Brooklyn, NY</t>
        </is>
      </c>
      <c r="H61" t="inlineStr"/>
      <c r="I61" t="inlineStr">
        <is>
          <t>🚫
 **Please Note:** 
* *We are not accepting outreach from external recruiters or agencies for this role.*
* *This is a hybrid role—please only apply if you can be in the office 2\-3 days per week.*
**About North** 
 The public cloud is rapidly evolving, with businesses investing over $200B annually in cloud technology. As AI accelerates demand for scalable infrastructure, cloud costs continue to rise—yet most teams still rely on spreadsheets to manage them.
 North is building the next\-generation cloud spend management platform. We provide real\-time visibility, control, and automation over cloud finances, enabling companies to scale efficiently without wasting time or money.
 Backed by top\-tier investors and trusted by global customers like Brave, The New York Public Library, and Ramp, North is assembling a world\-class engineering team to redefine how businesses manage cloud infrastructure. For those seeking impact, ownership, and the opportunity to build from 0 → 1, North offers a unique path.
**About the Role** 
 We’re looking for talented engineers who thrive on working on complex problems and solving them through building reliable and easy to use features. You’ll work across the frontend stack, API ingestion, data representations, complex proprietary data visualization, and agentic UI workflows.
 This is a hands\-on role where you’ll partner with engineers and our CTO to design and implement core systems spanning multiple clouds. If you enjoy solving ambiguous data problems by building the backbone of a modern SaaS platform, this role is for you.
**What You’ll Do** 
* Architect, develop, and maintain user\-facing features using
 **SvelteKit** 
 ,
 **Svelte 5** 
 ,
 **TypeScript** 
 , and
 **TailwindCSS** 
 .
* Implement scalable, maintainable component structures and frontend architecture.
* Build responsive, accessible, and performant interfaces optimized for clarity and consistency.
* Collaborate with product and backend engineering to refine specifications, workflows, and API contracts.
* Implement robust error handling, boundary states, and loading strategies.
* Ensure code quality through reviews, documentation, linting, and testing.
* Contribute to frontend performance optimization and observability.
* Own features end\-to\-end, from architecture → implementation → testing → deployment → monitoring.
**What We’re Looking For** 
* 5\+ years of professional frontend engineering experience.
* Strong proficiency with
 **Svelte** 
 ,
 **SvelteKit** 
 , or equivalent modern frameworks.
* Deep expertise in
 **TypeScript** 
 , modern JavaScript, and web application architecture.
* Advanced proficiency with
 **TailwindCSS** 
 for building scalable and consistent UIs.
* Strong understanding of interaction patterns, layout systems, accessibility, and responsive UI.
* Hands\-on experience with modern build tools (Vite, ES modules, bundlers, Bun).
* Experience writing and maintaining automated tests (unit or integration).
* Experience developing good UX focused on self\-serving applications to encourage product led growth
* Experience in a fast\-paced and frequent code deployment environment
* Excellent communication skills and a disciplined, documentation\-first mindset.
* Strong technical judgment and ability to make informed tradeoffs in an evolving product environment.
**Nice to Have** 
* Experience with
 **Playwright** 
 for end\-to\-end testing.
* Familiarity with component library architecture or design system engineering.
* Experience optimizing frontend performance at scale.
* Exposure to complex, data\-dense interfaces or enterprise\-grade web applications.
* Familiarity with CI/CD pipelines (GitHub Actions or similar).
**Work Setup** 
 Hybrid role based in New York City, with an office in Dumbo, Brooklyn.
**Benefits** 
* Unlimited PTO
* 16\-week fully paid parental leave (20 weeks at 50% for mothers)
* Company\-wide breaks: last week of August \&amp; Dec 23–Jan 3
* Healthcare: Anthem BlueCross Gold PPO, 75% employer\-covered
* 30\-day sabbatical every 4 years
* Ramp card for approved expenses</t>
        </is>
      </c>
    </row>
    <row r="62">
      <c r="A62" t="inlineStr">
        <is>
          <t>li-4351215778</t>
        </is>
      </c>
      <c r="B62" t="inlineStr">
        <is>
          <t>Sr. Software Engineer II (6131)</t>
        </is>
      </c>
      <c r="C62" t="inlineStr">
        <is>
          <t>MetroStar</t>
        </is>
      </c>
      <c r="D62" t="inlineStr">
        <is>
          <t>linkedin</t>
        </is>
      </c>
      <c r="E62" t="inlineStr"/>
      <c r="F62" t="inlineStr"/>
      <c r="G62" t="inlineStr">
        <is>
          <t>Tysons Corner, VA</t>
        </is>
      </c>
      <c r="H62" t="inlineStr"/>
      <c r="I62" t="inlineStr">
        <is>
          <t>As
 **Sr. Software Engineer II** 
 , you’ll bring creative architect solutions to end customers, with the goal to make an impact across the federal government.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**What you’ll need to succeed:** 
* A minimum of 7 years of experience in the Information Technology field, focusing on development projects using DevSecOps and AWS cloud environments
* A bachelor’s degree in Computer Science, Information Technology Management or Engineering, or other comparable degree; or equivalent experience in leu of degree
* Active TS/SCI CI Poly clearance
* At least 6 years of specific experience with full stack engineering (defined as proficient in database development/integration as well as server and client application development/integration), including at least 6 years of experience deploying production enterprise applications in AWS
* Strong, repeat experience designing, developing, and deploying applications leveraging AWS cloud services in IL6\+ classified environments
* Proven experience in large\-scale, high\-performance enterprise big data application deployment and solution architecture on complex heterogeneous environments in AWS
* Strong experience with automation and engineering tasks, implementation, data, infrastructure/operations, and security engineer tasks in cloud environments
* The ability to perform, but not limited to, automation and engineering tasks, testing, implementation, data, AI/ML, infrastructure/operations, and security engineer tasks in cloud environments
* You have 3\+ years of experience with multiple of the following: Go, Python, Java, JavaScript, React, AngularJS, TypeScript, NextJS
 SALARY RANGE:  $143,000 \- $197,000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63">
      <c r="A63" t="inlineStr">
        <is>
          <t>li-4293218916</t>
        </is>
      </c>
      <c r="B63" t="inlineStr">
        <is>
          <t>Senior Full Stack Engineer</t>
        </is>
      </c>
      <c r="C63" t="inlineStr">
        <is>
          <t>Saronic Technologies</t>
        </is>
      </c>
      <c r="D63" t="inlineStr">
        <is>
          <t>linkedin</t>
        </is>
      </c>
      <c r="E63" t="inlineStr"/>
      <c r="F63" t="inlineStr"/>
      <c r="G63" t="inlineStr">
        <is>
          <t>Austin, TX</t>
        </is>
      </c>
      <c r="H63" t="inlineStr"/>
      <c r="I63" t="inlineStr">
        <is>
          <t>Saronic Technologies is a leader in revolutionizing autonomy at sea, dedicated to developing state\-of\-the\-art solutions that enhance maritime operations through autonomous and intelligent platforms.
**Job Overview**
 We are seeking a Senior Full Stack Engineer responsible for designing, developing, and maintaining our web\-based applications and systems. Leveraging your expertise, you will collaborate with cross\-functional teams to implement innovative solutions that drive the functionality and performance of our autonomous surface vessels. You will work on complex challenges at the intersection of technology and defense, and play a significant role in the future of maritime operations.
**Responsibilities**
* Develop and maintain high\-quality web applications using JavaScript, TypeScript, and React for both front\-end and back\-end components
* Design and implement scalable and responsive user interfaces that meet the needs of various stakeholders, including operators and military personnel
* Collaborate with product managers, designers, and other engineers to translate requirements into technical specifications and deliverables
* Integrate third\-party APIs and services to enhance application functionality and interoperability with external systems
* Optimize application performance, security, and reliability through thorough testing, code reviews, and performance tuning
* Stay current with emerging technologies, best practices, and industry trends to continuously improve our development processes and tools
* Participate in Agile development methodologies, including sprint planning, daily stand\-ups, and retrospectives, to ensure timely delivery of features and enhancements
**Qualifications**
* Bachelor's degree in Computer Science, Engineering, or related field; Master's degree preferred
* 5\-10 years of experience as a Full Stack Engineer using JavaScript, TypeScript, and React
* Solid understanding of software engineering principles, data structures, and algorithms
* Experience with server\-side development using Node.js and frameworks like Express.js
* Familiarity with database systems such as MongoDB, MySQL, or PostgreSQL
* Proficiency in version control systems (e.g., Git) and CI/CD pipelines
* Basic proficiency in Rust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64">
      <c r="A64" t="inlineStr">
        <is>
          <t>li-4320152615</t>
        </is>
      </c>
      <c r="B64" t="inlineStr">
        <is>
          <t>Software Engineer</t>
        </is>
      </c>
      <c r="C64" t="inlineStr">
        <is>
          <t>Epsilon</t>
        </is>
      </c>
      <c r="D64" t="inlineStr">
        <is>
          <t>linkedin</t>
        </is>
      </c>
      <c r="E64" t="inlineStr"/>
      <c r="F64" t="inlineStr"/>
      <c r="G64" t="inlineStr">
        <is>
          <t>Chicago, IL</t>
        </is>
      </c>
      <c r="H64" t="inlineStr"/>
      <c r="I64" t="inlineStr">
        <is>
          <t>**Overview**
**What you’ll do:**
* Collaborate with decision scientists to enable and optimize AI/ML workflows through data engineering and platform support.
* Provide support for Spark, Hive, and Hadoop jobs, including troubleshooting and performance analysis and optimization.
* Participate in agile sprint cycles, helping to review designs, provide feedback, and ensure successful delivery.
* Contribute to best practices for application development.
* Gather requirements for platform and application enhancements and work with the team to implement them.
* Continuously learn and expand your technical skills in data engineering and cloud technologies.
* Support the migration of existing data or applications to cloud platforms (AWS, Azure, Databricks or GCP)
* Learn and contribute to solutions on the Databricks platform, enabling data science and analytics at scale.
**About You**
* 3\+ years of software development experience in a scalable, distributed, or multi\-node environment.
* Proficient in programming with Scala, Python, or Java; comfortable building data\-driven solutions at scale.
* Familiarity with Apache Spark and exposure to Hadoop, Hive, or related big data technologies.
* Experience with cloud platforms (AWS, Azure, Databricks or GCP) and an interest in cloud migration projects.
* Excited to learn and work with the Databricks platform.
* Exposure to modern data tools and frameworks such as Kubernetes, Docker, and Airflow (a plus).
* Strong problem\-solving skills with the ability to own problems end\-to\-end and deliver results.
* Consultative attitude — comfortable being “first in,” building relationships, communicating broadly, and tackling challenges head\-on.
* Collaborative teammate with an eagerness to learn from peers and mentors while contributing to a culture of growth.
* Motivated to grow your career within a dynamic, innovative company.
**What You’ll Bring**
* BA/BS in Computer Science or related discipline.
* At least 3 years of experience.
* Hadoop certification is a plus.
* Spark certification is a plus.
 Click here to view how Epsilon transforms marketing with 1 View, 1 Vision, 1 Voice.
 Base Salary: $73,500 \- $136,500
 Actual compensation within the range will be dependent upon, but not limited to the individual’s skills, experience, qualifications, location and application employment laws. The salary pay range is subject to change and may be modified at any time.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**Benefits**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t>
        </is>
      </c>
    </row>
    <row r="65">
      <c r="A65" t="inlineStr">
        <is>
          <t>li-4312881705</t>
        </is>
      </c>
      <c r="B65" t="inlineStr">
        <is>
          <t>Senior Software Engineer</t>
        </is>
      </c>
      <c r="C65" t="inlineStr">
        <is>
          <t>Adobe</t>
        </is>
      </c>
      <c r="D65" t="inlineStr">
        <is>
          <t>linkedin</t>
        </is>
      </c>
      <c r="E65" t="inlineStr"/>
      <c r="F65" t="inlineStr"/>
      <c r="G65" t="inlineStr">
        <is>
          <t>San Jose, CA</t>
        </is>
      </c>
      <c r="H65" t="inlineStr"/>
      <c r="I65"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Experience Platform (AEP) enables businesses to deliver the right experience at the right time to their customers. The Profile Stores layer is one of the key AEP services built as a multi\-cloud multi\-tenant service to support 1000s of customers, providing the ability to manage a high volume data pipeline and storage layer for real\-time customer profiles.
 Customer profiles are built on complex data models spanning both record structures supporting upserts at scale as well as timeseries analytics event like data that is ingested at very high volumes. With the need to support to support 1000s of customers ingesting and storing PBs of data, resiliency, data correctness, scalability and efficiency are paramount. This is a great opportunity for engineers to solve extremely interesting challenges of scale and build core services that are used by all Adobe Digital Experience solutions. As part of building these services, you will work with an exceptionally talented and collaborative team, tackle complex data challenges and build highly performant services on various open\-source technologies.
* This role is senior in scope and is best suited for candidates with 15\+ years of industry background.
 What you'll Do
* Collaborate with a team of engineers \&amp; product managers in building high\-performance data ingestion pipelines and data store to serve the use cases of Segmentation and Activation.
* Own responsibility for design and implementation of key components of ingesting and maintaining petabyte of Profile data
* Develop systems to support high volume data ingestion pipelines handling both streaming and batch processing.
* Leverage popular file and table formats to design storage models to support the required ingestion volumes and data access patterns.
* Explore tradeoffs across different formats and schema layouts driven by workload and application characteristics
* Deploy production services and iteratively improve them based on customer feedback
* Follow Agile methodologies using industry leading CI/CD pipelines
* Participate in architecture, design \&amp; code reviews
 What you need to succeed
* M.S. in Computer Science or a related field or equivalent experiences required
* Experience with Distributed processing systems like Apache Spark, Hadoop Stack, or Apache Kafka;
* Experience with Data Lake cloud storages like Azure Data Lake Storage or AWS (Amazon Web Services) S3
* Understanding of file formats like Apache Parquet and table formats such as Databricks Delta, Apache Iceberg or Apache Hudi is preferred.
* Understanding of NoSQL databaseslike Apache HBase, Cassandra, Mongo, or Azure Cosmos DB is a plus;
* Practical experience in building resilient data pipelines at scale is preferred
* Strong programming skills with extensive experience in Java or Scala
* Leadership skills to collaborate and drive cross\-team efforts
* Excellent communication skills
* Adaptable to evolving priorities, accepting challenges outside one's comfort zone, learning new technologies, and delivering viable solutions within defined time boundaries.
* Ability to think through solutions from a short term and long\-term lens in an iterative development cycle.
 Our compensation reflects the cost of labor across several  U.S. geographic markets, and we pay differently based on those defined markets. The U.S. pay range for this position is $173,500 \-\- $331,050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$228,600 \- $331,050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66">
      <c r="A66" t="inlineStr">
        <is>
          <t>li-4354611816</t>
        </is>
      </c>
      <c r="B66" t="inlineStr">
        <is>
          <t>Senior Software Engineer</t>
        </is>
      </c>
      <c r="C66" t="inlineStr">
        <is>
          <t>A Hiring Company</t>
        </is>
      </c>
      <c r="D66" t="inlineStr">
        <is>
          <t>linkedin</t>
        </is>
      </c>
      <c r="E66" t="inlineStr"/>
      <c r="F66" t="inlineStr"/>
      <c r="G66" t="inlineStr">
        <is>
          <t>Houston, TX</t>
        </is>
      </c>
      <c r="H66" t="inlineStr"/>
      <c r="I66" t="inlineStr">
        <is>
          <t>Description:
**Senior Software Engineer** 
 PCS Software, Inc. powers the future of transportation management. Our flagship Cortex platform is the next\-generation TMS (Transportation Management System) designed for carriers and shippers who keep America moving. We combine trucking knowhow with cutting\-edge technology to deliver solutions that streamline operations, optimize freight, and drive efficiency across the supply chain.
**Role Overview** 
 We are seeking a Senior Software Engineer to join our team and help architect, build, and scale the next evolution of the Cortex platform. This role is ideal for a seasoned technologist who thrives at the intersection of logistics and innovation—someone who can translate complex trucking workflows into elegant, distributed applications powered by modern AI and cloud technologies.
 You will be hands\-on in full\-stack development, API integration, and cloud architecture, while also mentoring junior developers and guiding 3rd party vendor or partner resource teams. Your work will directly impact carriers and shippers nationwide, ensuring they have reliable, scalable, and highly adaptable and user\-friendly software to keep freight moving at its most optimal to ensure our customers maximize every dollar in their business investments. We are looking for developers who understand the back end of running a complex logistics business and know that what they build matters.
**Key Responsibilities** 
 • Design, develop, and maintain distributed applications for the Cortex TMS platform
 • Lead heavy API integration projects to connect carriers, shippers, and partners seamlessly
 • Apply advanced design patterns (especially in C\#) to build scalable, maintainable systems
 • Drive code quality through rigorous reviews and best practices
 • Collaborate with product and logistics experts to translate trucking workflows into technical solutions
 • Mentor junior engineers and provide leadership to offshore or 3rd party development teams
 • Innovate with AI developer tools (Agentic AI, Claude, ChatGPT) to enhance platform intelligence
 • Architect solutions leveraging AWS or Azure cloud services for performance and reliability
**What We Are Looking For** 
 • A builder who loves solving complex problems in logistics and transportation
 • A leader who elevates team performance through mentorship and collaboration
 • A technologist who embraces AI, cloud, and modern frameworks to deliver next generation solutions
 • Someone who takes pride in creating lovable, reliable software that carriers and shipper’s trust
 • Occasional travel may be required for this position. While any location in the continental USA will be considered, strong preference is given for Houston, Texas, and Louisville, Kentucky metro areas.
**Why PCS Software?** 
 • Be part of a mission\-driven company transforming the trucking industry with technology
 • Work (mostly) remotely from anywhere in the U.S., with regular trips to Houston, Texas, required for F2F team meetings
 • Collaborate with a passionate team that values innovation, reliability, and industry expertise
 • Shape the future of transportation management with cutting\-edge tools and practices
**We Offer:** 
 • Competitive compensation and executive bonus structure
 • Up to 100% company\-paid medical, dental, and vision premiums for employees and dependents
 • 401(k) with 4% company match
 • Unlimited PTO and 7 paid holidays
 • Paid training and development programs
 • A collaborative, innovative, and fun work culture
 • Opportunities for career growth and leadership impact
**Additional Information** 
 • This role is not eligible for visa sponsorship. Applicants must be legally authorized to work in the U.S.
 • PCS Software, Inc. is an Equal Opportunity Employer. We celebrate diversity and are committed to creating an inclusive environment for all employees.
 • Only candidates selected for interviews will be contacted.  A proctored technical online assessment is required for this position.  Virtual interviews and a one\-way recorded 13\-question screening interview is required with candidate cameras turned on.  A final F2F interview in Houston is required for this position.  Please make sure your resume is written by you and not AI as we will screen for AI submissions due to fraud/SPAM.  While we welcome remote US based remote workers, you will be required to attend regular meetings in Houston, Texas, on a standard schedule.  Daily stand\-up meetings with cameras turned on are required for this position and a set work schedule of Monday through Friday from 8:00a.m. to 5p.m. CST is required for this position as well.
 Requirements:
**Required Skills \&amp; Experience** 
 • Senior\-level full\-stack engineering expertise with proven track record
 • 10\+ years of strong proficiency in C\#, ASP.Net Core, SQL Server (yes, you will be tested as part of the interview process)
 • Front\-end mastery with TypeScript, React, Angular
 • Deep experience in cloud development (AWS or Azure)
 • Expertise in distributed applications and scalable architecture
 • Heavy experience with API integration and interoperability
 • Familiarity with AI developer tool stacks and applied AI in enterprise software
 • Exceptional knowledge of design patterns and software architecture principles
 • Strong communication and mentorship skills for guiding diverse teams
 • Solid experience conducting and leading code reviews
**Compensation details:** 
 100000\-150000 Yearly Salary</t>
        </is>
      </c>
    </row>
    <row r="67">
      <c r="A67" t="inlineStr">
        <is>
          <t>li-4320112251</t>
        </is>
      </c>
      <c r="B67" t="inlineStr">
        <is>
          <t>Sr Fullstack Engineer</t>
        </is>
      </c>
      <c r="C67" t="inlineStr">
        <is>
          <t>Kentik</t>
        </is>
      </c>
      <c r="D67" t="inlineStr">
        <is>
          <t>linkedin</t>
        </is>
      </c>
      <c r="E67" t="inlineStr"/>
      <c r="F67" t="inlineStr"/>
      <c r="G67" t="inlineStr"/>
      <c r="H67" t="inlineStr"/>
      <c r="I67" t="inlineStr">
        <is>
          <t>**Who We Are**
 Kentik is the network intelligence platform for modern infrastructure teams. Unlike traditional monitoring and observability tools, we demystify complex network operations, enabling organizations to deliver applications and innovation at scale. Built by network experts to make critical insight accessible to every engineer, Kentik is the real\-time source of truth that understands every network in context — from data center to cloud to the internet. This single platform unifies and correlates cloud, device, flow, synthetic data to turn telemetry into action. Market leaders like Akamai, Booking.com, Dropbox, and Zoom rely on Kentik to run, manage, and optimize their networks.
**What We Do**
 Kentik has a rapidly growing Product Engineering team. This team focuses on all of Kentik’s user\-facing interfaces, both visual and programmatic. We aim to build simple, easy to use interfaces; but simple for users typically means engineered complexity under the hood.
 Our platform ingests trillions of records and serves hundreds of thousands of queries for our users each day. You will gain experience building a production quality, high performance server\-and\-client SaaS application that handles uniquely high volumes of data.
 We have built a team of world\-class engineers, network experts, and technology thought leaders in a remote\-friendly culture from day one. While prior experience in a remote environment is not required, we highly value strong collaboration and communication skills, as well as a high level of independence and autonomy.
**What You'll Do**
* A high degree of autonomy in developing state\-of\-the\-art UIs
* Work with engineering leadership to enhance the design and architecture of our product offerings
* Participate in peer code review
* Work on high\-visibility, challenging engineering problems
* Collaborate with your team, engineering leaders, and product managers \- as well as other development teams and our technical operations group
**What You'll Bring**
*Studies have shown that some candidates tend to apply to jobs only if they meet 100% of the qualifications. We encourage you to apply if you meet most of the criteria \- even if you don’t match all of the qualifications, your skills and experience could be valuable in this role!*
* 4\+ years of relevant experience
* Passion for pixel perfect, highly interactive user experiences
* Ability to efficiently debug and solve issues
* Deep experience with React, HTML and CSS
* Expertise in vanilla JavaScript / understanding of high performance JavaScript patterns
* Experience with data analytics and data visualization
* Experience with production Node.js (express)
* A solid understanding of SQL syntax, especially with PostgreSQL and MySQL
**Our tech stack**
* Our core data engine and platform are primarily written in Go
* We use Node.js \+ Express for application serving, and React as our primary UI framework
* We also use some JS and Python for tooling/scripting
* In addition to our own database, we use Postgres, Kafka, Mysql, and Redis
* Internal and public APIs expose both rest/json and gRPC endpoints
* Haproxy, Envoy for API traffic routing and balancing
* Github for source control, PRs, issues
* Jenkins for automated builds
**What We Offer**
 Kentik is a fully remote company that operates globally. We seek professionals that will help us thrive as an organization, and in turn, to broaden and enhance your career. We’re very thorough in the interview process to understand your skills and how they will relate to your successful growth here at Kentik. Our compensation philosophy encompasses a fair program for all in order to attract, engage and retain talented individuals who will drive our business and wow our customers.
 The compensation range for this position is: $165,000 \- $200,000\. This range reflects the low and high end of the U.S. compensation range Kentik reasonably and generally expects to pay the hired candidate in this role. The actual compensation offered may be lower or higher than the stated range depending on various factors, including but not limited to:
* Experience with the skill sets required for success
* Demonstrated competencies and potential
* A geographic market\-based approach
 In addition to a great career opportunity, Kentik offers stellar benefits for our employees, which include:
* 100% of premiums are paid by company for health, vision and dental coverage for you and your dependents
* Additionally, an annual Health Reimbursement Account (HRA) of $3,000 for an individual or $4,500 for a family
* Paid family \&amp; medical leave
* Open PTO, a quarterly Wellness Day, and a minimum of 10 paid holidays
* 401(k) retirement account
* Home office reimbursement
* Stock options
***Note:***
*Benefits are as listed for all US full\-time employees. For compensation, international applicants will be treated equitably in relation to the laws applicable within the countries in which we operate.*
* Recruitment scam alert \*\*
 We are aware of recruitment scams targeting job seekers by posing as Kentik employees or on our behalf. These scams often ask for sensitive information or money. Please remember:
* Kentik will never ask for payment or fees of any kind as part of our recruitment process.
* All official job offers and communications will originate from a verified @Kentik.com email address.
* Trust only the application methods and contact details listed on this official careers site.
 If you suspect fraud, do not make any payments or provide personal or financial information. Block the sender appropriately based on the medium they used to contact you and report this to us at security@kentik.com.
**Come work with us**
 The true meaning of Kentik is
 **visibility** 
 . We’re committed to making sure everyone feels empowered to use their voice, has a sense of belonging, and is represented at Kentik.
**We don’t look for individuals who fit the culture, but those who will continue to add to the culture.**
 We encourage everyone to apply, especially those individuals who are underrepresented in the industry: people of color, LGBTQI\+ community, women, individuals with disabilities (both seen and unseen), veterans, and people of any age or family status.
 Kentik is committed to creating an inclusive interview process. If you require a reasonable accommodation during the application or interview process, please reach out to recruiting@kentik.com.
**Come as you are!**
 You will be working at a fast\-growing, well\-funded startup alongside industry thought leaders and network aficionados as we build the future of observability and set the high bar for how network operations and digital businesses should run. With a competitive salary and amazing benefits on top of the meaningful and challenging projects you’ll take on, we’re sure you’ll enjoy joining the Kentik team.</t>
        </is>
      </c>
    </row>
    <row r="68">
      <c r="A68" t="inlineStr">
        <is>
          <t>li-4351205771</t>
        </is>
      </c>
      <c r="B68" t="inlineStr">
        <is>
          <t>Autonomous (Edge AI &amp; Defense) Software Engineer</t>
        </is>
      </c>
      <c r="C68" t="inlineStr">
        <is>
          <t>Cabana</t>
        </is>
      </c>
      <c r="D68" t="inlineStr">
        <is>
          <t>linkedin</t>
        </is>
      </c>
      <c r="E68" t="inlineStr"/>
      <c r="F68" t="inlineStr"/>
      <c r="G68" t="inlineStr"/>
      <c r="H68" t="inlineStr"/>
      <c r="I68" t="inlineStr">
        <is>
          <t>**Software Engineer – Autonomous Systems (Edge AI \&amp; Defense)** 
 We're proudly partnered with
 **Palantir Technologies (NYSE: PLTR)** 
 to support with their ongoing engineering hiring.
**About the Role** 
 Join a high\-impact engineering team building advanced autonomous defense systems that operate on the edge\- in real, austere environments. You’ll develop, integrate, and deploy intelligent software that connects sensors, effectors, and AI decision\-making to protect critical infrastructure from complex threats, including drone attacks.
 You’ll work with experts in sensing, AI, robotics, and systems engineering to deliver fully integrated solutions that redefine the boundaries of what’s possible in autonomous defense.
**What You’ll Do** 
* Build, test, and deploy mission\-critical AI and autonomy software for navigation, sensor fusion, and area defense.
* Integrate software with radar, camera, RF sensors, and autonomous platforms.
* “Make it work” on the edge, on\-prem, and hybrid\-cloud — tackling deployment, networking, and hardware challenges.
* Partner across disciplines, AI, systems, robotics, and UX — to deliver production\-ready solutions.
**What You Bring** 
* 2\+ years of software development experience in autonomy, robotics, drones, or embedded systems.
* Strong proficiency in Python, Rust, C\+\+, or Java.
* Experience integrating and deploying software to edge systems (drones, self\-driving, on\-prem/edge servers).
* Solid grasp of networking, Linux, CI/CD, automation, and hardware integration.
* Bachelor’s or Master’s in Computer Science, Robotics, Electrical Engineering, or similar.
* U.S. Security Clearance (active or eligible) and ability to travel 25–75% as needed.
**Why This Role** 
 You’ll be at the intersection of AI, autonomy, and national defense — solving real\-world problems that matter. Expect a fast\-paced, deeply technical environment where your code ships to the edge and impacts real missions.
**Location:** 
 Washington DC, Palo Alto, Seattle, Denver, New York
**Compensation:** 
 $140K – $200K \+ RSUs
**Clearance:** 
 Active or eligible U.S. Security Clearance required</t>
        </is>
      </c>
    </row>
    <row r="69">
      <c r="A69" t="inlineStr">
        <is>
          <t>li-4333470517</t>
        </is>
      </c>
      <c r="B69" t="inlineStr">
        <is>
          <t>Sr. Software Engineer</t>
        </is>
      </c>
      <c r="C69" t="inlineStr">
        <is>
          <t>FairSquare</t>
        </is>
      </c>
      <c r="D69" t="inlineStr">
        <is>
          <t>linkedin</t>
        </is>
      </c>
      <c r="E69" t="inlineStr"/>
      <c r="F69" t="inlineStr"/>
      <c r="G69" t="inlineStr">
        <is>
          <t>Irvine, CA</t>
        </is>
      </c>
      <c r="H69" t="inlineStr"/>
      <c r="I69" t="inlineStr">
        <is>
          <t>**$130,000\-$180,000 Base Salary,** 
 Position eligible for additional incentives including bonus, 401k match, health and welfare benefits.
**Location: Hybrid** 
 to San Diego, CA, Irvine, CA, Orlando, FL, or Atlanta, GA.
 Hybrid 3 days/week, Full time M\-F 8am\-5pm PST/EST
 Being authorized to work in the U.S. is a precondition of employment.
 FairSquare does not consider candidates requiring 1099 or C2C.
**FairSquare** 
 is a digital lending company using state\-of\-the\-art technology service providers and platforms. We have built a robust set of modules around these platforms that serve to differentiate our offerings in the marketplace to our small and medium\-sized business customers. We differentiate ourselves from the competition through superior technology, risk management, data science, a fully digital UI, and a customer\-first approach that emphasizes ease of use, fairness and transparency in pricing, and recognition of customer loyalty. We will be expanding our platforms for deeper engagement, to drive continued revenue growth, and maximize speed\-to\-market and efficiency.
**Summary**
 We are seeking a talented and motivated Senior Software Engineer with a strong background in JavaScript or TypeScript and extensive experience in API development to join our growing but dynamic team. As a Senior Software Engineer, you will play a key role in designing, implementing, and maintaining the server\-side logic of our applications, ensuring seamless integration with front\-end elements, and supporting the overall functionality of our products.
**Major Responsibilities**
* Design, develop, and maintain APIs using JavaScript to support the functionality of our applications.
* Collaborate with front\-end developers to integrate user\-facing elements using server\-side logic.
* Integrate with third\-party APIs to aggregate data from various sources.
* Implement server\-side logic using JavaScript or TypeScript, with a focus on Node.js, or Next.js.
* Collaborate with cross\-functional teams such as product, design, and third\-party vendors, to prioritize tasks, and deliver high\-quality software.
* Develop and maintain technical documentation and diagrams for code and APIs, enabling seamless collaboration within the team.
**Knowledge, Skills, And Abilities Required**
* Bachelor's degree in Computer Science, Information Systems, or a related field.
* Minimum 5 years of experience in backend development.
* Strong experience with JavaScript, TypeScript, and modern JavaScript frameworks such as React/Next/Node.
* Strong problem\-solving skills; capable of analyzing legacy code, understanding existing functionality, and implementing necessary changes.
* Experience with Jest unit testing.
* Knowledge of microservices architecture.
* From ideation, developed and delivered major infrastructure projects to production.
* Experience with deploying software in AWS environment.
* Experience in the financial or lending industry is a plus.
* Excellent communication and interpersonal skills.
 FairSquare is an Equal Opportunity Employer.</t>
        </is>
      </c>
    </row>
    <row r="70">
      <c r="A70" t="inlineStr">
        <is>
          <t>li-4351145682</t>
        </is>
      </c>
      <c r="B70" t="inlineStr">
        <is>
          <t>Frontend Engineer</t>
        </is>
      </c>
      <c r="C70" t="inlineStr">
        <is>
          <t>UMATR</t>
        </is>
      </c>
      <c r="D70" t="inlineStr">
        <is>
          <t>linkedin</t>
        </is>
      </c>
      <c r="E70" t="inlineStr"/>
      <c r="F70" t="inlineStr"/>
      <c r="G70" t="inlineStr"/>
      <c r="H70" t="inlineStr"/>
      <c r="I70" t="inlineStr">
        <is>
          <t>**Frontend Engineer** 
 UMATR are supporting an early\-stage AI startup on a mission to help growing organisations stay aligned and efficient as they scale. Our product acts as an intelligent teammate that understands a company’s context, goals, and culture — giving teams unprecedented visibility into what’s happening across the business.
 They're backed by top\-tier global investors and experienced operators from some of the world’s leading tech companies. This is a ground\-floor opportunity to build foundational systems that will power the next generation of AI\-native enterprise software.
**What You’ll Do** 
* Build and ship high\-quality frontend features using React, Next.js, and TypeScript
* Translate designs into polished, responsive, production\-ready UI
* Partner closely with our designer to iterate rapidly on new UX and UI concepts
* Take end\-to\-end ownership of projects in a fast\-moving, early\-stage environment
* Collaborate with founders and cross\-functional teams to shape product and technical direction
* (Bonus) Work across the stack when needed, supporting backend teams and integrations
**What We’re Looking For** 
* 3\+ years of strong frontend engineering experience with React and TypeScript
* Solid understanding of modern frontend architectures, state management, and performance optimisation
* Ability to learn quickly, work independently, and move with urgency
* Experience shipping production systems with high\-quality engineering standards
* Bonus: experience in a fullstack environment or working closely with backend engineers
* Bias toward ownership, rapid execution, and craftsmanship
**Ideal Background** 
* Experience building and scaling products at fast\-moving startups (preferred), or at high\-bar tech companies
* Comfortable with early\-stage ambiguity and excited by zero\-to\-one challenges
* Strong product intuition and attention to detail
* A builder mentality — hands\-on, resourceful, and motivated to create something enduring</t>
        </is>
      </c>
    </row>
    <row r="71">
      <c r="A71" t="inlineStr">
        <is>
          <t>li-4351165438</t>
        </is>
      </c>
      <c r="B71" t="inlineStr">
        <is>
          <t>Frontend Engineer</t>
        </is>
      </c>
      <c r="C71" t="inlineStr">
        <is>
          <t>Acceler8 Talent</t>
        </is>
      </c>
      <c r="D71" t="inlineStr">
        <is>
          <t>linkedin</t>
        </is>
      </c>
      <c r="E71" t="inlineStr"/>
      <c r="F71" t="inlineStr"/>
      <c r="G71" t="inlineStr">
        <is>
          <t>San Francisco, CA</t>
        </is>
      </c>
      <c r="H71" t="inlineStr"/>
      <c r="I71" t="inlineStr">
        <is>
          <t>**Founding Software Engineer (Frontend) \- San Francisco (Hybrid)** 
 A seed\-stage, venture\-backed startup building an AI\-powered platform that helps fast\-growing teams retain context, decisions, and knowledge as they scale are looking for a Frontend Engineer to join their team.
**What will I be doing:** 
* Building and shipping high\-quality frontend features and user experiences
* Implementing and iterating on new designs in close collaboration with a dedicated designer
* Owning frontend architecture and technical decisions in an early\-stage product
* Working closely with backend engineers to deliver end\-to\-end features
* Moving quickly, learning fast, and adapting as the product and company evolve
**What are we looking for:** 
* 3\+ years of frontend engineering experience using React and TypeScript
* Strong product sense and attention to detail in UI/UX implementation
* Ability to work independently and take ownership in a fast\-paced startup environment
* Comfort collaborating cross\-functionally with design and backend teams
* Bonus points for full\-stack experience or prior early\-stage startup exposure
**What’s in it for me:** 
* Salary of $150,000 \- $250,000 dependent on experience plus meaningful equity at an early stage
* Strong benefits including UberEats credits, health insurance (medical, dental, vision), fitness and wellness memberships etc.
 Apply now for immediate consideration!</t>
        </is>
      </c>
    </row>
    <row r="72">
      <c r="A72" t="inlineStr">
        <is>
          <t>li-4332128006</t>
        </is>
      </c>
      <c r="B72" t="inlineStr">
        <is>
          <t>Software Developer 4</t>
        </is>
      </c>
      <c r="C72" t="inlineStr">
        <is>
          <t>Oracle</t>
        </is>
      </c>
      <c r="D72" t="inlineStr">
        <is>
          <t>linkedin</t>
        </is>
      </c>
      <c r="E72" t="inlineStr"/>
      <c r="F72" t="inlineStr"/>
      <c r="G72" t="inlineStr"/>
      <c r="H72" t="inlineStr"/>
      <c r="I72" t="inlineStr">
        <is>
          <t>**Job Description**
 At Oracle Cloud Infrastructure (OCI), we build the future of the cloud for Enterprises as a diverse team of fellow creators and inventors. We act with the speed and attitude of a start\-up, with the scale and customer focus of the leading enterprise software company in the world.
 The Oracle Cloud Infrastructure (OCI) team can allow you to build and operate a massive scale, integrated cloud services in a broadly distributed, multi\-tenant cloud environment. OCI is committed to providing the best in cloud products that meet the needs of our customers who are tackling some of the world’s biggest challenges. We offer unique opportunities for innovative, hands\-on engineers with the expertise and passion to solve complex problems in distributed, highly available services and virtualized infrastructure. Our engineers have a significant technical and business impact at every level, designing and building innovative new systems to power our customers’ business\-critical applications.
 We are reimagining what's possible with a true cloud\-native database to provide unparalleled performance and durability with our new large\-scale distributed services and storage backend. Our services expose highly available, high\-performance storage volumes and backups to our elastic compute customers.
 We’re looking for hands\-on engineers with expertise and passion for solving complex problems in distributed database systems, storage infrastructure, transaction processing, and highly available services. If this is you, at Oracle, you can design and build innovative new systems from the ground up. These are exciting times in our space \- we are growing fast, still at an early stage, and working on ambitious new initiatives. An engineer at any level can have a significant technical and business impact
**Responsibilities**
 As a member of the software engineering division, you will take an active role in defining and evolving standard software engineering practices, architecture and procedures. You will be responsible for defining, developing, designing, and debugging Cloud Scale Distributed Systems and Services, and you will also provide mentorship for other engineers. Work is novel and complex, involving the application of advanced technical skills in an area of specialization. You will be leading contributor individually in the area and as a team member, providing direction and mentoring to others. BS or MS degree or equivalent experience relevant to functional area.
 You will own software development of significant features in Oracle Cloud's Database Service offerings. You should be comfortable with development in Java/Python/Terraform and be willing to learn new languages as needed. You should value simplicity and scale, work well in a collaborative, agile environment, and be excited to learn.
**Preferred qualifications:**
* 8\-10\+ years of professional software development experience or 6\+ years with an advanced degree in Computer Science, Mathematics, or Engineering.
* Strong technical skills with a proven record of designing and developing cloud\-scale systems, highly available distributed systems, or databases.
* Deep understanding of Computer Science basics like Operating System Internals, Networking, Architecture
* Strong experience with data structures, algorithms, concurrency, multi\-threading, object\-oriented design
* Deep knowledge of database internals, database management, and life cycle management is a huge plus.
* Proficiency in developing large production projects
* Knowledge or experience working with open source databases like PostgreSQL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3">
      <c r="A73" t="inlineStr">
        <is>
          <t>li-4333318279</t>
        </is>
      </c>
      <c r="B73" t="inlineStr">
        <is>
          <t>Software Engineer - Travel Portfolio - Costco Travel</t>
        </is>
      </c>
      <c r="C73" t="inlineStr">
        <is>
          <t>Costco Wholesale</t>
        </is>
      </c>
      <c r="D73" t="inlineStr">
        <is>
          <t>linkedin</t>
        </is>
      </c>
      <c r="E73" t="inlineStr"/>
      <c r="F73" t="inlineStr"/>
      <c r="G73" t="inlineStr">
        <is>
          <t>Seattle, WA</t>
        </is>
      </c>
      <c r="H73" t="inlineStr"/>
      <c r="I73" t="inlineStr">
        <is>
          <t>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 Costco IT is a dynamic, fast\-paced environment, working through exciting transformation efforts. We are building the next generation retail environment where you will be surrounded by dedicated and highly professional employees.
**Software Engineers** 
 perform development work across the technology stack (both front\-end/back\-end expertise). They are versatile in how they can add value, demonstrating the ability to manage the completion of projects that involve databases, backend services, or the development of front end applications. They should be able to demonstrate a strong understanding of emerging technologies to support the development of new solutions. Software Engineers understand the full technology stack and underlying applications, services, and databases in order to ensure optimal performance.
 As a Software Engineer your role will be the technical lead for one or more teams. This role requires deep technical expertise, domain proficiency, platform depth, and leadership. The individual in this role will coach and mentor engineers and developers to help them progress their technical knowledge and careers. Typical activities include leading requirements analysis, solution design, technical development, and process improvement coupled with the ability to drive efforts and solution improvements effectively.
 If you want to be a part of one of the worldwide BEST companies “to work for”, simply apply and let your career be reimagined.
 ROLE
* Oversees the technical design and development of in\-house travel booking web applications based on the gathered requirements for multiple development teams.
* Leads and collaborates in planning, decomposing, and estimating new delivery work.
* Ensures solutions are secure, durable, scalable, flexible, and accessible; and proactively mitigates against production support issues.
* Demonstrates technical leadership to manage and provide multiple technical solutions; performs code reviews; establishes and enforces coding guidelines and best practices.
* Initiates and facilitates team meetings to socialize technical ideas; encourages a culture of technical excellence within the organization and identifies opportunities for adopting innovation.
* Understands implications of design and implementation choices and provides solutions.
* Manages concurrent projects and multiple competing priorities.
* Builds and maintains strong working relationships with team members.
* Provides coaching and mentoring to team members; shares information through documentation, workshops, etc. to drive operational efficiencies and technical growth within the team.
* Understands and escalates technical challenges with options and recommendations.
* Provides the team with solution recommendations and estimates for a given product/application.
**Required**
* 7\+ years’ experience with design and development of client/server and/or web based applications.
* 5\+ years’ experience with core Java, Java EE technologies (Servlet and JSP).
* 5 \+ years’ experience working with relational databases (preferably MS\-SQL Server and T\-SQL).
* Good understanding and experience with SOAP and/or REST based Web services.
* Demonstrated track record of driving high\-quality software design/implementation to production.
* Must be a quick learner with the ability to learn and incorporate new technologies and concepts.
* Self\-motivated, dedicated, and driven to succeed.
* Able to easily shift focus with changing priorities.
* Good debugging, troubleshooting, and problem\-solving skills.
* Excellent communication, collaboration, analytical, and problem\-solving skills.
**Recommended**
* Bachelor's degree, or the equivalent, in Computer Science, Engineering, or a related field.
* A passion for being part of a team, willing to self\-assess in order to continually find better ways to do things.
* Experience working in a Scrum/Agile environment.
* Excellent organizational skills.
* Travel industry knowledge.
* Proficient in Microsoft Workspace applications, including Outlook, Word, Excel, PowerPoint, and Teams.
 Required Documents
* Cover Letter
* Resume
 California applicants, please click here to review the Costco Applicant Privacy Notice.
**Pay Ranges**
 Level 3 \- $130,000 \- $160,000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 .</t>
        </is>
      </c>
    </row>
    <row r="74">
      <c r="A74" t="inlineStr">
        <is>
          <t>li-4303234498</t>
        </is>
      </c>
      <c r="B74" t="inlineStr">
        <is>
          <t>Senior Associate - AI Full Stack Engineer</t>
        </is>
      </c>
      <c r="C74" t="inlineStr">
        <is>
          <t>New York Life Insurance Company</t>
        </is>
      </c>
      <c r="D74" t="inlineStr">
        <is>
          <t>linkedin</t>
        </is>
      </c>
      <c r="E74" t="inlineStr"/>
      <c r="F74" t="inlineStr"/>
      <c r="G74" t="inlineStr">
        <is>
          <t>New York, NY</t>
        </is>
      </c>
      <c r="H74" t="inlineStr"/>
      <c r="I74" t="inlineStr">
        <is>
          <t>**Location Designation:** 
 Hybrid \- 3 days per week
 We are seeking an experienced AI Full Stack Engineer to design, build, and deploy next\-generation AI\-powered applications. This role operates at the intersection of machine learning, agentic AI, and full\-stack development, delivering scalable solutions that embed intelligence directly into business workflows.
 The AI Full Stack Engineer will partner with product managers, data scientists, architects, and DevOps teams to translate ambiguous business problems into production\-ready systems. You will work across the full stack — from AI/ML model development and deployment to frontend user experiences and backend services — ensuring that solutions are performant, secure, and aligned with enterprise standards.
 This position is ideal for engineers with strong software craftsmanship, applied AI/ML experience, and a passion for agentic AI systems and Retrieval\-Augmented Generation (RAG) architectures.
**What You'll Do**
* Design and implement end\-to\-end AI\-powered applications, from data pipelines and ML models to APIs and user interfaces.
* Collaborate with product managers and stakeholders to translate business problems into technical specifications.
* Build and optimize RAG systems leveraging embeddings, vector databases, and document pipelines.
* Develop AI agents with autonomous reasoning, multi\-step task execution, and external tool/API integration.
* Implement Agentic AI protocols including Model Context Protocol (MCP) and multi\-agent orchestration frameworks.
* Build scalable frontend applications using React, Angular, or Vue, and backend services with Python, Node.js, Java, or Go.
* Design and maintain SQL and NoSQL databases (PostgreSQL, MySQL, MongoDB, Redis) for structured and unstructured data.
* Deploy, monitor, and scale applications on cloud platforms (AWS, GCP, Azure) with Docker and Kubernetes.
* Implement CI/CD pipelines, version control, and automated testing for reliable delivery.
* Ensure system reliability through monitoring, observability, drift detection, and alerting for ML models in production.
* Collaborate with data scientists, DevOps, and cross\-functional teams to accelerate AI feature delivery.
* Mentor junior developers and contribute to a culture of engineering excellence.
**What You'll Bring**
* Master’s degree in Computer Science, Machine Learning, Data Science, Software Engineering, or related technical field.
* 4\+ years of professional software development experience, with at least 2\+ years focused on AI/ML application development and deployment.
* Proficiency in modern frontend frameworks (React, Angular, Vue), backend development (Python, Node.js, Java, Go), and RESTful APIs.
* Strong experience with SQL and NoSQL databases.
* Hands\-on experience deploying applications to AWS, GCP, or Azure.
* Proven expertise with Git, CI/CD pipelines, Docker, and Kubernetes.
* Solid understanding of ML pipeline automation, model versioning, and production deployment.
* Strong collaboration and communication skills to work with technical and business partners.
**Preferred / Desired Skills**
* Experience implementing RAG systems and working with vector databases (Pinecone, Weaviate, ChromaDB).
* Proficiency in agent development frameworks (LangChain, LlamaIndex, Strands) and multi\-agent orchestration.
* Familiarity with real\-time AI systems, streaming pipelines, and low\-latency inference using Kafka or Redis Streams.
* Knowledge of monitoring ML systems for drift, performance degradation, and automated alerting.
* Exposure to insurance or financial services technology solutions.
* Demonstrated ability to lead technical projects and mentor junior engineers.
* Strong portfolio of AI\-enabled full\-stack applications in production.
**Pay Transparency**
 Salary Range: $97,500\-$139,500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92573</t>
        </is>
      </c>
    </row>
    <row r="75">
      <c r="A75" t="inlineStr">
        <is>
          <t>li-4310736887</t>
        </is>
      </c>
      <c r="B75" t="inlineStr">
        <is>
          <t>Senior Software Engineer - Data Infrastructure, CloudKitchens - Austin, TX</t>
        </is>
      </c>
      <c r="C75" t="inlineStr">
        <is>
          <t>CloudKitchens</t>
        </is>
      </c>
      <c r="D75" t="inlineStr">
        <is>
          <t>linkedin</t>
        </is>
      </c>
      <c r="E75" t="inlineStr"/>
      <c r="F75" t="inlineStr"/>
      <c r="G75" t="inlineStr">
        <is>
          <t>Austin, TX</t>
        </is>
      </c>
      <c r="H75" t="inlineStr"/>
      <c r="I75" t="inlineStr">
        <is>
          <t>**Who We Are**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Work on a data intelligence infrastructure team, which is focused on gaining intelligence from the mass amount of data that has been collected over the years serving restaurants across the world.
* Build and maintain software and tools that enable data scientists, ML engineers, analysts and engineers to extract insights, sell market intelligence to merchants and make data driven decisions for the company
* Help product teams to build real\-time and batch processing pipelines to achieve business requirements
* Research latest technologies in the open source communities and bring back insights to apply within the team
**What We’re Looking For**
* 5\-10 years of experience as a software engineer, and the ability to work independently in a fast\-paced, dynamic environment, taking initiative to drive results.
* Background in infrastructure or platform development is preferred.
* Enthusiastic about learning new codebases, and making changes in large complex systems safely and efficiently.
* Proficiency in Java or GoLang programming languages. We’re looking for engineers who are comfortable with either language and have experience building high\-performance systems.
* Familiarity with Azure and GCP cloud environments, and deployment tools such as Docker and Kubernetes
* Experience in real estate, food technology, or related industries is a bonus, though not required. A passion for solving complex problems in these sectors is key.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Austin office.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 person. That’s why all of our teams (except for our field\-based roles) are now working from one of our office locations 5 days a week.
**Ready to join us as we serve those who serve others?**</t>
        </is>
      </c>
    </row>
    <row r="76">
      <c r="A76" t="inlineStr">
        <is>
          <t>li-4293040749</t>
        </is>
      </c>
      <c r="B76" t="inlineStr">
        <is>
          <t>Software Developer Engineer</t>
        </is>
      </c>
      <c r="C76" t="inlineStr">
        <is>
          <t>Westinghouse Electric Company</t>
        </is>
      </c>
      <c r="D76" t="inlineStr">
        <is>
          <t>linkedin</t>
        </is>
      </c>
      <c r="E76" t="inlineStr"/>
      <c r="F76" t="inlineStr"/>
      <c r="G76" t="inlineStr">
        <is>
          <t>Cranberry Township, PA</t>
        </is>
      </c>
      <c r="H76" t="inlineStr"/>
      <c r="I76"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**About The Role**
 As a Software Development Engineer you will Partner with product and development teams for understanding and executing the overall program vision for CMIS (Configuration Management Interface System), Westinghouse's platform that enables nuclear utilities to generate design change packages..
**Salary:** 
 We are committed to transparency and equity in all of our people practices. The base salary range for this position, which is dependent upon experience, qualifications and skills, is estimated to be $69,200 to $86,500 per year.
 You will report to the Manager of Software Development. This position is hybrid in nature requiring 2 days/week on\-site at the Westinghouse Global Headquarters facility in Cranberry Woods, PA in the Greater Pittsburgh Area. No relocation will be provided for this position.
**Key Responsibilities**
* Work with Westinghouse's internal application framework tool in the development of engineering applications.
* Support other developers in the maintenance and testing of existing applications
* Interfacing with discipline engineers to support development and execution of functional requirements.
* Interfacing with discipline engineers to develop scope, schedule and cost of new applications or releases of existing applications.
**Qualifications:**
* Bachelor's degree in Computer Science, Software Engineering
* Minimum 3 years software development experience
* Experience with .NET (C\# and MVC architecture), SQL/Database Design, web\-programming (HTML/JavaScript/CSS), and web APIs
* Experience with Java, TypeScript, jQuery, Oracle, REST APIs, UI Design, and Bootstrap
* Understanding of object\-oriented, event\-driven, and procedural programming paradigms
**Why Westinghouse?**
**Benefits**
**Westinghouse offers competitive benefits to all our employees around the globe to keep them healthy and enhance their well\-being. In the U.S. the following are representative of what we offer:**
* Competitive Salary
* Comprehensive Health, Wellness and Income Protection Benefits
* Employee Assistance Program: confidential counseling and resources for employees, eligible dependents, and household members
* 401(k) Savings Plan with Company Match
* Paid Vacations and Holidays
* Opportunities for Flexible Work Arrangements
* Educational Reimbursement Program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
**Westinghouse is an Equal Opportunity Employer including Veterans and Individuals with Disabilities**
**Get Connected With Westinghouse On Social Media**
 Twitter \| Facebook \| LinkedIn \| YouTube</t>
        </is>
      </c>
    </row>
    <row r="77">
      <c r="A77" t="inlineStr">
        <is>
          <t>li-4351185865</t>
        </is>
      </c>
      <c r="B77" t="inlineStr">
        <is>
          <t>Software Engineer (mid-level &amp; senior)</t>
        </is>
      </c>
      <c r="C77" t="inlineStr">
        <is>
          <t>Eng Hiring LLC</t>
        </is>
      </c>
      <c r="D77" t="inlineStr">
        <is>
          <t>linkedin</t>
        </is>
      </c>
      <c r="E77" t="inlineStr"/>
      <c r="F77" t="inlineStr"/>
      <c r="G77" t="inlineStr">
        <is>
          <t>New York, NY</t>
        </is>
      </c>
      <c r="H77" t="inlineStr"/>
      <c r="I77" t="inlineStr">
        <is>
          <t>Eng Hiring LLC is a talent agency. We are currently hiring for a few NYC based AI startups. You'll get to work alongside excellent engineers on exciting products.
 We are seeking engineers primarily at the senior and staff level. But we are also open to mid\-level engineers too.
**How it works** 
 You'll complete a one hour coding interview. This interview is designed to test for real world engineering skills. Pass or fail, you'll receive detailed feedback about your interview performance to help you improve for the future and gain insight into how companies evaluate candidates.
 If you pass, you'll have the opportunity to be anonymously listed in our system; other interested companies may reach invite you to interview.
**Requirements** 
 Must be located in the NYC metro as all roles are in office or hybrid
**How to apply** 
 Schedule directly by visiting the link below
**https://enghiring.com/interview**</t>
        </is>
      </c>
    </row>
    <row r="78">
      <c r="A78" t="inlineStr">
        <is>
          <t>li-4313296621</t>
        </is>
      </c>
      <c r="B78" t="inlineStr">
        <is>
          <t>Principal Software Engineer</t>
        </is>
      </c>
      <c r="C78" t="inlineStr">
        <is>
          <t>LogRocket</t>
        </is>
      </c>
      <c r="D78" t="inlineStr">
        <is>
          <t>linkedin</t>
        </is>
      </c>
      <c r="E78" t="inlineStr"/>
      <c r="F78" t="inlineStr"/>
      <c r="G78" t="inlineStr"/>
      <c r="H78" t="inlineStr"/>
      <c r="I78" t="inlineStr">
        <is>
          <t>**About LogRocket**
 Founded in 2016, LogRocket's goal is to make every experience on the web as perfect as possible. We're solving a huge challenge for product managers and developers \- understanding the user experience. LogRocket is the first system that gives these teams complete visibility into their customer's experience using their web apps \- through pixel\-perfect replays of user sessions and clear insight into logs, errors, and network activity. We've already attracted an elite roster of over 2,800 customers including ClassPass, Capital One, Cisco, and Rippling, just to name a few. Our focus is on building software with care and craftsmanship and our engineering blog posts offer a taste of that.
 Backed by top investors such as Matrix Partners, Battery Ventures, and Delta\-V Capital, we've raised $55M in funding and we're eager to bring talented people onboard to support our growth. We're on a mission to improve society's experience with software and that's where you come in.
 Responsibilities (Sample Projects)
* Design a system to automatically detect the most common user paths across millions of events
* Implement a search backend that allows users to search in real time across billions of log entries
* Build a machine learning pipeline that automatically detects bugs in our users' apps
* Automate database scaling to improve operating cost while maintaining the ability to respond to traffic spikes
* Build a system that automatically recommends integrations for customers based on their toolset
**Qualifications**
* 7\+ years of experience in a full stack or backend development role, preferably with a SaaS company
* Experience with state of the art cloud technologies, including architectural principles, specific tools of the trade, and their strengths and weaknesses
* Hands\-on experience building and redesigning highly available distributed systems
* Familiarity with modern Javascript\-based applications and frameworks
* Experience in development environments with demanding scalability or availability requirements
* A strong collaborator who is transparent about progress on tasks, seeks feedback early and often, works effectively with the team to deliver on engineering estimates
* Acts as a mentor to junior engineers and provides coaching to upskill other team members
* If you don’t meet all of these, we still encourage you to apply. We believe that code is code, regardless of language, and learning different tools is part of joining a new company
 Benefits \&amp; Perks
* Catered lunch and an impressive array of your favorite snacks (healthy AND non\-healthy!)
* Unlimited vacation policy
* Health, Dental, Vision benefits, 401k, commuter benefits
* Generous stock options
* Regular team outings and activities (from boat rides to paintball, we’ll try anything!)
 This range is intended to provide a guideline for our typical compensation and may be modified based on location or experience of our finalist candidate.
 LogRocket is an equal opportunity employer. We celebrate diversity and are committed to creating an inclusive environment for all employees.
 LogRocket will consider sponsoring visas for applicants in the US that need work authorization.</t>
        </is>
      </c>
    </row>
    <row r="79">
      <c r="A79" t="inlineStr">
        <is>
          <t>li-4254369816</t>
        </is>
      </c>
      <c r="B79" t="inlineStr">
        <is>
          <t>Software Engineer, Android</t>
        </is>
      </c>
      <c r="C79" t="inlineStr">
        <is>
          <t>Meta</t>
        </is>
      </c>
      <c r="D79" t="inlineStr">
        <is>
          <t>linkedin</t>
        </is>
      </c>
      <c r="E79" t="inlineStr"/>
      <c r="F79" t="inlineStr"/>
      <c r="G79" t="inlineStr">
        <is>
          <t>Sunnyvale, CA</t>
        </is>
      </c>
      <c r="H79" t="inlineStr"/>
      <c r="I79"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experience building Android applications in Java or Kotlin using Android SDK
* Experience with multithreading programming and mobile memory management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0">
      <c r="A80" t="inlineStr">
        <is>
          <t>li-4326287532</t>
        </is>
      </c>
      <c r="B80" t="inlineStr">
        <is>
          <t>Full Stack Engineer</t>
        </is>
      </c>
      <c r="C80" t="inlineStr">
        <is>
          <t>Recruiting from Scratch</t>
        </is>
      </c>
      <c r="D80" t="inlineStr">
        <is>
          <t>linkedin</t>
        </is>
      </c>
      <c r="E80" t="inlineStr"/>
      <c r="F80" t="inlineStr"/>
      <c r="G80" t="inlineStr">
        <is>
          <t>Santa Clara, CA</t>
        </is>
      </c>
      <c r="H80" t="inlineStr"/>
      <c r="I80" t="inlineStr">
        <is>
          <t>**Company Description** 
 Our client is pioneering next\-generation AI\-powered Digital Twin technology that helps enterprises unlock organizational intelligence. Their platform integrates data across systems, transforms fragmented information into actionable insights, and empowers leaders to drive innovation, efficiency, and operational excellence.
 They are solving one of the hardest enterprise challenges:
 **knowledge continuity** 
 . As teams scale, roles shift, and organizational context changes, their platform ensures that memory, decision\-making style, and execution persist. The technology blends personalization with enterprise\-grade trust, privacy, and security.
**What You Will Do** 
* Design and implement efficient, scalable APIs and interfaces connecting the frontend to backend systems.
* Build responsive, user\-friendly web applications using
 **Next.js** 
 , ensuring exceptional performance and experience across devices.
* Optimize applications for scalability, maintainability, and speed, balancing rapid iteration with strong engineering discipline.
* Collaborate cross\-functionally with product managers, designers, and researchers to scope, architect, and ship new features end\-to\-end.
* Troubleshoot and debug issues across the stack: frontend rendering, backend integration, CI/CD, deployment, and performance.
* Contribute to code reviews, engineering standards, technical architecture, and best practices for a growing team.
* Drive
 **0→1 product development** 
 , turning prototypes into robust, production\-ready features.
**Ideal Background** 
* 3\+ years of experience as a full\-stack or frontend\-leaning engineer.
* Strong technical foundation (CS degree preferred or equivalent experience).
* **Deep expertise in Next.js** 
 is required.
* Experience with modern frontend technologies: React, TypeScript, CSS frameworks.
* Hands\-on backend experience at the application level: API design, database interaction, debugging backend integrations.
* Understanding of performance optimization and scalable system design.
* Experience building in early\-stage startups or 0→1 product environments.
* High ownership mindset—comfortable making decisions with incomplete information and iterating rapidly.
* Strong communication and cross\-functional collaboration abilities.
**Preferred** 
* Prior experience working closely with product and design teams.
* Experience building user\-facing interfaces for technical or AI/ML\-driven products.
* Knowledge of deployment workflows, cloud tooling, or infrastructure basics.
**Compensation and Benefits** 
* Competitive salary \+ meaningful equity
* Opportunity to join a fast\-moving team solving a critical enterprise problem
* High ownership role shaping core product and user experience
* Collaborative environment with direct access to founders, product, and engineering leadership
**Role:** 
 Software Engineer, Full Stack
**Location:** 
 Santa Clara, CA
**Company Stage of Funding:** 
 Venture Backed
**Office Type:** 
 Onsite
**Salary:** 
 $140,000\-$275,000 (Base \+ Equity)
**Who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t>
        </is>
      </c>
    </row>
    <row r="81">
      <c r="A81" t="inlineStr">
        <is>
          <t>li-4281932134</t>
        </is>
      </c>
      <c r="B81" t="inlineStr">
        <is>
          <t>Senior Software Engineer, Edge</t>
        </is>
      </c>
      <c r="C81" t="inlineStr">
        <is>
          <t>Metropolis Technologies</t>
        </is>
      </c>
      <c r="D81" t="inlineStr">
        <is>
          <t>linkedin</t>
        </is>
      </c>
      <c r="E81" t="inlineStr"/>
      <c r="F81" t="inlineStr"/>
      <c r="G81" t="inlineStr">
        <is>
          <t>Seattle, WA</t>
        </is>
      </c>
      <c r="H81" t="inlineStr"/>
      <c r="I81"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We are seeking a highly tenured
 Senior Software Engineer, Backend
 to join our Advanced Technologies team. In this role, you will design, develop, and maintain scalable backend systems that model ground truth vehicle location by integrating cutting\-edge hardware with advanced machine learning. You’ll work with a modern tech stack, including Java, Scala, GRPC (Protocol Buffers), Redis, MySQL, Kubernetes, and Kafka, to deliver high\-performance, reliable services. If you are excited about solving complex technical challenges and working at the intersection of distributed systems, real\-time data processing, and scalable infrastructure, we would love to hear from you.
 What you'll do
 * Build robust, scalable, and maintainable backend services in Java and Scala to support mission\-critical operations
* Design and implement gRPC (Protocol Buffers) APIs to enable high\-performance, real\-time data transfer between services
* Leverage Redis and MySQL for efficient data storage and retrieval, ensuring reliability and low\-latency access
* Deploy and manage microservices on Kubernetes, optimizing for scalability, resilience, and cost efficiency
* Work with Kafka to build scalable, event\-driven architectures for real\-time data streaming and processing
* Partner with Hardware, Machine Learning, and Operations teams to ensure seamless integration across the ecosystem and provide appropriate tooling
* Analyze and address bottlenecks in performance and scalability while maintaining a focus on system reliability and data integrity
 What we're looking for
 * Bachelor’s or Master’s degree in Computer Science, Software Engineering, or a related field
* 8\+ years of experience in backend development, preferably within platform or core services
* Proven expertise in industry\-standard programming languages, preferably Java and Scala
* Experience building GRPC (Protocol Buffers) APIs for efficient and reliable communication between services
* Strong understanding of database design and optimization using Redis and MySQL
* Familiarity with container orchestration and scaling using Kubernetes
* Hands\-on experience with Kafka for event\-driven architecture
* Exposure to frontend integration with frameworks like Next.js is a plus
* Exceptional analytical skills with a proven ability to tackle complex technical problems and design innovative solutions\&gt;
* A team player with excellent communication skills and a proactive approach to working across teams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$155,000\.00 USD to 185,000\.00 USD annually. The actual base pay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pay is one component of Metropolis’s total compensation package, which usually includes: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82">
      <c r="A82" t="inlineStr">
        <is>
          <t>li-4313456873</t>
        </is>
      </c>
      <c r="B82" t="inlineStr">
        <is>
          <t>Senior Software Engineer, Aerial - Performance</t>
        </is>
      </c>
      <c r="C82" t="inlineStr">
        <is>
          <t>NVIDIA</t>
        </is>
      </c>
      <c r="D82" t="inlineStr">
        <is>
          <t>linkedin</t>
        </is>
      </c>
      <c r="E82" t="inlineStr"/>
      <c r="F82" t="inlineStr"/>
      <c r="G82" t="inlineStr">
        <is>
          <t>Austin, TX</t>
        </is>
      </c>
      <c r="H82" t="inlineStr"/>
      <c r="I82" t="inlineStr">
        <is>
          <t>NVIDIA Aerial CUDA Accelerated RAN (ACAR) is framework for building high\-performance, software\-defined, cloud\-native Radio Access Network functions over NVIDIA CPU/GPU/DPU based systems. We are seeking a self\-motivated senior performance engineer to drive performance and scalability of our platform. This position offers the opportunity to work on cutting\-edge technology for 5G and 6G networks, using NVIDIA's world\-class compute platforms to advance the field of software\-defined digital signal processing stack!
**What You'll Be Doing**
 As a member of Aerial RAN team working for 5G and 6G networks, you will be responsible for:
* Optimizing CPU, GPU and NIC sub\-systems for predictable low\-latency and maximum efficiency
* Crafting and implementing performance verification tools, frameworks and dashboards
* Monitoring and prioritizing performance regressions reported by CI/CD
* Collaborating with multi\-functional teams to solve performance bottlenecks in CPU, GPU and NIC sub\-systems
* Benchmarking performance use\-cases on different platforms
**What We Need To See**
* BS/MS (or equivalent experience) in a relevant field and 10\+ years’ experience or PhD with 5\+ years’ experience or equivalent.
* Strong software design, development, debugging and testing skills.
* Hands\-on experience with performance analysis, characterization and optimization.
* Experience with programming latency sensitive, real\-time, multi\-threaded applications on CPUs and one or more of GPUs or DSPs or Vector processors.
* Deep knowledge of CPU, DSP or GPU architecture, as well as memory, I/O and networking interfaces.
* Familiarity with data science and using visualization tools to summarize large quantities of data.
* Experience in one or more programming / scripting languages: C/C\+\+, Python, shell scripting.
**Ways to stand out** 
**from the crowd**
* Experience in designing and managing firmware timelines for wireless SoCs used in cellular wireless networks and/or terminals!
* Track record in E2E design/testing of signal processing algorithms at the PHY layer or resource allocation optimization at MAC level.
* CUDA experience highly desired.
* Appetite to learn the details of how next generations of GPU will operate and build an outstanding Software\-Radio 5G/6G stack that can fully demonstrate their power.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October 13,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JR2001033</t>
        </is>
      </c>
    </row>
    <row r="83">
      <c r="A83" t="inlineStr">
        <is>
          <t>li-4354338318</t>
        </is>
      </c>
      <c r="B83" t="inlineStr">
        <is>
          <t>Software Engineer</t>
        </is>
      </c>
      <c r="C83" t="inlineStr">
        <is>
          <t>TalentAlly</t>
        </is>
      </c>
      <c r="D83" t="inlineStr">
        <is>
          <t>linkedin</t>
        </is>
      </c>
      <c r="E83" t="inlineStr"/>
      <c r="F83" t="inlineStr"/>
      <c r="G83" t="inlineStr">
        <is>
          <t>Irving, TX</t>
        </is>
      </c>
      <c r="H83" t="inlineStr"/>
      <c r="I8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
* Provide deep subject matter expertise and support the analysis, design, and implementation for hybrid on\-prem and cloud Active Directory environments and Azure Active Directory/Entra ID tenants.
* Engage and collaborate with business and technical partners to integrate systems and applications with centralized authentication such as Active Directory or Azure Active Directory/Entra ID.
* Provide deep subject matter knowledge and expertise on Active Directory, Azure Active Directory/Entra ID, and Okta Active Directory synchronization.
* Support new product comparison, vetting, and selection process to ensure technology is relevant and meets business requirements.
* Drive Active Directory and Entra ID disaster recovery drills, process improvements, and documentation efforts.
* Continually enhance authentication platforms, ensuring systems are protected from new and evolving Cyber threats and systems are operationally stable.
* Collaborate closely with global cross\-functional teams to ensure the stability, scalability, and security of the Active Directory and Azure Active Directory/Entra ID environments and Okta. Participate in discussions on all aspects of identity and access management.
* Respond to and resolve complex, high\-severity incidents.
* Lead regular reviews of deployed infrastructure, develop detailed architecture, and create and update new technical documentation and Standard Operating Procedures (SOP).
* Analyze the current authentication services platforms to identify both technical and operational opportunities for enhancements and develop continuous improvement action plans.
* Lead regular assessment of systems and process hygiene and identify and implement automation.
* Actively research and implement new innovations in IT security as well as IAM technologies and services, striving to ensure McKesson continues to deliver best practices and standards.
* Provide on\-call support as needed for operational continuity of Identity platforms. (1 week rotation for ON\-call)
**Minimum Requirements** 
 :
* Degree or equivalent and typically requires 7\+ years of relevant experience.
**Critical Experience/Skills** 
 :
* Proven experience as an Active Directory/Entra ID Engineer or similar role with a minimum of 7 years of experience.
* Proven ability to effectively prioritize and execute tasks with competing priorities; strong influencing skills to work with various service owners.
* Demonstrated experience effectively leading and managing collaborative, service management solutions across disparate functional teams.
**Preferred Experience/Skills:** 
* Advanced understanding of Active Directory, Azure Active Directory/Entra ID, Lightweight Directory Access Protocol, Active Directory Federation Services, and other centralized identity stores.
* Advanced understanding of Microsoft Azure and familiarity with IAM permissions on Management Groups, subscriptions, and resources.
* Advanced knowledge of Azure Active Directory/Entra ID capabilities such as Conditional Access Policies, Privileged Identity Manager, and Application Registrations.
*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 Advanced understanding of implementing security on Active Directory and Entra ID and hardening those platforms.
* Advanced understanding of Active Directory and Entra ID backup and restore processes and experience of performing Disaster Recovery exercises.
* Advanced understanding of Windows Server operating systems and Active Directory/Azure Active Directory/Entra ID services.
* Advanced understanding of PowerShell scripting with proven experience implementing automation, including experience utilizing APIs such as Microsoft Graph.
* Advanced understanding of Single\-Sign On and authentication protocols such as SAML \&amp; OIDC.
*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PDN\-a08428c3\-b31f\-46f2\-abd0\-8735e7b0681e</t>
        </is>
      </c>
    </row>
    <row r="84">
      <c r="A84" t="inlineStr">
        <is>
          <t>li-4354385806</t>
        </is>
      </c>
      <c r="B84" t="inlineStr">
        <is>
          <t>Software Engineer</t>
        </is>
      </c>
      <c r="C84" t="inlineStr">
        <is>
          <t>Haystack</t>
        </is>
      </c>
      <c r="D84" t="inlineStr">
        <is>
          <t>linkedin</t>
        </is>
      </c>
      <c r="E84" t="inlineStr"/>
      <c r="F84" t="inlineStr"/>
      <c r="G84" t="inlineStr">
        <is>
          <t>Chicago, IL</t>
        </is>
      </c>
      <c r="H84" t="inlineStr"/>
      <c r="I84" t="inlineStr">
        <is>
          <t>**Staff Software Engineer, Cloud \| Abbott Park, IL \| Remote\-Friendly \| $99,300 \- $198,700**
 We're working with Abbott Laboratories on this exciting opportunity.
 Abbott is seeking a Staff Software Engineer to join their Cloud team, focusing on a SaaS platform that revolutionizes glucose monitoring for diabetes patients globally. This is an incredible opportunity to leverage your technical expertise in a medical field, contributing to life\-changing products and working with a modern tech stack in a large\-scale environment.
**Key Responsibilities**
* Learn and improve existing Go\-based healthcare platforms
* Design and implement services and components utilizing Go for cloud\-based platforms
* Collaborate with internal and external partners to develop and integrate with APIs
* Contribute to significant architectural and operational decisions
**What You'll Need**
* Bachelor's Degree in Computer Science, Information Technology, or relevant field or equivalent experience.
* 5\-7\+ years experience.
* Familiarity with data design and database technologies such as SQL Server, Postgres or similar.
* Software development experience with Go. Strong knowledge of idiomatic Go and best practices.
**Apply via Haystack today!**</t>
        </is>
      </c>
    </row>
    <row r="85">
      <c r="A85" t="inlineStr">
        <is>
          <t>li-4256558378</t>
        </is>
      </c>
      <c r="B85" t="inlineStr">
        <is>
          <t>Staff Full Stack Engineer (Wallet Platform)</t>
        </is>
      </c>
      <c r="C85" t="inlineStr">
        <is>
          <t>Phantom</t>
        </is>
      </c>
      <c r="D85" t="inlineStr">
        <is>
          <t>linkedin</t>
        </is>
      </c>
      <c r="E85" t="inlineStr"/>
      <c r="F85" t="inlineStr"/>
      <c r="G85" t="inlineStr"/>
      <c r="H85" t="inlineStr"/>
      <c r="I85" t="inlineStr">
        <is>
          <t>Phantom is revolutionizing the way millions of people interact with the crypto ecosystem. Our self\-custodial wallet offers a seamless, unified experience for managing accounts and tokens across Solana, Bitcoin, Ethereum, and Polygon, empowering users with a single, convenient solution. By integrating cutting\-edge security features and launching innovative tools for an enhanced personalized user experience, Phantom is able to provide a next\-generation, safe and easy to use self\-custodial wallet for everyone. This strategy has allowed Phantom to achieve significant milestones including surpassing 15 million MAU’s, reaching \#1 in the Google play store finance category, and consistently trending as a Top 50 app across all categories, right next to X, PayPal, Coinbase, and ChatGPT.
**Responsibilities**
 As a full\-stack engineer at Phantom you’ll be doing everything from building delightful user interfaces and creating cross\-platform client infrastructure on the frontend, to creating APIs, data pipelines and services that bridge the gap between the blockchain and the user experience our users have come to expect on the backend.
* Feature development: You will be owning features on our web platforms – currently the Phantom Extension and our website.
* New initiatives and products: You will be leading initiatives to add support for other blockchains to Phantom, and to launch new complementary products or infrastructure.
* Interfacing with users: You will be interfacing directly with end\-users and developers building on Phantom – supporting them and collecting feedback to inform the direction of the product.
* Team building: You will be working with the team to create and foster a culture of raising the bar with each new hire.
**Qualifications**
* Bachelors degree in Computer Science or related technical field or equivalent practical experience
* 8\+ years full\-time software engineering experience
* Demonstrated interest in open and community\-driven platforms
* Nice\-To\-Have: experience in a blockchain based project
* English language proficiency
 Why Work with Us
 Opportunity
 We are a team of experienced builders in the blockchain and crypto industry. Our journey began from users seeking an easy, seamless path to accessing the crypto ecosystem. This passion fueled our exponential growth, allowing us to onboard over 7M\+ active users in just over three years; with our user base growing weekly. Our dedication to a secure and seamless user experience has made us the leading wallet on Solana as well as our multi\-chain approach enhances our platform's versatility, meeting the needs of a diverse and growing user base. By staying at the forefront of technology and user expectations, we continue to innovate and set industry standards on self\-custodial crypto wallets.
 There has never been a better time to work in crypto to help shape the future of innovation with a focus around the wallet experience!
* First impressions matter: Wallets are responsible for a users first impression with crypto and onboarding new users into crypto. By ensuring that a user has a great first\-time experience with crypto, we can help supercharge the growth of the entire ecosystem.
* Make crypto easier to navigate: There is no easy way for a user to discover and navigate all that crypto has to offer. Wallets have a unique opportunity to help users not only onboard to crypto but also stay retained by exploring new things to do.
* We live in a multi\-chain world: We currently support Solana, Ethereum, Polygon and Bitcoin with more networks to come in the new future. We are focused on creating a unified, multi\-chain crypto experience for users.
**Benefits**
* Competitive salary and equity
* Comprehensive insurance (medical/dental/vision) — 100% covered
* Stipend for your ideal remote set\-up
* Flexible hours and a supportive remote environment
* Unlimited vacation: Take time when you need it (and we really mean it!)
* 401(k) retirement plan
* Monthly wellness benefit
* Weekly meal benefit
* Global off\-sites
**We strongly encourage candidates of all different backgrounds to apply.** 
 We believe that our work is stronger with a variety of perspectives, and we’re eager to further diversify our company. If you have a background that you feel would make an impact at Phantom, please consider applying. We’re committed to building an inclusive, supportive place for you to do the best work of your career.
 The target base salary for this role will range between $200,000 to $250,000 with the addition of equity and benefits. This is determined by a few factors including your skillset, prior relevant experience, quality of interviews and market factors (such as location) at the point in time of offer.
*By submitting your resume and application materials, you acknowledge and agree that Phantom may use automated tools, including AI systems, and may engage trusted third\-party service providers to process your application and ensure an efficient hiring process. Phantom does not sell your information and your materials will be handled securely and in accordance with applicable data protection laws.*</t>
        </is>
      </c>
    </row>
    <row r="86">
      <c r="A86" t="inlineStr">
        <is>
          <t>li-4313106212</t>
        </is>
      </c>
      <c r="B86" t="inlineStr">
        <is>
          <t>Staff Software Engineer, Core</t>
        </is>
      </c>
      <c r="C86" t="inlineStr">
        <is>
          <t>Google</t>
        </is>
      </c>
      <c r="D86" t="inlineStr">
        <is>
          <t>linkedin</t>
        </is>
      </c>
      <c r="E86" t="inlineStr"/>
      <c r="F86" t="inlineStr"/>
      <c r="G86" t="inlineStr">
        <is>
          <t>Sunnyvale, CA</t>
        </is>
      </c>
      <c r="H86" t="inlineStr"/>
      <c r="I86" t="inlineStr">
        <is>
          <t>**Minimum qualifications:**
* Bachelor's degree or equivalent practical experience.
* 8 years of experience in software development.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li-4354376538</t>
        </is>
      </c>
      <c r="B87" t="inlineStr">
        <is>
          <t>Staff Software Engineer</t>
        </is>
      </c>
      <c r="C87" t="inlineStr">
        <is>
          <t>Agility Partners</t>
        </is>
      </c>
      <c r="D87" t="inlineStr">
        <is>
          <t>linkedin</t>
        </is>
      </c>
      <c r="E87" t="inlineStr"/>
      <c r="F87" t="inlineStr"/>
      <c r="G87" t="inlineStr">
        <is>
          <t>Columbus, Ohio Metropolitan Area</t>
        </is>
      </c>
      <c r="H87" t="inlineStr"/>
      <c r="I87" t="inlineStr">
        <is>
          <t>**A little about this gig** 
 Agility Partners is seeking a
 **Staff Software Engineer** 
 to join a leading healthcare technology company that improves patient experience by connecting payers, providers, and pharmacies through an integrated network. This role focuses on the
 **Telepharm** 
 product—a web and mobile platform enabling customers to virtually engage with pharmacists. As a Staff Engineer, you’ll provide technical leadership, drive architectural decisions, and own feature development across web and mobile applications in a collaborative, fast\-paced environment.
**Responsibilities:** 
* Provide technical leadership and guide strategic product direction for the Telepharm platform
* Develop and maintain full\-stack applications with high coding standards
* Lead architectural decisions and offer thought leadership on complex technical challenges
* Mentor and coach junior and mid\-level engineers in best practices and development methodologies
* Build and enhance features for web, mobile, and video\-enabled applications
* Champion paired programming sessions and Agile engineering practices
* Lead test\-driven development and conduct comprehensive unit testing (no dedicated QA team)
* Collaborate closely with Product Teams to shape the roadmap and deliver customer\-focused solutions
* Design and integrate RESTful APIs and microservices architecture
* Take full ownership of product features from conception through deployment
* Create system diagrams and maintain technical documentation
* Communicate effectively with cross\-functional teams and stakeholders
* Drive innovation and influence team decisions
**The ideal candidate** 
* Must be local to Columbus, OH and willing to work onsite 3 days per week (Mon/Tue/Thu) — non\-negotiable
* 8\+ years of software engineering experience with a preference for backend development
* Proven track record of technical leadership at a senior or staff level
* Strong proficiency in Java for backend development (Node.js experience is also acceptable)
* Experience with modern frontend frameworks: React, Angular, or Vue
* Solid database experience with PostgreSQL, SQL Server, or NoSQL
* Experience with test\-driven development and unit testing
* Background in paired programming environments
* Demonstrated experience mentoring and coaching other engineers
* Strong collaboration skills with Product Teams and ability to shape product direction
* Mobile app development using React Native (highly desirable)
* iOS mobile development experience (Swift or general iOS development)
* Experience with camera/video functionality in mobile applications
* Cloud experience (AWS preferred, but any cloud platform accepted)
* Microservices development experience (Spring Boot knowledge is a plus)
**Reasons to love it** 
* Work on an integrated product featuring web, mobile, and video capabilities
* Provide technical leadership and shape the future of the Telepharm platform
* Collaborate with a talented and passionate team in a startup\-like environment
* Enjoy true ownership of product features and autonomy in decision\-making
* Contribute to a product that positively impacts people’s lives
* Casual work environment with a collaborative culture</t>
        </is>
      </c>
    </row>
    <row r="88">
      <c r="A88" t="inlineStr">
        <is>
          <t>li-4338544778</t>
        </is>
      </c>
      <c r="B88" t="inlineStr">
        <is>
          <t>Software Developer - Integrations (Hybrid)</t>
        </is>
      </c>
      <c r="C88" t="inlineStr">
        <is>
          <t>Cisco</t>
        </is>
      </c>
      <c r="D88" t="inlineStr">
        <is>
          <t>linkedin</t>
        </is>
      </c>
      <c r="E88" t="inlineStr"/>
      <c r="F88" t="inlineStr"/>
      <c r="G88" t="inlineStr">
        <is>
          <t>Durham, NC</t>
        </is>
      </c>
      <c r="H88" t="inlineStr"/>
      <c r="I88" t="inlineStr">
        <is>
          <t>The application window is expected to close on: December 3rd, 2025\.
 Job posting may be removed earlier if the position is filled or if a sufficient number of applications are received.
 This is a hybrid role to work with the team at the Cisco\`s RTP office.
**Meet the Team**
 Today’s ambitious business environment is more than that \- it’s a period of disruption between the Generative AI advent, global business changes and internal process complexity. For us to focus on simplicity and the best customer experience, we need great talent and the right skills to be successful. This is now a mantra for our Cisco leadership team and for us.
 As a company that continually ranks as one of the best places to work and a trailblazer in GenAI, employee experience remains as a top priority for Cisco. The People IT team within Cisco IT is responsible for solutioning, building, deploying, and maintaining applications that support the guiding principles and variety of HR objectives/outcomes for the company.
**Your Impact**
 The Software Engineer role for the People IT team is critical for us to meet and exceed the expectations of our business partners in HR space. The role supports this by leading and supporting a wide range of web applications, custom development, APIs and data as a service on technology stack like Java, Elastic, Kafka, Mulesoft, MongoDB, Workday Studio, Workday Extend, Oracle both On\-prem and in Cloud. A great opportunity to interact directly with our business partners on a day\-to\-day basis and solving real world problems for them.
* Requirement Analysis: Work closely with HR Partners to gather and analyze requirements for business needs. Conduct thorough business process analysis to see opportunities for improvement and efficiency.
* Documentation: Build detailed and clear documentation, including business requirements, functional specifications, and use cases. Maintain accurate and up\-to\-date documentation throughout the project lifecycle.
* Communication and Collaboration: Act as a liaison between our partners and engineering team, ensuring clear and effective communication. Collaborate with developers, designers, and quality assurance teams to facilitate the successful delivery of software solutions.
* Software Development/Maintenance: Build, test, deploy and maintain various applications supporting business processes and ensure data integrity within applications.
* Continuous Improvement: Proactively find opportunities for process improvement and optimization. Stay informed about industry standard methodologies and technological advancements to contribute to the evolution of the application engineering process.
**Minimum Qualifications**
* 5\+ years of experience as a Software Developer or Software Engineer in an application engineering or software development environment.
* 3\+ years of experience working in Agile and/or Scrum teams.
* Expertise in creating and maintaining enterprise level integrations layer with APIs, microservices and data pipelines
* Demonstrated ability to engage with business stakeholders and familiarity with market trends relevant to HR technology.
**Preferred Qualifications**
* Experience with HR Domain
* Bachelor's degree in Engineering, Computer Science, or related field.
* Proficiency in Workday ecosystem
* Expertise in micro\-services, integrations, APIs and data as a service development
* Database: MongoDB, Postgres, Oracle
* API protocols: GraphQL, REST
* Backends: Java (SprintBoot), Python, Golang
* Experience with GenAI, Agentic Coding and Prompt Engineering
* Understanding of software development life cycle (SDLC).
* Strong analytical and problem\-solving skills.
* Superb communication and interpersonal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89">
      <c r="A89" t="inlineStr">
        <is>
          <t>li-4302831601</t>
        </is>
      </c>
      <c r="B89" t="inlineStr">
        <is>
          <t>Sr Staff Software Engineer - Backend - Cadence</t>
        </is>
      </c>
      <c r="C89" t="inlineStr">
        <is>
          <t>Uber</t>
        </is>
      </c>
      <c r="D89" t="inlineStr">
        <is>
          <t>linkedin</t>
        </is>
      </c>
      <c r="E89" t="inlineStr"/>
      <c r="F89" t="inlineStr"/>
      <c r="G89" t="inlineStr">
        <is>
          <t>Seattle, WA</t>
        </is>
      </c>
      <c r="H89" t="inlineStr"/>
      <c r="I89" t="inlineStr">
        <is>
          <t>**About The Role**
 Cadence is a modern open source microservice orchestration platform developed at Uber and adopted by many leading companies. It serves as the backbone for more than 1,000 Cadence domains at Uber, powering billions of executions each month. With a rapidly growing open source community, Cadence offers the opportunity to make an impact not just at the company level but across the industry.
 We are seeking a software engineer with experience building highly scalable, high throughput, low latency, multi tenant backend systems. Beyond technical expertise, we are looking for someone passionate about open source, someone who listens to the community, helps organize meetups, and addresses community needs. In this role, you will lead a large backend team, shape standards for both the Cadence team and its community, and contribute to the growth of cutting edge distributed technology.
 To get more information about Cadence you check our website ( https://cadenceworkflow.io/ ), LinkedIn page ( https://www.linkedin.com/company/cadenceworkflow ) or YouTube channel ( https://www.youtube.com/@cadenceworkflow2989/videos ).
* What the Candidate Will Do \-\-\-\-
* Contribute to an open source project used by many major companies
* Write code to build new features to support more use cases
* Develop and review design documents
* Improve onboarding, observability and operability experiences for Cadence
* Define standards for the processes used internally and externally
* Basic Qualifications \-\-\-\-
* Experience in team and technology leadership
* Solid background in multiple programming languages, e.g. Go, Java or C\+\+
* Strong infrastructure experience. Experience in distributed systems and a good understanding of its fundamentals.
* Great interpersonal skills, deep technical ability, and a portfolio of successful execution. You are open\-minded to discuss various technical approaches and able to drive consensus across various stakeholders at Uber.
* Excellent written and verbal communication skills, including the ability to gather requirements and draft detailed design documents.
* BS degree in Computer Science or a related engineering field. Masters/Ph.D. preferred.
* 10\+ years of relevant software engineering experience
* Preferred Qualifications \-\-\-\-
* Experience with leading an open source project
* Experience with Durable Functions, SWF or Temporal
* Excellent coding skills with a high bar for quality and scalability
* Familiarity with technologies like Kafka, OpenSearch, Cassandra, gRPC, protobuf, Prometheus
 For Seattle, WA\-based roles: The base salary range for this role is USD$257,000 per year \- USD$285,500 per year. You will be eligible to participate in Uber's bonus program, and may be offered an equity award \&amp; other types of comp. You will also be eligible for various benefits. More details can be found at the following link https://www.uber.com/careers/benefits.</t>
        </is>
      </c>
    </row>
    <row r="90">
      <c r="A90" t="inlineStr">
        <is>
          <t>li-4330236825</t>
        </is>
      </c>
      <c r="B90" t="inlineStr">
        <is>
          <t>Software Engineer in Test</t>
        </is>
      </c>
      <c r="C90" t="inlineStr">
        <is>
          <t>NLB Services</t>
        </is>
      </c>
      <c r="D90" t="inlineStr">
        <is>
          <t>linkedin</t>
        </is>
      </c>
      <c r="E90" t="inlineStr"/>
      <c r="F90" t="inlineStr"/>
      <c r="G90" t="inlineStr">
        <is>
          <t>Berkeley Heights, NJ</t>
        </is>
      </c>
      <c r="H90" t="inlineStr"/>
      <c r="I90" t="inlineStr">
        <is>
          <t>**Skill :** 
 Java, Selenium, APIs, Postman (or similar), Swagger, CI/CD
**JD :** 
* Hands\-on automated and manual testing of
 **APIs, web applications, and event\-driven systems.**
* Review and analyze system requirements, technical specs, and architecture diagrams.
* Conduct functional, integration, regression, and performance testing for Java\-based applications.
* Ensure compliance with security and regulatory standards in financial systems.
* Document test cases and results; provide clear defect reports; collaborate with developers and DevOps to integrate tests into CI/CD.</t>
        </is>
      </c>
    </row>
    <row r="91">
      <c r="A91" t="inlineStr">
        <is>
          <t>li-4331790202</t>
        </is>
      </c>
      <c r="B91" t="inlineStr">
        <is>
          <t>Sr. Software Engineer, Integrations (Workato)</t>
        </is>
      </c>
      <c r="C91" t="inlineStr">
        <is>
          <t>Zscaler</t>
        </is>
      </c>
      <c r="D91" t="inlineStr">
        <is>
          <t>linkedin</t>
        </is>
      </c>
      <c r="E91" t="inlineStr"/>
      <c r="F91" t="inlineStr"/>
      <c r="G91" t="inlineStr">
        <is>
          <t>San Jose, CA</t>
        </is>
      </c>
      <c r="H91" t="inlineStr"/>
      <c r="I91" t="inlineStr">
        <is>
          <t>**About Zscaler**
 Zscaler accelerates digital transformation so our customers can be more agile, efficient, resilient, and secure. Our cloud native Zero Trust Exchange platform protects thousands of customers from cyberattacks and data loss by securely connecting users, devices, and applications in any location.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value high\-impact, high\-accountability with a sense of urgency where you’re enabled to do your best work and embrace your potential. If you’re driven by purpose, thrive on solving complex challenges and want to make a positive difference on a global scale, we invite you to bring your talents to Zscaler and help shape the future of cybersecurity.
 Our Engineering team built the world’s largest cloud security platform from the ground up, and we keep building. With more than 100 patents and big plans for enhancing services and increasing our global footprint, the team has made us and our multitenant architecture today's cloud security leader, with more than 15 million users in 185 countries. Bring your vision and passion to our team of cloud architects, software engineers, security experts, and more, who are enabling organizations worldwide to harness speed and agility with a cloud\-first strategy.
**Responsibilities**
 We’re looking for an experienced Sr. Software Engineer, Integrations, to join our Integrations and Automation team. This role is hybrid and based in our San Jose, CA office three days a week. Reporting to the Manager, Integrations, you will be responsible for:
* Designing and implementing scalable integration solutions using Workato (priority), APIs, and development expertise with Python while adhering to security and performance standards
* Partnering with stakeholders in HR, Finance, Payroll, and other domains to gather integration requirements and provide innovative, consultative solutions
* Owning integration projects end\-to\-end, collaborating with the Integration Architect and offshore teams, and ensuring the timely delivery of scalable workflows
* Troubleshooting and optimizing integration workflows to enhance system performance, minimize downtime, and improve user experience
* Creating and maintaining documentation for integration processes, ensuring compliance, and supporting knowledge transfer
**What We’re Looking For (Minimum Qualifications)**
* 7\+ years of experience in integration engineering or related domains
* Bachelor’s degree in Computer Science, Engineering, or a related field
* Robust knowledge and operational experience with Workato
* Strong proficiency in Python, API protocol standards like HTTP, REST, SOAP, and working with JSON/XML file structures
* Experience with architectural patterns such as Queues and containerization technologies (e.g., Docker)
**What Will Make You Stand Out (Preferred Qualifications)**
* Familiarity with architectural patterns such as Queues, FIFO, and containerization technologies like Docker/Kubernetes
* Knowledge of Generative AI, Prompt Engineering, and cloud platforms like AWS
* Professional experience with Boomi or other integration platforms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$136,000 \- $170,000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92">
      <c r="A92" t="inlineStr">
        <is>
          <t>li-4331732844</t>
        </is>
      </c>
      <c r="B92" t="inlineStr">
        <is>
          <t>Senior Full Stack Software Engineer – Elixir</t>
        </is>
      </c>
      <c r="C92" t="inlineStr">
        <is>
          <t>Fanatics</t>
        </is>
      </c>
      <c r="D92" t="inlineStr">
        <is>
          <t>linkedin</t>
        </is>
      </c>
      <c r="E92" t="inlineStr"/>
      <c r="F92" t="inlineStr"/>
      <c r="G92" t="inlineStr">
        <is>
          <t>New York, NY</t>
        </is>
      </c>
      <c r="H92" t="inlineStr"/>
      <c r="I92" t="inlineStr">
        <is>
          <t>**Job Description**
**About Fanatics Collectibles**
 Fanatics Collectibles is revolutionizing the collectibles industry. As the exclusive licensee for trading cards with the MLB, NFL, and NBA, we’re redefining the collector’s journey through innovative physical and digital experiences. From Fanatics Collect—a secure vaulting and trading platform—to Fanatics Live’s interactive streaming marketplace, our platforms blend cutting\-edge technology with fan passion.
**About The Role**
 We are seeking a Senior Software Engineer (Full Stack) to join our Fanatics Collectibles tech team. As an engineer, you’ll architect, build, and optimize end\-to\-end features across our collector\-facing platforms. You will be responsible for solving complex problems, owning feature areas, and mentoring peers, while aligning your work to business outcomes and user needs.
 This is a high\-impact, hands\-on engineering role in a fast\-paced, highly collaborative environment.
**Responsibilities**
* Design, build, and optimize scalable full stack solutions using modern web technologies.
* Take ownership of one or more product domains—both backend and frontend—from design through deployment and monitoring.
* Collaborate with Product, Design, and business stakeholders to translate requirements into technical deliverables.
* Mentor junior engineers and contribute to team\-level planning, architecture, and standards.
* Write clean, maintainable, testable code with strong documentation.
* Evaluate and integrate third\-party APIs and vendor services, especially in commerce, payment, or identity domains.
* Proactively identify areas of technical debt or scalability risks and drive improvement plans.
* Partner with QA and DevOps to ensure high performance, secure, and reliable delivery of software.
* Stay current with technology trends and advocate for thoughtful adoption within the team.
**Required Qualifications**
* 5\+ years of professional software engineering experience, with a demonstrated focus on full stack development.
* Proficiency in at least one backend framework (e.g., Python/Django or Node.js) and one frontend framework (e.g., React).
* Strong understanding of REST APIs, database design (SQL/NoSQL), and AWS cloud services.
* Experience with CI/CD pipelines, observability tools, and agile workflows.
* Proven track record of owning and delivering complex projects with cross\-functional impact.
**Preferred Qualifications**
* Experience in e\-commerce, marketplaces, or fintech environments.
* Knowledge of authentication, security best practices, and performance optimization.
* Familiarity with GraphQL, event\-driven architectures, or microservices.
* Prior exposure to the collectibles or sports enthusiast space.
**Code\-Writing Contribution**
 As a Senior Engineer, you will be expected to actively contribute production\-quality code across multiple layers of the stack. Your work should reflect maturity in architectural thinking, a commitment to maintainability and performance, and a growing ability to balance technical execution with business needs.
**Our Culture**
 Fanatics Collectibles thrives at the intersection of passion, grit, creativity, and community. We value engineers who are entrepreneurial, resilient in the face of ambiguity, and committed to creating unforgettable collector experiences.
*In NYC, the salary range for this position is $160,000\-$200,000,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 trading cards and collectibles business, and jumpstarted its MLB and MLBPA rights to design, manufacture and distribute trading cards</t>
        </is>
      </c>
    </row>
    <row r="93">
      <c r="A93" t="inlineStr">
        <is>
          <t>li-4354574943</t>
        </is>
      </c>
      <c r="B93" t="inlineStr">
        <is>
          <t>Sr. Software Engineer (Go &amp; Kubernetes Expertise)</t>
        </is>
      </c>
      <c r="C93" t="inlineStr">
        <is>
          <t>Rancher Government Solutions</t>
        </is>
      </c>
      <c r="D93" t="inlineStr">
        <is>
          <t>linkedin</t>
        </is>
      </c>
      <c r="E93" t="inlineStr"/>
      <c r="F93" t="inlineStr"/>
      <c r="G93" t="inlineStr"/>
      <c r="H93" t="inlineStr"/>
      <c r="I93" t="inlineStr">
        <is>
          <t>**COMPANY DESCRIPTION** 
 Rancher Government Solutions (RGS) is specifically designed to address the unique security and operational needs of the U.S. Government and military as it relates to application modernization, containers, and Kubernetes.
 Rancher is a complete open\-source software stack for teams adopting containers. It addresses the operations and security challenges of managing multiple Kubernetes clusters at scale, while providing DevOps teams with integrated tools for running containerized workloads.
 RGS supports all Rancher products with U.S. based American citizen with the highest security clearances who are currently supporting programs across the Department of Defense, Intelligence Community, and civilian agencies.
**POSITION SUMMARY** 
 We are seeking a motivated Senior Software Engineer with expertise in Kubernetes and Go to join our Federal Product Engineering Team. This team is dedicated to developing and deploying industry\-leading cloud\-native technologies tailored to the unique operational, security, and compliance requirements of the United States federal government. As part of this team, you will help design scalable, secure systems that enable federal agencies to modernize their infrastructure, adopt zero\-trust architectures, and accelerate mission delivery through automation and innovation. You will work at the intersection of software engineering and operations, contributing to solutions that are built for resilience and performance in highly regulated environments.
**KEY RESPONSIBILITIES** 
* Develop robust Golang applications and microservices, applying modern Kubernetes design patterns such as controllers, operators, and custom resource definitions.
* Understand CI/CD flows and pipelines to automate application testing, packaging, and deployment to Kubernetes clusters in secure environments.
* Work as part of an agile, iterative team, participating in daily standups, sprint planning, and retrospectives.
* Build and maintain infrastructure\-as\-code and GitOps solutions using tools such as Helm and Kustomize to manage Kubernetes infrastructure.
* Collaborate with product managers, security teams, and other engineers to deliver software that meets federal compliance standards (e.g., FedRAMP, NIST 800\-53\).
* Troubleshoot complex issues across the stack, including application performance, networking, and container orchestration.
* Lead by example: Provide technical guidance and mentorship to junior engineers.
* Other duties as assigned.
**REQUIRED QUALIFICATIONS** 
* 6\+ years of professional software engineering experience, with at least 4 years working with Go.
* Highly proficient in Golang, with a demonstrated ability to write clean, maintainable, and idiomatic code.
* Deep understanding of Kubernetes deployment and development patterns, including manifests, controllers, Helm charts, and RBAC.
* Deep familiarity with containerization technologies, processes, and patterns.
* Experience working in Linux\-based environments.
* Strong grasp of Git\-based workflows and version control best practices.
* US Citizenship.
**PREFERRED QUALIFICATIONS** 
* Experience implementing secure software development practices in regulated environments.
* Familiarity with cloud platforms (e.g., AWS GovCloud, Azure Government, or other federal clouds).
* Knowledge of networking concepts, including ingress controllers, service meshes (e.g., Istio), and load balancing.
* Experience developing user interfaces with Vue.js, NuxtJS, or other Javascript frameworks.</t>
        </is>
      </c>
    </row>
    <row r="94">
      <c r="A94" t="inlineStr">
        <is>
          <t>li-4339151758</t>
        </is>
      </c>
      <c r="B94" t="inlineStr">
        <is>
          <t>Software Engineer Staff</t>
        </is>
      </c>
      <c r="C94" t="inlineStr">
        <is>
          <t>Lockheed Martin</t>
        </is>
      </c>
      <c r="D94" t="inlineStr">
        <is>
          <t>linkedin</t>
        </is>
      </c>
      <c r="E94" t="inlineStr"/>
      <c r="F94" t="inlineStr"/>
      <c r="G94" t="inlineStr">
        <is>
          <t>Littleton, CO</t>
        </is>
      </c>
      <c r="H94" t="inlineStr"/>
      <c r="I94"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Previous experience writing and designing to software requirements
 \#LMSpaceSoftwareEng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95">
      <c r="A95" t="inlineStr">
        <is>
          <t>li-4312876951</t>
        </is>
      </c>
      <c r="B95" t="inlineStr">
        <is>
          <t>Senior Software Engineer, Engine Systems</t>
        </is>
      </c>
      <c r="C95" t="inlineStr">
        <is>
          <t>Roblox</t>
        </is>
      </c>
      <c r="D95" t="inlineStr">
        <is>
          <t>linkedin</t>
        </is>
      </c>
      <c r="E95" t="inlineStr"/>
      <c r="F95" t="inlineStr"/>
      <c r="G95" t="inlineStr">
        <is>
          <t>San Mateo, CA</t>
        </is>
      </c>
      <c r="H95" t="inlineStr"/>
      <c r="I9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Engine DataModel team, you will own and innovate on the foundational components that form the backbone of the Roblox platform. In the Roblox Engine, the DataModel is a tree\-like structure that is analogous to a scenegraph in other 3D engines. This role will report to the engineering manager and will be based out of our HQ in San Mateo, CA in a hybrid model 3 days a week (Tuesdays to Thursdays).
**Our Team Owns**
* The core structures and systems are used to build the DataModel and interact with it.
* The C\+\+ reflection bindings that form the Engine’s Luau API surface and let creators interact with the DataModel. We’ve built custom codegen tooling to generate the C\+\+ for these reflection bindings and other related structures.
* DataModel serialization … and much more!
**You Will**
* Develop engine code that performs well for all user\-created games on the Roblox platform.
* Build the core systems and data structures used in the Roblox engine, working with other teams to find universal solutions.
* Take ownership of projects throughout their full lifecycles.
* Execute code that performs well on all the devices Roblox supports—from desktop clients to mobile phone clients to console clients.
**You Have**
* Experience developing outstanding systems\-level C\+\+ programming.
* Have experience working on game engine internals
* Responsibility for building and maintaining systems that work optimally.
* Curiosity to learn and stay up\-to\-date on technology developments.
* Have a curiosity about the actual work the CPU does when you use smart pointers, templates, virtual functions, and blocks of memory, both structured and raw.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6">
      <c r="A96" t="inlineStr">
        <is>
          <t>li-4313258017</t>
        </is>
      </c>
      <c r="B96" t="inlineStr">
        <is>
          <t>Principal Software Engineer - AI Adoption</t>
        </is>
      </c>
      <c r="C96" t="inlineStr">
        <is>
          <t>Emerson</t>
        </is>
      </c>
      <c r="D96" t="inlineStr">
        <is>
          <t>linkedin</t>
        </is>
      </c>
      <c r="E96" t="inlineStr"/>
      <c r="F96" t="inlineStr"/>
      <c r="G96" t="inlineStr">
        <is>
          <t>Austin, TX</t>
        </is>
      </c>
      <c r="H96" t="inlineStr"/>
      <c r="I96" t="inlineStr">
        <is>
          <t>**Job Description**
 We are hiring for this position in Austin, Texas. It will be 4 days in office and 1 day remote.
 The Test \&amp; Measurement business unit is seeking a highly experienced and innovative Principal Software Engineer to independently develop our advancements of AI adoption and internal development workflows. In this role, you will pursue continuous improvement opportunities by designing solutions and implementing advanced tooling and automation to empower all Test \&amp; Measurement R\&amp;D engineers worldwide. You will have significant autonomy to shape and execute strategies that enhance development productivity and modernize engineering practices across our organization.
 This is 4 days in the office and 1\-day remote position.
 Key Responsibilities
* Provide technical leadership and strategic direction for software development workflow improvements, tools, and AI integration initiatives across R\&amp;D.
* Lead AI\-assisted development initiatives including code review automation, and AI\-powered development tools integration.
* Architect and implement AI solutions for software development workflows, including internal chat enhancements, MCP server integrations, and template\-based chat deployments.
* Develop AI adoption strategies for software development efficiency
* Collaborate with cross\-functional teams to integrate AI tools into existing Azure DevOps workflows and development ecosystems.
* Lead continuous improvement initiatives using AI for code security, automated testing, and development best practices.
* Mentor and guide engineering teams on AI tools, modern development practices, and workflow optimization.
* Stay current with AI and LLM landscape trends to inform technology strategy and tool selection.
 Position Requirements
* BS degree or higher in Computer Science, Electrical Engineering, or related discipline
* 8\+ years of experience in software development
* US Citizen or Green Card Holder
**Preferred Qualifications**
* Experience with Azure Cloud, Azure DevOps, GitHub, and modern CI/CD practices
* AI development experience
* Understanding of AI and LLM landscape, including tools like GitHub Copilot, ChatGPT, and similar platforms, as well as experience with RAG (Retrieval\-Augmented Generation) systems, knowledge base integration, and proficiency in prompt engineering
* Experience with chatbot development, MCP servers, and AI tool integrations
* Strong proficiency in Python and/or experience in full stack web development
* Passionate about continuous improvement and workflow optimization
 Success Factors
* Strong sense of ownership
* Works well individually. Demonstrates autonomy and independence in decision\-making and problem\-solving
* Demonstrates a nimble mindset, driving rapid progress while ensuring solutions are scalable and sustainable
* Excellence in engineering practices and analytical problem\-solving skills
* Persistently drive tasks and lead projects to successful completion
* Excellent communication, presentation, and interpersonal skills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97">
      <c r="A97" t="inlineStr">
        <is>
          <t>li-4334856591</t>
        </is>
      </c>
      <c r="B97" t="inlineStr">
        <is>
          <t>Embedded Hardware/Software Engineer</t>
        </is>
      </c>
      <c r="C97" t="inlineStr">
        <is>
          <t>NAPCO Security Technologies</t>
        </is>
      </c>
      <c r="D97" t="inlineStr">
        <is>
          <t>linkedin</t>
        </is>
      </c>
      <c r="E97" t="inlineStr"/>
      <c r="F97" t="inlineStr"/>
      <c r="G97" t="inlineStr">
        <is>
          <t>Amityville, NY</t>
        </is>
      </c>
      <c r="H97" t="inlineStr"/>
      <c r="I97" t="inlineStr">
        <is>
          <t>**Position: Embedded Hardware/Software Engineer** 
**Company: NAPCO Security Technologies, Inc.** 
**Location: Amityville, NY** 
**Company: NAPCO Security Technologies, a world\-wide leader in the manufacturing of electronic security systems for over 50 years, headquartered in Amityville, Long Island NY, seeks an Embedded Hardware/Software Engineer to join our Engineering team. This senior Engineering position involves the design of microprocessor\-based hardware platforms for use in the Security/ Access Control industry (Electronic access control panels and electromechanical locks) and associated firmware.** 
**Responsibilities:** 
* **Work with the development and marketing teams to define system level features, performance and specifications and implement appropriate hardware and firmware designs.**
* **Design to comply with FCC and UL standards as they relate to Access Control products.**
* **Perform circuit design, schematic entry, and scheduling of software completion.**
* **Design product interfaces (displays, buttons, keypads, small motor drivers), ensure design for manufacturability and perform vendor evaluation/selection.**
* **Implement designs with intuitive user interfaces.**
**Requirements:** 
* **Ability to work effectively in a team environment.**
* **Solid 7\+ years of experience designing and coding microprocessor based products. Experience coding for peripherals such as FLASH data storage, I2C, SPI, RS232/485, ADC / DAC circuits, keypads, motor drivers.**
* **Thorough knowledge of C language software design is required.**
* **Firmware development experience using C in development environments such as IAR.**
* **Experience with analog/digital design.**
* **Ability to move a product through the entire life cycle, from concept through development, into manufacturing.**
* **Minimum BSEE**
* **Experience with Texas Instruments MSP430 a plus**
* **RF skills developing Tx/Rx protocols a plus.**
* **Security industry experience is a plus.**
**Compensation and Benefits: We offer steady, stable, full\-time work, and an attractive employment package, including: A competitive salary, 401(k), paid vacation, personal time off, paid holidays, long term disability insurance, tuition reimbursement, medical insurance, dental insurance, life insurance, promotional opportunities and career growth.**</t>
        </is>
      </c>
    </row>
    <row r="98">
      <c r="A98" t="inlineStr">
        <is>
          <t>li-4303241429</t>
        </is>
      </c>
      <c r="B98" t="inlineStr">
        <is>
          <t>Senior Software Engineer, Security</t>
        </is>
      </c>
      <c r="C98" t="inlineStr">
        <is>
          <t>Vast</t>
        </is>
      </c>
      <c r="D98" t="inlineStr">
        <is>
          <t>linkedin</t>
        </is>
      </c>
      <c r="E98" t="inlineStr"/>
      <c r="F98" t="inlineStr"/>
      <c r="G98" t="inlineStr">
        <is>
          <t>Long Beach, CA</t>
        </is>
      </c>
      <c r="H98" t="inlineStr"/>
      <c r="I98" t="inlineStr">
        <is>
          <t>At Vast, our mission is to contribute to a future where billions of people are living and thriving in space. We are building artificial gravity space stations, allowing long\-term stays in space without the adverse effects of zero\-gravity. Our initial crewed space habitat will be Haven\-1, scheduled to be the world’s first commercial space station when it launches into low\-Earth orbit in 2026\. It is part of our stepping stone approach to continuous human presence in LEO. Our team is all\-in, committed to executing our mission safely and on time. If you want to work with the most talented people on Earth furthering space exploration for humanity, come join us.
 Vast is looking for a
 **Senior Software Engineer, Security** 
 , reporting to the
 **Senior Manager, Software Engineering** 
 , to support the development of the systems that will be required for the design and build of artificial\-gravity human\-rated space stations.
 This will be a
 **full** 
 \-
 **time** 
 ,
 **exempt** 
 position located in our
 **Long Beach** 
 location.
**Responsibilities**
* Work with team to design, implement, and maintain a wide variety of backends, tools, and pipelines directly in support of Vast’s mission\-critical security services.
* Partner with various engineering teams to assist in the implementation and design of their security\-sensitive features and services.
* Influence and adopt practices and patterns for security and software that will scale to what will eventually become a very large codebase and team.
**Minimum Qualifications**
* Bachelor's degree in computer science, math, or other engineering discipline.
* 6\+ years experience with building security services and configurations (i.e. IAM, short\-lived certificates, API security).
* Deep security knowledge in one or more domains (i.e. cryptography, network security, infrastructure security).
* Development experience in any modern programming language (including but not limited to Python, C\+\+, Rust, Go).
* Experience building, shipping, and supporting security applications in the cloud.
* Proficiency using the command line, writing shell scripts, and an understanding of the GNU/Linux operating system.
**Preferred Skills \&amp; Experience**
* Experience working on ambiguous problems.
* Production DevOps experience (Docker and K8s preferred).
* Experience working with multiple programming languages.
* Experience with API Design.
* Deep security knowledge in one or more domains.
* Confident communicator, both written and verbal.
* Collaborative mindset.
* Problem solver with a bias for action.
**Pay Range**
* Senior Security Software Engineer \- $155,000 \- $196,000
 Pay Range: California
 $155,000—$196,000 USD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flexible paid time off for exempt staff and up to 10 days of vacation for non\-exempt staff, paid parental leave, short and long\-term disability insurance, life insurance, access to a 401(k) retirement plan, One Medical membership, ClassPass credits, personalized mental healthcare through Spring Health, and other discounts and perks. We also take pride in offering exceptional food perks, with snacks, drip coffee, cold drinks, and dinner meals remaining free of charge, and lunch subsidized as part of Vast’s ongoing commitment to providing high\-quality meals for employees.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99">
      <c r="A99" t="inlineStr">
        <is>
          <t>li-4338683514</t>
        </is>
      </c>
      <c r="B99" t="inlineStr">
        <is>
          <t>Senior DGX Cloud Software Engineer - Infrastructure Automation and Distributed Systems</t>
        </is>
      </c>
      <c r="C99" t="inlineStr">
        <is>
          <t>NVIDIA</t>
        </is>
      </c>
      <c r="D99" t="inlineStr">
        <is>
          <t>linkedin</t>
        </is>
      </c>
      <c r="E99" t="inlineStr"/>
      <c r="F99" t="inlineStr"/>
      <c r="G99" t="inlineStr">
        <is>
          <t>Illinois, United States</t>
        </is>
      </c>
      <c r="H99" t="inlineStr"/>
      <c r="I99" t="inlineStr">
        <is>
          <t>We are seeking Software Engineers with previous experience building and running private and public clouds at production scale. As part of the DGX Cloud team, you’ll have the opportunity to support our customers’ journeys in AI training and inference development by building the platforms, tools, and services that defend the operational capacity of our bare\-metal, accelerated compute infrastructure and codify reliability best\-practices in the broader DGX Cloud platform ecosystem.
**What You’ll Be Doing**
* Design, build, and run cloud infrastructure services in scope to meet our business goals performing integrations, migrations, bringups, updates, and decommissions as necessary.
* Participate in the definition of our internal facing service level objectives and error budgets as part of our overall observability strategy.
* Eliminate toil or automate it where the ROI of building and maintaining automation is worth it.
* Practice sustainable blameless incident prevention and incident response while being a member of an on\-call rotation.
* Consult with and provide consultation for peer teams on systems design best practices.
* Participate in a supportive culture of values\-driven introspection, communication, and self\-organization
**What We Need To See**
* Proficiency in one or more of the following programming languages: Python or Go
* BS degree in Computer Science or a related technical field involving coding (e.g., physics or mathematics) or equivalent experience.
* 5\+ years of relevant experience in infrastructure and fleet management engineering.
* Experience with infrastructure automation and distributed systems design developing tools for running large scale private or public cloud systems at scales requiring fully automated management and under active customer consumption in production.
* A track record demonstrating a mix of initiating your own projects, convincing others to collaborate with you, and collaborating well on projects initiated by others.
* In\-depth knowledge in one or more of the following: Linux, Slurm, Kubernetes, Local and Distributed Storage, and Systems Networking.
**Ways To Stand Out From The Crowd**
* Demonstrating a systematic problem\-solving approach, coupled with clear communication skills and a willingness to take ownership and get results such as experience driving a build / reuse / buy decision.
* Experience working with or developing bare metal as a service (BMaaS) associated systems. For example, vending BMaaS, or Slurm running on containers, or vending Kubernetes clusters. Experience working with or developing multi\-cloud infrastructure services. Experience teaching reliability engineering (e.g. SRE) and/or other scale\-oriented cloud systems practices to peers and/or other companies (e.g. CRE). Experience in running private or public cloud systems based on one or more of Kubernetes, OpenStack, Docker or Slurm.
* Experience with accelerated compute and communications technologies such BlueField Networking, Infiniband topologies, NVMesh, and/or the NVIDIA Collective Communication Library (NCCL).
* Experience working with a centralized security organization to prioritize and mitigate security risks. Prior experience in a ML/AI focused role or on a team matching specific keywords is welcome but not required.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outstanding creativity and discovery, and powers what were once science fiction inventions from artificial intelligence to autonomous cars. NVIDIA is looking for great people like you to help us accelerate the next wave of artificial intelligence.
 NVIDIA is widely considered to be one of the technology world’s most desirable employers. We have some of the most hard\-working and dedicated people in the world working for us. If you're creative and autonomous, we want to hear from you!
 Your base salary will be determined based on your location, experience, and the pay of employees in similar positions. The base salary range is 168,000 USD \- 270,250 USD for Level 4, and 208,000 USD \- 333,500 USD for Level 5\.
 You will also be eligible for equity and benefits .
 Applications for this job will be accepted at least until January 5,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JR2001014</t>
        </is>
      </c>
    </row>
    <row r="100">
      <c r="A100" t="inlineStr">
        <is>
          <t>li-4244915043</t>
        </is>
      </c>
      <c r="B100" t="inlineStr">
        <is>
          <t>Staff Software Engineer, Backend (Consumer - Growth)</t>
        </is>
      </c>
      <c r="C100" t="inlineStr">
        <is>
          <t>Coinbase</t>
        </is>
      </c>
      <c r="D100" t="inlineStr">
        <is>
          <t>linkedin</t>
        </is>
      </c>
      <c r="E100" t="inlineStr"/>
      <c r="F100" t="inlineStr"/>
      <c r="G100" t="inlineStr"/>
      <c r="H100" t="inlineStr"/>
      <c r="I100"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is seeking experienced backend engineers to join our team to build out the next generation of crypto\-forward products and features.  You will solve unique, large scale, highly complex technical problems, bridging the constraints posed by web\-scale applications and blockchain technology. You will help build the next generation of systems to make cryptocurrency accessible to everyone across the globe, operating real\-time applications with high frequency, low latency updates, and managing the most secure infrastructure running in the cloud.
 The Growth organization drives Coinbase’s mission of bringing the world onchain. By building and leveraging growth tools across multiple avenues, including referral and incentives programs, creating a world\-class notifications system, building a dynamic, engaging, and accessible logged\-out web experience, and optimizing our new user onboarding flow, we ensure that Coinbase is the easiest, safest, and fastest way to buy, hold, and trade Crypto assets, and ensure our new users are set up for success from their first interaction.
 What you'll be doing:
* Architect and develop distributed systems
* Provide technical structure to teams and work closely with management and stakeholders to define strategic roadmaps
* Manage individual projects priorities, deadlines and deliverables with your technical expertise
* Mentor and train other team members on design techniques and coding standards
* Design and implement foundational infrastructure components used by every engineering team in production (e.g. notifications service, deferred deep\-linking, SEO services, etc…)
* Write high quality, well tested code to meet the needs of your customers
 What we look for in you:
* You have at least 8\+ years of experience in software engineering.
* You’ve experienced architecting and developing solutions to ambiguous problems with significant impact
* You’re passionate about building an open financial system that brings the world together.
 Nice to haves:
* You have experience launching new products from 0 to 1
* Experience with growth experiments or A/B testing frameworks.
* You have experience with Blockchain technology (such as Bitcoin, Ethereum etc..)
* You’ve worked with Golang, Ruby, Docker, Rails, Postgres, MongoDB or DynamoDB.
* You’ve built fintech, highly reliable and/or secure systems.
* Crypto\-forward experience, including familiarity with onchain activity such as interacting with Ethereum addresses, using ENS, and engaging with dApps or blockchain\-based services.
 Job \#: GCBE06US
 \*Answers to crypto\-related questions may be used to evaluate your onchain experience.
 Pay Transparency Notice: Depending on your work location, the target annual salary for this position can range as detailed below. Full time offers from Coinbase also include target bonus \+ target equity \+ benefits (including medical, dental, vision and 401(k)).
 Pay Range: : $218,025 USD \- $256,500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101">
      <c r="A101" t="inlineStr">
        <is>
          <t>li-4332168868</t>
        </is>
      </c>
      <c r="B101" t="inlineStr">
        <is>
          <t>Software Engineer - Language (Technical Leadership)</t>
        </is>
      </c>
      <c r="C101" t="inlineStr">
        <is>
          <t>Meta</t>
        </is>
      </c>
      <c r="D101" t="inlineStr">
        <is>
          <t>linkedin</t>
        </is>
      </c>
      <c r="E101" t="inlineStr"/>
      <c r="F101" t="inlineStr"/>
      <c r="G101" t="inlineStr">
        <is>
          <t>Seattle, WA</t>
        </is>
      </c>
      <c r="H101" t="inlineStr"/>
      <c r="I101" t="inlineStr">
        <is>
          <t>Meta is seeking AI Software Engineers to join our Research \&amp; Development teams. The ideal candidate will have industry experience working on Language related topics. The position will involve taking these skills and applying them to solve for some of the most crucial \&amp; exciting problems that exist on the web. We are hiring in multiple locations.
 Software Engineer \- Language (Technical Leadership) Responsibilities:
* Apply relevant AI and machine learning techniques to build intelligent rich language systems that improve Meta's products and experiences
* Assist in goal setting related to project impact and system architecture
* Develop custom/novel architectures, define use cases, and develop methodology \&amp; benchmarks to evaluate different approaches
* Apply in\-depth knowledge of how the machine learning system interacts with the other systems around it
* Technically lead in a team environment across multiple scientific and engineering disciplines, making the architectural trade\-offs required to rapidly deliver software solutions
* Mentor other AI Engineers \&amp; improve the quality of AI work in the broader team
* Drive the team's goals and technical direction to pursue opportunities that make your larger organization more efficient
* Effectively communicate complex features and systems in detail
* Write clean readable code and debug complex problems that span systems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Minimum Qualifications:
* Bachelor's degree in Computer Science, Computer Engineering, relevant technical field, or equivalent practical experience
* Specialized experience in one or more of the following machine learning/deep learning domains: Language: NLP, ASR, TTS, Conversational AI
* Experience developing language algorithms or language infrastructure in C/C\+\+ or Python
 Preferred Qualifications:
* Experience in deep learning and PyTorch
* Proven track record of planning multi\-year roadmap in which shorter\-term projects ladder to the long term\-vision
* Experience with distributed systems or on\-device algorithm development
* Experience in driving large cross\-functional/industry\-wide engineering efforts
* Significant experience in mentoring/influencing engineers across organizations
* Experience contributing to AI Publications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2">
      <c r="A102" t="inlineStr">
        <is>
          <t>li-4281861783</t>
        </is>
      </c>
      <c r="B102" t="inlineStr">
        <is>
          <t>Senior Software Engineer - US Department of Defense</t>
        </is>
      </c>
      <c r="C102" t="inlineStr">
        <is>
          <t>McKinsey &amp; Company</t>
        </is>
      </c>
      <c r="D102" t="inlineStr">
        <is>
          <t>linkedin</t>
        </is>
      </c>
      <c r="E102" t="inlineStr"/>
      <c r="F102" t="inlineStr"/>
      <c r="G102" t="inlineStr">
        <is>
          <t>Washington, DC</t>
        </is>
      </c>
      <c r="H102" t="inlineStr"/>
      <c r="I10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Our U.S. Social Sector, Healthcare, and Public Sector Entities (SHaPE) practice delivers high\-impact services to clients across three major sectors, including federal, state, and local governments. Within SHaPE, the Defense and Security subsector focuses on the U.S. Department of Defense (DoD), including the Office of the Secretary of Defense, major defense agencies, and military services, as well as members of the National Security Community.
 You will work with our defense and security teams on some of their toughest issues, in a fast\-paced, non\-hierarchical, and caring environment.
 You will be part of our global data engineering community and work in cross\-functional Agile project teams alongside data scientists, machine learning engineers, other data engineers, project managers, and industry experts to innovate alongside clients and CSTs to develop new or existing assets.
 By leveraging engineering frameworks and best practices, you will design and develop core data frameworks to drive meaningful mission outcomes for our clients by enabling software capabilities used by data engineers, data scientists, consulting teams and external clients. You will help to shift our model toward asset\-based consulting and build a foundation for the expansion of our investment into our entrepreneurial culture.
 While we advocate for using the right tech for the right task, we often leverage the following technologies: Python, PySpark, the PyData stack, SQL, Airflow, Databricks, our own open\-source data pipelining framework called Kedro, Dask/RAPIDS, container technologies such as Docker and Kubernetes, cloud solutions such as AWS, GCP, and Azure, and more! Experience with event streaming and real\-time data processing frameworks (ex. Apache Kafka, Kinesis) is desirable for high velocity data integration.
**Your Qualifications and Skills**
* Active TS/SCI clearance(or SCI\-eligibility), ideally with past or current DoD SAP/SAR access.
* Advanced degree in a quantitative field(e.g., computer science, machine learning, applied statistics, or mathematics) or equivalent experience, with 7\-8 years of relevant experience.Familiarity with aerospace and defense programand/or mission data is preferred.
* Proven experience with graph databases and analytics, including Neo4j, Gremlin, or similar tools, and query languages like Cypher or Gremlin. Ability to model complex system relationships, workflows, and time\-dependent processes.
* Strong programming skills in modern languagessuch as Python, Java, Node.js, or Go, with expertise in writing clean, maintainable, and scalable code. Experience with FastAPI, Pandas, and React \+ TypeScript is a plus.
* Experience building and integrating web application back ends and contributing to front\-end development when needed.
* Extensive experience with data engineering and pipelines, including ETL, data quality, and working across structured, semi\-structured, and unstructured data. Familiarity with event streaming, real\-time data processing, and high\-velocity sequential data flows.
* Practical knowledge of software engineering best practices, including DevOps, DataOps, MLOps, containerization (e.g., Docker), and orchestration.
* Experience with distributed computing frameworks and cloud platforms, with a focus on deploying enterprise applications in cloud environments.
* Strong testing skills, including unit testing, integration/API testing, and ensuring robust, scalable solutions.
* Experience with NoSQL databases and working with graph\-related problems, including the use of GenAI/ML techniques like GraphRAG.
* Proven ability to align data engineering approaches with large\-scale interconnected systems, ensuring adaptability and scalability.
* Interest or experience in running simulations in Python and applying advanced analytics to solve complex problems.</t>
        </is>
      </c>
    </row>
    <row r="103">
      <c r="A103" t="inlineStr">
        <is>
          <t>li-4338583899</t>
        </is>
      </c>
      <c r="B103" t="inlineStr">
        <is>
          <t>Senior DGX Cloud Software Engineer - Infrastructure Automation and Distributed Systems</t>
        </is>
      </c>
      <c r="C103" t="inlineStr">
        <is>
          <t>NVIDIA</t>
        </is>
      </c>
      <c r="D103" t="inlineStr">
        <is>
          <t>linkedin</t>
        </is>
      </c>
      <c r="E103" t="inlineStr"/>
      <c r="F103" t="inlineStr"/>
      <c r="G103" t="inlineStr">
        <is>
          <t>Arizona, United States</t>
        </is>
      </c>
      <c r="H103" t="inlineStr"/>
      <c r="I103" t="inlineStr">
        <is>
          <t>We are seeking Software Engineers with previous experience building and running private and public clouds at production scale. As part of the DGX Cloud team, you’ll have the opportunity to support our customers’ journeys in AI training and inference development by building the platforms, tools, and services that defend the operational capacity of our bare\-metal, accelerated compute infrastructure and codify reliability best\-practices in the broader DGX Cloud platform ecosystem.
**What You’ll Be Doing**
* Design, build, and run cloud infrastructure services in scope to meet our business goals performing integrations, migrations, bringups, updates, and decommissions as necessary.
* Participate in the definition of our internal facing service level objectives and error budgets as part of our overall observability strategy.
* Eliminate toil or automate it where the ROI of building and maintaining automation is worth it.
* Practice sustainable blameless incident prevention and incident response while being a member of an on\-call rotation.
* Consult with and provide consultation for peer teams on systems design best practices.
* Participate in a supportive culture of values\-driven introspection, communication, and self\-organization
**What We Need To See**
* Proficiency in one or more of the following programming languages: Python or Go
* BS degree in Computer Science or a related technical field involving coding (e.g., physics or mathematics) or equivalent experience.
* 5\+ years of relevant experience in infrastructure and fleet management engineering.
* Experience with infrastructure automation and distributed systems design developing tools for running large scale private or public cloud systems at scales requiring fully automated management and under active customer consumption in production.
* A track record demonstrating a mix of initiating your own projects, convincing others to collaborate with you, and collaborating well on projects initiated by others.
* In\-depth knowledge in one or more of the following: Linux, Slurm, Kubernetes, Local and Distributed Storage, and Systems Networking.
**Ways To Stand Out From The Crowd**
* Demonstrating a systematic problem\-solving approach, coupled with clear communication skills and a willingness to take ownership and get results such as experience driving a build / reuse / buy decision.
* Experience working with or developing bare metal as a service (BMaaS) associated systems. For example, vending BMaaS, or Slurm running on containers, or vending Kubernetes clusters. Experience working with or developing multi\-cloud infrastructure services. Experience teaching reliability engineering (e.g. SRE) and/or other scale\-oriented cloud systems practices to peers and/or other companies (e.g. CRE). Experience in running private or public cloud systems based on one or more of Kubernetes, OpenStack, Docker or Slurm.
* Experience with accelerated compute and communications technologies such BlueField Networking, Infiniband topologies, NVMesh, and/or the NVIDIA Collective Communication Library (NCCL).
* Experience working with a centralized security organization to prioritize and mitigate security risks. Prior experience in a ML/AI focused role or on a team matching specific keywords is welcome but not required.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outstanding creativity and discovery, and powers what were once science fiction inventions from artificial intelligence to autonomous cars. NVIDIA is looking for great people like you to help us accelerate the next wave of artificial intelligence.
 NVIDIA is widely considered to be one of the technology world’s most desirable employers. We have some of the most hard\-working and dedicated people in the world working for us. If you're creative and autonomous, we want to hear from you!
 Your base salary will be determined based on your location, experience, and the pay of employees in similar positions. The base salary range is 168,000 USD \- 270,250 USD for Level 4, and 208,000 USD \- 333,500 USD for Level 5\.
 You will also be eligible for equity and benefits .
 Applications for this job will be accepted at least until January 5,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JR2001014</t>
        </is>
      </c>
    </row>
    <row r="104">
      <c r="A104" t="inlineStr">
        <is>
          <t>li-4281959346</t>
        </is>
      </c>
      <c r="B104" t="inlineStr">
        <is>
          <t>Senior Frontend Engineer - Intercom</t>
        </is>
      </c>
      <c r="C104" t="inlineStr">
        <is>
          <t>Verkada</t>
        </is>
      </c>
      <c r="D104" t="inlineStr">
        <is>
          <t>linkedin</t>
        </is>
      </c>
      <c r="E104" t="inlineStr"/>
      <c r="F104" t="inlineStr"/>
      <c r="G104" t="inlineStr">
        <is>
          <t>San Mateo, CA</t>
        </is>
      </c>
      <c r="H104" t="inlineStr"/>
      <c r="I104"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 are a small, dynamic team focused on building cloud\-managed intercom systems. Intercom is our second newest major product line and is off to the best start of any product in Verkada’s history. Our intercom allows customers to receive calls from anywhere \- at their desk or on their phone \- with rich video and 2\-way audio, and we have a lot more to build. We consider our team a startup within a startup, with a fair amount of ownership and autonomy. You’ll be working alongside a dynamic team of firmware, backend, and mobile engineers to develop this product line.
**Who You Are**
* Excited by new products and startups
* You think about delivering best\-in\-class products and experiences \- not features
* You can take a less\-than\-fully\-fleshed\-out product idea and drive it to completion
* BS or a graduate degree in Computer Science, Maths, Engineering, or science
**What You Bring**
* 7\+ years of industry software engineering experience
* 5\+ years of experience developing on React, expert in component lifecycle, state management, and hooks
* Mastery of JavaScript: Scoping, closures, contexts, prototypes, classes, etc
* Strong architectural understanding of custom components, custom UI, design systems, and cross\-browser support
* Experience collaborating cross functionally to design complex customer\-facing UI with simple and robust backend APIs
* Understanding of HTTP, Dev Tools, and practical debugging techniques
* Strong CSS skills, proficiency with modern layout techniques (e.g. Flexbox, Grid)
* Adept at efficiently developing and maintaining unit, integration, and end\-to\-end tests
* Eye for design, product details, and polish
* Experience with TypeScript, modern state management tools (Redux, Recoil, React Context), CSS\-in\-JS libraries (e.g., styled\-components), modern data fetching strategies (React Query) (preferred)
* Experience with code\-splitting, lazy loading, and performance optimization (preferred)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$150,000—$300,000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05">
      <c r="A105" t="inlineStr">
        <is>
          <t>li-4333289503</t>
        </is>
      </c>
      <c r="B105" t="inlineStr">
        <is>
          <t>Staff Backend Engineer - Pharmacy</t>
        </is>
      </c>
      <c r="C105" t="inlineStr">
        <is>
          <t>Mochi Health</t>
        </is>
      </c>
      <c r="D105" t="inlineStr">
        <is>
          <t>linkedin</t>
        </is>
      </c>
      <c r="E105" t="inlineStr"/>
      <c r="F105" t="inlineStr"/>
      <c r="G105" t="inlineStr">
        <is>
          <t>San Francisco, CA</t>
        </is>
      </c>
      <c r="H105" t="inlineStr"/>
      <c r="I105"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**$250,000 \- $300,000**
*Full\-time / Onsite (5 days/week)*
**About The Role**
 We’re looking for a Staff Backend Engineer to help build the next generation of Mochi’s pharmacy software platform. This is a rare opportunity to work at the intersection of telehealth and pharmacy operations, where the backend systems you design will not just support pharmacies, they will set the standard for how they operate.
 As a senior member of the engineering team, you will own the design and development of scalable, reliable backend systems that power critical pharmacy workflows. You will architect distributed systems, manage high\-volume integrations, and ensure our infrastructure supports real\-time interactions between patients, providers, and pharmacies.
 This role goes beyond writing code. You will be driving backend architecture, influencing technical direction, and collaborating across teams to ensure our platform remains performant and secure as we scale. Your work will directly impact how pharmacies deliver care and how patients experience healthcare.
**What You’ll Do**
* Lead the development and optimization of backend services, APIs, and data pipelines that power pharmacy operations at scale.
* Architect and manage systems supporting high webhook traffic, third\-party integrations, real\-time scheduling, provider and patient management, and compliance workflows.
* Drive best practices in performance, security, observability, and scalability as we rapidly expand pharmacy operations.
* Collaborate closely with Product, Frontend, and Pharmacy Operations teams to build seamless workflows that meet complex healthcare needs.
* Own key architectural decisions, mentor engineers, and set backend engineering standards across the company.
* Ensure system reliability and resilience in distributed environments, with a focus on patient safety and operational efficiency.
* Influence engineering culture, fostering technical ownership and innovation within the team.
**Who You Are**
* 7\+ years of backend development experience, with deep expertise in Node.js (TypeScript/JavaScript) and modern backend frameworks.
* Proven experience architecting and deploying distributed systems in production at scale.
* Strong knowledge of cloud infrastructure (AWS preferred), container orchestration (Kubernetes), and CI/CD pipelines.
* Skilled in building products end to end, from design to deployment, and improving maintainability and performance in large codebases.
* Strong collaborator with excellent written and verbal communication skills, able to work cross\-functionally with both technical and non\-technical teams.
* Thrive in a startup environment, adaptable, resourceful, and driven to solve complex problems with real\-world impact.
* Excited to work in\-person with our team in San Francisco.
 Nice to Haves
* Experience with healthcare software, pharmacy systems, or regulated environments.
* Familiarity with real\-time messaging, inventory and fulfillment systems, or enterprise SaaS platforms.
**Our Core Technologies Include:** 
 Typescript, Javascript, Node.js, Next.js, React, React Native, SQL, Redis, Redux, New Relic, Kubernetes, CSS, AWS, Cypress, Docker, Express
**Life at Mochi**
 At Mochi, we believe your best work happens when you feel your best—so we’ve designed an environment that fuels your creativity, supports your growth, and makes every day exciting.
 🥗
 **Daily Meals and Espresso Bar \-** 
 Breakfast, lunch, and dinner every weekday. Our on\-site barista keeps the espresso and matcha flowing all day
 💰
 **Pre\-Tax Commuter Perks \-** 
 Save on transit and parking through pre\-tax commuter benefits
 💸
 **Top\-of\-Market Compensation \-** 
 We offer competitive salaries along with generous equity packages so you can share in the success you help create
 💣
 **Profitable and Rapid Growth \-** 
 We’re scaling fast, with financial discipline and long\-term vision. No VC constraints, just sustainable momentum and smart decisions
 🚀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
 **Mochi Health Membership** 
 – We cover your monthly subscription fee so you can experience the same care as our patients (medications not included)
**🌴 Time to Recharge** 
 – Enjoy unlimited PTO, generous company holidays, and true flexibility. We trust you to take the time you need to rest, reset, and thrive
**🧘 Wellness First** 
 – From weekly mindfulness sessions to group workouts and fitness perks, your physical and mental health are top priority
 🎉
 **Team Socials and Community \-** 
 We make time to connect through regular socials, happy hours, and spontaneous events. Our stocked kitchen doesn’t hurt either
 📍
 **Downtown SF HQ \-** 
 Our San Francisco office is just steps from BART, Muni, and great food. It’s designed for deep work and casual collaboration
 \-\-
 The base salary for this full\-time position ranges from $250,000 to $300,000,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**Candidate Privacy Notice**
 Please review Mochi Health's Candidate Privacy Notice here.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 
 .</t>
        </is>
      </c>
    </row>
    <row r="106">
      <c r="A106" t="inlineStr">
        <is>
          <t>li-4302865059</t>
        </is>
      </c>
      <c r="B106" t="inlineStr">
        <is>
          <t>Senior/Lead Software Engineer (Remote)</t>
        </is>
      </c>
      <c r="C106" t="inlineStr">
        <is>
          <t>CyberCoders</t>
        </is>
      </c>
      <c r="D106" t="inlineStr">
        <is>
          <t>linkedin</t>
        </is>
      </c>
      <c r="E106" t="inlineStr"/>
      <c r="F106" t="inlineStr"/>
      <c r="G106" t="inlineStr">
        <is>
          <t>Philadelphia, PA</t>
        </is>
      </c>
      <c r="H106" t="inlineStr"/>
      <c r="I106" t="inlineStr">
        <is>
          <t>**Senior/Lead Software Engineer (C\#/.Net/React \- Remote)**
**Company Overview**
 We are located in the Philadelphia, PA area with a fully remote team located across the US. We have a revolutionary Education Technology platform helping serve K\-12 education through industry leading software. We are very passionate about improving and streamlining the scheduling/logistical needs of schools and we are already being used in over 600 school districts and 30\+ states.
**Position Overview**
 We are seeking a highly skilled Lead Software Engineer to join our dynamic team. The successful candidate will be responsible for leading software development projects, mentoring junior developers, and ensuring the delivery of high\-quality applications using C\#, .NET, and React technologies. This role offers the flexibility of remote work while contributing to innovative software solutions that drive our business forward.
**Key Responsibilities**
* Lead the design, development, and implementation of software solutions using C\#, .NET, and React.
* Mentor and guide junior developers to enhance their skills and productivity.
* Collaborate with cross\-functional teams to identify and prioritize software features and enhancements.
* Ensure code quality and maintainability through code reviews and testing.
* Utilize Azure for cloud\-based application deployment and management.
* Design and implement GraphQL APIs for seamless data interaction.
* Manage database operations using SQL to ensure efficient data storage and retrieval.
**Qualifications**
* Bachelor's degree in Computer Science or related field.
* Proven experience as a Lead Software Engineer or similar role.
* Strong proficiency in C\#, .NET, and React.JS.
* Experience with Azure and cloud\-based solutions.
* Knowledge of GraphQL and SQL databases.
* Familiarity with .NET Core, REST APIs, TypeScript, and Web API is a plus.
* Excellent communication and leadership skills.
**Benefits**
* Medical
* Dental
* Vision
* 401k w/ match
* Paid for sabbatical
* Remote
* Unlimited PTO
**Email Your Resume In Word To**
 Looking forward to receiving your resume through our website and going over the position with you. Clicking apply is the best way to apply, but you may also:
 matt.bailey@cybercoders.com
* Please do NOT change the email subject line in any way. You must keep the JobID: linkedin : MB6\-1877784 \-\- in the email subject line for your application to be considered.\*\*\*
 Matt Bailey \- Manager of Client Development
 For this position, you must be currently authorized to work in the United States without the need for sponsorship for a non\-immigrant visa.
 This job was first posted by CyberCoders on 09/18/2025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107">
      <c r="A107" t="inlineStr">
        <is>
          <t>li-4310710951</t>
        </is>
      </c>
      <c r="B107" t="inlineStr">
        <is>
          <t>Principal Software Engineer</t>
        </is>
      </c>
      <c r="C107" t="inlineStr">
        <is>
          <t>Snyk</t>
        </is>
      </c>
      <c r="D107" t="inlineStr">
        <is>
          <t>linkedin</t>
        </is>
      </c>
      <c r="E107" t="inlineStr"/>
      <c r="F107" t="inlineStr"/>
      <c r="G107" t="inlineStr">
        <is>
          <t>Boston, MA</t>
        </is>
      </c>
      <c r="H107" t="inlineStr"/>
      <c r="I107" t="inlineStr">
        <is>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As a
 **Principal Software Engineer** 
 at Snyk, you'll be a key leader in our Engineering Team, shaping the future of our products and improving how organizations build and secure software at scale. You'll own the
 **strategic technical direction** 
 of the company and play a crucial role in our mission to embed security into every part of the
 **AI\-native development lifecycle** 
 . This is a high\-impact, high\-autonomy role where you'll influence our product roadmap, lead by example, and help mentor the next generation of technical leaders. You'll have the opportunity to directly impact our ability to innovate and solve some of the most complex challenges in software security.
**What You’ll Do**
* Lead the design and execution of major technical initiatives, driving them from concept to production.
* Mentor and coach engineers, fostering a culture of innovation, continuous improvement, and sustainable practices.
* Dialogue with stakeholders across the company, from sales to customer\-facing technical staff, to align product development with customer needs.
* Actively engage in coding to shape the product and demonstrate best practices to the team.
* Drive solutions for Snyk\-wide challenges with a long\-term, decade\-long perspective.
* Influence our technical architecture and product strategy to ensure our systems are scalable, predictable, and maintainable.
**What You Bring**
* You have 12\+ years of experience in a similar role, delivering complex software at scale.
* You are a thought leader with a proven background in tackling complex technological problems and driving excellence.
* You have expert knowledge in a statically typed programming language like Go or TypeScript.
* You have a history of providing technical leadership for large teams, building products from scratch and evolving them to an enterprise level.
* You have experience creating organizational buy\-in and championing behavioral changes across an engineering organization.
**It’d Be Awesome If You Also…**
* Have a strategic mindset capable of anticipating future needs and visualizing the long\-term evolution of a complex engineering platform.
* Have experience with AI/LLMs or modern security tools.
* Enjoy growing other engineers into technical leaders.
* Contribute to open\-source or developer communities.</t>
        </is>
      </c>
    </row>
    <row r="108">
      <c r="A108" t="inlineStr">
        <is>
          <t>li-4333389032</t>
        </is>
      </c>
      <c r="B108" t="inlineStr">
        <is>
          <t>Staff Frontend Engineer - Pharmacy</t>
        </is>
      </c>
      <c r="C108" t="inlineStr">
        <is>
          <t>Mochi Health</t>
        </is>
      </c>
      <c r="D108" t="inlineStr">
        <is>
          <t>linkedin</t>
        </is>
      </c>
      <c r="E108" t="inlineStr"/>
      <c r="F108" t="inlineStr"/>
      <c r="G108" t="inlineStr">
        <is>
          <t>San Francisco, CA</t>
        </is>
      </c>
      <c r="H108" t="inlineStr"/>
      <c r="I108"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**$250,000 \- $300,000**
*Full\-time / Onsite (5 days/week)*
**About The Role**
 We’re looking for a
 **Staff** 
**Frontend Engineer** 
 to help build the next generation of Mochi’s pharmacy software platform. This is a rare opportunity to work at the intersection of telehealth and pharmacy operations, where the software you develop won’t just support pharmacies—it will set the standard for how they operate.
 As a senior member of the engineering team, you will take ownership of designing and implementing modern, scalable frontend systems that directly impact core pharmacy workflows. You’ll be building high\-performance, intuitive user interfaces that improve operational efficiency and ensure reliability at scale.
 In addition to driving frontend architecture, this platform will serve as a critical foundation for Mochi to analyze and continuously improve pharmacy performance. You will own large, mission\-critical portions of the product, collaborating across teams and leveraging AI\-powered development tools to move fast and deliver at scale.
 What You’ll Do
* Lead the development, optimization and expansion of our web and/or mobile applications. (React, React Native, TypeScript, Swift, Kotlin)
* Drive best practices in performance, security, and scalability as we scale rapidly over the next 6/12 months.
* Collaborate closely with Product, Design and Backend teams to deliver seamless, intuitive user experiences.
* Own key architectural decisions, mentoring engineers, and elevating front\-end excellence across the company.
* Work hands\-on with modern front\-end tooling, component\-driven architecture, and state management solutions.
* Optimize real\-time interactions between patients, providers and pharmacies with a focus on accessibility and usability.
* Influence engineering culture, fostering innovation and technical ownership within the team.
 Who You Are
 7\+ years of front\-end development experience, with deep expertise in React and React Native, as well as some exposure to Kotlin/Swift. (e.g. Apple Health Kit React Native Integrations)
 - Experience leading technical initiatives and shipping scalable, high\-performance web and mobile applications.
- Strong knowledge of modern front\-end tooling. (TypeScript, CI/CD pipelines)
- Expertise in state management strategies and optimizing complex UX interactions in data heavy applications.
- A passion for creating fast, accessible, and beautiful user experience.
- Startup mindset: you thrive in fast\-moving environments, take ownership, and love solving problems at scale.
- Bonus: Experience with building manufacturing or inventory management software, healthcare\-related applications, and SAAS products.
**Our Core Technologies Include:** 
 Typescript, Javascript, Node.js, Next.js, React, React Native, SQL, Redis, Redux, New Relic, Kubernetes, CSS, AWS, Cypress, Docker, Express
**Life at Mochi**
 At Mochi, we believe your best work happens when you feel your best—so we’ve designed an environment that fuels your creativity, supports your growth, and makes every day exciting.
 🥗
 **Daily Meals and Espresso Bar \-** 
 Breakfast, lunch, and dinner every weekday. Our on\-site barista keeps the espresso and matcha flowing all day
 💰
 **Pre\-Tax Commuter Perks \-** 
 Save on transit and parking through pre\-tax commuter benefits
 💸
 **Top\-of\-Market Compensation \-** 
 We offer competitive salaries along with generous equity packages so you can share in the success you help create
 💣
 **Profitable and Rapid Growth \-** 
 We’re scaling fast, with financial discipline and long\-term vision. No VC constraints, just sustainable momentum and smart decisions
 🚀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
 **Mochi Health Membership** 
 – We cover your monthly subscription fee so you can experience the same care as our patients (medications not included)
**🌴 Time to Recharge** 
 – Enjoy unlimited PTO, generous company holidays, and true flexibility. We trust you to take the time you need to rest, reset, and thrive
**🧘 Wellness First** 
 – From weekly mindfulness sessions to group workouts and fitness perks, your physical and mental health are top priority
 🎉
 **Team Socials and Community \-** 
 We make time to connect through regular socials, happy hours, and spontaneous events. Our stocked kitchen doesn’t hurt either
 📍
 **Downtown SF HQ \-** 
 Our San Francisco office is just steps from BART, Muni, and great food. It’s designed for deep work and casual collaboration
 \-\-
 The base salary for this full\-time position ranges from $250,000 to $300,000,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**Candidate Privacy Notice**
 Please review Mochi Health's Candidate Privacy Notice here.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 
 .</t>
        </is>
      </c>
    </row>
    <row r="109">
      <c r="A109" t="inlineStr">
        <is>
          <t>li-4333409663</t>
        </is>
      </c>
      <c r="B109" t="inlineStr">
        <is>
          <t>Principal Embedded Software Engineer (ONSITE)</t>
        </is>
      </c>
      <c r="C109" t="inlineStr">
        <is>
          <t>Collins Aerospace</t>
        </is>
      </c>
      <c r="D109" t="inlineStr">
        <is>
          <t>linkedin</t>
        </is>
      </c>
      <c r="E109" t="inlineStr"/>
      <c r="F109" t="inlineStr"/>
      <c r="G109" t="inlineStr">
        <is>
          <t>Richardson, TX</t>
        </is>
      </c>
      <c r="H109" t="inlineStr"/>
      <c r="I109" t="inlineStr">
        <is>
          <t>**Date Posted:**
 2025\-10\-31
**Country:**
 United States of America
**Location:**
 HTX36: Richardson, TX 3200 E Renner Rd , Richardson, TX, 75082\-2402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DoD Clearance: Secret
**Are you looking to make a meaningful, positive impact while advancing your career?**
 Embark on a journey where your expertise in software engineering will help shape the future of aerospace technology. At Collins Aerospace, we're not just designing software; we're crafting the backbone of mission\-critical systems within a Special Access Program (SAP) and safeguarding the lives of those who protect us. As our next Principal Embedded Software Engineer, you'll immerse yourself in Strategic Nuclear Deterrence, bringing your acumen to the forefront of innovation and ensuring the efficacy and security of systems that are vital to national defense.
 You do not need to have previous comms or nuclear experience; we will provide the training and tools to help grow the skills you will need to become a subject matter expert.
 You will learn from the best and brightest in the comms and nuclear deterrence domain working at Collins Aerospace.
 This is an onsite position based in Richardson, Texas.
**What You Will Do:** 
* You will provide direct support to stakeholders to answer questions and solve technical issues.
* You will develop design and implement software that satisfies customer and certification needs.
* You will be produce high\-quality software builds in an integrated test environment.
* You will derive software requirements, create UML design diagrams, and code solutions from UML design diagrams.
* You will communicate and collaborate with other Senior and Principal level Software Engineers, mentoring junior engineers/interns.
* You will assist in the software requirements verification and test phases.
**What You Will Learn:**
* You will have opportunity to learn and grow knowledge within the Strategic Nuclear Deterrence domain.
* You will gain valuable experience \&amp; an opportunity to lead, including roles such as Scrum Master, Product Owner, Cost Account Manager, and Software Lead.
* You will become a subject matter expert and leader in communication technologies with exposure to the variety of business and products in an ever\-evolving field. We are growing, so can you.
**Qualifications You Must Have** 
 :
* Typically requires a degree in Science, Technology, Engineering or Mathematics (STEM) and minimum 8 years prior relevant experience or an Advanced Degree in a related field and minimum 5 years of experience.
* Active and transferable SECRET U.S. government issued secret security clearance is required prior to start date.
* Minimum 5 years of professional experience in embedded software development with real\-time operating systems (RTOS).
* Experience in Agile development methods, including Scrum, automated testing, and continuous integration.
* Familiarity with Model\-Based Systems Engineering (MBSE).
**Qualifications We Prefer:**
* Experience supporting aerospace, defense, or nuclear command\-and\-control systems governed by standards such as DO\-178C, MIL\-STD\-498, or equivalent.
* Experience in Agile development methods, including Scrum, automated testing, and continuous integration preferred.
* Exposure to Earned Value Management (EVM) principles.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**Onsite:** 
 Employees who are working in Onsite roles will work primarily onsite. This includes all production and maintenance employees, as they are essential to the development of our products.
 At Collins, the paths we pave together lead to limitless possibilities.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0">
      <c r="A110" t="inlineStr">
        <is>
          <t>li-4312866339</t>
        </is>
      </c>
      <c r="B110" t="inlineStr">
        <is>
          <t>Senior Software Engineer, Backend (Consumer Servicing)</t>
        </is>
      </c>
      <c r="C110" t="inlineStr">
        <is>
          <t>Affirm</t>
        </is>
      </c>
      <c r="D110" t="inlineStr">
        <is>
          <t>linkedin</t>
        </is>
      </c>
      <c r="E110" t="inlineStr"/>
      <c r="F110" t="inlineStr"/>
      <c r="G110" t="inlineStr">
        <is>
          <t>Atlanta, GA</t>
        </is>
      </c>
      <c r="H110" t="inlineStr"/>
      <c r="I110" t="inlineStr">
        <is>
          <t>Affirm is reinventing credit to make it more honest and friendly, giving consumers the flexibility to buy now and pay later without any hidden fees or compounding interest.
 We're looking for a Senior Software Engineer to join the AI Agents engineering team within the Servicing Engineering organization. Our team works closely with an omnichannel AI agent vendor to provide a conversational first point of contact for our customers. We focus on orchestrating the systems within Affirm to continuously find solutions for our customers.
 **The team is newly formed and taking on big unknowns, so we're looking for someone who wants to take ownership and execute for whatever is necessary.**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a total of 4\+ years of experience as a software engineer.
* You are experienced in designing, developing and launching backend systems at scale technologies like Python, Kotlin, AWS, MySQL, and Kubernetes.
* You have experience shipping web apps using declarative UI frameworks like React or Vue.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1">
      <c r="A111" t="inlineStr">
        <is>
          <t>li-4333345565</t>
        </is>
      </c>
      <c r="B111" t="inlineStr">
        <is>
          <t>Staff Backend Engineer - Grafana k6 | USA | Remote</t>
        </is>
      </c>
      <c r="C111" t="inlineStr">
        <is>
          <t>Grafana Labs</t>
        </is>
      </c>
      <c r="D111" t="inlineStr">
        <is>
          <t>linkedin</t>
        </is>
      </c>
      <c r="E111" t="inlineStr"/>
      <c r="F111" t="inlineStr"/>
      <c r="G111" t="inlineStr"/>
      <c r="H111" t="inlineStr"/>
      <c r="I111"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USA in EST time zone.**
**Staff Backend Engineer \- Grafana k6**
**The Opportunity**
 We are the team behind Grafana k6, Grafana Cloud k6, and Grafana Cloud Synthetics, used by teams globally to ensure resilient, high\-performing systems. This opportunity is with the synthetics squad, who build and operate our monitoring product: a multi\-tenant distributed system implemented in Go and running on Kubernetes across all major Cloud service providers (GCP, Azure, AWS), running billions of synthetic tests each month.
 Staff Software Engineers at Grafana have a large amount of experience across multiple areas. They are able to estimate, plan, coordinate and deliver large tasks spanning multiple systems. They actively coach and mentor other team members in their team and are able to identify and resolve issues with technology and product processes.
**What You’ll Be Doing**
 We define senior roles via the scope of their business impact more than via their expertise or their specific activities. The most important thing we are looking for in an engineer is the ability to take ownership. You will need to drive technical implementations working across engineering teams and departments, contribute to business conversations, and help shape the long\-term strategy. You’ll bring your passion for observability and software engineering expertise to help us take synthetic monitoring capabilities within Grafana Cloud to the next level. This will include working across products including Synthetics, Frontend Observability, Grafana k6, and Grafana Cloud k6\.
* Design and implement high\-quality, scalable services to be consumed by multiple Grafana Cloud products.
* Work with product teams, in addition to design and docs, to develop features that align with wider product strategy and customer needs
* Support the technical direction and vision of the team, contributing to strategic discussions and future development of observability solutions
* When necessary, represent Grafana Labs in open source forums, working groups, and events
* Work with other departments including Sales, Product, and Support teams to deliver a holistic product experience
* Be a part of your team’s follow\-the\-sun on\-call rotations and take ownership of the services you’re running
* Embrace our open\-source culture and contribute to other projects that may not directly fall within your team’s scope
 As we are remote\-first and our engineering organization is entirely remote, we provide guidance and meet regularly using video calls, so an independent attitude, good communication skills, and transparency are a must.
**What Makes You a Great Fit**
* Strong 8\+ years of experience with at least one programming language. We use Go, but do not require candidates with Go experience. Long term experience in any major language (Python, .NET, Java, Rust, etc) with a willingness to learn Go is acceptable.
* Demonstrated experience working with and monitoring Kubernetes in a production environment
* Experience with cloud\-based software development and production systems
* Experience writing clean, maintainable, robust, and performant software
* Familiarity with observability tooling (e.g. Grafana, Prometheus, Loki, OpenTelemetry)
* Experience with delivering projects from start to finish in a self\-driven manner
* Experience in a hands\-on technical leadership role, setting technical direction and leading project teams
* Experience with distributed systems
* Excellent problem\-solving and debugging skills
* Strong mentoring and leadership skills
* Experience participating in an on\-call rotation and incident management
**Bonus Points For**
* Experience designing and building observability backends for various systems and applications
* Experience contributing to or maintaining open source projects, with evidence of successful pull requests and community collaboration
* In\-depth knowledge cloud platform internals
* Strong understanding of metrics collection, visualization, and alerting concepts
**Compensation \&amp; Rewards**
 In the United States, the base compensation range for this role is USD 168,256 \- USD 201,907\.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row>
    <row r="112">
      <c r="A112" t="inlineStr">
        <is>
          <t>li-4312863442</t>
        </is>
      </c>
      <c r="B112" t="inlineStr">
        <is>
          <t>Senior Software Engineer, Backend (Consumer Servicing)</t>
        </is>
      </c>
      <c r="C112" t="inlineStr">
        <is>
          <t>Affirm</t>
        </is>
      </c>
      <c r="D112" t="inlineStr">
        <is>
          <t>linkedin</t>
        </is>
      </c>
      <c r="E112" t="inlineStr"/>
      <c r="F112" t="inlineStr"/>
      <c r="G112" t="inlineStr">
        <is>
          <t>Portland, OR</t>
        </is>
      </c>
      <c r="H112" t="inlineStr"/>
      <c r="I112" t="inlineStr">
        <is>
          <t>Affirm is reinventing credit to make it more honest and friendly, giving consumers the flexibility to buy now and pay later without any hidden fees or compounding interest.
 We're looking for a Senior Software Engineer to join the AI Agents engineering team within the Servicing Engineering organization. Our team works closely with an omnichannel AI agent vendor to provide a conversational first point of contact for our customers. We focus on orchestrating the systems within Affirm to continuously find solutions for our customers.
 **The team is newly formed and taking on big unknowns, so we're looking for someone who wants to take ownership and execute for whatever is necessary.**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a total of 4\+ years of experience as a software engineer.
* You are experienced in designing, developing and launching backend systems at scale technologies like Python, Kotlin, AWS, MySQL, and Kubernetes.
* You have experience shipping web apps using declarative UI frameworks like React or Vue.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3">
      <c r="A113" t="inlineStr">
        <is>
          <t>li-4331757360</t>
        </is>
      </c>
      <c r="B113" t="inlineStr">
        <is>
          <t>Software Engineer (C++), Exposure Management (Remote)</t>
        </is>
      </c>
      <c r="C113" t="inlineStr">
        <is>
          <t>CrowdStrike</t>
        </is>
      </c>
      <c r="D113" t="inlineStr">
        <is>
          <t>linkedin</t>
        </is>
      </c>
      <c r="E113" t="inlineStr"/>
      <c r="F113" t="inlineStr"/>
      <c r="G113" t="inlineStr">
        <is>
          <t>Maine, United States</t>
        </is>
      </c>
      <c r="H113" t="inlineStr"/>
      <c r="I113"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Falcon Host is a two\-component security product. One component is a “sensor” which is a lightweight agent installed on client machines that observes system activity and recognizes malicious behavior, then provides on\-box prevention capability and remote telemetry to the Falcon Host cloud.
 The cloud component aggregates sensor telemetry for each customer’s network, can correlate malicious behavior across multiple machines, and presents our customers’ operations teams with a prioritized summary of the threats detected in their environments.
 This is a
 **Software Development Engineer** 
 (SDE) role in the engineering team that delivers the sensor (lightweight agent) on Windows/Linux/Mac OS X. SDE’s in the team own design and development of features for the products in Exposure Management product group. Features may cross\-cut core OS subsystems such as file system, memory, process, and networking. Many features are also built in a way that they will have shared components across Windows, Mac and Linux. The team operates under the Agile development principles and ships frequently.
****What You'll Do:****
* Lead Engineering efforts and work along with the Product Management where applicable helping define the scope of work
* Demonstrate ownership, accountability and collaborate with cross\-functional teams across Product Groups that are geographically distributed
* Design and develop user mode software for deployment on Windows systems
* Own features from design to delivery
* Collaborate with multi\-functional team in various physical locations
* Troubleshoot issues with the product as reported from customers responsively
* Develop software for Products as assigned (Falcon Discover, and more)
****What You’ll Need:****
* Can develop high\-quality code in C\+\+ for Windows OS and can demonstrate that capability, be it through job experience or contributions to community projects
* Experience working on a team to ship major features and releases
* Able to communicate, collaborate, and work effectively in a distributed team
* Understanding of networking fundamentals
* Mac and Linux OS development experience is plus
* Experience building cyber security related products is a plus
* Experience on developing product code with the following characteristics: High concurrency requirements needing strong use of multi\-threading and high reliability requirements
* B.S. Degree in related field.
 \#HTF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$120,000 \- $180,000 per year, with eligibility for bonuses, equity grants and a comprehensive benefits package that includes health insurance, 401k and paid time off.
 For detailed information about the U.S. benefits package, please click here.
 ,
****What You’ll Need:****
* Can develop high\-quality code in C\+\+ for Windows OS and can demonstrate that capability, be it through job experience or contributions to community projects
* Experience working on a team to ship major features and releases
* Able to communicate, collaborate, and work effectively in a distributed team
* Understanding of networking fundamentals
* Mac and Linux OS development experience is plus
* Experience building cyber security related products is a plus
* Experience on developing product code with the following characteristics: High concurrency requirements needing strong use of multi\-threading and high reliability requirements
* B.S. Degree in related field.</t>
        </is>
      </c>
    </row>
    <row r="114">
      <c r="A114" t="inlineStr">
        <is>
          <t>li-4312861521</t>
        </is>
      </c>
      <c r="B114" t="inlineStr">
        <is>
          <t>Senior Software Engineer, Backend (Consumer Servicing)</t>
        </is>
      </c>
      <c r="C114" t="inlineStr">
        <is>
          <t>Affirm</t>
        </is>
      </c>
      <c r="D114" t="inlineStr">
        <is>
          <t>linkedin</t>
        </is>
      </c>
      <c r="E114" t="inlineStr"/>
      <c r="F114" t="inlineStr"/>
      <c r="G114" t="inlineStr">
        <is>
          <t>Baltimore, MD</t>
        </is>
      </c>
      <c r="H114" t="inlineStr"/>
      <c r="I114" t="inlineStr">
        <is>
          <t>Affirm is reinventing credit to make it more honest and friendly, giving consumers the flexibility to buy now and pay later without any hidden fees or compounding interest.
 We're looking for a Senior Software Engineer to join the AI Agents engineering team within the Servicing Engineering organization. Our team works closely with an omnichannel AI agent vendor to provide a conversational first point of contact for our customers. We focus on orchestrating the systems within Affirm to continuously find solutions for our customers.
 **The team is newly formed and taking on big unknowns, so we're looking for someone who wants to take ownership and execute for whatever is necessary.**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a total of 4\+ years of experience as a software engineer.
* You are experienced in designing, developing and launching backend systems at scale technologies like Python, Kotlin, AWS, MySQL, and Kubernetes.
* You have experience shipping web apps using declarative UI frameworks like React or Vue.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5">
      <c r="A115" t="inlineStr">
        <is>
          <t>li-4331767151</t>
        </is>
      </c>
      <c r="B115" t="inlineStr">
        <is>
          <t>Software Engineer (C++), Exposure Management (Remote)</t>
        </is>
      </c>
      <c r="C115" t="inlineStr">
        <is>
          <t>CrowdStrike</t>
        </is>
      </c>
      <c r="D115" t="inlineStr">
        <is>
          <t>linkedin</t>
        </is>
      </c>
      <c r="E115" t="inlineStr"/>
      <c r="F115" t="inlineStr"/>
      <c r="G115" t="inlineStr">
        <is>
          <t>La Crescent Township, MN</t>
        </is>
      </c>
      <c r="H115" t="inlineStr"/>
      <c r="I115"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Falcon Host is a two\-component security product. One component is a “sensor” which is a lightweight agent installed on client machines that observes system activity and recognizes malicious behavior, then provides on\-box prevention capability and remote telemetry to the Falcon Host cloud.
 The cloud component aggregates sensor telemetry for each customer’s network, can correlate malicious behavior across multiple machines, and presents our customers’ operations teams with a prioritized summary of the threats detected in their environments.
 This is a
 **Software Development Engineer** 
 (SDE) role in the engineering team that delivers the sensor (lightweight agent) on Windows/Linux/Mac OS X. SDE’s in the team own design and development of features for the products in Exposure Management product group. Features may cross\-cut core OS subsystems such as file system, memory, process, and networking. Many features are also built in a way that they will have shared components across Windows, Mac and Linux. The team operates under the Agile development principles and ships frequently.
****What You'll Do:****
* Lead Engineering efforts and work along with the Product Management where applicable helping define the scope of work
* Demonstrate ownership, accountability and collaborate with cross\-functional teams across Product Groups that are geographically distributed
* Design and develop user mode software for deployment on Windows systems
* Own features from design to delivery
* Collaborate with multi\-functional team in various physical locations
* Troubleshoot issues with the product as reported from customers responsively
* Develop software for Products as assigned (Falcon Discover, and more)
****What You’ll Need:****
* Can develop high\-quality code in C\+\+ for Windows OS and can demonstrate that capability, be it through job experience or contributions to community projects
* Experience working on a team to ship major features and releases
* Able to communicate, collaborate, and work effectively in a distributed team
* Understanding of networking fundamentals
* Mac and Linux OS development experience is plus
* Experience building cyber security related products is a plus
* Experience on developing product code with the following characteristics: High concurrency requirements needing strong use of multi\-threading and high reliability requirements
* B.S. Degree in related field.
 \#HTF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$120,000 \- $180,000 per year, with eligibility for bonuses, equity grants and a comprehensive benefits package that includes health insurance, 401k and paid time off.
 For detailed information about the U.S. benefits package, please click here.
 ,
****What You’ll Need:****
* Can develop high\-quality code in C\+\+ for Windows OS and can demonstrate that capability, be it through job experience or contributions to community projects
* Experience working on a team to ship major features and releases
* Able to communicate, collaborate, and work effectively in a distributed team
* Understanding of networking fundamentals
* Mac and Linux OS development experience is plus
* Experience building cyber security related products is a plus
* Experience on developing product code with the following characteristics: High concurrency requirements needing strong use of multi\-threading and high reliability requirements
* B.S. Degree in related field.</t>
        </is>
      </c>
    </row>
    <row r="116">
      <c r="A116" t="inlineStr">
        <is>
          <t>li-4351285874</t>
        </is>
      </c>
      <c r="B116" t="inlineStr">
        <is>
          <t>Software Engineering</t>
        </is>
      </c>
      <c r="C116" t="inlineStr">
        <is>
          <t>Aspire Life Sciences Search</t>
        </is>
      </c>
      <c r="D116" t="inlineStr">
        <is>
          <t>linkedin</t>
        </is>
      </c>
      <c r="E116" t="inlineStr"/>
      <c r="F116" t="inlineStr"/>
      <c r="G116" t="inlineStr"/>
      <c r="H116" t="inlineStr"/>
      <c r="I116" t="inlineStr">
        <is>
          <t>Be a founding engineer building production\-grade AI systems for drug toxicity prediction, with the explicit goal of replacing lab and animal experiments. The output of your work will influence real drug programs, real capital allocation, and real patient outcomes. This is not a research toy.
**The challenge** 
 Drug toxicity is responsible for \~50% of drug program failures. Most “AI for drug safety” platforms fail because their data foundations are brittle, poorly curated, and non\-reproducible.
 Our Client is building the opposite:
 deterministic, auditable, scalable data and ML systems that scientists and regulators can trust.
 This role exists because this problem is too important to outsource to mediocre infrastructure.
**The role** 
 This is not a “data engineer who wires tools together.”
 You will own the end\-to\-end data and inference systems that convert raw chemical, biological, and clinical data into:
* ML\-ready training datasets
* Large\-scale LLM\-powered literature and clinical data pipelines
* Customer\-facing insights used to make irreversible decisions
 You will work directly with ML researchers, lab scientists, and product but you are the technical authority on systems correctness, scalability, and reliability.
 If you’ve never built infrastructure that
 *had to be right* 
 , this will be uncomfortable.
**What you’ll actually build** 
* Design and operate high\-throughput ingestion, processing, and serving systems for chemical, biological, and clinical data
* Build distributed systems to run large\-scale LLM and ML inference jobs (not notebooks, not demos)
* Architect LLM\-driven data curation pipelines with observability, evaluation, and failure modes explicitly designed for
* Create simple, composable APIs so scientists can access complex datasets without breaking things
* Implement data validation, testing, lineage, and monitoring so errors are caught
 *before* 
 they propagate into models or decisions
**The level of expectation** 
 You’ve likely done multiple of the following:
* Built or led large\-scale data platforms used by multiple teams or external customers
* Designed systems that process terabytes to petabytes of data with predictable performance
* Written distributed systems from scratch, not just configured managed services
* Deployed LLM\- or ML\-powered systems into production research or decision\-making workflows
* Owned infrastructure at an early\-stage company where you couldn’t hide behind process
 If your experience tops out at dashboards, pipelines glued together with fragile scripts, or academic prototypes, this is not the role.
**Technical requirements (non\-negotiable)** 
* Expert\-level Python and deep familiarity with the Python data ecosystem
* Hands\-on experience with distributed compute frameworks (e.g. Ray, Spark, Dask, Slurm, Kubernetes\-based systems, or equivalents)
* Strong systems intuition: you understand memory, latency, throughput, failure modes, and cost tradeoffs
* Real DevOps competence: CI/CD, cloud infrastructure (AWS/GCP/Azure), Terraform, and compute provisioning
* Comfort debugging issues that span data, infrastructure, ML models, and user behaviour
**Who thrives here** 
* Engineers who get bored in big tech because the problems aren’t existential enough
* People who obsess over correctness, elegance, and leverage
* Builders who want ownership, not tickets
* Those who enjoy working at the boundary of software, ML, and real science
* People who want their work to matter, and accept that this makes the job harder, not easier
**Final reality check** 
 This will be:
* Technically brutal
* Ambiguous
* High\-responsibility
 But if you’re the kind of engineer who wants to look back and say
 *“I built the system that made this possible”* 
 , this is the right room.
**Your consultant** 
 As a Senior Recruitment Consultant at Aspire Life Sciences,
 Julien Funes'
 expertise lies at the nexus of technology and life sciences. He recruits top Machine Learning and data talent for Biotech and life sciences startups across Europe and North America. He is committed to advancing the industry by sourcing and securing top\-tier talent for roles in these critical sectors. His approach enables him to effectively match candidates with opportunities where technological innovation meets life science excellence.</t>
        </is>
      </c>
    </row>
    <row r="117">
      <c r="A117" t="inlineStr">
        <is>
          <t>li-4290778501</t>
        </is>
      </c>
      <c r="B117" t="inlineStr">
        <is>
          <t>Frontend Software Engineer</t>
        </is>
      </c>
      <c r="C117" t="inlineStr">
        <is>
          <t>Chalk</t>
        </is>
      </c>
      <c r="D117" t="inlineStr">
        <is>
          <t>linkedin</t>
        </is>
      </c>
      <c r="E117" t="inlineStr"/>
      <c r="F117" t="inlineStr"/>
      <c r="G117" t="inlineStr">
        <is>
          <t>San Francisco, CA</t>
        </is>
      </c>
      <c r="H117" t="inlineStr"/>
      <c r="I117" t="inlineStr">
        <is>
          <t>**About Chalk**
 Chalk is building the data platform that powers the future of machine learning applications. We tear down complexity, latency, and scale barriers that have traditionally constrained ML capabilities. Our platform combines the performance of Rust with elegant tools that developers love to use. Leading companies depend on Chalk for a variety of use\-cases including stopping fraudulent credit card swipes, verifying identities, and maximizing clean energy capture. We've recently raised a
 $50 million Series A
 , led by Felicis.
**About the role**
 We are hiring experienced Frontend Software Engineers to join our team. In this role, you will be responsible for defining strong front\-end architecture patterns, leading development of well abstracted reusable components, and collaborating across teams to increase developer velocity. You will excel in this role if you’re an experienced engineer with deep front\-end expertise who can collaborate effectively across multiple teams and functions to deliver results.
 This is an opportunity to join us in\-person as an early employee and make a large impact at a high growth start\-up. You will tackle challenging engineering problems with a high degree of autonomy and ownership.
**We work in\-person Monday through Friday in our SF office. We don’t currently offer remote or hybrid positions.** 
 We are looking for software engineers who are comfortable solving business problems across all layers of the software stack, with a specific focus on frontend engineering. At Chalk, we build reliable data processing systems that can operate performantly at scale with a laser\-focus on developer experience.
 We need engineers who can build world\-class user experiences across web and command\-line surfaces, while also understanding and contributing to a codebase that contains ideas from compilers, query planners, and distributed systems.
**What you will do**
* Work directly with Chalk’s co\-founders to productionize our first iteration
* Write TypeScript (React), Python, Go
* Drive frontend architecture discussions and technical breakdowns.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applications
* You have a deep technical understanding of frontend technologies, patterns, and best practices. You have a firm understanding of backend systems which enable you to collaborate on problems that span the entire stack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18">
      <c r="A118" t="inlineStr">
        <is>
          <t>li-4333299740</t>
        </is>
      </c>
      <c r="B118" t="inlineStr">
        <is>
          <t>Staff Software Engineer - AI</t>
        </is>
      </c>
      <c r="C118" t="inlineStr">
        <is>
          <t>Rippling</t>
        </is>
      </c>
      <c r="D118" t="inlineStr">
        <is>
          <t>linkedin</t>
        </is>
      </c>
      <c r="E118" t="inlineStr"/>
      <c r="F118" t="inlineStr"/>
      <c r="G118" t="inlineStr">
        <is>
          <t>San Francisco, CA</t>
        </is>
      </c>
      <c r="H118" t="inlineStr"/>
      <c r="I11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Team**
 The Growth Engineering team builds world\-class products, data infrastructure, and AI systems powering Rippling’s market intelligence and GTM operations. The team works cross\-functionally with sales, marketing, Applied AI, and data engineering teams to design systems that amplify Rippling’s high\-performance GTM engine — from recommendation models and enrichment pipelines to AI\-driven workflows and proprietary data funnels.
 We operate on a modern Growth Services infrastructure built on FastAPI, Kubernetes, Databricks, Kafka, Snowflake, PostgreSQL, and OpenAI APIs, enabling scalable experimentation and fast iteration.
**About The Role**
 We’re seeking a Staff AI/ML Engineer to architect and lead development of production\-grade AI systems, including recommendation engines, multi\-LLM architectures, and ML pipelines. You’ll be responsible for designing systems that combine real\-time data processing, ML/LLM Ops, and intelligent orchestration across Rippling’s Growth Infrastructure.
 This is a hands\-on engineering leadership role — you’ll own the technical strategy for AI/ML within Growth Engineering, mentor engineers, and solve some of the most complex challenges in production AI systems with immediate business impact.
**What You Will Do**
 AI/ML Architecture \&amp; Systems Design
* Architect, build, and optimize recommendation engines, personalization systems, and classification models for GTM automation
* Design and implement multi\-LLM architectures combining OpenAI, Claude, and Databricks models for intelligent decisioning and reasoning
* Build, train, and evaluate models
* Deploy and serve models using FastAPI, Kubernetes, and async microservices, with observability built in
* Develop MLOps workflows for fine\-tuning, retraining, model versioning, and automated evaluation
 Data Engineering \&amp; Model Pipelines
* Design medallion data architectures (Bronze/Silver/Gold) using Databricks Delta Live Tables and CDC patterns
* Build real\-time and batch data pipelines leveraging Kafka and Databricks for high\-volume model inputs
* Develop and maintain embedding systems and matrix factorization\-based recommendation frameworks for personalization and ranking
* Implement AI data quality and monitoring frameworks to ensure reliability and trust in model outputs
 AI Reliability, Observability \&amp; Optimization
* Implement AI observability (LangSmith, Braintrust) to track performance, bias, and drift
* Build fallback and routing systems for multi\-model deployments
* Optimize cost and latency through batching, caching, and adaptive model selection
 Technical Leadership \&amp; Collaboration
* Lead design reviews and guide architecture for AI/ML\-driven systems
* Mentor engineers on LLM integration, MLOps, and recommendation systems
* Collaborate closely with product and GTM partners to translate business goals into AI\-driven automation
**What You Will Need**
* 7\+ years of software engineering experience, including 3\+ years building production ML systems.
* Expertise in recommendation engines, matrix factorization, and personalization models.
* Deep experience integrating LLMs (OpenAI, Claude, etc.) into production applications.
* Hands\-on experience training, evaluating, and deploying models in Databricks notebooks and Spark pipelines.
* Experience with MLOps tooling for off\-the\-shelf models like XGBoost, CatBoost, or LightGBM.
* Strong background in data engineering (Kafka, Spark, Databricks, PostgreSQL).
* Proven ability to architect scalable AI systems and lead end\-to\-end deployment.
**Preferred Skills**
* Familiarity with LangChain, LangSmith, and vector databases.
* Deep understanding of multi\-LLM coordination patterns, dynamic prompt routing, and evaluation loops.
* Experience implementing AI safety, guardrails, and interpretability frameworks.
* Experience deploying containerized AI services on Kubernetes
* Solid understanding of feature stores, experiment tracking, and online/offline evaluation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Tier 1\)</t>
        </is>
      </c>
    </row>
    <row r="119">
      <c r="A119" t="inlineStr">
        <is>
          <t>li-4333408961</t>
        </is>
      </c>
      <c r="B119" t="inlineStr">
        <is>
          <t>Staff Software Engineer - AI</t>
        </is>
      </c>
      <c r="C119" t="inlineStr">
        <is>
          <t>Rippling</t>
        </is>
      </c>
      <c r="D119" t="inlineStr">
        <is>
          <t>linkedin</t>
        </is>
      </c>
      <c r="E119" t="inlineStr"/>
      <c r="F119" t="inlineStr"/>
      <c r="G119" t="inlineStr">
        <is>
          <t>Seattle, WA</t>
        </is>
      </c>
      <c r="H119" t="inlineStr"/>
      <c r="I11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Team**
 The Growth Engineering team builds world\-class products, data infrastructure, and AI systems powering Rippling’s market intelligence and GTM operations. The team works cross\-functionally with sales, marketing, Applied AI, and data engineering teams to design systems that amplify Rippling’s high\-performance GTM engine — from recommendation models and enrichment pipelines to AI\-driven workflows and proprietary data funnels.
 We operate on a modern Growth Services infrastructure built on FastAPI, Kubernetes, Databricks, Kafka, Snowflake, PostgreSQL, and OpenAI APIs, enabling scalable experimentation and fast iteration.
**About The Role**
 We’re seeking a Staff AI/ML Engineer to architect and lead development of production\-grade AI systems, including recommendation engines, multi\-LLM architectures, and ML pipelines. You’ll be responsible for designing systems that combine real\-time data processing, ML/LLM Ops, and intelligent orchestration across Rippling’s Growth Infrastructure.
 This is a hands\-on engineering leadership role — you’ll own the technical strategy for AI/ML within Growth Engineering, mentor engineers, and solve some of the most complex challenges in production AI systems with immediate business impact.
**What You Will Do**
 AI/ML Architecture \&amp; Systems Design
* Architect, build, and optimize recommendation engines, personalization systems, and classification models for GTM automation
* Design and implement multi\-LLM architectures combining OpenAI, Claude, and Databricks models for intelligent decisioning and reasoning
* Build, train, and evaluate models
* Deploy and serve models using FastAPI, Kubernetes, and async microservices, with observability built in
* Develop MLOps workflows for fine\-tuning, retraining, model versioning, and automated evaluation
 Data Engineering \&amp; Model Pipelines
* Design medallion data architectures (Bronze/Silver/Gold) using Databricks Delta Live Tables and CDC patterns
* Build real\-time and batch data pipelines leveraging Kafka and Databricks for high\-volume model inputs
* Develop and maintain embedding systems and matrix factorization\-based recommendation frameworks for personalization and ranking
* Implement AI data quality and monitoring frameworks to ensure reliability and trust in model outputs
 AI Reliability, Observability \&amp; Optimization
* Implement AI observability (LangSmith, Braintrust) to track performance, bias, and drift
* Build fallback and routing systems for multi\-model deployments
* Optimize cost and latency through batching, caching, and adaptive model selection
 Technical Leadership \&amp; Collaboration
* Lead design reviews and guide architecture for AI/ML\-driven systems
* Mentor engineers on LLM integration, MLOps, and recommendation systems
* Collaborate closely with product and GTM partners to translate business goals into AI\-driven automation
**What You Will Need**
* 7\+ years of software engineering experience, including 3\+ years building production ML systems.
* Expertise in recommendation engines, matrix factorization, and personalization models.
* Deep experience integrating LLMs (OpenAI, Claude, etc.) into production applications.
* Hands\-on experience training, evaluating, and deploying models in Databricks notebooks and Spark pipelines.
* Experience with MLOps tooling for off\-the\-shelf models like XGBoost, CatBoost, or LightGBM.
* Strong background in data engineering (Kafka, Spark, Databricks, PostgreSQL).
* Proven ability to architect scalable AI systems and lead end\-to\-end deployment.
**Preferred Skills**
* Familiarity with LangChain, LangSmith, and vector databases.
* Deep understanding of multi\-LLM coordination patterns, dynamic prompt routing, and evaluation loops.
* Experience implementing AI safety, guardrails, and interpretability frameworks.
* Experience deploying containerized AI services on Kubernetes
* Solid understanding of feature stores, experiment tracking, and online/offline evaluation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Tier 1\)</t>
        </is>
      </c>
    </row>
    <row r="120">
      <c r="A120" t="inlineStr">
        <is>
          <t>li-4354575232</t>
        </is>
      </c>
      <c r="B120" t="inlineStr">
        <is>
          <t>Software Engineer 0 (Hybrid) - Java/AI/ML/Kubernetes</t>
        </is>
      </c>
      <c r="C120" t="inlineStr">
        <is>
          <t>Captivation</t>
        </is>
      </c>
      <c r="D120" t="inlineStr">
        <is>
          <t>linkedin</t>
        </is>
      </c>
      <c r="E120" t="inlineStr"/>
      <c r="F120" t="inlineStr"/>
      <c r="G120" t="inlineStr">
        <is>
          <t>Annapolis Junction, MD</t>
        </is>
      </c>
      <c r="H120" t="inlineStr"/>
      <c r="I120"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an entry level software engineer who will be assisting with daily responsibilities.
**Requirements**
 Security Clearance:
* Must currently hold a Top Secret/SCI U.S. Government security clearance with a favorable Polygraph, therefore all candidates must be a U.S. citizen
 Minimum Qualifications:
* Bachelor's degree in Computer Science or related discipline from an accredited college or university is required
* Four (4\) years of SWE experience on projects with similar software processes may be substituted for a bachelor's degree.
 Required Skills:
* Minimal experience with Java
 Desired Skills:
* Experience with NLP
* AI/ML
* Kubernetes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121">
      <c r="A121" t="inlineStr">
        <is>
          <t>li-4330098042</t>
        </is>
      </c>
      <c r="B121" t="inlineStr">
        <is>
          <t>Senior Software Developer</t>
        </is>
      </c>
      <c r="C121" t="inlineStr">
        <is>
          <t>TherapyNotes, LLC</t>
        </is>
      </c>
      <c r="D121" t="inlineStr">
        <is>
          <t>linkedin</t>
        </is>
      </c>
      <c r="E121" t="inlineStr"/>
      <c r="F121" t="inlineStr"/>
      <c r="G121" t="inlineStr"/>
      <c r="H121" t="inlineStr"/>
      <c r="I121"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Senior Software Developer to join our growing team. We are looking for a passionate and experienced engineer skilled in building scalable and responsive web applications and services using Angular and ASP.NET Core. The ideal candidate will have demonstrated expertise in implementing robust APIs using event\-based software design and adhering to Service\-Oriented Architecture (SOA) principles. They should excel in a collaborative environment and have a proven track record of mentoring and developing others.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Mentor and assist in the training and onboarding of new developers
* Maintain high standards, attention to detail, accuracy and completeness
**What We're Looking For**
* 5 or more years experience developing software in an Agile, team\-based environment
* 3 or more years experience developing responsive web applications
* BS and/or MS in a technical discipline (Computer Science or Software Engineering required)
* Strong understanding of OOP concepts and design patterns
* Expertise with Angular, ASP.NET Core, C\#, JavaScript, TypeScript, CSS, SASS, and HTML
* Expertise in building robust APIs and adhering to Service\-Oriented Architecture (SOA) principles
* Experience in event\-based software design and event\-driven architecture
* Experience with PostgreSQL or other relational databases, and Entity Framework Core or similar object\-relational mapping frameworks
* Excellent problem solving and communication skills
**What We Offer**
* Competitive salary $110,000 \- $135,000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1/2/2026</t>
        </is>
      </c>
    </row>
    <row r="122">
      <c r="A122" t="inlineStr">
        <is>
          <t>li-4281655988</t>
        </is>
      </c>
      <c r="B122" t="inlineStr">
        <is>
          <t>Backend Software Engineer - All Levels</t>
        </is>
      </c>
      <c r="C122" t="inlineStr">
        <is>
          <t>Credit Karma</t>
        </is>
      </c>
      <c r="D122" t="inlineStr">
        <is>
          <t>linkedin</t>
        </is>
      </c>
      <c r="E122" t="inlineStr"/>
      <c r="F122" t="inlineStr"/>
      <c r="G122" t="inlineStr">
        <is>
          <t>Charlotte, NC</t>
        </is>
      </c>
      <c r="H122" t="inlineStr"/>
      <c r="I122"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As a backend software engineer on our engineering team, you'll get to lead a growing team at Credit Karma that works across various verticals (home, auto, personal loans, and credit cards). You'll impact a platform that is responsible for handling millions of members accessing their Credit Karma accounts, including registration, login, SMS 2FA, and account recovery.  Further, y
 ou’ll help build product experiences that guide our members through the most challenging financial decision of their lifetime: buying their dream home. From finding a realtor, understanding loan options, and applying to get pre\-approved, we help our members every step of the way. There is an enormous opportunity to build things at scale, move fast, and have a high impact across many different products, including our Core product, Auto, Mortgage and Assets.
**What you’ll do:** 
* Contribute to our core services and data aggregation layer; meeting our need for scale, quality, and rapid iteration
* Build out high quality integrations with other internal services leveraging Credit Karma’s rich financial data set
* Work closely with our external partners to acquire new data to enrich our core user experience
* Develop automation throughout our stack; through our build \&amp; deployment processes, testing, monitoring, data pipeline, and beyond
* Work with front\-end developers to complete end\-to\-end solutions and iterate rapidly as we experiment and learn
* Willingness to learn new skills as our product and technology footprint grows
**What’s great about the role:** 
* Join an engineering team that is experiencing explosive growth and we are actively growing the team to improve and expand our product portfolio
* We are solving BIG problems that are fundamentally changing old industries
* Opportunity to meaningfully improve the lives of our members
* Fast\-paced environment that operates like a ‘start\-up’ within Credit Karma
**Minimum Basic Requirements:** 
* Proficient in Scala or Java with solid foundation in object\-oriented or functional programming, design patterns, algorithms, and system architecture.
 We code primarily in Scala, so you’ll be excited to either ramp or continue with such!
* Experience in microservices architecture, messaging patterns, and deployment models
* Experience in API design and building robust and extendable client/server contracts
**Preferred Qualifications:** 
* Proficient in Scala, Java, or Typescript
* Experience with Kafka, RabbitMQ, Amazon SQS or similar data messaging platform
* Experience building highly integrated, large\-scale, high\-volume, and testable systems
* Experience with Kubernetes and containers technologies
* Ability to mentor and coach other team members
* A solid foundation in OOP, design patterns, algorithms, programming languages, networking and Linux operating systems.
* Expert understanding of web application internals and scalability at any tier.
* Proficiency in SQL, relational database schema design and ORM technologies \&amp; concepts.
* Strong understanding of deployment strategies and production infrastructure needs.
* Strong communication and leadership abilities.
* Experience with Agile/Scrum practices.
* Bachelor’s or Masters degree in Computer Science, Engineering, Computer Information Systems, Mathematics, Physics, or a related field or software development training program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**US Job Applicant Privacy Notice
 UK Job Applicant Privacy Notice
 India Job Applicant Privacy Notice**</t>
        </is>
      </c>
    </row>
    <row r="123">
      <c r="A123" t="inlineStr">
        <is>
          <t>li-4290771622</t>
        </is>
      </c>
      <c r="B123" t="inlineStr">
        <is>
          <t>Software Engineer</t>
        </is>
      </c>
      <c r="C123" t="inlineStr">
        <is>
          <t>Chalk</t>
        </is>
      </c>
      <c r="D123" t="inlineStr">
        <is>
          <t>linkedin</t>
        </is>
      </c>
      <c r="E123" t="inlineStr"/>
      <c r="F123" t="inlineStr"/>
      <c r="G123" t="inlineStr">
        <is>
          <t>San Francisco, CA</t>
        </is>
      </c>
      <c r="H123" t="inlineStr"/>
      <c r="I123"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24">
      <c r="A124" t="inlineStr">
        <is>
          <t>li-4354319784</t>
        </is>
      </c>
      <c r="B124" t="inlineStr">
        <is>
          <t>Software Engineer</t>
        </is>
      </c>
      <c r="C124" t="inlineStr">
        <is>
          <t>Goliath Partners</t>
        </is>
      </c>
      <c r="D124" t="inlineStr">
        <is>
          <t>linkedin</t>
        </is>
      </c>
      <c r="E124" t="inlineStr"/>
      <c r="F124" t="inlineStr"/>
      <c r="G124" t="inlineStr"/>
      <c r="H124" t="inlineStr"/>
      <c r="I124" t="inlineStr">
        <is>
          <t>Our client is a leading quantitative trading firm that has tripled in revenue in the last 12 months and is hiring a C\+\+ Software Engineer to join their office in New York or Miami.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etc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into 7 figures.
 If interested, please reply and Goliath Partners will be in touch!</t>
        </is>
      </c>
    </row>
    <row r="125">
      <c r="A125" t="inlineStr">
        <is>
          <t>li-4330273572</t>
        </is>
      </c>
      <c r="B125" t="inlineStr">
        <is>
          <t>Frontend Engineer (AI Product)</t>
        </is>
      </c>
      <c r="C125" t="inlineStr">
        <is>
          <t>Pragmatike</t>
        </is>
      </c>
      <c r="D125" t="inlineStr">
        <is>
          <t>linkedin</t>
        </is>
      </c>
      <c r="E125" t="inlineStr"/>
      <c r="F125" t="inlineStr"/>
      <c r="G125" t="inlineStr">
        <is>
          <t>New York, NY</t>
        </is>
      </c>
      <c r="H125" t="inlineStr"/>
      <c r="I125"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Were seeking a
 **Frontend Engineer** 
 to build high\-performance, scalable web applications that power distributed AI systems used by
 **Fortune 500 customers.**
 You will work closely with product, design, and AI engineering teams to transform complex AI workflows into intuitive, responsive, and elegant user experiences. This is an opportunity to shape the front\-end architecture of mission\-critical AI products at an early, fast\-growing startup.
**What Youll Do**
* Build and optimize modern frontend applications using TypeScript \+ React, with responsive, accessible, and highly\-performant UI components.
* Integrate frontend applications with backend APIs and AI\-powered features.
* Contribute to design system evolution and frontend best practices.
* Collaborate cross\-functionally with AI/ML, backend, and product teams.
**What Were Looking For**
* Strong experience building production web applications with React and TypeScript.
* Experience integrating with REST or GraphQL APIs; familiarity with backend fundamentals. Experience with Node.js is highly preferred.
* Knowledge of testing frameworks (Jest, React Testing Library, Playwright/Cypress).
* Strong attention to detail, UX sensibility, and ability to collaborate in cross\-functional teams.
* Ability to thrive in fast\-paced environments and take ownership of features end\-to\-end.
**Bonus Points**
* Experience building dashboards, developer tools, or data\-heavy interfaces.
* Familiarity with design systems (MUI, Chakra, custom systems) or Figma workflows.
* Exposure to cloud services or DevOps concepts (Docker, CI/CD).
* Startup experience or shipping quickly in ambiguous environments.
* Interest in AI/ML products and how users interact with complex technical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frontier\-level AI/ML challenges that few engineers encounter.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26">
      <c r="A126" t="inlineStr">
        <is>
          <t>li-4354395303</t>
        </is>
      </c>
      <c r="B126" t="inlineStr">
        <is>
          <t>SOFTWARE DEVELOPER</t>
        </is>
      </c>
      <c r="C126" t="inlineStr">
        <is>
          <t>Technomax</t>
        </is>
      </c>
      <c r="D126" t="inlineStr">
        <is>
          <t>linkedin</t>
        </is>
      </c>
      <c r="E126" t="inlineStr"/>
      <c r="F126" t="inlineStr"/>
      <c r="G126" t="inlineStr">
        <is>
          <t>Princeton Junction, NJ</t>
        </is>
      </c>
      <c r="H126" t="inlineStr"/>
      <c r="I126" t="inlineStr">
        <is>
          <t>**Requirement Title**
 SOFTWARE DEVELOPER
 **, REQ Code :** 
 109519,
 **Location :** 
 West Windsor, NJ
**Required Skills**
 Knowledge of programming language, database and date structures, Knowledge of programming language, database and date structures
**Job Description**
 Develop, and write computer programs to store, locate, and retrieve specific documents, data and information; Analyze and modify software programs to ensure technical accuracy \&amp; reliability of programs; Develop mobile applications using visual programming; Knowledge of programming language, database and date structures are required.
 Bachelor's degree in Engg (any), Science (any) or Computer Science is required.
**Mail resumes to TECHNOMAX LLC, 196 Princeton Hightstown RD, Suite 12, Bldg 1A, West Windsor, NJ 08550\.**
**Duration:** 
 Long Term,
 **Number of Open Positions :** 
 5</t>
        </is>
      </c>
    </row>
    <row r="127">
      <c r="A127" t="inlineStr">
        <is>
          <t>li-4271546967</t>
        </is>
      </c>
      <c r="B127" t="inlineStr">
        <is>
          <t>Fullstack Engineer</t>
        </is>
      </c>
      <c r="C127" t="inlineStr">
        <is>
          <t>Tatari</t>
        </is>
      </c>
      <c r="D127" t="inlineStr">
        <is>
          <t>linkedin</t>
        </is>
      </c>
      <c r="E127" t="inlineStr"/>
      <c r="F127" t="inlineStr"/>
      <c r="G127" t="inlineStr">
        <is>
          <t>San Francisco, CA</t>
        </is>
      </c>
      <c r="H127" t="inlineStr"/>
      <c r="I127" t="inlineStr">
        <is>
          <t>Tatari is on a mission to revolutionize TV advertising. We work with some of your favorite disruptor brands—like Calm, Vuori,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**About The Role**
 We’re looking for Full\-Stack Engineers to join either our Reporting or Campaign Manager teams. You’ll work closely with product managers, business analysts, and data scientists to deliver robust, scalable applications that drive measurable business outcomes. Our stack is modern and pragmatic: TypeScript \+ React on the frontend; Python, SQLAlchemy, GraphQL (Graphene) on the backend.
 Full\-stack engineers at Tatari are empowered to own features end\-to\-end, from architecture to delivery. We value engineers who are curious, collaborative, and eager to leverage AI tooling—both as a productivity booster and as a core part of the products we build.
* About Campaign Manager: The Campaign Manager team builds and maintains the tools that enable clients and internal teams to create, manage, and optimize TV ad campaigns. Our focus is on intuitive user experiences, powerful automation, and seamless integrations with data and media partners. We’re continuously evolving our platform to support new channels and advanced AI\-driven optimizations.
* About Reporting: The Reporting team is responsible for the analytics and insights platform that gives clients and internal stakeholders a clear view of campaign performance. We build interactive dashboards, real\-time data pipelines, and AI\-powered insights to help users make smarter decisions faster. Our work is at the intersection of data engineering, visualization, and user\-centric design.
**Responsibilities**
* Translate product and business requirements into high\-quality, full\-stack applications and systems.
* Participate in technical architecture discussions and peer code reviews, advocating for best practices and maintainable solutions.
* Collaborate cross\-functionally with data scientists, business analysts, media buyers, peer engineers, and product managers.
* Contribute to the evolution of our engineering culture by mentoring teammates, sharing knowledge, and championing new technologies (including AI/LLM tools).
* Help design and deliver features that will be used by AI agents or as part of AI/LLM\-driven workflows.
**Qualifications**
* Bachelor’s or Master’s degree in Computer Science, Engineering, or a related field—or equivalent practical experience.
* 3\+ years of experience building production\-grade, full\-stack applications.
* Proficiency with modern frontend technologies, especially React and TypeScript.
* Strong backend experience with Python, SQLAlchemy, and GraphQL (Graphene or similar frameworks).
* Solid understanding of relational databases and REST/GraphQL API design.
* Experience delivering software in a collaborative, agile environment.
* Excellent communication skills and a collaborative, team\-first mindset.
* Openness to leveraging AI tools (e.g., LLMs, code assistants) and a desire to build software that integrates with or serves AI/LLM applications.
* Bonus: Experience with cloud platforms (AWS, GCP), containerization (Docker), or CI/CD pipelines.
* Bonus: Familiarity with observability tools, automated testing, and performance optimization.
**What Makes An Exceptional Candidate**
* Demonstrated ability to deliver features that are robust, scalable, and maintainable.
* Passion for learning and adopting new technologies, especially in the rapidly evolving AI/LLM space. Big plus for any familiarity with prompt engineering, LLM API integration, or building tools that assist or are assisted by AI agents.
* Comfort with rapid prototyping and iterative development in ambiguous or emerging problem spaces.
* Track record of mentoring others and elevating team performance.
**Benefits:**
* Total compensation ($120,000 \- $175,000\)
* Equity compensation
* Health insurance coverage for you and your dependents
* 401K, FSA, and commuter benefits
* $150 monthly spending account
* $1,000 annual continued education benefit
* $500 WFH reimbursement
* Unlimited PTO and sick days
* Monthly Company Wellness Day Off
* Snacks, drinks, and catered lunches at the office
* Team building events
* Hybrid RTO of 2 days per week. THIS IS AN IN\-OFFICE POSITION
 At Tatari, we believe in cultivating teams with diverse backgrounds and offering equal opportunities to all. We strive to create a welcoming, inclusive environment where every team member feels valued, and diversity is celebrated.</t>
        </is>
      </c>
    </row>
    <row r="128">
      <c r="A128" t="inlineStr">
        <is>
          <t>li-4354525833</t>
        </is>
      </c>
      <c r="B128" t="inlineStr">
        <is>
          <t>Senior Software Engineer, .NET</t>
        </is>
      </c>
      <c r="C128" t="inlineStr">
        <is>
          <t>PerfectServe</t>
        </is>
      </c>
      <c r="D128" t="inlineStr">
        <is>
          <t>linkedin</t>
        </is>
      </c>
      <c r="E128" t="inlineStr"/>
      <c r="F128" t="inlineStr"/>
      <c r="G128" t="inlineStr">
        <is>
          <t>Knoxville, TN</t>
        </is>
      </c>
      <c r="H128" t="inlineStr"/>
      <c r="I128" t="inlineStr">
        <is>
          <t>**What is PerfectServe?**
 PerfectServe offers Best in KLAS assets in three categories: clinical communications, scheduling, and patient engagement solutions. We have seen an 88% growth rate over the past three years and need strong team members to help us continue to grow!
 PerfectServe's mission is to accelerate speed to care by optimizing provider schedules and dynamically routing messages to the right person at the right time in any care setting; advancing patient care and clinical workflows.
 By joining PerfectServe, you will have the unique opportunity to come alongside us as we further our vision of putting all of these solutions together to provide optimal patient outcomes and faster patient care interventions. By improving speed to care and cross\-continuum communication, we save lives, reduce length of stay, minimize re\-admissions, and bring joy back to caregivers.
 We have an incredible portfolio of customers, with new ones recognizing the value of our solutions and joining the PerfectServe family every day.
 At PerfectServe, we are driven by a mission to improve healthcare outcomes through innovative, reliable technology. We are looking for a passionate and collaborative engineer to join us and become a key contributor to our technical future. This is a unique opportunity to step into a dynamic environment and have a real impact, helping us build world\-class services that power clinical communication and collaboration.
 The Opportunity: What's In It For You?
* **Solve Meaningful Problems:** 
 You will tackle complex and meaningful technical challenges related to building scalable, high\-availability voice and messaging communication systems that are critical to the healthcare industry.
* **Make a Visible Impact:** 
 You will see the direct impact of your work on improving patient care, reducing administrative burden for clinicians, and streamlining critical clinical workflows.
* **Grow with a Modern Stack:** 
 You will work with a modern .NET\-based technology stack and have a real voice in its evolution. We believe in using the right tool for the job and empowering our engineers to make technical decisions.
 How We Build: The Power of Perspective
 We believe that the best and most innovative solutions are born from the collaboration of people with diverse backgrounds, experiences, and viewpoints. We highly value team players who can respectfully challenge ideas, contribute to technical debates, and work together to achieve a collective outcome that is greater than the sum of its parts.
**About the Team**
 You will be joining one of our core platform pods, a team of 6\-8 focused on building and owning the C\#/SQL services at the heart of our platform. We operate in two\-week sprints, value open and honest communication, and own our services from initial design and development all the way through to deployment and support.
**How You'll Make an Impact**
* As a key member of a high\-performing team of .NET/C\# experts, you will design, build, and maintain highly performant, well\-structured, and well\-tested code for our core services.
* Champion and evolve our team's best practices in code quality, automated testing, and observability to drive technical excellence.
* Pay it forward by formally and informally mentoring junior engineers, guiding them through technical challenges and helping them grow their careers at PerfectServe.
* Foster a 'one\-team' culture by actively engaging in code reviews and providing constructive, collaborative feedback to our distributed and offshore engineering partners.
* Collaborate effectively with Product Owners, QA, and other engineering teams to deliver on complex, multi\-team initiatives.
**What You'll Bring to the Team**
**Required Qualifications:**
* 5\+ years of professional software engineering experience with C\#.
* 5\+ years of professional software engineering experience with ASP.NET Web API.
* Expert\-level knowledge of designing and building RESTful web APIs.
* Expert\-level knowledge of .NET data access frameworks (ADO.NET, Dapper, EF, etc.)
* Advanced level knowledge of MSSQL or a similar relational database including data modeling, query optimization and Stored Procedure development.
* Strong Unit and Integration Testing techniques.
* Demonstrable experience mentoring other engineers through code reviews, pair programming, and collaborative problem\-solving.
* Excellent communication skills with experience working in a team distributed across multiple time zones.
* Proficiency with Git, CI/CD tools, and modern software testing best practices.
**Beneficial Qualifications:**
* Bachelor's degree in Computer Science or a related field.
* Experience reverse engineering legacy .NET services and complex MSSQL stored procedures and functions
* Experience with .NET framework, ASP.NET Core, .NET 5\+.
* Experience with a message queue system like RabbitMQ.
* Experience with building dynamic SPAs using React and Angular with TypeScript with efficient state management and clean modular components
* Experience with observability and monitoring tools (e.g., New Relic, Grafana).
**Why Join PerfectServe?**
 At PerfectServe, we are transforming healthcare communication and collaboration to help clinicians deliver better care. You'll work with a dedicated and mission\-driven team in an environment that values growth, transparency, and innovation.
 Please do not use AI tools to generate your application materials. We value authentic, personal communication and want to understand your unique voice and perspective.\*\*
 We offer a salary range of $125,000\-175,000 per year, with compensation tailored to your background, strengths, and potential to grow within the team.
 The salary range listed for this role reflects our commitment to pay transparency and is based on market data, internal equity, and the scope of responsibilities. compensation will be determined by a combination of factors, including the candidate's experience, skills, and the specific team or product area they support.
 We regularly review compensation across the company to ensure fairness and consistency. If you are a current employee and have questions about how your compensation aligns with our ranges, we encourage you to speak with your manager or People Operations.
**Benefits:**
* Remote first work environment
* Health, Dental, Vision, Life and Disability Insurance options available day one.
* 401K \- with match and immediately vested.
* 17 company holidays, 2 floating holidays plus competitive paid time off policy
* Internal Advancement Opportunities
 PerfectServe offers unified healthcare communication solutions to help physicians, nurses, and care team members provide exceptional patient care. PerfectServe's cloud\-based solutions enhance patient safety and reduce provider burnout by automating workflows, speeding time to treatment, optimizing shift schedules, empowering nurse mobility, and engaging patients in their own care.</t>
        </is>
      </c>
    </row>
    <row r="129">
      <c r="A129" t="inlineStr">
        <is>
          <t>li-4291177800</t>
        </is>
      </c>
      <c r="B129" t="inlineStr">
        <is>
          <t>Backend Engineer, Platform</t>
        </is>
      </c>
      <c r="C129" t="inlineStr">
        <is>
          <t>Tailscale</t>
        </is>
      </c>
      <c r="D129" t="inlineStr">
        <is>
          <t>linkedin</t>
        </is>
      </c>
      <c r="E129" t="inlineStr"/>
      <c r="F129" t="inlineStr"/>
      <c r="G129" t="inlineStr"/>
      <c r="H129" t="inlineStr"/>
      <c r="I129"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seeking a skilled and diligent full\-time Software Engineer to join our growing team. You will work as part of the engineering team to:
* Develop the Tailscale product, contributing to both open source client code and related backend services
* Take ownership of the entire product lifecycle, from writing code to product ideation and strategic decision\-making
* Work closely with UX/UI designers and product managers to shape features
 Because we’re an early\-stage and fully remote company, we’re looking for a strongly motivated individual who can help move the product forward. The ability to think on your feet, collaborate with highly technical teams, and comfort working asynchronously are essential.
**Key Responsibilities**
* Work as part of a team of engineers to design, build, test, and document core software components.
* Develop product features in areas that include our control plane, our relay infrastructure, and our identity integrations.
* Exhibit ownership over the running services that comprise Tailscale’s product by building for observability, participating in incident response, and fielding customer support escalations.
* Analyze and improve efficiency, scalability, and stability of various system resources.
* Bring a security\-first mindset to both design and implementation.
**What We Are Looking For**
* Experience with distributed systems
* Experience with one or more SQL databases
* Familiarity with authentication/authorization protocols and frameworks such as OAuth2, OIDC, SSO, and SAML
* Familiarity with networks (IP addressing, routing, etc.)
* Most of the non\-front\-end portions of the system are developed in the Go programming language. Experience with Go is a plus.
* Ability to give and process constructive feedback, as well as work independently
* Flexibility to adjust to the dynamic nature of a startup
* Excellent written and verbal communication skills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$163,000—$226,000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team/department off\-sites, or use your individual travel budget to meet up with team members in Canada, the US, or the UK.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130">
      <c r="A130" t="inlineStr">
        <is>
          <t>li-4292973645</t>
        </is>
      </c>
      <c r="B130" t="inlineStr">
        <is>
          <t>Software Engineer - Systems Engineering</t>
        </is>
      </c>
      <c r="C130" t="inlineStr">
        <is>
          <t>Rubrik</t>
        </is>
      </c>
      <c r="D130" t="inlineStr">
        <is>
          <t>linkedin</t>
        </is>
      </c>
      <c r="E130" t="inlineStr"/>
      <c r="F130" t="inlineStr"/>
      <c r="G130" t="inlineStr">
        <is>
          <t>Palo Alto, CA</t>
        </is>
      </c>
      <c r="H130" t="inlineStr"/>
      <c r="I130" t="inlineStr">
        <is>
          <t>**About The Team**
 The Systems Engineering team within the Developer Platform organization is pivotal in ensuring the reliability and robustness of Rubrik's products. Our mission is to empower these products to excel in demanding use cases by rigorously focusing on key software reliability dimensions—stress, scale, longevity and resilience \- through close collaboration with product component teams, product management, and release managers to integrate reliability early and ensure high\-quality releases for our end customers.
**The Key Responsibility Of The Team Includes**
* Drive release reliability certification for Rubrik Cloud Data Management and Rubrik Security Cloud\-Private products.
* Architect and build scalable infrastructure and efficient pipelines for stress, scale and resilience/chaos testing.
* Develop and deploy simulators to optimize cost efficiency and accelerate testing.
* Enable Product teams with self\-service tools and infrastructure for their validation needs.
* Maintain and evolve long\-running, customer\-like environments to proactively identify potential issues.
**About The Role**
 As a Software Engineer in the Systems Engineering team at Rubrik, you will be developing tools, frameworks and services which will enable engineering teams to ensure reliability and robustness of Rubrik products. If you enjoy working with distributed systems, are curious to learn complex architectures and love tackling challenges then come join us! Rubrik Software engineers are self\-starters and driven. We believe in giving engineers responsibility, not tasks. Our goal is to motivate and challenge people to do their best work.
**What You’ll Do**
* Design \&amp; build infrastructure automation to enable on\-demand building of complex product deployments similar to customer deployments and system stress/performance pipelines
* Develop and enhance tools for monitoring, alerting and telemetry of customer\-like deployments.
* Develop solutions for auto\-triage and RCA of failures using AI technologies and self\-healing of errors
* Work with team members on detailed and constructive design and code reviews
**Experience You’ll Need**
* BS or MS in Computer science or related field with a minimum of 3\+ years of relevant work experience
* Strong knowledge of data structures, algorithms, and software design
* Solid programming skills in one or more programming languages (Python preferred)
* Ability to work collaboratively in a team environment, including quickly getting up to speed with new technologies.
* Building AI based applications/workflows using LLMs
* Working knowledge of virtualization, container technologies, storage, database, network
* Experience with Google Cloud Platform/AWS/Azure or other public cloud technologies
**Preferred Qualifications**
* Building high scale \&amp; performant products.
* Knowledge of CI/CD solutions like Jenkins, Ansible, ELK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$152,400—$228,700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131">
      <c r="A131" t="inlineStr">
        <is>
          <t>li-4354632035</t>
        </is>
      </c>
      <c r="B131" t="inlineStr">
        <is>
          <t>Senior Software Engineer</t>
        </is>
      </c>
      <c r="C131" t="inlineStr">
        <is>
          <t>Tripleseat</t>
        </is>
      </c>
      <c r="D131" t="inlineStr">
        <is>
          <t>linkedin</t>
        </is>
      </c>
      <c r="E131" t="inlineStr"/>
      <c r="F131" t="inlineStr"/>
      <c r="G131" t="inlineStr"/>
      <c r="H131" t="inlineStr"/>
      <c r="I131" t="inlineStr">
        <is>
          <t>Tripleseat is the leading web\-based event management and sales platform designed for restaurants, hotels, and unique venues. Our mission is to simplify and streamline the event planning process, allowing our clients to focus on delivering exceptional customer experiences. By automating and enhancing event operations, we help create thousands of unforgettable experiences each year at your favorite restaurants and venues.
 We are seeking a passionate Senior Software Engineer who thrives on solving complex technical challenges, mentoring team members, and shaping the architecture of scalable, cloud\-based solutions. This is a unique opportunity to work on cutting\-edge technology while fostering innovation and collaboration in an agile environment.
*This is a fully remote position open to candidates in the U.S. or Canada. They will be required to complete initial onboarding at our Concord, MA office.*
*What You'll Do:*
* Develop Impactful Features: Design, code, and optimize new features that serve thousands of users daily, ensuring high\-quality performance at scale.
* Shape Architecture: Lead technical architecture decisions, ensuring scalability, maintainability, and platform robustness.
* Collaborate Across Teams: Partner with product management, design, sales, and customer success to build features that delight users and solve real\-world problems.
* Mentor \&amp; Multiply: Guide junior and mid\-level developers by sharing best practices, reviewing code, and fostering a culture of learning and growth.
* Optimize Performance: Analyze and enhance code performance, addressing challenges like N\+1 query problems and algorithm efficiency.
* Support Integrations: Build and maintain integrations with third\-party systems, ensuring seamless data exchange and functionality.
* Drive Agile Excellence: Promote Agile methodologies to maintain a fast\-paced yet organized development process.
* Innovate with Analytics: Work on deep analytics features and modern workflow designs to deliver advanced insights to users.
*What We're Looking For:* 
* Proven Expertise: 6\+ years (ideally 8\+ years) or equivalent in cloud\-based software development, with significant experience in Ruby on Rails, React, MySQL/PostgreSQL, Docker and scalable distributed systems.
* Leader \&amp; Collaborator: Demonstrated ability to lead technical initiatives and mentor developers while collaborating with cross\-functional teams.
* Technical Mastery: Strong computer science fundamentals in programming languages, architectures, data structures, and algorithms. Experience optimizing performance for high\-load applications.
* Quality First: Insist on writing clean, testable code, with expertise in unit testing for both the backend and frontend.
* Adaptability: Comfortable working in large codebases, following existing conventions, and driving improvements where needed.
* Strong Communicator: Clear and concise communicator, able to convey technical concepts effectively to technical and non\-technical stakeholders.
* Bonus Points:
+ Familiarity with DevOps and cloud platforms like AWS.
+ Passion for the hospitality industry and experience with event management tools.
+ Experience working with JavaScript frameworks such as Backbone or Node.js.
+ Experience with Docker
*Base Compensation Range:*
* $130,000 \- $150,000 annually
 Base salary is one component of total compensation. Employees may also be eligible for an annual bonus or commission.
 The above represents the expected base compensation range for this job requisition. Ultimately, in determining your pay, we’ll consider many factors including, but not limited to, skills, experience, qualifications, geographic location, and other job\-related factors.
*What We Offer:*
* Competitive compensation and comprehensive benefits including medical, dental, vision, life insurance, and 401(k) with company match.
* Flexible paid time off to promote work\-life harmony.
* Pet insurance to take care of your furry friends.
* An open, inclusive culture that focuses on collaboration, innovation, and personal growth.
* The opportunity to work on a product that makes a real difference in the hospitality and event industries.
 At Tripleseat, we believe in creating a workplace where everyone has a seat at the table. We are proud to be an equal opportunity employer, committed to fostering a culture of inclusion, diversity, and equity. If you’re ready to bring your skills and enthusiasm to a fast\-growing company revolutionizing the hospitality industry, we’d love to hear from you!</t>
        </is>
      </c>
    </row>
    <row r="132">
      <c r="A132" t="inlineStr">
        <is>
          <t>li-4301037275</t>
        </is>
      </c>
      <c r="B132" t="inlineStr">
        <is>
          <t>Backend Software Engineer (Evals) – Support Automation Engineering</t>
        </is>
      </c>
      <c r="C132" t="inlineStr">
        <is>
          <t>OpenAI</t>
        </is>
      </c>
      <c r="D132" t="inlineStr">
        <is>
          <t>linkedin</t>
        </is>
      </c>
      <c r="E132" t="inlineStr"/>
      <c r="F132" t="inlineStr"/>
      <c r="G132" t="inlineStr">
        <is>
          <t>San Francisco, CA</t>
        </is>
      </c>
      <c r="H132" t="inlineStr"/>
      <c r="I132" t="inlineStr">
        <is>
          <t>**About The Team**
 The Support Automation team at OpenAI scales the organization by applying cutting\-edge AI models to real\-world challenges, automating and enhancing work across the organization. From customer operations to engineering, we develop an ecosystem of automation products that empower our colleagues and drive impact. We're passionate about crafting products that serve those around us, blending rapid prototyping with a focus on long\-term quality and reliability. By creating reusable solutions, we create patterns that can be applied across diverse domains within OpenAI.
 TLDR: this team leverages OpenAI technology to improve OpenAI, and you’ll have the opportunity to leverage the full extent of our tech (both public and pre\-released) to accomplish this mission.
**About The Role**
 We’re looking for a
 **Backend Software Engineer** 
 with experience working in ML/LLM\-heavy domains to help to design and build an evals infrastructure that measures the quality of OpenAI’s support automation. This is a deeply technical and highly cross\-functional role where you’ll build robust systems and backend services that serve as the foundation for how knowledge is created, accessed, and applied across OpenAI. The role will especially focus on working closely with Data Science and Research partners to design and build evals at scale.
**In This Role, You Will**
* Design eval pipelines that are reliable, reproducible, and extendable
* Build the infrastructure for continuous eval monitoring frameworks (regression/drift monitoring, building robust golden datasets) along with feedback loops that ultimately strengthen support automation
* Design, build, and maintain backend services and APIs to support intelligent automation and knowledge systems
* Integrate and structure data across internal platforms, transforming it into formats optimized for use by downstream systems and AI workflows.
* Collaborate closely with data, research, and engineering teams to integrate OpenAI models into high\-leverage workflows
* Own the full development lifecycle of new backend systems and internal platform capabilities
* Build with scale and maintainability in mind, while rapidly iterating on new ideas
**You Might Be a Great Fit If You Have**
* 4\+ years of backend engineering experience at product\-driven companies (excluding internships)
* Proficiency in backend technologies. Our tech stack includes Python, FastAPI, and Postgres
* Experience designing and scaling distributed systems, APIs, or data processing pipelines
* Have experience building AI agents or applications, including designing evals and improving performance through prompting or scaffolding
* Are familiar with evaluation methods for LLMs and have worked with patterns like multi\-agent workflows, tool use, or long context.
* Experience creating production evals and/or measuring performance of ML/LLM models at scale
* A pragmatic mindset. You’re comfortable shipping iteratively while building toward a long\-term vision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33">
      <c r="A133" t="inlineStr">
        <is>
          <t>li-4354504260</t>
        </is>
      </c>
      <c r="B133" t="inlineStr">
        <is>
          <t>Software Engineer</t>
        </is>
      </c>
      <c r="C133" t="inlineStr">
        <is>
          <t>Orbis Group</t>
        </is>
      </c>
      <c r="D133" t="inlineStr">
        <is>
          <t>linkedin</t>
        </is>
      </c>
      <c r="E133" t="inlineStr"/>
      <c r="F133" t="inlineStr"/>
      <c r="G133" t="inlineStr"/>
      <c r="H133" t="inlineStr"/>
      <c r="I133" t="inlineStr">
        <is>
          <t>**Software Engineer \- Stealth AI Start\-Up \- Remote (US / Canada)** 
 I’m supporting a well\-funded, fast\-growing AI start\-up that’s reinventing how developers build software. The team began by modernising a core developer workflow and has since expanded it into a next\-generation platform for agentic development, enabling engineers to collaborate with intelligent systems that can understand context, generate code, and help debug and deploy production software.
 Backed by investors and angels behind companies like Airbnb, Stripe, Salesforce, and OpenAI, this is one of the most exciting teams operating in the AI tooling space today \- building foundational technology at the intersection of AI, productivity, and high\-performance engineering.
**What You’ll Do** 
* Build features across the full stack: design, development, testing, and deployment
* Improve performance, reliability, and the end\-to\-end developer experience
* Partner closely with engineering, product, growth, and marketing teams
* Prototype new ideas and iterate quickly based on real user feedback
* Mentor teammates and help shape a strong, high\-quality engineering culture
**What We’re Looking For** 
* 5\+ years of software engineering experience, ideally with exposure to developer tools, distributed systems, or high\-performance applications
* A strong academic foundation \- typically demonstrated through excellent performance in a rigorous CS or engineering program
* Great fit for someone coming from Big Tech who wants more ownership, autonomy, and direct product impact
* Experience with compiled or systems\-level languages (e.g., Rust, Go, C\+\+, or similar) is a plus, but not required
* Additional bonus experience with:
* Linux / shell development
* Backend systems
* GPU, graphics, or performance\-oriented programming
**You’re a Great Fit If You…** 
* Love building tools that improve developer workflows and productivity
* Have strong engineering fundamentals and a user\-focused mindset
* Communicate clearly and collaborate well across teams
* Care deeply about usability, performance, and creating polished developer experiences</t>
        </is>
      </c>
    </row>
    <row r="134">
      <c r="A134" t="inlineStr">
        <is>
          <t>li-4330157297</t>
        </is>
      </c>
      <c r="B134" t="inlineStr">
        <is>
          <t>Frontend Engineer (AI Product)</t>
        </is>
      </c>
      <c r="C134" t="inlineStr">
        <is>
          <t>Pragmatike</t>
        </is>
      </c>
      <c r="D134" t="inlineStr">
        <is>
          <t>linkedin</t>
        </is>
      </c>
      <c r="E134" t="inlineStr"/>
      <c r="F134" t="inlineStr"/>
      <c r="G134" t="inlineStr">
        <is>
          <t>Washington, DC</t>
        </is>
      </c>
      <c r="H134" t="inlineStr"/>
      <c r="I134"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Were seeking a
 **Frontend Engineer** 
 to build high\-performance, scalable web applications that power distributed AI systems used by
 **Fortune 500 customers.**
 You will work closely with product, design, and AI engineering teams to transform complex AI workflows into intuitive, responsive, and elegant user experiences. This is an opportunity to shape the front\-end architecture of mission\-critical AI products at an early, fast\-growing startup.
**What Youll Do**
* Build and optimize modern frontend applications using TypeScript \+ React, with responsive, accessible, and highly\-performant UI components.
* Integrate frontend applications with backend APIs and AI\-powered features.
* Contribute to design system evolution and frontend best practices.
* Collaborate cross\-functionally with AI/ML, backend, and product teams.
**What Were Looking For**
* Strong experience building production web applications with React and TypeScript.
* Experience integrating with REST or GraphQL APIs; familiarity with backend fundamentals. Experience with Node.js is highly preferred.
* Knowledge of testing frameworks (Jest, React Testing Library, Playwright/Cypress).
* Strong attention to detail, UX sensibility, and ability to collaborate in cross\-functional teams.
* Ability to thrive in fast\-paced environments and take ownership of features end\-to\-end.
**Bonus Points**
* Experience building dashboards, developer tools, or data\-heavy interfaces.
* Familiarity with design systems (MUI, Chakra, custom systems) or Figma workflows.
* Exposure to cloud services or DevOps concepts (Docker, CI/CD).
* Startup experience or shipping quickly in ambiguous environments.
* Interest in AI/ML products and how users interact with complex technical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frontier\-level AI/ML challenges that few engineers encounter.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35">
      <c r="A135" t="inlineStr">
        <is>
          <t>li-4313494074</t>
        </is>
      </c>
      <c r="B135" t="inlineStr">
        <is>
          <t>Software Engineer - Robotics &amp; Autonomous Systems</t>
        </is>
      </c>
      <c r="C135" t="inlineStr">
        <is>
          <t>Scale AI</t>
        </is>
      </c>
      <c r="D135" t="inlineStr">
        <is>
          <t>linkedin</t>
        </is>
      </c>
      <c r="E135" t="inlineStr"/>
      <c r="F135" t="inlineStr"/>
      <c r="G135" t="inlineStr"/>
      <c r="H135" t="inlineStr"/>
      <c r="I135" t="inlineStr">
        <is>
          <t>Scale's Robotics business unit is dedicated to solving the data bottleneck in Physical AI across Robotics, Autonomous Vehicles, and Computer Vision. In this role, you'll be a key contributor building production systems for robotics data collection, model training pipelines, and evaluation infrastructure. You'll have the opportunity to own critical parts of our robotics platform, work directly with cutting\-edge robotics and AV customers, and shape the future of embodied AI systems.
**You Will:**
* Own and architect large\-scale data processing pipelines for robotics and autonomous vehicle datasets
* Build ML training and fine\-tuning pipelines using Scale's robotics data
* Work across backend (Python, Node.js, C\+\+) and frontend (React, TypeScript) stacks to build end\-to\-end solutions
* Develop tools and systems for robotics data collection, teleoperation, and model evaluation
* Interact directly with robotics and AV stakeholders to understand their technical needs and drive product development
* Build real\-time systems for robotic control, sensor fusion, and perception pipelines
* Design comprehensive monitoring and evaluation frameworks for robotics models and data quality
* Collaborate with ML engineers and researchers to bring robotics research into production
* Deliver features at high velocity while maintaining system reliability and performance
**Ideally, You Have:**
* 3\+ years of software engineering experience in robotics, autonomous vehicles, or related fields
* Strong programming skills in Python and TypeScript/Node.js for production systems
* Experience with React and modern frontend development for 3D interfaces
* Practical experience with robotics frameworks (ROS/ROS2\), simulation environments, or AV systems
* Understanding of distributed systems, workflow orchestration, and cloud infrastructure (AWS, Temporal, Kubernetes, Docker)
* Experience with databases (MongoDB, PostgreSQL) and data processing at scale
* Track record of working with cross\-functional teams including ML engineers, researchers, and customers
* Strong communication skills and ability to operate with high autonomy
**Nice to Haves:**
* Experience with C\+\+
* Experience with robotics hardware platforms (robotic arms, mobile robots, perception systems) with a focus on time synchronization
* Background in computer vision, SLAM, motion planning, or imitation learning
* Familiarity with autonomous vehicle data, lidar technologies, or 3D data processing
* Experience with ML model deployment and serving frameworks
* Knowledge of teleoperation systems (ALOHA, UMI, hand tracking) or VR interfaces
* Experience with workflow orchestration systems (Temporal, Airflow)
* Published research or open\-source contributions in robotics or autonomous systems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36">
      <c r="A136" t="inlineStr">
        <is>
          <t>li-4303503535</t>
        </is>
      </c>
      <c r="B136" t="inlineStr">
        <is>
          <t>Senior Software Engineer - Autonomous Vehicles</t>
        </is>
      </c>
      <c r="C136" t="inlineStr">
        <is>
          <t>NVIDIA</t>
        </is>
      </c>
      <c r="D136" t="inlineStr">
        <is>
          <t>linkedin</t>
        </is>
      </c>
      <c r="E136" t="inlineStr"/>
      <c r="F136" t="inlineStr"/>
      <c r="G136" t="inlineStr">
        <is>
          <t>Oregon, United States</t>
        </is>
      </c>
      <c r="H136" t="inlineStr"/>
      <c r="I136" t="inlineStr">
        <is>
          <t>We are looking for a strong engineer in the DRIVE Road structure / Online mapping / Context Fusion team. In this role, you will help craft and guide the future of our autonomous driving solution for providing a complete 3D world model including fusing signals between map and perception. You will be working closely with our perception and planning teams in providing a world model that is complete and able to drive in the most challenging roads and intersections in the U.S and China. It is a very exciting role that provides a breadth of interesting areas and is central to our vision in AV. Are you interested in inventing human level AI for navigation in the unconstrained world under any conditions? If so, join us!
**What You'll Be Doing**
* Develop core functionality for autonomous driving in all geographies based on the fusion of SOTA perception DNN and map signals.
* Generate real\-time 3D world model utilized by planning, incorporating a variety of inputs from sensors and external sources.
* Enable HD mapless driving in complex urban scenarios by creating enriched BEV models of the world.
* Build fused static obstacles and occupancy grids and build occlusion masks to enrich AV scenarios.
* Be a technology leader by providing the team guidance on approaches to be taken to solve the hardest of AV problems. Be a hands\-on collaborator with the team.
* Hiring and mentoring strong engineers within the team.
* Make sure our algorithms work well on large amounts of real and synthetic data, in a diverse range of environments and conditions
* Produce code and designs following automotive quality and safety standards.
**What We Need To See**
* BS, MS, or PhD in Computer Science or related fields or equivalent experience
* 5\+ years of experience, with at least 2\+ years in the AV or robotics industry.
* 2\+ years of experience technically leading areas
* Passion for robotics and autonomous vehicles
* Drive to learn new things and tackle meaningful problems
* Outstanding communication and cross\-team collaboration especially with multinational teams across the globe.
* Independent and analytical software engineering skills
* Software development experience on embedded or automotive platforms.
**Ways To Stand Out From The Crowd**
* Background in 3D geometry, computer vision, sensor calibration, or state estimation algorithms like Kalman filters, particle filters
* Significant industry experience in the AV area esp. self\-driving cars.
* Experience developing real\-time Computer Vision systems.
* Strong API and framework design skills
 We believe that building self\-driving vehicles will be a defining contribution of our generation (e.g. traffic accidents are responsible for \~1\.25 million deaths per year world\-wide). We have the funding and scale, but we need your help on our team. NVIDIA is widely considered to be one of the technology world’s most desirable employers with some of the most forward\-thinking people in the world working here. If you're entrepreneurial and autonomous,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September 23,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JR1999069</t>
        </is>
      </c>
    </row>
    <row r="137">
      <c r="A137" t="inlineStr">
        <is>
          <t>li-4303510539</t>
        </is>
      </c>
      <c r="B137" t="inlineStr">
        <is>
          <t>Senior Software Engineer - Autonomous Vehicles</t>
        </is>
      </c>
      <c r="C137" t="inlineStr">
        <is>
          <t>NVIDIA</t>
        </is>
      </c>
      <c r="D137" t="inlineStr">
        <is>
          <t>linkedin</t>
        </is>
      </c>
      <c r="E137" t="inlineStr"/>
      <c r="F137" t="inlineStr"/>
      <c r="G137" t="inlineStr">
        <is>
          <t>Washington, United States</t>
        </is>
      </c>
      <c r="H137" t="inlineStr"/>
      <c r="I137" t="inlineStr">
        <is>
          <t>We are looking for a strong engineer in the DRIVE Road structure / Online mapping / Context Fusion team. In this role, you will help craft and guide the future of our autonomous driving solution for providing a complete 3D world model including fusing signals between map and perception. You will be working closely with our perception and planning teams in providing a world model that is complete and able to drive in the most challenging roads and intersections in the U.S and China. It is a very exciting role that provides a breadth of interesting areas and is central to our vision in AV. Are you interested in inventing human level AI for navigation in the unconstrained world under any conditions? If so, join us!
**What You'll Be Doing**
* Develop core functionality for autonomous driving in all geographies based on the fusion of SOTA perception DNN and map signals.
* Generate real\-time 3D world model utilized by planning, incorporating a variety of inputs from sensors and external sources.
* Enable HD mapless driving in complex urban scenarios by creating enriched BEV models of the world.
* Build fused static obstacles and occupancy grids and build occlusion masks to enrich AV scenarios.
* Be a technology leader by providing the team guidance on approaches to be taken to solve the hardest of AV problems. Be a hands\-on collaborator with the team.
* Hiring and mentoring strong engineers within the team.
* Make sure our algorithms work well on large amounts of real and synthetic data, in a diverse range of environments and conditions
* Produce code and designs following automotive quality and safety standards.
**What We Need To See**
* BS, MS, or PhD in Computer Science or related fields or equivalent experience
* 5\+ years of experience, with at least 2\+ years in the AV or robotics industry.
* 2\+ years of experience technically leading areas
* Passion for robotics and autonomous vehicles
* Drive to learn new things and tackle meaningful problems
* Outstanding communication and cross\-team collaboration especially with multinational teams across the globe.
* Independent and analytical software engineering skills
* Software development experience on embedded or automotive platforms.
**Ways To Stand Out From The Crowd**
* Background in 3D geometry, computer vision, sensor calibration, or state estimation algorithms like Kalman filters, particle filters
* Significant industry experience in the AV area esp. self\-driving cars.
* Experience developing real\-time Computer Vision systems.
* Strong API and framework design skills
 We believe that building self\-driving vehicles will be a defining contribution of our generation (e.g. traffic accidents are responsible for \~1\.25 million deaths per year world\-wide). We have the funding and scale, but we need your help on our team. NVIDIA is widely considered to be one of the technology world’s most desirable employers with some of the most forward\-thinking people in the world working here. If you're entrepreneurial and autonomous,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September 23,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JR1999069</t>
        </is>
      </c>
    </row>
    <row r="138">
      <c r="A138" t="inlineStr">
        <is>
          <t>li-4281658765</t>
        </is>
      </c>
      <c r="B138" t="inlineStr">
        <is>
          <t>Front End Software Engineer - All Levels</t>
        </is>
      </c>
      <c r="C138" t="inlineStr">
        <is>
          <t>Credit Karma</t>
        </is>
      </c>
      <c r="D138" t="inlineStr">
        <is>
          <t>linkedin</t>
        </is>
      </c>
      <c r="E138" t="inlineStr"/>
      <c r="F138" t="inlineStr"/>
      <c r="G138" t="inlineStr">
        <is>
          <t>Charlotte, NC</t>
        </is>
      </c>
      <c r="H138" t="inlineStr"/>
      <c r="I138"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As a front end software engineer on our product engineering team, you'll get to lead a growing team at Credit Karma that works across various verticals (home, auto, personal loans, and credit cards). You'll impact a platform that is responsible for handling millions of members accessing their Credit Karma accounts, including registration, login, SMS 2FA, and account recovery.  Further, y
 ou’ll help build product experiences that guide our members through the most challenging financial decision of their lifetime: buying their dream home. From finding a realtor, understanding loan options, and applying to get pre\-approved, we help our members every step of the way. There is an enormous opportunity to build things at scale, move fast, and have a high impact across many different products, including our Core product, Auto, Mortgage and Assets.
**What you’ll do:** 
* Develop features and improvements for the various consumer facing products at Credit Karma using React and Typescript
* Develop, maintain and advocate Frontend code quality standards and best practices. Teach and reinforce these principles through code review
* Solve technical problems of the highest scope and complexity for the team. Serve as a technical leader, resource, and mentor for the other members of the Frontend Engineering team
**What’s great about the role:** 
* Impact our business is experiencing explosive growth and we are actively growing the team to improve and expand our product portfolio
* We are solving BIG problems that are fundamentally changing old industries
* Opportunity to meaningfully improve the lives of our members
* Fast\-paced environment that operates like a ‘start\-up’ within Credit Karma
**Minimum Basic Requirements:** 
* Programming experience with a focus on front end development
* Experience in at least one relevant front\-end framework (React, Typescript, Node, JavaScript)
* Experience in microservices architecture, messaging patterns, and deployment models
* Experience in API design and building robust and extendable client/server contracts.
**Preferred Qualifications:** 
* Proficient in TypeScript
* Experience with GraphQL
* Ability to mentor, teach and coach early career team members
* Strong command of modern HTML and CSS
* A solid foundation in OOP, design patterns, algorithms, programming languages
* Experience with A/B testing
* Experience building highly integrated and testable systems
* Strong communication and leadership abilities.
* Experience with Agile/Scrum practices.
* Bachelor’s or Masters degree in Computer Science, Engineering, Computer Information Systems, Mathematics, Physics, or a related field or software development training program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 **GDPR Privacy Policy**
* **U.S. Job Applicant Privacy Notice**</t>
        </is>
      </c>
    </row>
    <row r="139">
      <c r="A139" t="inlineStr">
        <is>
          <t>li-4354309260</t>
        </is>
      </c>
      <c r="B139" t="inlineStr">
        <is>
          <t>Full Stack Engineer</t>
        </is>
      </c>
      <c r="C139" t="inlineStr">
        <is>
          <t>Protech Talent</t>
        </is>
      </c>
      <c r="D139" t="inlineStr">
        <is>
          <t>linkedin</t>
        </is>
      </c>
      <c r="E139" t="inlineStr"/>
      <c r="F139" t="inlineStr"/>
      <c r="G139" t="inlineStr"/>
      <c r="H139" t="inlineStr"/>
      <c r="I139" t="inlineStr">
        <is>
          <t>**Fullstack Software Engineer**
**Location:** 
 New York City, Hybrid
**Salary:** 
 $150–350k \+ Equity
**Start Date:** 
 ASAP
**Company:**
 Our client is one of the fastest\-growing early\-stage fintech startups in the US, automating financial operating systems for small businesses. Backed by a powerful mission and early traction, the company is using cutting\-edge tech to rebuild trust and financial access for the tens of millions of small businesses, that need modern financial software that works for them.
 Small businesses, such as community pharmacies and independent auto dealers, are the heart of the US economy. However, due to the rise of AI, A digital economy, private equity consolidation, and inflationary pressures, a massive operational gap is forming between these SMBs and larger enterprises / tech\-forward industries. These larger companies employ full finance teams and leverage the latest finance software. Small businesses deserve the same resources.
 This role is ideal for someone who wants to be early at a fintech Rocketship, close to product and customers, and have a transformative career experience. You’ll help rewrite the financial future of America’s SMBs — and be deeply proud of what you’ve built.
**About the Product:**
 The platform is transforming how SMBs manage finances. By combining automation, data intelligence, and embedded finance, they’re closing the gap between legacy spreadsheets and the sophisticated tools used by large enterprises.
 Think: vertical SaaS \+ fintech infra \+ AI\-powered insights, purpose\-built for businesses like community pharmacies and auto dealers that are grinding it out daily without the tools they deserve.
**Funding \&amp; ARR:**
 Achieved a $17 million Series A, 6 months after Seed funding. Achieved $7 million in ARR with a team of 10 people in 15 months.
**About the Team:**
 The company is led by two founders from UC Berkeley, who have already had success with founding and investing into companies, who have built relationships with business owners from the ground up, earning their trust in a sector plagued by scepticism. Now, they’re partnered with influential trade associations across the country, to onboard their clients with the entities that will support them. They are operating in all 50 states (plus Puerto Rico), with concentration in states like Tennessee, Oklahoma, and Missouri.
 The team is currently 10 people and operates in\-person from a beautiful Flatiron\-based office in NYC. They’re hands\-on, ambitious, and customer obsessed. This is a team that doesn’t punch the clock, just like their customers don’t. deep product immersion is part of the culture, and they pride themselves on doing what it takes to deliver.
 If you’re looking for a cushy Big Tech gig, this isn’t it. But if you want to stretch yourself, grow fast, and build something that matters — this could be your career\-defining moment.
**About the Role:**
 As a
 **Fullstack Engineer** 
 , you’ll be responsible for shaping the financial backbone of American SMBs by building the systems that unlock financial data and intelligence, automate work\-flows, and co\-pilot their decisions. Your expertise won't just be used to build software. It will empower the tens of millions of hard\-working SMB owners across America.
**Responsibilities:** 
* Own and lead full\-stack development across the lifecycle: architecture, coding, testing, deployment, and production support.
* Collaborate closely with internal stakeholders and SMB customers to translate business challenges into robust technical solutions.
* Refine engineering tools, processes, and systems to scale productivity and improve quality.
* Play a key role in shaping the engineering culture and best practices.
* Contribute beyond engineering — we value builders who lean in on product, design, and business too.
**Tech Stack:**
* **Frontend/Backend:** 
 JavaScript, TypeScript, React, Node.js or Python or GO
* **Infrastructure:** 
 AWS
* **Other Tools:** 
 SQL, CI/CD pipelines, containerized microservices (Docker/Kubernetes a plus)
**Your Experience:**
* 2–15 years of experience as a Fullstack engineer with React \&amp; Node or another modern backend programming language such as Python or GO
* Can be backend of frontend leaning
* Strong foundation in CS (preferably from a top\-tier school or equivalent experience).
* History of early\-stage startup or founding engineer experience.
* Demonstrated experience shipping 0–1 products and architecting end\-to\-end solutions.
* SQL schema design and hands\-on backend development are core strengths.
* Worked in environments with fast\-paced iteration, ambiguity, and a deep customer focus.
* Passionate about the mission and long\-term impact of empowering underserved business owners.
**You will be a cultural fit if…**
* You’ve had fast career progression (Senior/Staff\-level growth early in your career).
* You have a high\-ownership mentality, you treat code, product, and customer outcomes as your responsibility. You drive your own results and are proactive at solving problems.
* You thrive in high\-accountability, high\-reward environments.
* You want to work in person with driven peers to iterate fast, learn fast, and win fast.
* You’ve interned or worked at top\-tier startups or tech companies.
* You’re relentlessly curious and think like a founder, you ask business questions and want to understand “why” just as much as “how.”
* You are an intelligent individual with analytical thinking, problem solving skills and can communicate eloquently.
* You want to push yourself, the company and the team to be the best and have the confidence to give your opinion on topics.
**Benefits:**
* Competitive salary \&amp; equity
* 100% employer\-paid Health, Dental, and Vision insurance
* Relocation reimbursement to NYC
* Daily team\-provided lunch \&amp; dinner (in\-office)
* Paid tech setup (laptop, monitor, peripherals)
* Beautiful Flatiron office
**Interview Process:**
1. **Intro Call** 
 with Co\-Founder
2. **Second Call** 
 with other Co\-Founder
3. **Technical Interview**
* One focused on architecture and a case study with the engineering team
* Once focused on backend Design and coding
1. **Final Pre\-Offer Meeting**
* Culture fit, Q\&amp;A, compensation alignment
* ✔️ Fast decision turnaround — you’ll know where you stand.</t>
        </is>
      </c>
    </row>
    <row r="140">
      <c r="A140" t="inlineStr">
        <is>
          <t>li-4330077286</t>
        </is>
      </c>
      <c r="B140" t="inlineStr">
        <is>
          <t>Software Engineer, Cluster Networking</t>
        </is>
      </c>
      <c r="C140" t="inlineStr">
        <is>
          <t>Google</t>
        </is>
      </c>
      <c r="D140" t="inlineStr">
        <is>
          <t>linkedin</t>
        </is>
      </c>
      <c r="E140" t="inlineStr"/>
      <c r="F140" t="inlineStr"/>
      <c r="G140" t="inlineStr">
        <is>
          <t>Sunnyvale, CA</t>
        </is>
      </c>
      <c r="H140" t="inlineStr"/>
      <c r="I140" t="inlineStr">
        <is>
          <t>**Minimum qualifications:**
* Bachelor’s degree or equivalent practical experience.
* 2 years of experience with software development in one or more programming languages, or 1 year of experience with an advanced degree in an industry setting.
* 1 year of experience with distributed computing.
**Preferred qualifications:**
* Master's degree or PhD in Computer Science or a related technical field.
* Experience in coding with C\+\+ and Go.
* Experience with Data center Networking and Cloud Networking.
**About The Job**
 Our team is responsible for software that manages changes to Google's cluster networks worldwide. Networking enables the growing demand for distributed computing to support innovative applications, such as machine learning, Cloud computing, and Google applications. Our team builds systems to make this possible.
 As a Software Engineer, You will be working with a team of Software Engineers, to build, deploy and in some cases even operate, the systems that enable network systems management. You will be expected to design and implement large features that enable the self\-driving\-networks mission of the team. You will be expected to develop technical understanding and qualification by working with complex distributed systems and cope with a broad ecosystem with many moving parts. You will involve developing new systems for emerging customer requirements as well as evolving and sustaining existing systems, and there will be opportunities to grow and contribute to the product excellence and strategic direction.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build new networks or subsystems for data center networks.
* Design and build support for self\-sustaining, self\-driving networks. Build automated tests for data center network software.
* Design and build systems that operate globally as well as those that execute in regional isolation.
* Work on automation systems that execute complex network lifecycle operations such as expanding/upgrading/decommissioning network sub\-components.
* Work on projects that improve the availability and debuggability of data center networks.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1">
      <c r="A141" t="inlineStr">
        <is>
          <t>li-4354356820</t>
        </is>
      </c>
      <c r="B141" t="inlineStr">
        <is>
          <t>Senior / Staff Software Engineer - Protocol</t>
        </is>
      </c>
      <c r="C141" t="inlineStr">
        <is>
          <t>Sei Labs</t>
        </is>
      </c>
      <c r="D141" t="inlineStr">
        <is>
          <t>linkedin</t>
        </is>
      </c>
      <c r="E141" t="inlineStr"/>
      <c r="F141" t="inlineStr"/>
      <c r="G141" t="inlineStr">
        <is>
          <t>New York, NY</t>
        </is>
      </c>
      <c r="H141" t="inlineStr"/>
      <c r="I141" t="inlineStr">
        <is>
          <t>**About Sei**
 Sei Labs builds open sourced technology for the high\-performance Sei Blockchain, the first parallelized EVM Layer 1 blockchain designed to scale with the industry. The unique optimizations built into Sei enable Web3 applications to reach Web2 level scale and performance, driving the mass adoption of digital assets.
 Our teams are comprised of former Google, Goldman Sachs, Robinhood, Nvidia, and Databricks veterans dedicated to onboarding the next billion users onto a vibrant ecosystem of applications.
 Sei Labs has raised over $30M from top investors including Jump Crypto, Multicoin Capital, Coinbase Ventures, Distributed Global, Hudson River Trading, and Flow Traders.
 We're a globally distributed team with a fully remote workforce. Check out our website and docs for more details.
**Protocol Engineering at Sei**
 Sei Labs is looking for a
 **Protocol Engineer** 
 to lead the development of core components of the Sei Blockchain. You'll work at the forefront of blockchain infrastructure, designing and optimizing the foundational layers of a high\-performance, scalable decentralized network. You'll collaborate closely with our engineering team and ecosystem partners, constantly innovating to push the boundaries of blockchain technology. If you're passionate about low\-level systems design, performance optimization, and shaping the future of decentralized networks, this is a rare opportunity to make a lasting impact in Web3\.
**Responsibilities**
* Write code to build the core sei blockchain (consensus, state management, etc.)
* Proactively identify and drive optimizations and improvements to the product.
* Collaborate with our frontend team to fine tune our REST API to support our customers.
* Take ownership over your work and the work of the team.
**Qualifications**
* 5\+ years of infrastructure engineering experience.
* Proven results in building or scaling Layer 1 blockchains performance.
* A proven tech lead with experience planning and leading large projects with long\-term impact on a single system or team.
* Strong technical grasp and excellent judgment on task prioritizations.
* Able to tackle complex engineering problems that deliver results.
* History of creating and applying new processes and tooling to increase engineering efficiency.</t>
        </is>
      </c>
    </row>
    <row r="142">
      <c r="A142" t="inlineStr">
        <is>
          <t>li-4343970638</t>
        </is>
      </c>
      <c r="B142" t="inlineStr">
        <is>
          <t>Software Engineer II</t>
        </is>
      </c>
      <c r="C142" t="inlineStr">
        <is>
          <t>MetLife</t>
        </is>
      </c>
      <c r="D142" t="inlineStr">
        <is>
          <t>linkedin</t>
        </is>
      </c>
      <c r="E142" t="inlineStr"/>
      <c r="F142" t="inlineStr"/>
      <c r="G142" t="inlineStr">
        <is>
          <t>Cary, NC</t>
        </is>
      </c>
      <c r="H142" t="inlineStr"/>
      <c r="I142" t="inlineStr">
        <is>
          <t>**Requirements**
**Description and Requirements**
**Role Overview:**
 Retirement \&amp; Income Solutions is looking for Full Stack Engineers to be responsible for the design, development, and implementation of software solutions. We are looking for someone with experience with modern technologies, such as Generative AI, cloud\-native applications with high scalability architecture, DevSecOps best practices, etc., who is forward\-looking and can leverage emerging technologies and is comfortable with hands\-on experimentation. As an agile team member, you will collaborate closely with the Scrum Lead, Product Owner and ART Leadership to ensure your work is meaningful and aligns to business goals and objectives. You will have an opportunity to impact every part of the system, foster and cultivate your curiosity and iterate over solutions to be the very best you can be to deliver for our customers. The role is expected to have experience in software development and related middleware and infrastructure considerations, stay abreast of leading\-edge technologies such as Generative AI and Cloud native application design and implementation, and will be a critical team member within an Agile Release Train.
**Location:** 
 Hybrid schedule. Must be in commutable distance to:
* Cary, NC
* Greenville, SC
* Clarks Summit, PA
**Key Responsibilities:**
* Implementing enterprise caliber web and backend solutions using Java and ReactJS in modern, cloud\-based applications
* Develop and support solutions with Java on legacy platforms, with modernization when possible
* Analyze, design, and implement major features and components
* Deliver secure, enterprise\-grade web and backend solutions with support of generative AI
* Ensure elevated code quality and security standards through use of DevSecOps best practices
* Resolve production incidents and service requests
* Collaborate with stakeholders and cross\-functional teams
* Active participation in agile ceremonies including daily stand\-ups, sprint planning, sprint retrospectives, stakeholder demos, and PI planning events
**Required Qualifications:**
* Bachelor’s degree
* 3\+ years of experience developing applications in Java
* 2\+ years of experience developing applications using a modern Javascript framework (ReactJS preferred)
* 2\+ years of experience developing RESTful API’s
* 1\+ years of experience with SQL and relational databases
* 4\+ years of experience in application design, coding, testing, and troubleshooting
**Preferred Qualifications:**
* Bachelor’s Degree or more advanced degree Computer Science, Information Systems, Engineering, or related field
* 4 years of experience developing applications in Java
* 1\+ years of experience with Cloud native applications deployed to Azure, AWS or Google Cloud
* 1\+ years of experience with Docker and Kubernetes
* 1\+ years of experience with DevOps practices (CI/CD, release management, automation) using Azure DevOps
* 2\+ years of experience with Junit/Mockito or equivalent unit testing frameworks
* 1\+ years of Experience with Selenium\-based functional testing frameworks
* 2\+ years of experience with Git\-based repositories (GitHub, Bitbucket, Azure Repos)
* 1\+ years of experience with modern Identity and Access Management and AppSec practices
* 1\+ years of experience working in matrix organizations, offshore teams, and fast\-paced projects
* 1\+ years of experience to Microsoft Azure tools and modern AI concepts (generative AI, machine learning, large language models, conversational AI)
* Strong communication and problem\-solving skills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79,675 \- 112,500\.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79,675 \- 112,500</t>
        </is>
      </c>
    </row>
    <row r="143">
      <c r="A143" t="inlineStr">
        <is>
          <t>li-4253837921</t>
        </is>
      </c>
      <c r="B143" t="inlineStr">
        <is>
          <t>Founding Software Engineer | Healthcare</t>
        </is>
      </c>
      <c r="C143" t="inlineStr">
        <is>
          <t>EliseAI</t>
        </is>
      </c>
      <c r="D143" t="inlineStr">
        <is>
          <t>linkedin</t>
        </is>
      </c>
      <c r="E143" t="inlineStr"/>
      <c r="F143" t="inlineStr"/>
      <c r="G143" t="inlineStr">
        <is>
          <t>New York, NY</t>
        </is>
      </c>
      <c r="H143" t="inlineStr"/>
      <c r="I143" t="inlineStr">
        <is>
          <t>**About EliseAI**
 At EliseAI, we're improving the industries that matter most: housing and healthcare. Everyone needs a place to live and access to quality healthcare, yet both are often harder to secure than they should be.
 By integrating AI agents deeply into existing workflows, we make them more efficient, reduce costs, and improve the experience for everyone.
* Housing: We simplify how renters tour apartments, sign leases, submit maintenance requests, and stay connected with their property team—bringing everything they need for their home into one place.
* Healthcare: We make it easy to schedule appointments, complete intake forms, and we help patients communicate with providers, so everyone can focus on health instead of paperwork.
 With EliseAI, organizations reduce manual work, improve accessibility, and deliver a seamless experience across essential services. We recently raised a $250 million Series E round led by Andreessen Horowitz to accelerate this mission.
**About The Role**
 EliseAI is breaking into a new vertical: healthcare. We are looking to hire a Founding Software Engineer to play an essential role in building up our new business unit. You’ll work at a startup within a startup, driving transformative change in healthcare.
 As a Software Engineer at EliseAI, you won't just write code; you'll build software that improves business operations and makes a real impact on people's lives. Instead of following a playbook, you’ll be creating it. Every single day you will be challenged to identify how we can scale and execute on it. You’ll work on a small team with other top Engineers, and you'll take on significant ownership, lead projects, and see your ideas come to life.
**Key Responsibilities**
* Build systems that enable autonomous operations in healthcare, streamlining communication and administrative workflows
* Work directly with our customers to develop and own new product features end\-to\-end from design to deployment
* Improve the scalability and reliability of our core infrastructure
* Propose and implement meaningful improvements to our architecture and design patterns
* Collaborate with product and design to turn AI capabilities into user\-facing experiences
* Continuously ship new features and improvements in an environment deploying 100\+ times per day
* Apply engineering best practices in testing, observability, and continuous integration
* Balance speed and quality while iterating quickly on production systems
**Move at rocket speed, build something massive.**
 We’re scaling fast, solving real client problems with precision and ambition. Here, you own your impact; full autonomy, no micromanagement, no fluff.
 We hire the best, expect the best, and give you the masterclass of your career. It’s hard, it’s intense, and it’s the most rewarding work you’ll ever do. If you’re hungry, driven, and ready to build something massive, climb aboard.
**Requirements**
* Startup mindset with a strong sense of ownership, urgency, and pragmatism in building and shipping software
* Ability to solve complex problems independently with minimal guidance
* Bias for action — you move quickly from idea to implementation.
* Solid understanding of system design and scalable architecture principles.
* 1\+ years of experience in Java, C\#, Go, or Python
* Willingness to work in person at our office 4\-5 days a week
**Nice to haves include**
* Understanding of microservices architecture and event\-driven distributed systems
* Understanding of machine learning and data
* AWS experience
**Why Join**
 Growth and impact. It’s not often that you can get in on the ground floor of a funded (unicorn!) startup that’s scaling so fast. That means that instead of following a playbook, you’ll be writing it. Every single day you will be challenged to identify how we can scale and execute on it. You’ll learn what works when you succeed and what doesn’t when you fail. Either way, the rest of the team will be here to support you.
**Benefits**
 In addition to the growth and impact you’ll have at EliseAI, we offer competitive salaries along with the following benefits:
* Equity in the company
* Medical, Dental and Vision premiums covered at 100%
* Fully paid parental leave
* Commuter benefits
* 401k benefits
* Fitness \&amp; home services stipend to cover part of your expenses so you can focus on what matters
* A collaborative in\-office environment with an open floor plan, fully stocked kitchen, and all meals covered in the office
* Unlimited vacation and paid holidays
* We'll cover relocation packages and make the move exciting, not painful!
**Job Compensation Range**
 The salary range for this role is $240,000 \- $300,000\. EliseAI offers a competitive total rewards package which includes base salary, equity, and a comprehensive benefits \&amp; perks package. Exact compensation is determined based on a number of factors including experience, skill level, location and qualifications which are assessed during the interview process. Additional details about total compensation and benefits will be provided by our Recruiting Team during the hiring process.
 EliseAI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that employment with EliseAI is on an "at\-will" basis, which means that either the employee or the company may terminate the employment relationship at any time, with or without cause or notice.
 Pursuant to the San Francisco Fair Chance Ordinance, we will consider for employment qualified applicants with arrest and conviction records.
 If you need assistance and/or a reasonable accommodation in the application or recruiting process due to a disability, please contact us at recruiting@eliseai.com</t>
        </is>
      </c>
    </row>
    <row r="144">
      <c r="A144" t="inlineStr">
        <is>
          <t>li-4350821809</t>
        </is>
      </c>
      <c r="B144" t="inlineStr">
        <is>
          <t>Full Stack Engineer</t>
        </is>
      </c>
      <c r="C144" t="inlineStr">
        <is>
          <t>BeaconFire Inc.</t>
        </is>
      </c>
      <c r="D144" t="inlineStr">
        <is>
          <t>linkedin</t>
        </is>
      </c>
      <c r="E144" t="inlineStr"/>
      <c r="F144" t="inlineStr"/>
      <c r="G144" t="inlineStr">
        <is>
          <t>Indiana, United States</t>
        </is>
      </c>
      <c r="H144" t="inlineStr"/>
      <c r="I144"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5">
      <c r="A145" t="inlineStr">
        <is>
          <t>li-4350751937</t>
        </is>
      </c>
      <c r="B145" t="inlineStr">
        <is>
          <t>Java Full Stack Engineer</t>
        </is>
      </c>
      <c r="C145" t="inlineStr">
        <is>
          <t>BeaconFire Inc.</t>
        </is>
      </c>
      <c r="D145" t="inlineStr">
        <is>
          <t>linkedin</t>
        </is>
      </c>
      <c r="E145" t="inlineStr"/>
      <c r="F145" t="inlineStr"/>
      <c r="G145" t="inlineStr">
        <is>
          <t>New York, United States</t>
        </is>
      </c>
      <c r="H145" t="inlineStr"/>
      <c r="I145"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146">
      <c r="A146" t="inlineStr">
        <is>
          <t>li-4330167386</t>
        </is>
      </c>
      <c r="B146" t="inlineStr">
        <is>
          <t>Software Developer</t>
        </is>
      </c>
      <c r="C146" t="inlineStr">
        <is>
          <t>Dedicated Tech Services, Inc.</t>
        </is>
      </c>
      <c r="D146" t="inlineStr">
        <is>
          <t>linkedin</t>
        </is>
      </c>
      <c r="E146" t="inlineStr"/>
      <c r="F146" t="inlineStr"/>
      <c r="G146" t="inlineStr">
        <is>
          <t>Columbus, OH</t>
        </is>
      </c>
      <c r="H146" t="inlineStr"/>
      <c r="I146" t="inlineStr">
        <is>
          <t>**Company and Role:** 
 Dedicated Tech Services, Inc. (DTS) is an award\-winning IT consulting firm based in Columbus, OH. We now have an opening for a Software Developer
**Highlights and Benefits:** 
* On\-site in Columbus, OH
* W2 hourly pay rate up to $47/hr or salaried equivalent
* Direct W2 hourly or salaried applicants only (
 **no corp\-to\-corp subcontractors, third parties, or agencies** 
 )
* Paid time off and holidays for salaried employees
* 401K, billable bonus, and health, life, vision, dental and short\-term disability insurance options for all
* DTS is a proud Women Business Enterprise (WBE) and Woman Owned Small Business (WOSB)!
* Check out our benefits and company information at www.dtsdelivers.com!
**Job Description** 
 :
 We are hiring an experienced Software Developer to work for us as our direct, W2 salaried or hourly employee to join our team. You will:
* Develop and maintain web applications to enhance our customer data platform and engagement technologies
* Create and manage email campaigns to improve customer engagement
* Design and implement automated testing frameworks to ensure software quality
* Utilize cloud technologies to support development efforts
* Collaborate with cross\-functional teams to deliver innovative solutions
**Required Skills and Experience:** 
* Strong technical expertise in cloud technologies
* Proficiency in Python and Node.js
* Advanced knowledge of JavaScript
* Experience in automation testing and modern development practices
 US Citizens and those authorized to work in the US are encouraged to apply. We are unable to sponsor at this time.
 Dedicated Tech Services, Inc. is an Equal Opportunity Employer</t>
        </is>
      </c>
    </row>
    <row r="147">
      <c r="A147" t="inlineStr">
        <is>
          <t>li-4354563937</t>
        </is>
      </c>
      <c r="B147" t="inlineStr">
        <is>
          <t>Senior Software Engineer (C# &amp; Angular) | Elite Hedge Fund | Boston</t>
        </is>
      </c>
      <c r="C147" t="inlineStr">
        <is>
          <t>Delmar Nord</t>
        </is>
      </c>
      <c r="D147" t="inlineStr">
        <is>
          <t>linkedin</t>
        </is>
      </c>
      <c r="E147" t="inlineStr"/>
      <c r="F147" t="inlineStr"/>
      <c r="G147" t="inlineStr"/>
      <c r="H147" t="inlineStr"/>
      <c r="I147" t="inlineStr">
        <is>
          <t>**Senior Software Engineer (C\# \&amp; Angular) \| Elite Hedge Fund \| Boston** 
 An elite, multi\-billion dollar hedge fund in Boston is looking for a Senior Software Engineer to build out new trading systems, risk, and compliance systems. This is a prestigious investment institution in Boston that's sustained exceptionally consistent returns across the past few decades. They are expanding their engineering team to support the growth of new systematic strategies that have been very successful. This is an excellent opportunity to work closely with investment teams at a lean firm, build next\-gen systems, applications, and integrations that will enable the expansion of new strategies, and learn about fundamental and systematic investment processes across multiple asset classes.
 You’ll work directly with trading teams, researchers, and quant developers to design scalable applications and tools for new trading systems, risk, and compliance systems. The team is highly collaborative, customer\-focused, and deeply embedded within the investment process. This is a hands\-on engineering role with a strong emphasis on high\-quality, clean, maintainable and modular code, and enabling high\-velocity research.
**Opportunity** 
 :
* Design and build robust, scalable applications, custom features, and integrations across trading, risk, and compliance systems
* Improve architecture, performance, and reliability of existing platforms
**Skills** 
 :
* Degree in Computer Science, Engineering, Applied Math or related field
* 7\+ years of professional experience using C\#/.NET to design and build complex software
* Experience with .NET core and modern versions of .NET/C\#
**Nice to have** 
 :
* Full stack experience designing/building or migrating front\-ends to Angular
* Experience building tools or software for investment/trading/quantitative research teams
**Benefits** 
* Highly collaborative, low\-ego culture focused on working together closely, solving impactful business problems, and pursuing excellence and learning on a daily basis.
* Industry leading quality of life, work\-life\-balance, benefits, and compensation
* Exceptional internal mobility and growth opportunities (average tenure of this firm's leadership group is 15\+ years. Many of their leaders and team members across all levels joined this firm as interns and have never left!</t>
        </is>
      </c>
    </row>
    <row r="148">
      <c r="A148" t="inlineStr">
        <is>
          <t>li-4324426016</t>
        </is>
      </c>
      <c r="B148" t="inlineStr">
        <is>
          <t>Software Engineer</t>
        </is>
      </c>
      <c r="C148" t="inlineStr">
        <is>
          <t>Mattson Technology</t>
        </is>
      </c>
      <c r="D148" t="inlineStr">
        <is>
          <t>linkedin</t>
        </is>
      </c>
      <c r="E148" t="inlineStr"/>
      <c r="F148" t="inlineStr"/>
      <c r="G148" t="inlineStr">
        <is>
          <t>Fremont, CA</t>
        </is>
      </c>
      <c r="H148" t="inlineStr"/>
      <c r="I148" t="inlineStr">
        <is>
          <t>**About Mattson** 
 Mattson Technology is a global company with nearly 30 years of experience delivering leading\-edge technology and products in the Dry Strip, Plasma and Thermal markets to our customers. While we consider Silicon Valley our roots, we have evolved into a worldwide organization that includes manufacturing, research and development, customer support, finance and sales operations throughout Asia, Europe, and North America.
 Our success is a result, in large part to the highly qualified and dedicated employees at Mattson Technology. Our employees represent a diverse group of individuals, committed to working as a team to deliver on our commitments. We value the ingenuity, flexibility, passion, knowledge and “can do” attitude that our employees exemplify daily.
 We encourage you to consider a career at Mattson Technology. Mattson Technology recognizes that to recruit and retain a team of highly qualified employees, we must invest in our employees and therefore, we offer a comprehensive employee benefits package.
**About the Role** 
 This opening is for a
 **Software Engineer** 
 to join our team in product engineering development. This role is a part of Common Software Team responsible for developing new software platform to be used across all Mattson Technology tools. Candidates’ performance will be subject to peer review.
**Key Responsibilities:** 
 · Author and implement scalable and sustainable embedded code for current and future systems
 · Design, test, and implement control functions (e.g., Robotics, Vacuum, RF, MFC, error handling) for current and future systems
 · Work closely with firmware vendors and electrical engineers to support subsystem and system\-level bring\-up, testing, and debugging
 · Developing unit tests and automated tests
 · Developing a practical perspective of the software engineering discipline, with a focus on delivering high\-quality products
 · Analyze test data for ways to improve our existing controls and design
 · Participate in system and software module level design reviews
 · Lead and execute complex software projects
 · Communicate with internal and external customers for requirements and roadmaps
 · Bring new ideas for improving software products and development processes
**Requirements:** 
 · Bachelor’s degree in Computer Science, Computer Engineering, or related technical discipline
 · 2\+ years of engineering experience in developing software solutions in semiconductor equipment industry or related technical discipline, experience with multiple system control and software architecture a big plus
 · Technical vision, continuous focus on engineering and operational excellence are essential for the success in this role
 · C\+\+ Programming and understanding of object\-oriented languages
 · Good understanding of OOP concepts and modeling of the real\-world systems
 · Understanding of multi\-threading and asynchronous programing
 · Experience in developing distributed systems, understanding of TCP/IP, RPC frameworks
 · Working Knowledge with Linux/Unix and/or Windows environments
 · Great energy and enthusiasm with a positive, collaborative working style, clear communication and writing skills
 · Willing to learn new technologies and dive deep into the issues
 · Knowledge of general algorithms and data structures is a must
 · Experience and willingness to work in distributed team
 · “You build it – You own it” mentality is a must. Sense of ownership is paramount to achieving success at Mattson
 Equal Opportunity Employer
 Mattson Technology, Inc. is proud to be an Equal Opportunity Employer. All qualified applications will receive consideration for employment without regard to race, color, religion, sex, national origin, disability, protected veteran status, or any other characteristic protected by law.</t>
        </is>
      </c>
    </row>
    <row r="149">
      <c r="A149" t="inlineStr">
        <is>
          <t>li-4354377542</t>
        </is>
      </c>
      <c r="B149" t="inlineStr">
        <is>
          <t>Software Developer I</t>
        </is>
      </c>
      <c r="C149" t="inlineStr">
        <is>
          <t>EPB</t>
        </is>
      </c>
      <c r="D149" t="inlineStr">
        <is>
          <t>linkedin</t>
        </is>
      </c>
      <c r="E149" t="inlineStr"/>
      <c r="F149" t="inlineStr"/>
      <c r="G149" t="inlineStr">
        <is>
          <t>Chattanooga, TN</t>
        </is>
      </c>
      <c r="H149" t="inlineStr"/>
      <c r="I149" t="inlineStr">
        <is>
          <t>**Purpose** 
 The Software Developer I will assist in the integration of core software systems to enhance external and internal customer experiences. This role will operate at a corporate level.
**Duties \&amp; Responsibilities** 
* Assist in developing and maintaining the underlying middleware software that powers EPB’s customer\-facing internal applications and websites.
* Learn to write solid, efficient, and readable code.
* Participate in department scrum meetings to learn software and engineering best practices.
* Contribute to the progress of the team in an efficient manner.
* Assist in performing root cause analysis (RCA) and learn how systems are integrated.
* Assist with documentation of supporting knowledge architecture and standards.
* Perform after\-hours support duties as needed to sustain systems, software, and customer\-impacting internal tools– 24/7/365\.
**Education \&amp; Experience** 
* Bachelor's degree in computer science or a related field preferred or an equivalent combination of related training and experience.
* 1\-2 years of related experience.
* Database and SQL experience.
* Experience communicating technical concepts to non\-technical audiences.
**Certifications \&amp; Other Requirements** 
* Possess and maintain a current, valid driver's license in state of residence and demonstrate safe and responsible operation of motor vehicles.
* Knowledge of Enterprise Java preferred.
* Knowledge of REST and Soap based web services preferred.
* Knowledge of how to document components of the software development life cycle (designs, testing plans, etc.) preferred.
* Received a “Meets Expectations” or higher overall rating on last annual performance appraisal and no disciplinary actions (verbal or written) during previous appraisal period.
 May perform other duties as assigned.
 All employees, pursuant to their job duties, should demonstrate the behaviors of Professional Empowerment and comply with all EPB policies, standards, and guidelines.
 EPB provides electric and communications services, which are considered critical infrastructure by the Department of Homeland Security.
 This EPB job is essential to support this critical infrastructure and may be required to work onsite or in the field to maintain these services.</t>
        </is>
      </c>
    </row>
    <row r="150">
      <c r="A150" t="inlineStr">
        <is>
          <t>li-4295143801</t>
        </is>
      </c>
      <c r="B150" t="inlineStr">
        <is>
          <t>Sr. Software Engineer</t>
        </is>
      </c>
      <c r="C150" t="inlineStr">
        <is>
          <t>TubeScience</t>
        </is>
      </c>
      <c r="D150" t="inlineStr">
        <is>
          <t>linkedin</t>
        </is>
      </c>
      <c r="E150" t="inlineStr"/>
      <c r="F150" t="inlineStr"/>
      <c r="G150" t="inlineStr">
        <is>
          <t>Los Angeles, CA</t>
        </is>
      </c>
      <c r="H150" t="inlineStr"/>
      <c r="I150" t="inlineStr">
        <is>
          <t>**🚀SR SOFTWARE ENGINEER WANTED \- DRIVE MEANINGFUL IMPACT AT HYPERGROWTH VENTURE🚀**
**Are you driven by impact, ownership, and a passion for elegant yet efficient systems?**
**⚙️What You’ll Do⚙️**
* Build responsive frontend applications for complex ad operations workflows
* Deploy and maintain production cloud infrastructure (AWS/GCP/Azure) with CI/CD, monitoring, and scaling
* Collaborate on system architecture decisions supporting multiple AI agent integrations
**Must\-Have**
**🎮Technical Requirements🎮**
* Languages: JavaScript expertise with modern frameworks (React/Vue/Angular), Python expertise, and experience with at least one low\-level language (C, C\+\+, Rust, Zig, or similar)
* Experience: Building large\-scale SaaS platforms from scratch; Cloud deployment and DevOps
**Preferred Technologies**
* React/Next.js/Vue.js, FastAPI/Django/Flask, Docker/Kubernetes, PostgreSQL/MongoDB/Redis, Temporal/Airflow/Dagster), Kafka/RabbitMQ, AuthN and AuthZ
**🧬Who You Are🧬**
 A driven overachiever with an owner mindset.
 You're not just a coder \- you're an architect who sees the big picture while mastering the details. You take pride in building high\-quality systems that deliver results. You push yourself to solve problems others can't and constantly seek to expand your technical horizons.
**Salary**
**💵Comp \&amp; Benefits 💵**
 $120\-180k Base depending on experience
* Performance Bonus Eligible
**Benefits Include**
* Health, Dental, Vision coverage
* Unlimited PTO
* 401k \+ matching
* Life Insurance
* Parental Leave
* And more ✨
**🛸Why Join Us🛸**
 We're experiencing exceptional growth in a contracting market. We combine startup agility with established financial stability. You'll work on exciting challenges with a brilliant team of like\-minded professionals who value both technical excellence and creative problem\-solving. You'll have immediate impact on critical systems and clear paths for professional advancement.
 This isn't just another job \- it's your chance to build something meaningful with people who are as passionate and talented as you are.
 🧩If this sounds like you \-
 **we’d love to talk! Apply here \&gt;\&gt;**</t>
        </is>
      </c>
    </row>
    <row r="151">
      <c r="A151" t="inlineStr">
        <is>
          <t>li-4330197519</t>
        </is>
      </c>
      <c r="B151" t="inlineStr">
        <is>
          <t>Full Stack Engineer</t>
        </is>
      </c>
      <c r="C151" t="inlineStr">
        <is>
          <t>Strategic Employment Partners (SEP)</t>
        </is>
      </c>
      <c r="D151" t="inlineStr">
        <is>
          <t>linkedin</t>
        </is>
      </c>
      <c r="E151" t="inlineStr"/>
      <c r="F151" t="inlineStr"/>
      <c r="G151" t="inlineStr"/>
      <c r="H151" t="inlineStr"/>
      <c r="I151" t="inlineStr">
        <is>
          <t>A fast\-scaling SaaS startup is building AI\-powered voice automation for enterprise GTM teams' is looking for a Senior Software Engineer who’s comfortable owning both app\-layer (TypeScript/Node/React/Go) and deployment (AWS, Terraform, CI/CD) systems.
 It’s a hands\-on, high\-autonomy role onsite in NYC with a team that moves fast and ships daily.
**Preferred Qualifications:** 
* Experience with startups is a plus
* Experience with Front\-end technologies such as Next Js, React, and Typescript
* Backend experience with Node and Golang
**Location** 
 : Fully on\-site in NYC</t>
        </is>
      </c>
    </row>
    <row r="152">
      <c r="A152" t="inlineStr">
        <is>
          <t>li-4354308616</t>
        </is>
      </c>
      <c r="B152" t="inlineStr">
        <is>
          <t>Software Engineer</t>
        </is>
      </c>
      <c r="C152" t="inlineStr">
        <is>
          <t>Hirenza</t>
        </is>
      </c>
      <c r="D152" t="inlineStr">
        <is>
          <t>linkedin</t>
        </is>
      </c>
      <c r="E152" t="inlineStr"/>
      <c r="F152" t="inlineStr"/>
      <c r="G152" t="inlineStr"/>
      <c r="H152" t="inlineStr"/>
      <c r="I152" t="inlineStr">
        <is>
          <t>**About The Company**
 Capital One is a leading diversified bank renowned for its innovative approach to banking and financial services. With a focus on leveraging technology and data\-driven insights, Capital One aims to deliver exceptional customer experiences and foster financial empowerment for millions of Americans. The company operates across various segments, including credit cards, auto loans, and savings products, and is committed to fostering a collaborative, inclusive, and forward\-thinking workplace environment. Capital One's dedication to innovation is reflected in its investment in cutting\-edge technologies and its pursuit of digital transformation to redefine banking experiences in the modern era.
**About The Role**
 We are seeking a highly skilled Lead Software Engineer, Tech Lead (Full Stack), to join our dynamic technology team. This role offers an exciting opportunity to lead a diverse portfolio of projects, working at the intersection of data, emerging technologies, and customer\-centric solutions. As a key contributor, you will oversee the development and delivery of scalable, cloud\-based applications that meet regulatory standards and drive impactful user experiences. Your leadership will influence the technical direction of projects, mentor junior engineers, and foster innovation within the team. This position is ideal for someone passionate about building robust software solutions, staying abreast of technological advancements, and leading teams to achieve excellence in a fast\-paced, collaborative environment.
**Qualifications**
 The ideal candidate will possess a combination of educational background and professional experience, including:
* Bachelor's Degree in Computer Science, Information Technology, or a related field.
* Minimum of 4 years of professional experience in software engineering, excluding internships.
* At least 1 year of experience working with cloud computing platforms such as AWS, Microsoft Azure, or Google Cloud.
 Preferred qualifications include a Master's Degree, over 7 years of experience in relevant programming languages and frameworks, extensive cloud service expertise, open\-source framework experience, and leadership experience managing teams in Agile environments.
**Responsibilities**
* Lead a portfolio of technology projects, managing a team of experienced developers to deliver innovative solutions that address regulatory and business needs.
* Design, develop, and maintain web applications using test\-driven development practices to ensure high quality and reliability.
* Stay current with industry trends, experiment with new technologies, and participate in internal and external technology communities to foster continuous learning and innovation.
* Collaborate effectively with digital product managers, architects, and other stakeholders to deliver scalable, cloud\-based solutions that enhance customer experiences and empower users.
* Utilize a broad set of programming languages and frameworks including JavaScript, Java, HTML/CSS, TypeScript, Angular, React, Express NodeJS, SQL, Python, and Go.
* Manage and deploy containerized applications using Docker and Kubernetes, and leverage AWS tools and services to optimize cloud infrastructure.
* Mentor team members, promote best practices, and foster a culture of continuous improvement and technical excellence.
* Ensure all projects comply with security, compliance, and regulatory standards, maintaining high standards for data privacy and security.
**Benefits**
 Capital One offers a comprehensive and competitive benefits package designed to support your overall well\-being and professional growth. Employees have access to health, dental, and vision insurance, along with financial wellness programs, retirement plans, and paid time off. The company promotes work\-life balance through flexible work arrangements and provides opportunities for continuous learning and development. Additionally, employees are encouraged to participate in various wellness initiatives and community engagement programs. Capital One also offers performance\-based incentive compensation, including cash bonuses and long\-term incentives, to reward outstanding contributions and dedication.
 Equal Opportunity
 Capital One is an equal opportunity employer committed to fostering a diverse and inclusive workplace. We do not discriminate based on race, color, religion, sex, national origin, age, disability, veteran status, or any other legally protected status. We believe that diversity drives innovation and excellence, and we are dedicated to creating an environment where all employees can thrive. We also promote a drug\-free workplace and adhere to all applicable federal, state, and local laws regarding fair employment practices. Qualified applicants with criminal histories are encouraged to apply, and we evaluate each application in accordance with relevant legal requirements.</t>
        </is>
      </c>
    </row>
    <row r="153">
      <c r="A153" t="inlineStr">
        <is>
          <t>li-4351146081</t>
        </is>
      </c>
      <c r="B153" t="inlineStr">
        <is>
          <t>Lead Software Engineer - Java/Reactjs - 11045</t>
        </is>
      </c>
      <c r="C153" t="inlineStr">
        <is>
          <t>Coupa</t>
        </is>
      </c>
      <c r="D153" t="inlineStr">
        <is>
          <t>linkedin</t>
        </is>
      </c>
      <c r="E153" t="inlineStr"/>
      <c r="F153" t="inlineStr"/>
      <c r="G153" t="inlineStr">
        <is>
          <t>Foster City, CA</t>
        </is>
      </c>
      <c r="H153" t="inlineStr"/>
      <c r="I153" t="inlineStr">
        <is>
          <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
**Why join Coupa?**
 🔹 Pioneering Technology: At Coupa, we're at the forefront of innovation, leveraging the latest technology to empower our customers with greater efficiency and visibility in their spend.
 🔹 Collaborative Culture: We value collaboration and teamwork, and our culture is driven by transparency, openness, and a shared commitment to excellence.
 🔹 Global Impact: Join a company where your work has a global, measurable impact on our clients, the business, and each other.
 Learn more on Life at Coupa blog and hear from our employees about their experiences working at Coupa.
**The Impact of a Lead Software Engineer at Coupa:**
 At a technical level your development team will offer application and infrastructure support for customer environments. You’ll have the opportunity to collaborate across software products with engineers all over the company and globe to plan and deploy product releases.
**What You'll Do:**
* Lead and scale Coupa’s platform architecture, finding the right balance between the power of a consolidated codebase and the flexibility of microservices
* Collaborate closely with Product and Development teams to design and deliver innovative new features
* Develop creative, elegant solutions to complex technical challenges that drive platform growth and reliability
* Solve cross\-functional problems that may span multiple teams, ensuring alignment and effective communication
* Apply project management skills to plan, prioritize, and guide your team’s work toward successful outcomes
* Drive innovation by developing new concepts, techniques, and best practices that influence and elevate other teams
**What You Will Bring to Coupa:**
* 8\+ years of experience building enterprise SaaS web applications using modern frameworks and technologies such as Java, SQL, and TypeScript, with strong knowledge of JavaScript, CSS, and HTML5
* Strong object\-oriented design and analysis skills, with a solid understanding of common design patterns and best practices
* Proven experience developing REST APIs and microservices, and working with relational databases (MySQL, PostgreSQL, SQL Server), including query optimization and schema design
* Hands\-on experience with React.js (or similar JavaScript frameworks) and advanced CSS for building responsive, scalable interfaces
* Familiarity with cloud platforms (AWS, Azure, or GCP) and understanding of cloud security fundamentals, including authentication, encryption, and secure API design
* Proficiency with CI/CD pipelines, automated testing, and code quality practices, along with strong communication, collaboration, and mentoring skills within engineering teams
 The estimated pay range for this role is $142,000 \- $184,500
 The starting salary for the successful candidate will be based on permissible, non\-discriminatory factors such as skills, experience, and geographic location.
 Coupa complies with relevant laws and regulations regarding equal opportunity and offers a welcoming and inclusive work environment. Decisions related to hiring, compensation, training, or evaluating performance are made fairly, and we provide equal employment opportunities to all qualified candidates and employees.
 Please be advised that inquiries or resumes from recruiters will not be accepted.
 By submitting your application, you acknowledge that you have read Coupa’s Privacy Policy and understand that Coupa receives/collects your application, including your personal data, for the purposes of managing Coupa's ongoing recruitment and placement activities, including for employment purposes in the event of a successful application and for notification of future job opportunities if you did not succeed the first time. You will find more details about how your application is processed, the purposes of processing, and how long we retain your application in our Privacy Policy.</t>
        </is>
      </c>
    </row>
    <row r="154">
      <c r="A154" t="inlineStr">
        <is>
          <t>li-4080621574</t>
        </is>
      </c>
      <c r="B154" t="inlineStr">
        <is>
          <t>Senior-Staff Software Engineer, Business Systems</t>
        </is>
      </c>
      <c r="C154" t="inlineStr">
        <is>
          <t>Verkada</t>
        </is>
      </c>
      <c r="D154" t="inlineStr">
        <is>
          <t>linkedin</t>
        </is>
      </c>
      <c r="E154" t="inlineStr"/>
      <c r="F154" t="inlineStr"/>
      <c r="G154" t="inlineStr">
        <is>
          <t>San Mateo, CA</t>
        </is>
      </c>
      <c r="H154" t="inlineStr"/>
      <c r="I154"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As a member of our Business Systems Engineering team, you will build or improve tools that are used daily by Go to Market teams. Our goal is to find bottlenecks and friction points, and drive process improvements as well as come up with technical solutions. Our team is the custodian of data that is used by sales, order, finance, support teams. We emphasize automation over operation, metrics over anecdotes, iteration over perfection and being proactive over responsive.
 We are committed to a thriving in\-office culture. This role requires you to be onsite at our HQ in San Mateo, CA.
**What You'll Do**
* Design and implement technical solutions that will span between AWS, Salesforce and NetSuite
* Improve systems observability and invest in reliability \&amp; correctness of data
* Develop customer empathy to propose improvements to systems
* Lead projects from ideation to release
* Help and mentor junior engineers
**What You Bring**
* 8\+ years of software engineering with a focus on distributed systems at scale
* Shipped customer facing products or internal tools in the past
* Flexible and adaptive in a fast\-paced startup environment
* Passion for observability and reliability
* In\-depth expertise in distributed systems and data processing
* AWS Cloud experience touching foundational blocks like: Kubernetes, Fargate, Lambda, Airflow, Athena, DynamoDB, VPC, and EC2\.
* Bonus: Experience with data infrastructure and data analytics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$180,000—$300,000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55">
      <c r="A155" t="inlineStr">
        <is>
          <t>li-4354604298</t>
        </is>
      </c>
      <c r="B155" t="inlineStr">
        <is>
          <t>Software Engineer (API, SQL)</t>
        </is>
      </c>
      <c r="C155" t="inlineStr">
        <is>
          <t>Mastercard</t>
        </is>
      </c>
      <c r="D155" t="inlineStr">
        <is>
          <t>linkedin</t>
        </is>
      </c>
      <c r="E155" t="inlineStr"/>
      <c r="F155" t="inlineStr"/>
      <c r="G155" t="inlineStr"/>
      <c r="H155" t="inlineStr"/>
      <c r="I155" t="inlineStr">
        <is>
          <t>**About The Company** 
 Mastercard is a leading global technology company within the payments industry, dedicated to powering economies and empowering individuals across 200 countries and territories worldwide. Our purpose is to build a sustainable economy where everyone can prosper by providing secure, simple, smart, and accessible digital payment solutions. Through innovative technology, strategic partnerships, and extensive networks, we offer a diverse range of products and services that enable individuals, businesses, and governments to realize their full potential. Our commitment to inclusion, security, and innovation positions us at the forefront of transforming the future of payments and financial services.
**About The Role** 
 We are seeking a highly skilled Lead Software Engineer specializing in Workday integrations to join our dynamic team. In this role, you will be responsible for designing, developing, and maintaining complex integrations between Workday and external platforms such as payroll providers, benefits administrators, and internal data services. Your expertise will be pivotal in driving automation, enhancing operational workflows, and ensuring seamless data exchange across our global systems. You will lead technical initiatives, collaborate with cross\-functional teams, and promote best practices in integration architecture and implementation. This position offers an exciting opportunity to influence the evolution of Mastercard’s People \&amp; Capability Technology ecosystem while championing a culture of technical excellence and innovation.
**Qualifications** 
* Minimum of 5 years of hands\-on experience with Workday integrations, including Studio, Orchestrations, Core Connectors, EIB, RaaS, REST, and SOAP.
* Strong understanding of Workday data models and business processes across multiple modules such as HCM, Compensation, Absence, Time Tracking, Benefits, Payroll, and Security.
* At least 4 years of experience designing complex reports, calculated fields, and business process workflows.
* 3 years of experience with data transformation, validation, and error handling in integrations.
* Proficiency in XML, XSLT, JSON, XSD, and debugging techniques for integrations.
* Experience with API security, encryption, certificates (x509/PGP), and SFTP/data exchange frameworks.
* Hands\-on experience with Workday Extend or developing custom applications to enhance Workday functionalities.
* Proven leadership in technical design workshops, testing strategies, and managing integration cutover activities.
* Experience working in complex, global environments with diverse integration landscapes.
* Strong collaboration skills with HR, IT, and security teams to deliver integrated solutions.
* Workday Integration or Studio certification preferred; Extend certification a plus.
* Deep passion for automation, innovation, and continuous improvement in Workday technology.
**Responsibilities** 
* Lead the design, development, and deployment of Workday integrations using Studio, Orchestrations, EIB, RaaS, and web services to connect with external systems.
* Own and maintain integration architecture, configuration, and error\-handling frameworks to ensure consistency and reliability across global environments.
* Develop and optimize business processes, calculated fields, condition rules, and data transformations to support operational workflows.
* Establish and enforce documentation standards, including technical design documents, data mappings, and configuration guides for scalability and knowledge sharing.
* Drive automation initiatives through Workday Extend applications and REST\-based microservices to improve usability and streamline processes.
* Collaborate with cross\-functional teams to analyze existing integration landscapes, identify technical debt, and propose modernization solutions.
* Participate in technical workshops, develop test strategies, and manage integration cutover activities to ensure successful implementations.
* Monitor, troubleshoot, and resolve integration issues, ensuring high availability and performance.
* Maintain compliance with security standards, including API security, encryption, and certificate management.
* Stay current with Workday product updates, community best practices, and emerging technologies to recommend innovative solutions.
**Benefits** 
* Competitive base salary aligned with experience and location.
* Comprehensive health insurance plans, including medical, dental, and vision coverage.
* Flexible spending accounts and health savings accounts.
* Paid parental leave, bereavement leave, and paid sick and safe time.
* Generous paid time off, including vacation days, personal days, and observed holidays.
* 401(k) plan with a strong company match and deferred compensation options.
* On\-site or reimbursed fitness facilities, wellness programs, and tuition reimbursement opportunities.
* Employee assistance programs and other wellness benefits.
 Equal Opportunity
 Mastercard is an equal opportunity employer that values diversity and inclusion. We consider applicants without regard to gender, gender identity, sexual orientation, race, ethnicity, disability, veteran status, or any other characteristic protected by law. We are committed to creating a workplace where everyone can thrive and contribute to our mission of building an inclusive digital economy.</t>
        </is>
      </c>
    </row>
    <row r="156">
      <c r="A156" t="inlineStr">
        <is>
          <t>li-4330266051</t>
        </is>
      </c>
      <c r="B156" t="inlineStr">
        <is>
          <t>Software Engineer (P3/L4), Full Stack</t>
        </is>
      </c>
      <c r="C156" t="inlineStr">
        <is>
          <t>ZSuite Tech</t>
        </is>
      </c>
      <c r="D156" t="inlineStr">
        <is>
          <t>linkedin</t>
        </is>
      </c>
      <c r="E156" t="inlineStr"/>
      <c r="F156" t="inlineStr"/>
      <c r="G156" t="inlineStr"/>
      <c r="H156" t="inlineStr"/>
      <c r="I156" t="inlineStr">
        <is>
          <t>ZSuite Technologies is seeking a versatile and proactive Full Stack Software Engineer to join our engineering team as we enter a critical period of growth. In this role, you will be a key contributor to our core delivery pods, focusing on building high\-impact features that drive our 
 **Product\-Led Growth (PLG)** 
  initiatives. We are looking for an engineer who embraces a 
 **polyglot mindset** 
 —someone who is comfortable navigating different layers of the stack and is eager to master new idioms as our architecture evolves. While our current environment is centered on 
 **Next.js/React and .NET Core** 
 , your ability to adapt to new technologies and architectural shifts will be vital to our success. 
 As a mid\-level engineer, you will thrive in an environment that prioritizes 
 **incremental delivery** 
  and Lean principles. We will move away from monolithic releases in favor of small, testable cycles that allow for rapid experimentation and faster 
 **Time\-to\-Value (TTV)** 
  for our banking partners. Previous experience in an 
 **early\-stage startup** 
  is highly desirable, as we value the "builder" mentality—the ability to balance rapid feature development with the discipline required to maintain "compliant by design" standards. You will work closely with your Engineering Manager and Product partners to ensure our commercial banking solutions remain resilient, scalable, and delightful for our users. 
**General Responsibilities** 
* **Full Stack Development:** 
  Design, develop, and maintain robust features across the entire stack using .NET Core for backend services and Next.js/React for frontend interfaces.
* **Incremental Delivery:** 
  Participate in Lean engineering practices, breaking down complex requirements into small, shippable increments to support continuous integration and rapid feedback.
* **Technical Ownership:** 
  Take ownership of feature sets from conception to deployment, ensuring code quality through rigorous testing, peer reviews, and adherence to security best practices.
* **Architectural Evolution:** 
  Contribute to major technical initiatives, including API refactoring and database migrations (SQL Server to PostgreSQL), while ensuring system resiliency.
* **Collaboration:** 
  Partner with Product Managers and Designers to implement PLG experiments and A/B tests that drive user activation and expansion.
* **Apply a Growth Mindset:** 
  Actively seek out learning opportunities and embrace new technologies or methodologies to improve individual and team performance. We value engineers who view challenges as opportunities to expand their skillset and drive platform innovation.
**Qualifications** 
* **3\+ years of professional software engineering experience** 
 , with a proven track record in a fast\-paced SaaS or Fintech environment.
* **Core Technical Proficiency:** 
  Strong hands\-on experience with 
 **.NET Core** 
  and modern frontend frameworks, specifically 
 **Next.js** 
  and 
 **React** 
 .
* **Polyglot Mindset:** 
  Demonstrated ability to quickly learn and apply new programming languages, frameworks, and architectural patterns.
* **Startup Experience:** 
  Previous experience in an early\-stage startup is a major plus, showcasing the ability to navigate ambiguity and move with urgency.
* **Lean/Agile Mindset:** 
  Familiarity with Lean software development principles, including small batch sizes and a focus on reducing waste and cycle time.
* **Database Knowledge:** 
  Solid understanding of relational databases (SQL Server) and an interest in modernizing data layers (PostgreSQL).
* **Communication:** 
  Ability to collaborate effectively in a remote\-first or hybrid environment and clearly articulate technical concepts to both technical and non\-technical peers.
* Strong preference for candidates who can demonstrate the use of AI as a productivity partner to reduce cycle time and increase experimentation velocity.</t>
        </is>
      </c>
    </row>
    <row r="157">
      <c r="A157" t="inlineStr">
        <is>
          <t>li-4354375993</t>
        </is>
      </c>
      <c r="B157" t="inlineStr">
        <is>
          <t>Principal Software Engineer (Quant Research Systems) | Elite Boston Hedge Fund</t>
        </is>
      </c>
      <c r="C157" t="inlineStr">
        <is>
          <t>Delmar Nord</t>
        </is>
      </c>
      <c r="D157" t="inlineStr">
        <is>
          <t>linkedin</t>
        </is>
      </c>
      <c r="E157" t="inlineStr"/>
      <c r="F157" t="inlineStr"/>
      <c r="G157" t="inlineStr">
        <is>
          <t>Boston, MA</t>
        </is>
      </c>
      <c r="H157" t="inlineStr"/>
      <c r="I157" t="inlineStr">
        <is>
          <t>**Principal Software Engineer (Python) \| Next\-gen Research Platform \| Elite Boston Hedge Fund** 
 An elite hedge fund in Boston is growing a high\-profile engineering group that works directly with their Quantitative Researchers. They’re in the midst of a greenfield effort to build a cutting edge, research platform, Python libraries, and supporting infrastructure. This firm has a tight\-knit, collaborative, and meritocratic culture, a flat hierarchy, and very little bureaucracy limiting the velocity of development or innovation.
 This role will collaborate directly with Researchers to own projects from conception to implementation, building POCs, soliciting feedback, iterating, and building full\-scale production systems and tools from scratch. You’ll be a hands\-on thought leader responsible for guiding projects, mentoring other engineers, setting direction, and leading by example everyday (this is a 100% hands\-on role).
 An ideal candidate has hands\-on experience building Python libraries from scratch or collaborating with researchers/portfolio managers to build tooling, infrastructure, etc.
**Responsibilities:** 
* Design and build cutting edge quantitative research systems, tools, and infrastructure
* Design and build Python libraries for researchers
* Help define enterprise architecture, set strategic direction for the engineering org, evaluate new technologies, and drive innovation across multiple areas
* Mentor junior engineers on coding best practices, architecture, etc.
**Qualifications:** 
* Experience designing and building Python libraries
* Experience designing, building, and driving complex zero\-to\-one initiatives from scratch
* Experience working with quant researchers, portfolio managers, or traders to building tooling, application, or infrastructure
* Nice to have: experience wearing multiple hats on a small team, working directly with quant researchers, designing critical, high profile applications/platforms and their infrastructure
**Benefits:** 
* Industry leading compensation and benefits
* Hybrid flexibility in Boston office
* Chance to join a high\-visibility and impact engineering team building the most business\-critical investment technology solutions</t>
        </is>
      </c>
    </row>
    <row r="158">
      <c r="A158" t="inlineStr">
        <is>
          <t>li-4330292112</t>
        </is>
      </c>
      <c r="B158" t="inlineStr">
        <is>
          <t>Advanced Software Engineer</t>
        </is>
      </c>
      <c r="C158" t="inlineStr">
        <is>
          <t>Cengage Group</t>
        </is>
      </c>
      <c r="D158" t="inlineStr">
        <is>
          <t>linkedin</t>
        </is>
      </c>
      <c r="E158" t="inlineStr"/>
      <c r="F158" t="inlineStr"/>
      <c r="G158" t="inlineStr"/>
      <c r="H158" t="inlineStr"/>
      <c r="I158" t="inlineStr">
        <is>
          <t>**We believe in the power and joy of learning** 
 At Cengage Group, our employees have a direct impact in helping students around the world discover the power and joy of learning. We are bonded by our shared purpose – driving innovation that helps millions of learners improve their lives and achieve their dreams through education.
**Our culture values inclusion, engagement, and discovery** 
 Our business is driven by our strong culture, and we know that creating an inclusive workplace is absolutely essential to the success of our company and our learners, as well as our individual well\-being. We recognize the value of diverse perspectives in everything we do, and strive to ensure employees of all levels and backgrounds feel empowered to voice their ideas and bring their authentic selves to work. We achieve these priorities through programs, benefits, and initiatives that are integrated into the fabric of how we work every day. To learn more, please see https://www.cengagegroup.com/about/inclusion\-and\-belonging/.
**What you'll do here:** 
**As the Advanced Software Engineer,** 
 you will collaborate with a product manager and designer as the technical lead to focus on outcomes to rapidly and incrementally deliver value to our customers. Specifically, you will be responsible for designing \&amp; delivering solutions for platforms in our Cengage Work business unit. You will engage in a multi\-functional and Agile team setting, providing technical leadership \&amp; mentorship to a group of engineers while also valuing the team's perspective. With an eye toward customer centric focus, you will be obsessing about customer outcomes in every decision made, and drive measurable improvements in user engagement. We want to take you with us on this journey to transform the education industry. If you are excited about digital transformation and want to work in a fast\-paced environment and an exciting industry, this role is for you!
* Embrace agile methodologies and the principles of a customer centric product model to drive iterative development, continuous improvement, and rapid time\-to\-market. Work closely with product managers, designers, and engineering teams to define user stories, prioritize backlog items, and ensure timely and high\-quality product releases.
* Communicate clearly across product teams, technology teams, interface designers and domain authorities in different parts of the organization.
* Meet with product partners, customers and other technologists to understand customers’ learning and technological needs; provide guidance on technology solution options.
* Evaluate product performance, analyze performance data, and collect user feedback for ongoing product improvement. Conduct post\-release evaluations, retrospectives, and A/B testing to inform future product enhancements and strategic decision\-making.
* Design, architect, and implement new features and functionality with the expectation that you will own and drive the development using an iterative methodology and deliver products that scale to support our millions of customers.
* Help identify coding patterns, anti\-patterns, and eliminating technical debt. Carry out implementation of the patterns through code reviews
* Mentor other engineers while working with cross\-functional teams focused on delivering incremental value
* Perform root cause analysis, technology evaluation, and design spikes to define architecture supporting high\-quality resilient software
* Responsible for ensuring our customers enjoy a consistently reliable and high\-performing experience with our platforms, available 24/7\.
* Stay up to date with emerging technologies and industry trends, and integrate relevant advancements into our product roadmaps.
* Cultivate a high\-performance, transparent culture of continuous improvement focused on accountability and results.
**Skills you'll need here:** 
* Bachelor's degree in Computer Science or related field, or equivalent combination of education and recent relevant work experience required
* .NET REQUIRED
* 8 years of experience developing enterprise software, applying modern technology strategies and driving innovation
* 3 years of experience being a technical lead for a globally distributed team of employees and contractors across different time zones
* Experience implementing hybrid \&amp; full cloud strategies including crafting APIs to bridge legacy systems with cloud\-native platforms.
* Expertise in AWS (EC2, S3, Lambda, RDS, CloudFormation), cloud\-native development (Kubernetes, Docker, ECS, microservices), and Infrastructure as Code (Terraform, AWS CDK).
* Experience with systems performance monitoring tools like Splunk, DynaTrace, New Relic
* Experience with customer facing, high availability B2B/B2C eCommerce platforms
* Demonstrating the ability to craft and build scalable, secure, high\-availability enterprise systems, using CI/CD pipelines and automated testing frameworks for global user bases.
* Skilled in agile methodologies (Scrum, Kanban, SAFe), fostering high\-performing engineering teams, and using tools like Jira or Azure DevOps to ensure efficient delivery and alignment with business priorities
* Excellent verbal and written communication skills
 Cengage Group is committed to working with broad talent pools to attract and hire strong and most qualified individuals. Our job applicants are considered regardless of race, national origin, religion, sex, sexual orientation, genetic information, disability, age, veteran status, and any other classification protected by applicable federal, state, provincial or local laws.
 Cengage is also committed to providing reasonable accommodations for qualified individuals with disabilities including during our job application process. If you are an applicant with a disability and require reasonable accommodation in our job application process, please contact us at accommodations.ta@cengage.com or at \+1 (617\) 289\-7917\.
**About Cengage Group**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**Compensation** 
 At Cengage Group, we take great pride in our commitment to providing a comprehensive and rewarding Total Rewards package designed to support and empower our employees. Click here to learn more about our
 *Total Rewards Philosophy* 
 .
 The full base pay range has been provided for this position. Individual base pay will vary based on work schedule, qualifications, experience, internal equity, and geographic location. Sales roles often incorporate a significant incentive compensation program beyond this base pay range.
 $101,900\.00 \- $132,450\.00 USD</t>
        </is>
      </c>
    </row>
    <row r="159">
      <c r="A159" t="inlineStr">
        <is>
          <t>li-4333336248</t>
        </is>
      </c>
      <c r="B159" t="inlineStr">
        <is>
          <t>Full Stack Engineer</t>
        </is>
      </c>
      <c r="C159" t="inlineStr">
        <is>
          <t>SS&amp;C Technologies</t>
        </is>
      </c>
      <c r="D159" t="inlineStr">
        <is>
          <t>linkedin</t>
        </is>
      </c>
      <c r="E159" t="inlineStr"/>
      <c r="F159" t="inlineStr"/>
      <c r="G159" t="inlineStr">
        <is>
          <t>California, United States</t>
        </is>
      </c>
      <c r="H159" t="inlineStr"/>
      <c r="I159"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**Full Stack Engineer**
**Locations:** 
 San Francisco, CA / Jacksonville, FL / Boston, MA / New York, NY, Texas (Remote)
**Get To Know Us**
 We are highly collaborative team; we value attributes and personality traits that encourages team work and collaborative environment. We value diversity; we come from diverse backgrounds, experience, education and skillset.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Develop modular and scalable code for front\-end applications.
* Work in all phases of the software development lifecycle.
* Provide a great user experience for our end users.
* Work effectively with User Experience, Business Analyst and QA teams.
* Contribute to presentation\-layer standards and best practices.
 What You Will Bring
* 5\+ years of professional Full Stack Web Development experience with a focus on front\-end development.
* Minimum 4\+ years of front\-end experience.
* Hands\-on experience developing large\-scale applications using modern JavaScript framework (React preferred) and TypeScript.
* Knowledge and experience with backend technologies especially Java and Spring framework.
* Experience writing unit tests.
* Strong communication skills.
* BS/BA from accredited college or university.
 Experience and/or knowledge of the following is a plus
* Experience in Agile development methodologies, Scrum preferred.
* Experience with implementing CI/CD pipelines.
* Working with automated testing tools.
* Working with Front End build, packaging tools such as Webpack, npm scripts, yarn.
* Experience with data visualizations.
* Experience with databases.
* Experience with reporting tools such as SSRS, ActiveReports, JasperReports.
* Proficiency with relational and/or object\-oriented databases such as SQL Server and MongoDB.
 Thank you for your interest in SS\&amp;C! To further explore this opportunity, please apply through our careers page on the corporate website at https://www.ssctech.com/careers/join\-ssc
 https://www.ssctech.com/hubfs/website/pdf/Privacy\-Notice\-for\-CA\-Job\-Applicants.pdf
 \#LH\-REMOTE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120,000 USD to 130,000 USD. California: Salary range for the position: 120,000 USD to 130,000 USD.</t>
        </is>
      </c>
    </row>
    <row r="160">
      <c r="A160" t="inlineStr">
        <is>
          <t>li-4267543001</t>
        </is>
      </c>
      <c r="B160" t="inlineStr">
        <is>
          <t>Staff, Software Engineer (L4)</t>
        </is>
      </c>
      <c r="C160" t="inlineStr">
        <is>
          <t>Twilio</t>
        </is>
      </c>
      <c r="D160" t="inlineStr">
        <is>
          <t>linkedin</t>
        </is>
      </c>
      <c r="E160" t="inlineStr"/>
      <c r="F160" t="inlineStr"/>
      <c r="G160" t="inlineStr"/>
      <c r="H160" t="inlineStr"/>
      <c r="I160"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Staff Software Engineer on our Data \&amp; Analytics Platform
**About The Job**
 We are seeking an experienced Staff Engineer to join our Data Substrate team. In this role, you will be responsible for architecting scalable and reliable data solutions, collaborating closely with cross\-functional partners driving technical innovation, and mentoring a team of talented engineers. The ideal candidate will have deep expertise in data systems, strong leadership skills, and a proven track record of delivering complex data projects at scale.
**Responsibilities**
 In this role, you’ll:
* Serve as a subject matter expert in distributed systems, data technologies, with strong software engineering skills
* Architect and implement scalable and efficient data systems, storage solutions, and processing frameworks using state\-of\-the\-art technologies.
* Drive technical innovation and research to stay at the forefront of emerging data technologies and best practices.
* Mentor and coach a team of talented engineers, fostering a culture of technical excellence, collaboration, and continuous learning.
* Collaborate closely with cross\-functional teams to understand business requirements and translate them into scalable and efficient technical solutions.
* Ensure data quality, integrity, and security throughout the data lifecycle, adhering to industry best practices and compliance standards.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Bachelor's or Master's degree in Computer Science, Engineering, or a related field.
* 8\+ years of experience in software development, or a related field.
* Proven track record of architecting and delivering complex data projects at scale, with a deep understanding of data infrastructure and distributed systems.
* Expertise in big data technologies such as Hadoop, Spark, Kafka, and other distributed computing systems.
* Experience designing, building, and operating large\-scale systems using AWS technologies.
* Proficiency in programming languages such as Python, Java, or Scala, with strong problem\-solving skills and attention to detail.
* Experience designing or working with Data Lakehouse architectures, including hands\-on experience with Hudi, Iceberg, or Delta data formats.
* Excellent communication and collaboration skills, with the ability to influence technical decisions and drive alignment across teams.
* Strong leadership skills, with a track record of mentoring and developing junior engineers.
* Demonstrated ability to thrive in a fast\-paced, dynamic environment and deliver results under tight timelines.
**Desired**
* Contributions to OSS projects is a bonus
* Familiarity with data modeling, data warehousing, and ETL processes is a plus.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The estimated pay ranges for this role are as follows:
* Based in Colorado, Hawaii, Illinois, Maryland, Massachusetts, Minnesota, Vermont or Washington D.C. : $167,800 \- $209,700\.
* Based in New York, New Jersey, Washington State, or California (outside of the San Francisco Bay area): $177,700 \- $222,100\.
* Based in the San Francisco Bay area, California: $197,400 \- $246,700\.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February 20th,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61">
      <c r="A161" t="inlineStr">
        <is>
          <t>li-4354319521</t>
        </is>
      </c>
      <c r="B161" t="inlineStr">
        <is>
          <t>Software Developer</t>
        </is>
      </c>
      <c r="C161" t="inlineStr">
        <is>
          <t>TalentAlly</t>
        </is>
      </c>
      <c r="D161" t="inlineStr">
        <is>
          <t>linkedin</t>
        </is>
      </c>
      <c r="E161" t="inlineStr"/>
      <c r="F161" t="inlineStr"/>
      <c r="G161" t="inlineStr">
        <is>
          <t>Richmond, VA</t>
        </is>
      </c>
      <c r="H161" t="inlineStr"/>
      <c r="I16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Title:** 
 Sr. Specialist Software Developer MMS B2B Commerce
**Current Need:** 
 We areseekinga highly skilled and experienced Senior Software Engineer to join our dynamic team. The ideal candidate willbe responsible fordesigning, developing, andmaintainingour microservices\-based B2B ecommerce platform using Spring Boot and React. This role requires a deep understanding of software engineering best practices, excellent problem\-solving abilities, and a passion forleveragingcutting\-edgetechnologies to drive innovation and efficiency. The Senior Engineer will also play a strategic role in shaping the platform's technical direction, mentoring team members, and influencing cross\-functional collaboration.
**Key Responsibilities:** 
**Design and Development:** 
* Architect, develop, andmaintainscalable and robust microservices using Spring Boot and React to power our B2B ecommerce platform.
* Lead architectural decisions and contribute to the design of new features and enhancements, ensuring alignment with businessobjectivesand technical standards.
* Evaluate and integrate generative AI capabilities into platformstrategyto improvedevelopmentworkflows and product capabilities.
* Lead initiatives involving advanced AI frameworks such as the MCP Protocol, RetrievalAugmented Generation (RAG), and A2A Protocol, guiding the team in practical implementation.
**Collaboration and Integration:** 
* Work closely with cross\-functional teams to integrate our platform with ERP systems, data warehouses, and other essential applications.
* Collaborate with product management to refine feature requirements and specifications.
* Influence cross\-functional teams and drive consensus on technical solutions.
* Drive AI adoption across engineering teams and define standards for AI\-assisted development.
* Architect and oversee connectivity strategies for LLM agents via APIs, enabling robust multiagent collaboration and seamless integration.
**Best Practices and Optimization:** 
* Implement and advocate for best practices in software development, including code reviews, testing, and continuous integration.
* Conduct performance tuning and optimization to ensure high availability and scalability of the platform.
* Implement security best practices to protect sensitive data and ensure compliance with industry standards.
* Mentor and coach junior and mid\-level engineers to foster technical growth and team development.
* Evaluate andoptimizelatency, scalability, and cost considerations when integrating AI services into production systems.
- 
**Career Pathing:** 
 This role offers a clear path to technical leadership and strategic influence through ownership of architecture, mentoring, and cross\-functional impact.
**Impact Statement:** 
 Shapes the technical direction of the platform and drives innovation through leadership, deep technicalexpertise, and strategic collaboration.
**MinimumRequirements:** 
* Typically requires 7\+ years' experience in software development with a focus on Spring Boot and React
* Bachelor's degree in Computer Science, Engineering, or a related field
- 
**Critical Skills Required:** 
 \* Strong hands\-on engineering experience with Java, Spring Boot, HTML/CSS/JS, RDBMS, REST, GraphQL Git.
 \* Foundational knowledge of HTTP, cookies, sessions, AJAX, and browser behavior.
 \* Familiarity with Elastic, Redis, React, Docker, Kubernetes, Azure, Phyton.
 \* Familiarity with the MCP Protocol and RAG based AI agents.
 \* Exposure of LLM Agent connectivity via APIs
 \* Exposure to Kafka, change data capture, and data replication processes is a plus.
 \* Understanding of microservices\-based architectures.
 \* Basic familiarity with CI/CD pipelines.
 \* Awareness of performance tuning and optimization techniques.
 \* Knowledge of security best practices and industry standards.
**Preferred Skills:** 
* Experience designing and building large\-scale ecommerce applications.
* Experience with B2B ecommerce platforms
**Travel requirement:** 
 10\-15%
***Candidate must be authorized to work in the U.S, now or in the future, without the support from McKesson.***
***Relocation is NOT budgeted for this position***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$119,100 \- $198,500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PDN\-a0c28497\-eb2b\-4b65\-9afe\-a38484e4e363</t>
        </is>
      </c>
    </row>
    <row r="162">
      <c r="A162" t="inlineStr">
        <is>
          <t>li-4330273970</t>
        </is>
      </c>
      <c r="B162" t="inlineStr">
        <is>
          <t>Senior Software Engineer</t>
        </is>
      </c>
      <c r="C162" t="inlineStr">
        <is>
          <t>Analog Photonics</t>
        </is>
      </c>
      <c r="D162" t="inlineStr">
        <is>
          <t>linkedin</t>
        </is>
      </c>
      <c r="E162" t="inlineStr"/>
      <c r="F162" t="inlineStr"/>
      <c r="G162" t="inlineStr">
        <is>
          <t>Boston, MA</t>
        </is>
      </c>
      <c r="H162" t="inlineStr"/>
      <c r="I162" t="inlineStr">
        <is>
          <t>**Senior Software Engineer – Silicon Photonics Layout, GUI Development, \&amp; Test Automation** 
**Location:** 
 Full\-time on\-site in Seaport, Boston
**Overview** 
 We are seeking a versatile Software Engineer with experience spanning silicon photonics scripted layout, Windows\-based GUI application development, and strong hardware awareness for instrument control and lab automation. The ideal candidate has a background in Computer Engineering, Electrical Engineering, or Computer Science, is fluent in both Unix/Linux and Windows environments, and enjoys working at the intersection of software, hardware, and photonic design automation.
**Key Responsibilities** 
* Develop and maintain automated layout generation tools for silicon photonic devices using KLayout and Python.
* Implement and extend Windows\-based GUI applications in C\+\+ for design, visualization, and analysis workflows.
* Collaborate with photonics, electronics, and test engineers to integrate software tools into the full design and validation pipeline.
* Create and maintain APIs, data interfaces, and scripts to streamline design automation and verification processes.
* Support internal build systems, configuration management, and deployment on both Linux and Windows platforms.
* Participate in design reviews, propose improvements to workflow automation, and ensure high software reliability and maintainability.
**Required Qualifications** 
* B.S. or M.S. in Computer Engineering, Electrical Engineering, Computer Science, or a related field.
* more than 3 years experience in industry
* Proficiency in Python for design automation and scripted layout (experience with KLayout strongly preferred).
* Proficiency in C\+\+, with experience in Windows GUI frameworks (e.g., MFC, Qt, or Win32\).
* Comfortable developing in both Windows and Unix/Linux environments.
* Strong understanding of software development best practices (version control, testing, documentation).
* Ability to work closely with hardware and photonics engineers; understanding of physical design concepts and hardware constraints.
**Preferred Qualifications** 
* Experience with silicon photonics, semiconductor layout, or EDA tool development is preferred
* Familiarity with scripting for CAD/EDA tools (e.g., Mentor, Cadence, Synopsys).
* Knowledge of hardware communication interfaces or instrument control (e.g., serial, GPIB, Ethernet).
* Exposure to optical simulation tools or photonics modeling workflows.
* Experience with cross\-platform development and build systems.
**Personal Attributes** 
* Strong problem\-solving ability and attention to detail.
* Comfortable working in a multidisciplinary team bridging software, hardware, and optical design.
* Self\-motivated and able to take ownership of complex technical challenges.</t>
        </is>
      </c>
    </row>
    <row r="163">
      <c r="A163" t="inlineStr">
        <is>
          <t>li-4343762538</t>
        </is>
      </c>
      <c r="B163" t="inlineStr">
        <is>
          <t>Senior Software Engineer - XR</t>
        </is>
      </c>
      <c r="C163" t="inlineStr">
        <is>
          <t>NVIDIA</t>
        </is>
      </c>
      <c r="D163" t="inlineStr">
        <is>
          <t>linkedin</t>
        </is>
      </c>
      <c r="E163" t="inlineStr"/>
      <c r="F163" t="inlineStr"/>
      <c r="G163" t="inlineStr">
        <is>
          <t>Santa Clara, CA</t>
        </is>
      </c>
      <c r="H163" t="inlineStr"/>
      <c r="I16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an outstanding engineer to help shape the future of XR and Robotics. We seek team members who are passionate about working on hard problems, and contribute to driving innovation in teleoperation and data collection for robotics with spatial computing technologies. In this role, you will apply both system and AI knowledge, and technical leadership to scale development of NVIDIA's XR and Robotics efforts. We seek a creative, self\-starting and highly productive engineering professional to help us invent the future of computing.
**What You'll Be Doing**
* Developing human\-centric data collection systems for training robotic foundation models using XR devices and peripherals.
* Developing teleoperation systems for robots using XR devices and peripherals.
* Engaging in cross platform development in C\+\+ and python
* Diving into the core technologies behind CloudXR, Omniverse and the NVIDIA Isaac platform, exploring ways to optimize performance, reduce latency, and enhancing teleoperation and data collection efficiency.
**What We Need To See**
* BS/MS in Computer Science or equivalent experience
* Experience in C\+\+ and Python
* 5\+ years of XR / Robotics related experience
* Practical experience solving real world problems with at least one of: robotics, AI, distributed system, media streaming and networking.
* Experience working in large scale code bases / projects
* Phenomenal team player and collaborator
**Ways To Stand Out From The Crowd**
* Experience with tele\-operation and data collection for robotics.
* Experience with XR development: augmented reality, virtual reality, or spatial computing in any form factor: glasses, headsets or smartphones.
* Background in GPU, frame\-rate and latency optimization
 With highly competitive salaries and a comprehensive benefits package, NVIDIA is widely considered to be one of the technology world's most desirable employers. We have some of the most forward\-thinking and hardworking people in the world working for us and, due to outstanding growth, our special engineering teams are growing fast. If you're a creative and autonomous engineer with a genuine passion for technology, we want to hear from you!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December 18,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JR2010006</t>
        </is>
      </c>
    </row>
    <row r="164">
      <c r="A164" t="inlineStr">
        <is>
          <t>li-4354396220</t>
        </is>
      </c>
      <c r="B164" t="inlineStr">
        <is>
          <t>Senior Software Engineer</t>
        </is>
      </c>
      <c r="C164" t="inlineStr">
        <is>
          <t>Asseta AI</t>
        </is>
      </c>
      <c r="D164" t="inlineStr">
        <is>
          <t>linkedin</t>
        </is>
      </c>
      <c r="E164" t="inlineStr"/>
      <c r="F164" t="inlineStr"/>
      <c r="G164" t="inlineStr">
        <is>
          <t>New York, NY</t>
        </is>
      </c>
      <c r="H164" t="inlineStr"/>
      <c r="I164" t="inlineStr">
        <is>
          <t>***This job is 100% on\-site in our NYC Headquarters.***
**Company Description** 
 Asseta AI is a next\-generation accounting platform, The Intelligent Family Office Suite™, designed for family offices managing complex, multi\-entity wealth. Founded in 2023 by a team of experienced financial technology professionals, Asseta AI addresses the limitations of traditional enterprise systems with modern architecture and user\-friendly design. The platform integrates multi\-entity accounting, dimensional reporting, and data governance to streamline operations and improve decision\-making in the context of generational wealth transfer and digital transformation. With a mission to bring efficiency, security, and insight to family offices, Asseta AI is at the forefront of innovation in the financial technology sector. Visit www.asseta.ai to learn more.
**About the Role** 
 You will lead the development of our core applications and collaborate with our team to develop groundbreaking technology and address our customers' financial challenges. This is a unique opportunity to significantly impact Asseta's future and the financial industry.
**Core Responsibilities** 
* Design and implement robust, end\-to\-end production\-level software to make complex data accessible through enterprise\-class applications.
* Collaborate with cross\-functional teams and external partners to refine technical requirements and rapidly develop prototypes to assess feasibility.
* Architect and implement backend services and APIs to support front\-end applications.
* Optimize database performance, ensure data integrity, and manage relational database schemas.
* Ensure application security and data privacy by implementing best practices and adhering to regulatory requirements.
* Participate in sprint planning and retrospectives to continuously improve team processes.
**Qualifications** 
* 5\+ years of experience designing and implementing full\-stack web applications using Python, React, and TypeScript.
* Strong front\-end skills with a keen product and design sense, ensuring detailed UI/UX polish.
* Proficiency in API integration and front\-end data visualization.
* Extensive experience with relational databases, particularly PostgreSQL, including schema design, query optimization, and performance tuning.
* Solid understanding of AWS infrastructure, including services such as EC2, S3, RDS, Lambda, and CloudFormation.
* Strong understanding of CI/CD pipelines, automated testing, and version control using Git.
* Experience working in financial systems and accounting a plus
**Location and Benefits** 
* **This role is based 100% on site in our New York City headquarters**
* **Expected salary range of $170,000\-$230,000 plus equity**
* **Unlimited paid time off**
* **Opportunities for conference sponsorships and training opportunities**
* **Frequent company off\-sites and team\-building events**</t>
        </is>
      </c>
    </row>
    <row r="165">
      <c r="A165" t="inlineStr">
        <is>
          <t>li-3765970209</t>
        </is>
      </c>
      <c r="B165" t="inlineStr">
        <is>
          <t>Senior Software Engineer - Camera Platform</t>
        </is>
      </c>
      <c r="C165" t="inlineStr">
        <is>
          <t>Verkada</t>
        </is>
      </c>
      <c r="D165" t="inlineStr">
        <is>
          <t>linkedin</t>
        </is>
      </c>
      <c r="E165" t="inlineStr"/>
      <c r="F165" t="inlineStr"/>
      <c r="G165" t="inlineStr">
        <is>
          <t>San Mateo, CA</t>
        </is>
      </c>
      <c r="H165" t="inlineStr"/>
      <c r="I165"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**What You'll Do**
* Own the end\-to\-end development of on\-device camera platform features in C\+\+ and Golang.
* Collaborate with the product team to turn requirements into scalable, production\-ready solutions aligned with product vision and customer needs.
* Partner with streaming, storage, and AI engineering teams to deliver features optimized for edge computing environments.
* Lead code reviews, guide debugging efforts, and uphold coding standards to ensure a high\-quality, maintainable codebase.
* Drive and coordinate regular over\-the\-air (OTA) releases, balancing speed of delivery with stability and reliability.
**What You Bring**
* BS/MS in Computer Science, Electrical Engineering, or related field.
* 5\+ years of professional experience in systems software development for performance\- and resource\-constrained environments.
* Proficient in at least one systems programming language: C\+\+ or Golang.
* 2\+ years of experience building software for Linux\-based platforms.
* Strong understanding of modern operating systems, computer architecture, and trade\-offs between compute, memory, and storage.
* Familiarity with Bash scripting and Python for tooling and automation.
* Excellent communication and documentation skills, with the ability to collaborate across engineering and product teams.
* Must be willing and able to work onsite five days per week
**Nice to Have**
* Experience in development of on\-device software for cloud\-connected devices.
* Familiar with Linux Kernel development.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66">
      <c r="A166" t="inlineStr">
        <is>
          <t>li-4195254614</t>
        </is>
      </c>
      <c r="B166" t="inlineStr">
        <is>
          <t>Software Engineer, Application Security</t>
        </is>
      </c>
      <c r="C166" t="inlineStr">
        <is>
          <t>Glean</t>
        </is>
      </c>
      <c r="D166" t="inlineStr">
        <is>
          <t>linkedin</t>
        </is>
      </c>
      <c r="E166" t="inlineStr"/>
      <c r="F166" t="inlineStr"/>
      <c r="G166" t="inlineStr"/>
      <c r="H166" t="inlineStr"/>
      <c r="I166"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an experienced
 **Application Security Engineer** 
 with a primary focus on ensuring that our entire technology stack is free of software vulnerabilities (CVEs). This role is responsible for securing our base OS images, ensuring all open\-source software (OSS) dependencies are scanned and patched, and integrating cutting\-edge security tools into our CI/CD pipeline. The ideal candidate will drive the adoption of solutions like Google’s Assured Open Source Software (OSS) and explore alternative approaches to enhance software security.
 This role will lead the vulnerability management charter at Glean, identifying, evaluating, and implementing new security technologies and processes to proactively protect our infrastructure.
**You Will**
* Own and lead the vulnerability management lifecycle, ensuring our entire tech stack is free from known CVEs.
* Implement and manage secure base OS images, ensuring all underlying systems remain hardened against security threats.
* Continuously scan, monitor, and patch OSS dependencies to mitigate supply chain risks and enforce best practices for dependency management.
* Research and evaluate trusted open\-source security solutions like Google’s Assured Open Source Software and recommend their adoption where applicable.
* Work closely with engineering teams to integrate state\-of\-the\-art SAST, DAST, and dependency scanning tools into the CI/CD pipeline to detect and remediate vulnerabilities early.
* Define and maintain best practices for secure coding to ensure all code developed by Glean engineers is free from vulnerabilities.
* Develop automated security validation tests to enforce vulnerability\-free deployments across the stack.
* Lead the adoption and, if necessary, develop custom security solutions to manage and mitigate security risks at scale.
* Provide security guidance, training, and mentorship to engineering teams to foster a security\-first culture at Glean.
**About You**
* BA/BS in Computer Science, Cybersecurity, or a related field (or equivalent industry experience).
* 5\+ years of experience in application security and vulnerability management.
* Deep understanding of software security vulnerabilities, including CVEs, OWASP Top 10, and supply chain risks.
* Experience with SAST, DAST, dependency scanning, and vulnerability management tools (e.g., Snyk, GitHub Dependabot, Trivy, Clair, Burp Suite, OWASP ZAP).
* Strong familiarity with package managers (npm, pip, Maven, Go modules) and securing open\-source dependencies.
* Coding experience in languages such as Go, Python, Java, or C\+\+ to develop security test cases and tooling.
* Hands\-on experience with cloud\-native security best practices across AWS, GCP, or Azure.
* Knowledge of container security, Kubernetes security, and securing microservices architectures.
* Ability to lead cross\-functional initiatives and drive security adoption within engineering teams.
**Key Knowledge \&amp; Skills**
* A strong proactive approach to security, identifying risks before they become problems.
* Excellent problem\-solving skills and the ability to balance security with performance and usability.
* Experience working in fast\-paced, highly collaborative environments where security is a shared responsibility.
* Passion for open\-source security and keeping up with the latest trends in software vulnerability management.
**Why Join Us?**
 At Glean, we believe in
 **empowering individuals** 
 to do their best work in an inclusive and diverse environment. We do not discriminate based on gender, ethnicity, sexual orientation, religion, civil or family status, age, disability, or race. We’re building a culture that values curiosity, collaboration, and impact.
 If you’re excited about leading the charge in securing a cutting\-edge AI\-powered search platform, we’d love to hear from you! 🚀
**Benefits**
* Competitive compensation
* Medical, Vision and Dental coverage
* Flexible work environment and time\-off policy
* 401k
* Company events
* A home office improvement stipend when you first join
* Annual education stipend
* Wellness stipend
* Healthy lunches and dinners provided daily
**Location:**
* This role is hybrid (3\-4 days a week in one of our SF Bay Area offices)
**For California Based Applicants**
 The standard base salary range for this position is $185,000 \- $280,000 annually.
 *Compensation offered will be determined by factors such as location, level, job\-related knowledge, skills, and experience. Certain roles may be eligible for variable compensation, equity, and benefits.*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67">
      <c r="A167" t="inlineStr">
        <is>
          <t>li-4301414718</t>
        </is>
      </c>
      <c r="B167" t="inlineStr">
        <is>
          <t>Software Engineer II, Android</t>
        </is>
      </c>
      <c r="C167" t="inlineStr">
        <is>
          <t>Omada Health</t>
        </is>
      </c>
      <c r="D167" t="inlineStr">
        <is>
          <t>linkedin</t>
        </is>
      </c>
      <c r="E167" t="inlineStr"/>
      <c r="F167" t="inlineStr"/>
      <c r="G167" t="inlineStr">
        <is>
          <t>San Francisco, CA</t>
        </is>
      </c>
      <c r="H167" t="inlineStr"/>
      <c r="I167" t="inlineStr">
        <is>
          <t>**Job overview:** 
 Omada Health is a digital care provider that empowers people to achieve their health goals through sustainable behavioral change. We are on a mission to inspire and engage people in lifelong health, one step at a time. We are looking for a software engineer to help drive us forward in achieving that goal.
 Great software is the key to providing effective care at scale. We hire passionate, creative people and give them the autonomy to do great work. Our software engineers are comfortable dealing with high\-level specifications, working independently and in small teams, and are heavy contributors in the product process from idea to production.
**About you:** 
 You work with empathy for your coworkers, stakeholders and users. You are excited to work cross\-functionally with a variety of people and ideas. You work directly with stakeholders to design solutions and drive the technical decisions for delivery. You proactively keep up with technology trends and can assess technical trade\-offs between solutions across service boundaries. You care about writing quality software and recognize that there are often many right answers. You are excited about the challenge of learning new technologies and context. You are enthusiastic about providing the best possible care for our members.
**What you’ll be doing:** 
* Work with product managers, designers and a diverse group of talented engineers to build the mobile applications (Android) our members rely on for world class digital healthcare.
* Dedicate 80\-90% of your time to hands\-on coding, serving as a technical leader and mentor to junior engineers by solving challenging programming and design problems.
* Lead large projects by anticipating infrastructure and architectural needs, and propose innovative AI solutions to complex problems.
* Use your experience to influence and shape the future direction of projects and technologies, working collaboratively to adopt and advocate for new technological advancements.
* Collaborate with product managers, designers, and a diverse team of skilled engineers to develop mobile applications (Android) that enhance the user experience for our members.
* Play a critical role in the full agile software development life cycle, from conception to deployment including architecture, design, and development.
* Writing clean and well\-tested code that allows us to keep our applications stable and easily modifiable.
* Drive the resolution of complex problems without a lot of direction.
* Lead large projects, anticipating infrastructure and architectural needs before they arise.
* Research, adopt and advocate for new technologies.
**What you need for this role:** 
* 3\-5 years of working experience in Android product development
* Experience in building scalable and maintainable app architectures
* Strong command of Kotlin with an understanding of its features and best practices.
* Strong understanding of multi\-threading and asynchronous programming
* Experience with Android frameworks like
* Knowledge of design patterns like MVVM, MVC and the ability to implement them
* Experience with Android unit and UI testing frameworks
* Familiarity with CI/CD pipelines and tools like Jenkins, GitLab CI, or CircleCI.
* Experience with the app submission process, app signing, and review guidelines.
* Curiosity and care more about solving problems than being right
* Excellent communication and collaboration skills (verbal and written)
**Technologies we use:** 
 Kotlin, Java, Espresso, JUnit, Jetpack Compose, Retrofit, Room DB, Ruby on Rails, React, AWS (RDS with PostgreSQL, SQS, S3\), GraphQL, Docker, Kubernetes
**Benefits:** 
* Competitive salary with generous annual cash bonus
* Equity Grants
* Remote first work from home culture
* Flexible vacation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actively cultivate trust through attentive listening and supporting one another. We respectfully provide and are open to receiving candid feedback.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$147,200 \- $184,000\*, Colorado Base Compensation Ranges: $140,800 \- $176,000\*.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168">
      <c r="A168" t="inlineStr">
        <is>
          <t>li-4295994097</t>
        </is>
      </c>
      <c r="B168" t="inlineStr">
        <is>
          <t>Software Engineer</t>
        </is>
      </c>
      <c r="C168" t="inlineStr">
        <is>
          <t>Patterson Companies, Inc.</t>
        </is>
      </c>
      <c r="D168" t="inlineStr">
        <is>
          <t>linkedin</t>
        </is>
      </c>
      <c r="E168" t="inlineStr"/>
      <c r="F168" t="inlineStr"/>
      <c r="G168" t="inlineStr">
        <is>
          <t>St Paul, MN</t>
        </is>
      </c>
      <c r="H168" t="inlineStr"/>
      <c r="I168" t="inlineStr">
        <is>
          <t>The Software Engineer's role is to define, develop, test, analyze, and maintain software applications in support of the achievement of Patterson software requirements. This includes writing, coding, testing, and analyzing software programs and applications. The Software Engineer II will also research, design, document, and modify software specifications throughout the development life cycle.
*Our preference is for this individual to be located within 50 miles of our Corporate Offices in either Mendota Heights, MN or Loveland, CO
 **.** 
 This is a Hybrid position and in\-person attendance is expected to foster collaboration, innovation, and team connection.*
**Essential Functions**
 To perform this job successfully, an employee must be able to perform each essential function satisfactorily, with or without reasonable accommodation. To request a reasonable accommodation, notify Human Resources or the manager who oversees the position.
* Collaborates with clients, developers and other team members in the conceptualization and development of new or existing software applications.
* Assists in the definition, development, and documentation of software’s business requirements, objectives, deliverables, and specifications on a project\-by\-project basis in collaboration with internal users and departments.
* Helps research, identify, analyze, and fulfill requirements of all internal and external program users and stakeholders.
* Writes programming scripts to enhance functionality and/or performance of company applications as directed.
* Executes software testing on new and existing programs for the purposes of correcting errors and general debugging.
* Participates in defining software development project plans, including scoping, scheduling, and implementation.
* Performs program turnover to production support and customers upon completion of development, testing, and documentation.
* Provides higher level support for incoming incident tickets from end users to resolve application and software issues. Partners with other engineers in resolving problems with software products or company software systems.
* Performs other duties as assigned.
**Required Qualifications**
* Bachelor's Degree in Computer Science, Management Information Sciences, Mathematics, Engineering, Business, or area of functional responsibility preferred, or a combination of equivalent education and experience
* 3 years of programming experience required.  Should have prior experience within various platforms and languages, including: MS.NET, C\#, and Object\-Oriented Programming.
* Knowledge of all aspects of application development and project life cycles, including Agile and Scrum practices.
* Excellent understanding of coding methods and best practices
* Extensive relational database and operating systems experience
* Fluency in object oriented programming and design
* Ability to conduct research into software\-related issues and products
**Preferred Qualifications**
* Experience working with C\+\+
* Experience working with PostgreSQL
**Working Environment**
* Ability to work remote and be on camera as needed
* Periodic on call rotations and available outside of normal business hours on evenings and weekends during critical production release or issue escalation periods
*This role is eligible for hire in any of the following States: AK, AZ, CA, CO, CT, DC, HI, ID, IL, KS, KY, ME, MA, MI, MN, MT, NE, NV, NH, NM, NY, OR, RI, SD, TX, UT, VT, WA, WV, WI*
 The compensation range for this role is below.
 $90,000 \- $100,000
 The potential compensation range for this role is below. The final offer amount would be based on various factors such as candidate location (geographical labor market), experience, and skills. $85,500\.00 \- $106,800\.00</t>
        </is>
      </c>
    </row>
    <row r="169">
      <c r="A169" t="inlineStr">
        <is>
          <t>li-4330178095</t>
        </is>
      </c>
      <c r="B169" t="inlineStr">
        <is>
          <t>Senior Software Engineer</t>
        </is>
      </c>
      <c r="C169" t="inlineStr">
        <is>
          <t>FleetPulse</t>
        </is>
      </c>
      <c r="D169" t="inlineStr">
        <is>
          <t>linkedin</t>
        </is>
      </c>
      <c r="E169" t="inlineStr"/>
      <c r="F169" t="inlineStr"/>
      <c r="G169" t="inlineStr">
        <is>
          <t>Chicago, IL</t>
        </is>
      </c>
      <c r="H169" t="inlineStr"/>
      <c r="I169" t="inlineStr">
        <is>
          <t>FleetPulse™ is the leading trailer telematics company, delivering end\-to\-end visibility into trailer safety and cargo security with OEM\-agnostic wired and aftermarket telematics solutions.
 Based in Chicago, Illinois, FleetPulse combines deep roots in the trucking industry with expert tech talent to provide cutting\-edge telematics solutions across a comprehensive portfolio of devices, including OEM\-installed sensors, easy\-to\-install aftermarket sensors, and cargo cameras. Data collected directly from the trailer’s sensors and components powers real\-time, proprietary strategic insights through a digital dashboard—helping our customers increase utilization, enhance safety, and reduce maintenance costs.
 At FleetPulse, we believe our people are our greatest asset. We foster a collaborative, innovative, and supportive work environment where every team member plays a crucial role in driving success. By joining FleetPulse, you become part of a company committed to shaping the future of the transportation industry while valuing the unique contributions of every individual.
**This role is based in Chicago, IL, and candidates must be able to work on\-site. Relocation assistance is not provided for this position.** 
**We're looking for an engineer who:** 
* We’re looking for an experienced software engineer to accelerate our team's initiatives and improve the FleetPulse platform.
* Our team owns the entire platform stack and there are opportunities to work both frontend and backend.
* FleetPulse’s technical stack is Kotlin/Spring, React, and React Native, but experience in any similar web application framework is valuable.
* Ideal candidates will have full stack web application development experience with similar tools and should be comfortable tackling projects from end to end.
**Overview:** 
* We’re looking for an experienced software engineer to accelerate our team's initiatives.
* FleetPulse’s technical stack is Kotlin/Java, React, and React Native, but experience in any similar web application framework is valuable.
* Ideal candidates will have full stack web application development experience with similar tools and should be comfortable tackling projects from end to end.
* Enjoy seeing their own efforts have an outsized impact on the business and our customers.
* Are passionate about API design, observability, and building platforms.
* Are eager to learn and improve their craft as a software engineer and share that experience with their team members.
* Elevate the team's technical standards, lead code and design reviews, and mentor engineers on best practices.
* Excited to learn new technologies and contribute across the stack.
* Are able to be a partner with our product stakeholder to refine requirements, work with others to figure out what needs to be done and drive a project forward.
**Your Qualifications:** 
* 5\+ years experience as a professional software developer.
* Experience with Kotlin, Java, Python or another backend language.
* Experience with AWS / GCP
* Familiarity with relational databases and schema design.
* Passionate about code quality and engineering best practices.
* Experience with large distributed systems with an emphasis on observability, instrumentation, monitoring.
* Intuition for when to call it "good enough", and when to put in the extra time to polish.
* You get along well with others and thrive in a collaborative environment.
* Chicago, IL based.
**Benefits:** 
* Unlimited PTO
* Company 6% 401k Match
* Choice of three healthcare plans
* Dental \&amp; Vision
* Company provided STD, LTD and Life Insurance
* 12 paid company holidays
* Full paid parental leave
* Compensation range: $140,000 \- $165,000 annually
***Work Environment:***
 The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Work environment: Employees must be able to travel to and attend the office to work in person, as required. The noise level in the work environment is usually minimal to moderate. 
***Limitations and Disclaimer:***
 The above job description is meant to describe the general nature and level of work being performed; it is not intended to be construed as an exhaustive list of all responsibilities, duties and skills required for the position. 
 This job description in no way states or implies that these are the only duties to be performed by the employee occupying this position. Employees will be required to follow any other job\-related instructions and to perform other job\-related duties requested by their supervisor that are in compliance with Federal and State Laws. 
 Requirements are representative of minimum levels of knowledge, skills, abilities and/or other characteristics. To perform this job successfully, the employee must possess the abilities or aptitudes to perform each duty proficiently. Continued employment remains on an “at\-will” basis. 
* Does this sound like you? Please apply \- We’d love to connect more with you!</t>
        </is>
      </c>
    </row>
    <row r="170">
      <c r="A170" t="inlineStr">
        <is>
          <t>li-4330138052</t>
        </is>
      </c>
      <c r="B170" t="inlineStr">
        <is>
          <t>Software Engineer / Sr. Software Engineer</t>
        </is>
      </c>
      <c r="C170" t="inlineStr">
        <is>
          <t>Applied Systems</t>
        </is>
      </c>
      <c r="D170" t="inlineStr">
        <is>
          <t>linkedin</t>
        </is>
      </c>
      <c r="E170" t="inlineStr"/>
      <c r="F170" t="inlineStr"/>
      <c r="G170" t="inlineStr"/>
      <c r="H170" t="inlineStr"/>
      <c r="I170"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seeking a
 **Software Engineer /** 
**Senior Software Engineer** 
 interested in transform ing the insurance industry. The ideal candidate will have a commitment to delivering results, a passion for quality, and the ability to solve technical problems as we build solutions while simplify ing and scaling along the way .
 At Applied, we’re committed to our work, customers, having fun, and most importantly to each other’s success. Within the Technology Team, you’ll partner with our global team of engineers and product managers designing, architecting, building, and testing impactful products. The Software Engineer / Senior Software Engineer will contribute to our product vision by delivering a high level of quality and technical excellence. Success will require fluency in SaaS\-based application development, test automation, analytical skills, and unwavering dedication to software quality.
**What You’ll Do**
* Contribute to design, development, and delivery of releasable, high\-quality software
* Author code aligned with internal standards and guidance from architects to ensure maintainability and consistency across our products
* Develop , maintain , and update automated test systems as functionality changes during the evolution of our products
* Assess the impact of changes by actively engaging in code reviews, design reviews, and technical discussions with engineering and product teams
* Monitor application performance in production and non\-production environments
* Debug and resolve application errors and performance issues
* Continuously learn about new tools and technologie s
 As a Senior Software Engineer, you will also:
* Support the team by sharing comprehensive feedback during code reviews and providing guidance for complex technical problem solving
* Contribute to technical decisions by identifying opportunities and risks
* Share knowledge of software development languages, frameworks, testing strategies, and tools
* Support with continuous improvement of internal processes and documentation to champion a principles\-based approaches to design, implementation, and testing
**We’re Excited to Learn More About You** 
**We’re looking for someone who:**
* Has the ability to work from an Applied Systems office or 100% remotely
**Your experience should include some or all of the following:**
* 3 \+ years' experience in software engineering working with the following technologies: Typescript, React, PostgreSQL, G oLang
* Knowledge of professional software engineering practices including software development life cycles, coding standards, code reviews, source control management, build processes, testing, and operations.
* Experience with cloud environments and open\-source tools
 The Senior Software Engineer position requires:
* 5 \+ years of experience in software engineering working with the following technologies: T ypescript, React, PostgreSQL, GoLang
* Experience providing guidance and support to other members of the engineering team to support technical problem solving
* Advanced communication skills, with the ability to distill complex concepts to support others with complex problem solving
* Proven ability to advance technical discussions, debates, and reviews on while contributing to positive and constructive communication across the team
* We know that talent comes from all backgrounds and experience levels. We encourage military members and their spouses as well as candidates without a degree or a background in tech to apply!
**Location**
 Candidate will need to reside in North America, working arrangement will be remote.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$60,000 \- $160,000\.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t>
        </is>
      </c>
    </row>
    <row r="171">
      <c r="A171" t="inlineStr">
        <is>
          <t>li-4354525362</t>
        </is>
      </c>
      <c r="B171" t="inlineStr">
        <is>
          <t>Senior Software Engineer</t>
        </is>
      </c>
      <c r="C171" t="inlineStr">
        <is>
          <t>Tangram Flex</t>
        </is>
      </c>
      <c r="D171" t="inlineStr">
        <is>
          <t>linkedin</t>
        </is>
      </c>
      <c r="E171" t="inlineStr"/>
      <c r="F171" t="inlineStr"/>
      <c r="G171" t="inlineStr">
        <is>
          <t>Dayton, OH</t>
        </is>
      </c>
      <c r="H171" t="inlineStr"/>
      <c r="I171" t="inlineStr">
        <is>
          <t>Tangram Flex is seeking a
 **Senior Software Engineer** 
 with a minimum of 8 years of experience with technical leadership in software product development and technology programs. Hybrid and On\-Site options available within Dayton, Ohio radius.
**What We Do** 
 : Our team and products provide solutions to enable innovators to design, develop, verify, and advance critical systems, while accelerating innovation that advances our nation's security. By accelerating delivery of critical systems, Tangram is transforming the way our nation solves complex software challenges.
 Tangram Flex’s Story
**Our Mission, Our Purpose, and Our Vision** 
 We are committed to staying rooted in our core value of Team First. For that reason, we've designed a highly competitive benefits program and supportive work environment to engage employees and their families.
 ➤ Hybrid work options
 ➤ Flexible Working Hours and generous Paid Time Off
 ➤ Employer Paid Medical, Dental, Vision and Short and Long Term Disability Insurance
 ➤ Access to group rating plans for Life Insurance
 ➤ Employer contribution to Health Savings Account
 ➤ Competitive 401K employer match
 ➤ A work environment and culture that fosters transparency, collaboration and well\-being.
**POSITION DESCRIPTION/** 
**Senior Level Software Engineer** 
 would provide technical leadership in software product design and development and technical customer programs targeting software and hardware integration and verification for both Defense and Commercial customers/applications.
**JOB RESPONSIBILITIES/** 
*Primary Responsibilities:* 
* Design, develop, write code and test software with approved architecture and engineering processes and best practices in relevant languages (ex. C/C\+\+/Java/Python/Rust).
* Primary representative and technical thought partner with clients articulating project requirements, outlining expectations, and collaborating with the team to achieve commitments.
* Review and influence ongoing design and development to support end\-to\-end life cycle including internal and external resources.
* Respond to and resolve emergent problems in all aspects of production.
* Innovate and mentor a team of engineers, lead teams on top of tech trends, experimenting with and learning new technologies, participating in internal and external technology communities, mentoring other members of the engineering community.
* Facilitate software development utilizing the Agile SDLC methodology.
* Perform technical support and product use guidance for customer engineers.
* Support system testing and system performance analysis.
* Analyze, develop, and recommend design approaches to meet requirements for new or improved products and/or processes.
* Analyzing and enhancing efficiency, stability and scalability of system resources.
* Collaborate with software engineers, systems engineers, and other stakeholders on system characteristics, design, and requirements.
* Maintain a high level of understanding our Tangram Flex products and their application within a customer environment.
* Identifying opportunities to expand business with customers and participate in developing statements of work and proposals to win additional follow on work with clients.
*Additional:* 
* Contribute to building Tangram’s software products, customer systems, and demonstration systems.
* Communicate the technical concepts to both business and technical users.
* Listen, understand, and convey customer requirements to engineering teammates, Product management, Sales/Growth team, and others.
* Resolve customer issues or difficulties in a manner that is consistent with the company mission, values, and financial objectives of the company.
* Provide status of ongoing and future projects.
* Present technical findings and support customer demonstrations.
* Participate in sprint reviews, planning, and integration events.
* Participate with in person client meetings,
**DESIRED SKILLS \&amp; RESPONSIBILITIES /** 
*Required Skills:* 
* BS in Computer Engineering, Computer Science or Electrical Engineering, or equivalent experience.
* 8\-10\+ years experience in software product development.
* Possess a current/or recent U.S. Government Security Clearance or the ability to obtain and maintain a U.S. government issued security clearance is required. U.S. citizenship is required, as only U.S. citizens are eligible for a security clearance.
* Experience in a hands\-on, technical leadership role (e.g. Principal Investigator, Technical Director, Chief Engineer, Security Architect) on related R\&amp;D or product development projects.
* Experience in software product development using secure software development methods.
* Current expert level C/C\+\+ programming skills..
* Ability to work in a fast\-paced, entrepreneurial environment as part of a small team and execute complex development tasks with limited supervision.
* Professional writing and verbal communications skills adequate to prepare software documentation, participate in technical proposal development, and work with external customers.
* Ability to Travel to Client sites and Conferences
* Ability to Travel and Work at customer site locations, if required.
*Preferred Skills:* 
* MS/PhD in Computer Engineering, Computer Science or Electrical Engineering.
* Strong technical relationships with DoD related laboratories (e.g. Air Force Research Laboratory, Office of Naval Research, Army CERDEC).
* Current in Python and JAVA.
* Experience in leading R\&amp;D proposal development.
*Physical Requirements:* 
* Ability to travel by air, car, or other transportation methods.
* Prolonged periods of sitting at a desk and working on a computer (up to 8 hours/day).
* Ability to lift and carry lightweight items (e.g., laptops, demo equipment, marketing materials) up to 25 lbs.
* Frequent use of hands and fingers for typing, using a mouse, writing, and handling equipment.
* Visual acuity to read detailed technical documents, view computer screens, and operate software systems.
* Auditory ability to participate in meetings, customer demos, and conference calls, including in potentially noisy environments (e.g., trade shows or military facilities).
* Mobility to move between office spaces, customer sites, conference venues, and manufacturing or lab environments.
* Flexibility to adapt to varying work environments (e.g., corporate offices, government buildings, industrial or lab spaces)
 *.*
 Tangram Flex is an Equal Opportunity Employer, and provides reasonable accommodation for qualified individuals with disabilities and disabled veterans in its application procedures and in accordance with federal law. All qualified candidates will receive consideration for employment based on business needs, job requirements, and individual qualifications.
 EEO/AA Vet/Disabled Employer/ and E\-Verify</t>
        </is>
      </c>
    </row>
    <row r="172">
      <c r="A172" t="inlineStr">
        <is>
          <t>li-4351344853</t>
        </is>
      </c>
      <c r="B172" t="inlineStr">
        <is>
          <t>Senior Backend Engineer</t>
        </is>
      </c>
      <c r="C172" t="inlineStr">
        <is>
          <t>Alldus</t>
        </is>
      </c>
      <c r="D172" t="inlineStr">
        <is>
          <t>linkedin</t>
        </is>
      </c>
      <c r="E172" t="inlineStr"/>
      <c r="F172" t="inlineStr"/>
      <c r="G172" t="inlineStr"/>
      <c r="H172" t="inlineStr"/>
      <c r="I172" t="inlineStr">
        <is>
          <t>We are a Series\-A Fintech start\-up based in NYC building an innovative AI platform for private market investors. We are looking for a Principal Backend Engineer to join our team to work on core backend services for our product suite.
**Role Responsibilities:**
* Expert in Node/Typescript (Experience with production Go is a plus)
* Deep experience with systems \&amp; scale: distributed systems, memory management, durable execution, etc.
* Proven ability shipping/operating in modern cloud environments with an emphasis on observability
* Product engineering experience is key – you are someone who has built and scaled products. You are comfortable making pragmatic, product first decisions, communicate risk, etc.
* You’ll Architect, build, and operate backend services that are fast, fault\-tolerant, and easy to evolve.
* Familiarity with LLM integrations is nice to have
**Technical Qualifications:**
* B.S.\+ in Computer Science or similar technical field
* 3\+ years of professional software engineering experience, ideally using languages Typescript, Go, Python, etc.
* Proven experience in building 0→1 web software and APIs
* A strong understanding of cloud infrastructure (AWS or similar)</t>
        </is>
      </c>
    </row>
    <row r="173">
      <c r="A173" t="inlineStr">
        <is>
          <t>li-4343619231</t>
        </is>
      </c>
      <c r="B173" t="inlineStr">
        <is>
          <t>Software Engineer - Angular</t>
        </is>
      </c>
      <c r="C173" t="inlineStr">
        <is>
          <t>KeyBank</t>
        </is>
      </c>
      <c r="D173" t="inlineStr">
        <is>
          <t>linkedin</t>
        </is>
      </c>
      <c r="E173" t="inlineStr"/>
      <c r="F173" t="inlineStr"/>
      <c r="G173" t="inlineStr">
        <is>
          <t>Brooklyn, OH</t>
        </is>
      </c>
      <c r="H173" t="inlineStr"/>
      <c r="I173" t="inlineStr">
        <is>
          <t>**Location:**
 4910 Tiedeman Road, Brooklyn Ohio
 The Software Engineer is responsible for the development, implementation, assessment, and support of the KeyNavigator platform. This role collaborates closely with product owners, business analysts, designers, and technical leads to deliver high\-quality digital solutions. The engineer participates in agile squad ceremonies, contributes to UI standards, and supports the full software development lifecycle driving continuous improvement.
**Essential Functions**
* Drive development, implementation, and support of the KeyNavigator platform
* Collaborate with product owners and business analysts to develop features aligned with standards and best practices
* Participate in agile squad ceremonies and the release process across the digital team
* Develop and maintain UI standards; conduct code and design reviews
* Estimate, design, implement, document, test, and deploy software solutions
* Interpret wireframes and creative designs into functional requirements
* Follow and promote best practices and standards for the team
* Contribute ideas to advance technology and improve processes
* Collaborate and communicate effectively with cross\-functional teams
* Monitor junior developers
* Report status and progress to scrum masters and technical leads
* Adapt and work with team members across varying experience levels
**Education**
* Bachelor’s degree in Computer Science, Engineering, or related field (required)
**Work Experience**
* 3\+ years of experience in Angular development
* 2\+ years of experience in mobile app development
* 3\+ years of experience working in agile development environments
* 3\+ years of experience collaborating with cross\-functional teams
* Mobile app development experience is a plus.
**Skills**
* Strong proficiency in Angular front\-end development
* Experience in developing and deploying Front End Applications.
* Hybrid mobile applications (e.g. Cordova, Capacitor) and programming languages like Swift, Kotlin, Java and Objective\-C.
* Experience interpreting design specifications and wireframes
* Familiarity with agile methodologies and ceremonies
* Ability to develop and enforce UI standards
* Strong communication and collaboration skills
* Problem\-solving and troubleshooting capabilities
* Experience with release management and deployment processes
* Ability to work independently and within a team
* Commitment to continuous learning and improvement
**Compensation And Benefits**
 This position is eligible to earn a base salary in the range of $71,000\.00 \- $122,000\.00 annually. Placement within the pay range may differ based upon various factors, including but not limited to skills, experience and geographic location. Compensation for this role also includes eligibility for incentive compensation subject to individual and company performance.
 Please click here for a list of benefits for which this position is eligible.
 Key has implemented an approach to employee workspaces which prioritizes in\-office presence, while providing flexible options in circumstances where roles can be performed effectively in a mobile environment.
 Job Posting Expiration Date: 01/15/2026 KeyCorp is an Equal Opportunity Employer committed to sustaining an inclusive culture. All qualified applicants will receive consideration for employment without regard to race, color, religion, sex, sexual orientation, gender identity, national origin, age, genetic information, pregnancy, disability, veteran status or any other characteristic protected by law.
 Qualified individuals with disabilities or disabled veterans who are unable or limited in their ability to apply on this site may request reasonable accommodations by emailing HR\_Compliance@keybank.com.</t>
        </is>
      </c>
    </row>
    <row r="174">
      <c r="A174" t="inlineStr">
        <is>
          <t>li-4303230500</t>
        </is>
      </c>
      <c r="B174" t="inlineStr">
        <is>
          <t>Senior Associate - AI Full Stack Engineer</t>
        </is>
      </c>
      <c r="C174" t="inlineStr">
        <is>
          <t>New York Life Insurance Company</t>
        </is>
      </c>
      <c r="D174" t="inlineStr">
        <is>
          <t>linkedin</t>
        </is>
      </c>
      <c r="E174" t="inlineStr"/>
      <c r="F174" t="inlineStr"/>
      <c r="G174" t="inlineStr">
        <is>
          <t>New York, NY</t>
        </is>
      </c>
      <c r="H174" t="inlineStr"/>
      <c r="I174" t="inlineStr">
        <is>
          <t>**Location Designation:** 
 Hybrid \- 3 days per week
 We are seeking an experienced AI Full Stack Engineer to design, build, and deploy next\-generation AI\-powered applications. This role operates at the intersection of machine learning, agentic AI, and full\-stack development, delivering scalable solutions that embed intelligence directly into business workflows.
 The AI Full Stack Engineer will partner with product managers, data scientists, architects, and DevOps teams to translate ambiguous business problems into production\-ready systems. You will work across the full stack — from AI/ML model development and deployment to frontend user experiences and backend services — ensuring that solutions are performant, secure, and aligned with enterprise standards.
 This position is ideal for engineers with strong software craftsmanship, applied AI/ML experience, and a passion for agentic AI systems and Retrieval\-Augmented Generation (RAG) architectures.
**What You'll Do**
* Design and implement end\-to\-end AI\-powered applications, from data pipelines and ML models to APIs and user interfaces.
* Collaborate with product managers and stakeholders to translate business problems into technical specifications.
* Build and optimize RAG systems leveraging embeddings, vector databases, and document pipelines.
* Develop AI agents with autonomous reasoning, multi\-step task execution, and external tool/API integration.
* Implement Agentic AI protocols including Model Context Protocol (MCP) and multi\-agent orchestration frameworks.
* Build scalable frontend applications using React, Angular, or Vue, and backend services with Python, Node.js, Java, or Go.
* Design and maintain SQL and NoSQL databases (PostgreSQL, MySQL, MongoDB, Redis) for structured and unstructured data.
* Deploy, monitor, and scale applications on cloud platforms (AWS, GCP, Azure) with Docker and Kubernetes.
* Implement CI/CD pipelines, version control, and automated testing for reliable delivery.
* Ensure system reliability through monitoring, observability, drift detection, and alerting for ML models in production.
* Collaborate with data scientists, DevOps, and cross\-functional teams to accelerate AI feature delivery.
* Mentor junior developers and contribute to a culture of engineering excellence.
**What You'll Bring**
* Master’s degree in Computer Science, Machine Learning, Data Science, Software Engineering, or related technical field.
* 4\+ years of professional software development experience, with at least 2\+ years focused on AI/ML application development and deployment.
* Proficiency in modern frontend frameworks (React, Angular, Vue), backend development (Python, Node.js, Java, Go), and RESTful APIs.
* Strong experience with SQL and NoSQL databases.
* Hands\-on experience deploying applications to AWS, GCP, or Azure.
* Proven expertise with Git, CI/CD pipelines, Docker, and Kubernetes.
* Solid understanding of ML pipeline automation, model versioning, and production deployment.
* Strong collaboration and communication skills to work with technical and business partners.
**Preferred / Desired Skills**
* Experience implementing RAG systems and working with vector databases (Pinecone, Weaviate, ChromaDB).
* Proficiency in agent development frameworks (LangChain, LlamaIndex, Strands) and multi\-agent orchestration.
* Familiarity with real\-time AI systems, streaming pipelines, and low\-latency inference using Kafka or Redis Streams.
* Knowledge of monitoring ML systems for drift, performance degradation, and automated alerting.
* Exposure to insurance or financial services technology solutions.
* Demonstrated ability to lead technical projects and mentor junior engineers.
* Strong portfolio of AI\-enabled full\-stack applications in production.
**Pay Transparency**
 Salary Range: $97,500\-$139,500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92574</t>
        </is>
      </c>
    </row>
    <row r="175">
      <c r="A175" t="inlineStr">
        <is>
          <t>li-4330266021</t>
        </is>
      </c>
      <c r="B175" t="inlineStr">
        <is>
          <t>Software Engineer</t>
        </is>
      </c>
      <c r="C175" t="inlineStr">
        <is>
          <t>Haystack</t>
        </is>
      </c>
      <c r="D175" t="inlineStr">
        <is>
          <t>linkedin</t>
        </is>
      </c>
      <c r="E175" t="inlineStr"/>
      <c r="F175" t="inlineStr"/>
      <c r="G175" t="inlineStr"/>
      <c r="H175" t="inlineStr"/>
      <c r="I175" t="inlineStr">
        <is>
          <t>**Sr Software Engineer \| Atlanta, GA \| $99,000 \- $165,000** 
 We're working with Cox Automotive on this exciting opportunity.
 This role offers a unique opportunity to drive technical excellence, mentor junior engineers, and champion best practices in cloud\-native software engineering. You'll work across the full stack, explore emerging AI technologies, and make a significant impact on core products.
**Key Responsibilities:** 
 • Design, develop, and deploy robust, scalable software solutions that meet user story requirements and acceptance criteria.
 • Write and maintain unit, integration, and automated tests to ensure software quality and reliability.
 • Build expertise in the applications, systems, and services you support.
 • Troubleshoot and resolve software defects and production issues.
 • Explore and incorporate AI capabilities to improve code quality, deployment processes, and innovation within our engineering practice.
**What You'll Need:** 
 • 4\+ years of proficiency in .Net, C\#, or React.js.
 • 4\+ years of experience designing and developing web applications.
 • 4\+ years of experience building and deploying applications in a cloud environment (preferably AWS; Azure or GCP acceptable).
 • Demonstrated experience contributing to open\-source projects or communities.
 • Experience with AI\-augmented development, prompt engineering, and AI tool evaluation.
**Apply via Haystack today!**</t>
        </is>
      </c>
    </row>
    <row r="176">
      <c r="A176" t="inlineStr">
        <is>
          <t>li-4282105825</t>
        </is>
      </c>
      <c r="B176" t="inlineStr">
        <is>
          <t>Staff Software Engineer, Growth Platform</t>
        </is>
      </c>
      <c r="C176" t="inlineStr">
        <is>
          <t>Airbnb</t>
        </is>
      </c>
      <c r="D176" t="inlineStr">
        <is>
          <t>linkedin</t>
        </is>
      </c>
      <c r="E176" t="inlineStr"/>
      <c r="F176" t="inlineStr"/>
      <c r="G176" t="inlineStr"/>
      <c r="H176" t="inlineStr"/>
      <c r="I17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CRM Engineering team builds world\-class tools that drive growth and foster meaningful relationships between Airbnb and its community, including Hosts, Guests, Law Enforcement, Government Regulators, Local Community Leaders, and more. This team tackles some of the most challenging and unique problems faced by our business. Here are a few examples:
* Growth Platform: Designed to increase supply and retain existing hosts.
* Policy Platform: Enables Airbnb to engage with regulatory bodies across the globe regarding short\-term rental regulations. This platform tracks regulations that impact the Airbnb business and provides intelligence to address unique business challenges.
* Community Platform: Establishes a social platform to drive community enablement, collaboration, and success.
* Agent Tools: Empowers agents to understand and resolve issues that customers are unable to address on their own.
* Aircover Claims Platform: Facilitates the processing of claims for Aircover insurance products, offering protection to both hosts and guests.
**The Difference You Will Make**
 Our team is building an AI driven growth platform to serve as a true growth engine for Airbnb's supply expansion. This platform will leverage AI\-driven intelligence to provide sales insights, meet diverse supply needs, help current hosts achieve greater success on the Airbnb platform, and build lead funnels to attract more high\-quality hosts to Airbnb.
 There is immense potential for AI\-driven initiatives to revolutionize the supply funnel at Airbnb. This role presents an exciting opportunity to create a unique and impactful platform that addresses complex business challenges.
 In this position, you will closely collaborate with and influence stakeholders across technical, business, product, and design teams to identify, scope, and deliver critical initiatives. As you lead efforts across these stakeholders and work with a distributed team of engineers, you will also actively contribute to prototyping, evaluating, and implementing solutions. This is your chance to make a lasting impact on Airbnb's growth trajectory and technology landscape!
**A Typical Day**
* Design the future state of our technical systems by combining a strategic understanding of our highest level product goals with a deep understanding of our existing systems to inform the right technical and product tradeoffs for both short and long term
* Lead engineers—both inside and outside your immediate team—in building out these technical solutions
* Participate in the development of product and UX requirements by engaging early and often with designers, product managers and other stakeholders to help steer teams on the most efficient path towards overall goals
* Nurture a culture of technical quality from design, through code review, to production operations
* Mentor other engineers in developing their technical and collaboration skills
* Identify and propose solutions to problems coming in the way of technical and product engineering excellence
* Collaborate with internal teams across the tech community, Hosting, Guest and Mobile and data engineering.
**Your Expertise**
* 9\+ years of relevant software development industry experience in a fast\-paced tech environment
* Strong proficiency in at least one major backend programming language (e.g., Java, Kotlin, Scala, Python) and experience with modern frontend frameworks (e.g., React, Angular, Vue.js)
* Proven track record of delivering end\-to\-end products in a collaborative environment, from ideation and planning to implementation and launch
* Experience with architectural patterns of large\-scale web applications, including well\-designed APIs, high\-volume data pipelines, and efficient algorithms
* Demonstrated ability to make data\-driven decisions, articulate technical trade\-offs, and communicate effectively with cross\-functional partners
* Passion for creating intuitive user experiences and a keen interest in data systems and analytics
* Good judgment in making tradeoffs to balance short\-term business needs with long\-term technical quality
* Strong understanding of how deep backend systems are expressed in the UX shown to customers
* End\-to\-end mentality that transcends team boundaries and helps find globally optimal solutions
* Excellent communication skills and the ability to work well within a team and with teams across the engineering organization
* Passionate about efficiency, availability, system quality and user experience
* Passionate about building AI\-driven applications that deliver innovative and impactful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177">
      <c r="A177" t="inlineStr">
        <is>
          <t>li-4354555097</t>
        </is>
      </c>
      <c r="B177" t="inlineStr">
        <is>
          <t>Senior Embedded Software Engineer #25450</t>
        </is>
      </c>
      <c r="C177" t="inlineStr">
        <is>
          <t>Blue Chip Talent</t>
        </is>
      </c>
      <c r="D177" t="inlineStr">
        <is>
          <t>linkedin</t>
        </is>
      </c>
      <c r="E177" t="inlineStr"/>
      <c r="F177" t="inlineStr"/>
      <c r="G177" t="inlineStr">
        <is>
          <t>Palo Alto, CA</t>
        </is>
      </c>
      <c r="H177" t="inlineStr"/>
      <c r="I177" t="inlineStr">
        <is>
          <t>***Blue Chip Talent***
 , in partnership with a cutting\-edge automotive technology organization, is seeking a skilled
 **Senior Embedded Software Engineer** 
 . This role is responsible for supporting the software stack for design verification of PCBAs and ECUs, creating device drivers, and enabling board bring\-up activities for next\-gen vehicle platforms.
**Job Duties:** 
* Develop embedded software and device drivers for connectivity hardware components
* Design software prototypes to enable early hardware/software co\-design
* Create and execute validation test cases in Python and C
* Perform board bring\-up and verification for automotive ECUs and PCBAs
* Collaborate with architecture teams on platform\-level design across SoCs and stacks
* Debug real\-time software and hardware issues in embedded systems
* Utilize Linux build systems, kernel configuration, and device trees
* Communicate technical updates and collaborate with cross\-functional teams
 Skills \&amp; Experience
**Required:** 
* Bachelor’s or Master’s in Computer Engineering, Computer Science, Electrical Engineering, or related field
* 7\+ years of experience in embedded software development
* Strong programming skills in C and C\+\+
* Proficiency with Linux and/or RTOS, BSPs, kernel modules, and driver interfaces
* Hands\-on experience with Lauterbach, oscilloscopes, JTAG, and flashing/debug tools
* Experience building and debugging firmware for PCBAs and ECUs
* Background in automotive infotainment or connectivity systems
* Experience with technologies such as GNSS, UWB, RF, A2B, or Bluetooth Audio
**Desired:** 
* Experience with technologies such as GNSS, UWB, RF, A2B, or Bluetooth Audio
* Familiarity with automotive\-grade software stacks and validation processes
* Exposure to Python scripting for automation and testing
 Blue Chip Talent is an award\-winning and woman\-owned talent solutions provider based out of Bloomfield Hills, Michigan. For over 30 years, we’ve specialized in IT, Engineering, and Professional Services staffing—now serving clients in 37 states and counting. We connect the market's elite talent with top employers, pairing exceptional white\-glove service with proven hiring results to drive innovation and fuel growth. We offer industry\-leading benefits options and are proud to be an Equal Opportunity Employer (EOE) that values merit\-based recruitment centered around technical ability, skillset, and alignment with our employing partners.</t>
        </is>
      </c>
    </row>
    <row r="178">
      <c r="A178" t="inlineStr">
        <is>
          <t>li-4354613596</t>
        </is>
      </c>
      <c r="B178" t="inlineStr">
        <is>
          <t>Software Engineer</t>
        </is>
      </c>
      <c r="C178" t="inlineStr">
        <is>
          <t>TalentAlly</t>
        </is>
      </c>
      <c r="D178" t="inlineStr">
        <is>
          <t>linkedin</t>
        </is>
      </c>
      <c r="E178" t="inlineStr"/>
      <c r="F178" t="inlineStr"/>
      <c r="G178" t="inlineStr">
        <is>
          <t>Columbus, Ohio Metropolitan Area</t>
        </is>
      </c>
      <c r="H178" t="inlineStr"/>
      <c r="I17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
* Provide deep subject matter expertise and support the analysis, design, and implementation for hybrid on\-prem and cloud Active Directory environments and Azure Active Directory/Entra ID tenants.
* Engage and collaborate with business and technical partners to integrate systems and applications with centralized authentication such as Active Directory or Azure Active Directory/Entra ID.
* Provide deep subject matter knowledge and expertise on Active Directory, Azure Active Directory/Entra ID, and Okta Active Directory synchronization.
* Support new product comparison, vetting, and selection process to ensure technology is relevant and meets business requirements.
* Drive Active Directory and Entra ID disaster recovery drills, process improvements, and documentation efforts.
* Continually enhance authentication platforms, ensuring systems are protected from new and evolving Cyber threats and systems are operationally stable.
* Collaborate closely with global cross\-functional teams to ensure the stability, scalability, and security of the Active Directory and Azure Active Directory/Entra ID environments and Okta. Participate in discussions on all aspects of identity and access management.
* Respond to and resolve complex, high\-severity incidents.
* Lead regular reviews of deployed infrastructure, develop detailed architecture, and create and update new technical documentation and Standard Operating Procedures (SOP).
* Analyze the current authentication services platforms to identify both technical and operational opportunities for enhancements and develop continuous improvement action plans.
* Lead regular assessment of systems and process hygiene and identify and implement automation.
* Actively research and implement new innovations in IT security as well as IAM technologies and services, striving to ensure McKesson continues to deliver best practices and standards.
* Provide on\-call support as needed for operational continuity of Identity platforms. (1 week rotation for ON\-call)
**Minimum Requirements** 
 :
* Degree or equivalent and typically requires 7\+ years of relevant experience.
**Critical Experience/Skills** 
 :
* Proven experience as an Active Directory/Entra ID Engineer or similar role with a minimum of 7 years of experience.
* Proven ability to effectively prioritize and execute tasks with competing priorities; strong influencing skills to work with various service owners.
* Demonstrated experience effectively leading and managing collaborative, service management solutions across disparate functional teams.
**Preferred Experience/Skills:** 
* Advanced understanding of Active Directory, Azure Active Directory/Entra ID, Lightweight Directory Access Protocol, Active Directory Federation Services, and other centralized identity stores.
* Advanced understanding of Microsoft Azure and familiarity with IAM permissions on Management Groups, subscriptions, and resources.
* Advanced knowledge of Azure Active Directory/Entra ID capabilities such as Conditional Access Policies, Privileged Identity Manager, and Application Registrations.
*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 Advanced understanding of implementing security on Active Directory and Entra ID and hardening those platforms.
* Advanced understanding of Active Directory and Entra ID backup and restore processes and experience of performing Disaster Recovery exercises.
* Advanced understanding of Windows Server operating systems and Active Directory/Azure Active Directory/Entra ID services.
* Advanced understanding of PowerShell scripting with proven experience implementing automation, including experience utilizing APIs such as Microsoft Graph.
* Advanced understanding of Single\-Sign On and authentication protocols such as SAML \&amp; OIDC.
*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PDN\-a08428c3\-b31f\-46f2\-abd0\-8735e7b0681e</t>
        </is>
      </c>
    </row>
    <row r="179">
      <c r="A179" t="inlineStr">
        <is>
          <t>li-4330206523</t>
        </is>
      </c>
      <c r="B179" t="inlineStr">
        <is>
          <t>Senior Power Analysis Software Engineer</t>
        </is>
      </c>
      <c r="C179" t="inlineStr">
        <is>
          <t>Arm</t>
        </is>
      </c>
      <c r="D179" t="inlineStr">
        <is>
          <t>linkedin</t>
        </is>
      </c>
      <c r="E179" t="inlineStr"/>
      <c r="F179" t="inlineStr"/>
      <c r="G179" t="inlineStr">
        <is>
          <t>Austin, TX</t>
        </is>
      </c>
      <c r="H179" t="inlineStr"/>
      <c r="I179" t="inlineStr">
        <is>
          <t>**Job Overview**
 This position is an excellent opportunity for an experienced and highly motivated verification engineer to join the Arm Systems Media IP team! The team is responsible for the development of Image Signal Processors (ISPs), Display Processors, and Video codecs for deploying within Arm Compute Subsystems for various end markets, including automotive, IoT, and client market segments. Our intellectual property encompasses RTL, reference drivers, tools, and libraries, enabling our customers to build upon our work to create innovative products!
 You will specify and develop new hardware verification testbenches for future generation hardware IP. You will improve existing testbenches to increase performance, quality and efficiency. You will also identify areas for improvement in processes and methodologies, then implement those changes to advance our best\-practices for hardware verification. This is a new team with plenty of opportunities to shape its future, and your own growth and career progression.
**Responsibilities**
 Depending on prior experience, the responsibilities of the role can include:
* Verification ownership of unit level or multi\-unit hierarchy or alternatively verification lead of an overall IP (ISP, Display, Video).
* Architecting verification IP and full verification environments.
* Reviewing and assessing proposed design changes from a verification complexity point of view.
* Analysis of data from simulation runs using machine learning and data science techniques to drive efficient bug discovery and debug.
* Identify cross Media IP process or methodology improvement opportunities, implementing changes to advance hardware verification efficiency.
* Close collaboration with other Arm engineering teams leading to high quality IP that works well in a complete system.
* Mentor \&amp; support other members of the team.
****Required skills and experience:****
* Experience in working with constrained\-random verification including ownership of a suitably complex verification environment and creating testbenches.
* Experience developing reusable and scalable code whilst having in\-depth knowledge of SV\-UVM.
* Strong scripting skills – being able to develop scripts to support new and existing flows.
* Solid software engineering skills including understanding of object\-oriented programming, data structures, and algorithms.
* Familiar with the tools and processes for developing testbenches and finishing all aspects of the verification process.
* Prior technical and/or team leadership skills required for more senior positions.
****'Nice to Have' skills and Experience:****
* Team leadership and mentoring experience.
* Multiprocessing microarchitecture experience including knowledge of bus protocols (e.g. AMBA APB/AHB/AXI).
* Past experience in Formal Verification testbenches.
* Experience in video codec, ISP, or display projects, including knowledge of advanced image processing algorithms, such as local tone mapping, noise reduction, motion estimation, transform coding, etc.
* Experience of Functional Safety product development for the Automotive market (applying standards such as ISO 26262 and/or IEC 61508\).
* Experience with Continuous Integration flows.
****In Return:****
 You will get to utilise your engineering skills to build support for the technologies and influence millions of devices for years to come. You will be able to drive and bring your ideas to a wider audience, while building your technical leadership and influencing skills.
 Our
 **10x mindset** 
 guides how we engineer, collaborate, and grow. Understand what it means and how to reflect 10x in your work: https://careers.arm.com/en/10x\-mindset
****Accommodations at Arm****
 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180">
      <c r="A180" t="inlineStr">
        <is>
          <t>li-4303295694</t>
        </is>
      </c>
      <c r="B180" t="inlineStr">
        <is>
          <t>Senior Software Engineer, MathDx – cuBLASDx and cuSolverDx</t>
        </is>
      </c>
      <c r="C180" t="inlineStr">
        <is>
          <t>NVIDIA</t>
        </is>
      </c>
      <c r="D180" t="inlineStr">
        <is>
          <t>linkedin</t>
        </is>
      </c>
      <c r="E180" t="inlineStr"/>
      <c r="F180" t="inlineStr"/>
      <c r="G180" t="inlineStr">
        <is>
          <t>Santa Clara, CA</t>
        </is>
      </c>
      <c r="H180" t="inlineStr"/>
      <c r="I180" t="inlineStr">
        <is>
          <t>NVIDIA is looking for an expert software engineer to help us expand our catalog of Device eXtension (Dx) APIs for our math libraries. For over a decade, NVIDIA's accelerated computing platform has revolutionized HPC and AI with applications ranging from COVID\-19 research to autonomous machines. Did you know that our team develops the GPU\-accelerated mathematical libraries that make all of this possible?
 The hardware and software accelerated computing ecosystem is constantly evolving, including shifts towards hybrid backends, deep integration with high\-level languages and ecosystems (such as Python, Numpy, JAX, MLIR…), and optimization at runtime for maximum flexibility and performance. Our Dx APIs allow developers to embed highly\-optimized mathematical operations in their applications for these and other scenarios. You will be part of a team designing, developing, and optimizing math libraries for the future. If you are passionate about designing modern HPC libraries and want to build software that will stand the test\-of\-time as it accelerates countless applications, we might have the dream job you have been waiting for!
**What You'll Be Doing**
* Design modern, flexible, and easy to use APIs for math libraries and lead design reviews with all collaborators.
* Work closely with internal (e.g., engineering, Product Management) and external partners such as researchers to understand their use cases and requirements.
* Become a domain expert by continuously surveying current trends in software systems.
**What We Need To See**
* PhD or MSc degree in Computer Science, Applied Math, or a related science or engineering field is preferred (or equivalent experience).
* 3\+ years of experience designing and developing software for high\-performance computing and/or AI applications.
* Advanced C\+\+ skills, including modern design paradigms (e.g., template meta\-programming, RAII).
* Parallel programming experience with CUDA or OpenCL.
* Strong collaboration, communication, and documentation habits.
**Ways To Stand Out From The Crowd**
* Experience using graph compilers and/or Just In Time compilation workflows (e.g. XLA, LLVM, MLIR, Numba, NVRTC).
* Programming skills with Python, and modern automation setups for both building software (e.g. cmake) as well as testing it (e.g. CI/CD, sanitizers).
* Experience with CCCL, OpenMP, OpenACC, multi\-threading, MPI, PGAS.
* Strong background in numerical methods (e.g., FFT, numerical linear algebra).
* Experience with scientific and deep learning libraries and frameworks such as PyTorch, JAX, MKL, MAGMA, PETSc, Kokkos, etc.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September 23,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JR2003815</t>
        </is>
      </c>
    </row>
    <row r="181">
      <c r="A181" t="inlineStr">
        <is>
          <t>li-4294283002</t>
        </is>
      </c>
      <c r="B181" t="inlineStr">
        <is>
          <t>Senior Full Stack Software Engineer</t>
        </is>
      </c>
      <c r="C181" t="inlineStr">
        <is>
          <t>Anomalo</t>
        </is>
      </c>
      <c r="D181" t="inlineStr">
        <is>
          <t>linkedin</t>
        </is>
      </c>
      <c r="E181" t="inlineStr"/>
      <c r="F181" t="inlineStr"/>
      <c r="G181" t="inlineStr"/>
      <c r="H181" t="inlineStr"/>
      <c r="I181" t="inlineStr">
        <is>
          <t>As a Senior Full Stack Software Engineer on the Application Team, you'll play a vital role in building and maintaining our web platform. You'll define, shape and ship innovative customer\-facing features with a focus on user experience. You'll also work closely with our Sales Engineering and Customer Success teams to better understand the needs of our customers.
 At Anomalo, you'll join supportive colleagues who love to learn together and take on challenging, high impact projects with a strong sense of ownership. You'll also receive mentorship and have meaningful opportunities for career growth.
**What you'll do as a Senior Full Stack Software Engineer at Anomalo:**
* Own end\-to\-end development of new product features using React/TypeScript on the frontend and Python on the backend, working alongside product and design
* Translate designs, sketches, and product ideas into functional and reusable UI components that are beautiful and delightful to use
* Interact with end\-users to deeply understand their needs and build the right solution
**What you'll bring to the team:**
* 7\+ years of software development
* 5\+ years of experience in Python; Django a plus
* 5\+ years of experience with React, Typescript a plus
* Strong knowledge of SQL
* Experience translating customer needs into features
* Hands on experience building products from the ground up in a product led company
* Bachelor’s degree in Computer Science or a related field, or equivalent experience
**Location \&amp; Travel:**
* This is a remote role, open to qualified candidates currently based in the United States.
* We hold quarterly company offsites to collaborate in person; attendance is required.
* We hold an annual Engineering Hackathon in person; attendance is required.
**Salary range:**
* The estimated annual salary range for this role is $175\-230k plus meaningful equity
**Perks of working at Anomalo:**
* 🎯 Make An Impact: Join a growing company that delights our customers. Our modern UI and rich visualizations help our customers solve unknowns and anticipate data issues before they happen.
* 🔍 A values\-driven, open and transparent culture that supports autonomy and growth.
* 🏡 Fully Remote: We were fully remote before it was a thing, and we believe your best work happens on your schedule. We offer a generous $1,000 stipend to ensure your remote office is comfortable.
* ✈ Quarterly Onsites: While we love the flexibility of being remote\-first, we also recognize the value of spending time together in person. We make time to get together (in a new destination!) for a company\-wide offsite each quarter.
* 🌴 Generous Time Off: Enjoy 17 company holidays and unlimited vacation time that we encourage you to take. We also have a company\-wide winter break the last week of the year.
* 🩹 Health Benefits: Comprehensive family\-friendly medical, dental, and vision insurance plans. Anomalo covers 90% of your premiums. We provide access to family planning and reproductive care for our employees and their families by partnering with Carrot Fertility. We provide mental health and wellness benefits for all employees, covered at 100%.
* 🍼 Family Comes First: We offer 16 weeks of parental leave, during which you will receive your full pay.
* 💸 Investment in the company \&amp; your future: Every employee is granted a meaningful equity package. We also offer life insurance and a 401(k) plan.
*Many of our benefits and perks are designed for full\-time employees, with some available only to team members based in the United States.*
**What we value:**
* Own It: We don’t just do our jobs—we own getting to the best results across the company.
* Act \&amp; Adapt: We prioritize action, learn from mistakes, and continuously improve with humility and curiosity.
* Thrive Together: We embrace diversity, assume best intentions, and support each other to succeed as a team.
* Opacity Zero: Thoughtful transparency enables us to work autonomously and make great decisions.
* Customer Focus: We anticipate, innovate for, and deliver what matters most to our current and future customers.
* Work Smart: Work when, where, and how you’re most effective—outcomes matter more than hours.
**About Anomalo**
 Anomalo is the automated AI solution that integrates with the modern data stack to monitor data quality. Using unsupervised learning, it detects complex issues like distribution changes that static rules miss. With built\-in root cause analysis, Anomalo identifies anomalies, their causes, and their impact, helping data teams focus on building instead of debugging.
 We’re rapidly growing and work with some of the biggest brands leveraging data today, like Block, Discover, Atlassian, and Included Health. Backed by $82M in seed through Series B extension funding from top\-tier firms, including SignalFire, Norwest Venture Partners, Databricks Ventures, Foundation Capital, Two Sigma Ventures, and First Round Capital, Anomalo is enabling companies to make better data\-driven decisions.
**We will ensure that individuals with disabilities are provided reasonable accommodation to participate in the interview process, to perform essential job functions, and to receive other benefits and privileges of employment. Upon interview scheduling, instructions for confidential accommodation requests will be shared.**
 Anomalo Applicant Privacy Policy</t>
        </is>
      </c>
    </row>
    <row r="182">
      <c r="A182" t="inlineStr">
        <is>
          <t>li-4244911155</t>
        </is>
      </c>
      <c r="B182" t="inlineStr">
        <is>
          <t>Sr. Senior Software Engineer - 23424</t>
        </is>
      </c>
      <c r="C182" t="inlineStr">
        <is>
          <t>Enlighten</t>
        </is>
      </c>
      <c r="D182" t="inlineStr">
        <is>
          <t>linkedin</t>
        </is>
      </c>
      <c r="E182" t="inlineStr"/>
      <c r="F182" t="inlineStr"/>
      <c r="G182" t="inlineStr">
        <is>
          <t>Colorado Springs, CO</t>
        </is>
      </c>
      <c r="H182" t="inlineStr"/>
      <c r="I182"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$119,574\.00 \- $180,000\.00\.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Senior Software Engineer to join our team. As a Sr. Software Engineer, you will be responsible for designing, developing, and implementing complex software capabilities for computer\-based systems. Will work closely with other talented engineers to create software solutions that meet the needs of our clients. A co\-working space will be set up, and this role will play an active part in helping to manage and run its daily operations.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Keep up\-to\-date with emerging trends and technologies in software development.
* Will work in a fast\-paced, small business environment with our talented team.
* Enjoys engaging with colleagues, organizing after\-hours social events, coordinating team meetings, and fostering a positive, collaborative work environment.
* Additional duties as assigned.
**Minimum Qualifications**
* Security Clearance \- Current Secret level U.S. Government security clearance is required; U.S. Citizenship required. TS level clearances are highly desired, but not required to begin.
* At least 9 years of experience in Software Engineering, Modern Java Frameworks and Libraries (e.g. Spring, Guava) and a Bachelors in related field; 7 years relevant experience with Masters in related field; or High School Diploma or equivalent and 13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Strong communication skills to interact with customers on a daily basis.
* Must be able to work onsite at customer locations and/or at a co\-working space to be established in Colorado Springs, CO. Flexibility is essential to accommodate schedule changes and evolving project needs.
**Preferred Requirements**
* Experience with NiFi, Kafka, AWS Infrastructure, and K8's.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We have many more additional great benefits/perks that you can find on our website at www.eitccorp.com \[eitccorp.com].</t>
        </is>
      </c>
    </row>
    <row r="183">
      <c r="A183" t="inlineStr">
        <is>
          <t>li-4354630619</t>
        </is>
      </c>
      <c r="B183" t="inlineStr">
        <is>
          <t>Rust Software Engineer</t>
        </is>
      </c>
      <c r="C183" t="inlineStr">
        <is>
          <t>Edison Smart®</t>
        </is>
      </c>
      <c r="D183" t="inlineStr">
        <is>
          <t>linkedin</t>
        </is>
      </c>
      <c r="E183" t="inlineStr"/>
      <c r="F183" t="inlineStr"/>
      <c r="G183" t="inlineStr"/>
      <c r="H183" t="inlineStr"/>
      <c r="I183" t="inlineStr">
        <is>
          <t>**Senior Rust Software Engineer \| San Francisco \| Up to $200k base salary** 
 Join a growing Unmanned Systems company in San Francisco, who are developing innovative communication devices for UAS.
 As a Rust Software Engineer, you’ll join a small team building backend infrastructure and networking for the communication platform.
 This is hybrid position; you’ll usually work in the San Francisco office for 2 or 3 days per week.
 For security reasons, this position can only be completed by a US Citizen or Green Card Holder.
**Skills/Experience** 
* Rust
* C\+\+
* Distributed \&amp; Real\-Time systems
* Networking (IP Networking, Routing etc)
* Windows/Unix</t>
        </is>
      </c>
    </row>
    <row r="184">
      <c r="A184" t="inlineStr">
        <is>
          <t>li-4313493312</t>
        </is>
      </c>
      <c r="B184" t="inlineStr">
        <is>
          <t>Cloud Software Engineer (Full Stack)- Neuro</t>
        </is>
      </c>
      <c r="C184" t="inlineStr">
        <is>
          <t>Natus Medical Incorporated</t>
        </is>
      </c>
      <c r="D184" t="inlineStr">
        <is>
          <t>linkedin</t>
        </is>
      </c>
      <c r="E184" t="inlineStr"/>
      <c r="F184" t="inlineStr"/>
      <c r="G184" t="inlineStr">
        <is>
          <t>Middleton, WI</t>
        </is>
      </c>
      <c r="H184" t="inlineStr"/>
      <c r="I184" t="inlineStr">
        <is>
          <t>FOR MORE THAN
 **80 YEARS** 
 , Natus has been working in collaboration with clinicians to deliver industry\-leading neuro solutions that help providers more easily make sense of the body’s signals.
 Engineered with input from those who have lived the care experience, our technology simplifies complex processes and improves accuracy and efficiency. There is a role for everyone who wants to be part of the innovative solutions at
 **Natus Neuro** 
 .
*Remote – USA*
**Ready to build software that makes a real difference in people’s lives? Join us at Natus Medical and help shape the future of cloud\-connected medical technology.**
 If you're looking for a career that combines cutting\-edge technology, real\-world impact, and a collaborative global team—you’ve just found it. We’re hiring a
 **Cloud Software Engineer** 
 to be part of our worldwide Software Engineering group supporting the
 **Natus Neuro** 
 product portfolio.
 Why This Role Matters
 As a
 **Cloud Software Engineer** 
 , you’ll be at the heart of our transition to modern, scalable, cloud\-based solutions. You’ll design and develop full\-stack software components and services for medical\-grade applications, working across functions with software engineers, test teams, product managers, and UI/UX experts. You'll play a critical role in delivering reliable, high\-performance solutions—while meeting rigorous quality and regulatory standards.
 This is more than a coding job. It's an opportunity to make a direct, positive impact on patient care through world\-class software.
 What You’ll Be Doing
**Adherence to Quality System**
* Stay up\-to\-date and follow all Quality System procedures related to this job, which can affect the quality of products or services provided to our customers.
* Adhere to established Quality System and design control procedures and practices.
* Complete Quality System training on time.
**Software Development**
* Participate in user, product, and software requirements discussions and analysis.
* Contribute to the definition and documentation of software architecture.
* Write and review detailed software technical specifications.
* Create and update design documentation throughout the lifecycle, and review designs of others.
* Implement performant and reliable software components and services.
* Create and execute unit test plans and review the plans of others.
* Assist less experienced engineers in design, implementation, and debugging of complex software.
* Stay abreast of industry trends and technologies, and apply that knowledge to cloud software for one or more products.
* Drive cross\-domain cooperation between teams to ensure knowledge sharing.
**Travel Required:** 
 Minimal (up to 20%)
 What We’re Looking For
**Required Qualifications**
* Bachelor’s degree in Computer Science or related field; Master’s preferred.
* 8\+ years of software development experience in a heavily regulated industry.
* Hands\-on experience with Azure Cloud Platform Services: Azure App Service, Azure Container Apps, Azure SQL, Azure Functions, Azure Blob Storage, Azure IoT Hub/Central, Azure Kubernetes Services, Azure Container Instances.
* Strong understanding of software design principles and patterns.
* 5\+ years of experience with ReactJS, JavaScript, HTML, and CSS in Web application development.
* 5\+ years of experience with C\#, .NET, ASP.NET, .NET Core.
* High proficiency in REST, Web API, and web services.
* Hands\-on experience with Docker and Kubernetes.
* Proficiency with GitHub, Azure DevOps Git repos, or similar tools.
* Experience with one or more test automation tools/frameworks.
* Excellent communication skills—verbal, written, and presentation—for both technical and non\-technical audiences.
* Fluent in Agile and Waterfall development methodologies.
* Proficient with debuggers, profilers, and performance optimization.
* Strong working knowledge of SQL and NoSQL databases.
**Bonus Points (Desirable Qualifications)**
* Familiarity with medical device standards: IEC 62304, ISO 13485, ISO 14971\.
* Understanding of HL7 and FHIR healthcare data standards.
* Experience with JIRA, Agile PLM, or similar tools.
**Pay Transparency Details:** 
 The actual base pay offered will vary depending on multiple factors including job\-related knowledge/skills, experience, business needs, geographical location, and internal equity. At Natus, it is not typical for an individual to be hired at or near the top end of the range.
**Compensation and Benefits:** 
 Comprehensive benefit package that starts on your 1st day including medical, dental, vision, 401k contribution, 7 paid holidays \+ 2 floating holidays of your choosing, generous paid time off program, tuition reimbursement assistance eligibility after your first year, and more.
 Be the People part of the Neuro Solution.
 **Apply Today.**
**EEO Statement:** 
 Natus Medical is an equal opportunity employer. All qualified applicants will receive consideration for employment without regard to race, color, religion, sex, national origin, veteran status, disability, sexual orientation, gender identity, or any other protected status.
 \#INDNATUS \#Engineering \#Remote \#Natuscareers \#Natusneuro \#Natus</t>
        </is>
      </c>
    </row>
    <row r="185">
      <c r="A185" t="inlineStr">
        <is>
          <t>li-4330117339</t>
        </is>
      </c>
      <c r="B185" t="inlineStr">
        <is>
          <t>Software Engineer</t>
        </is>
      </c>
      <c r="C185" t="inlineStr">
        <is>
          <t>RemoteHunter</t>
        </is>
      </c>
      <c r="D185" t="inlineStr">
        <is>
          <t>linkedin</t>
        </is>
      </c>
      <c r="E185" t="inlineStr"/>
      <c r="F185" t="inlineStr"/>
      <c r="G185" t="inlineStr"/>
      <c r="H185" t="inlineStr"/>
      <c r="I185"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6">
      <c r="A186" t="inlineStr">
        <is>
          <t>li-4320190306</t>
        </is>
      </c>
      <c r="B186" t="inlineStr">
        <is>
          <t>Software Engineer - Unity Developer</t>
        </is>
      </c>
      <c r="C186" t="inlineStr">
        <is>
          <t>Arrow International, Inc.</t>
        </is>
      </c>
      <c r="D186" t="inlineStr">
        <is>
          <t>linkedin</t>
        </is>
      </c>
      <c r="E186" t="inlineStr"/>
      <c r="F186" t="inlineStr"/>
      <c r="G186" t="inlineStr">
        <is>
          <t>Las Vegas, NV</t>
        </is>
      </c>
      <c r="H186" t="inlineStr"/>
      <c r="I186" t="inlineStr">
        <is>
          <t>Job Type
 Full\-time
**Description**
 Arrow International is the world's largest manufacturer and supplier of charitable gaming products and solutions. We produce and distribute a wide array of products including consumables (pull tab tickets, bingo paper and ink, etc.) as well as world class, state\-of\-the\-art, electronic gaming products. Our products are sold, installed, and operated in numerous social and gaming venues around the world. We continue to grow at a record pace and offer this exciting career opportunity to join our team where we are focused on attracting and engaging exceptional talent, empowering colleagues to achieve fulfilling careers, and creating fun and engaging products that are second to none for our customers.
**Position Summary**
 We are looking for an enthusiastic Unity developer to turn a game idea into code in a fast\-moving environment. You will be involved in various aspects of the game’s creation from concept to finished product including programming, audio, design, production, and visual arts.
 **This is role is based in Las Vegas, NV** 
 . You must be open to relocation for this role.
**Primary Roles And Responsibilities**
* Analyze, design, and develop new games and maintain and enhance existing games.
* Animate characters and objects in code
* Contribute to the design and audio features of the game
* Produce prototypes of gameplay ideas and features
* Participate in the development of project schedules and milestones
* "Polish” the game, evaluate code for efficiency, fix bugs and “future proof” our products.
* Test and debug your work for accuracy and functionality before submitting it to QA.
**Requirements**
**Experience and Education**
* Skilled with Unity game development technologies
* Unity expertise
* C\# expertise
* Creativity and imagination
* Flexibility and adaptability
* Strong team\-oriented interpersonal and communication skills
* Strong analytical problem\-solving skills
* The ability to work under pressure and meet deadlines.
* Patience and attention to detail
* Have a passion for developing and playing games.
* 2\+ years of on the job Unity 3D experience
* Experience implementing animations in games and applications.</t>
        </is>
      </c>
    </row>
    <row r="187">
      <c r="A187" t="inlineStr">
        <is>
          <t>li-4354387145</t>
        </is>
      </c>
      <c r="B187" t="inlineStr">
        <is>
          <t>Senior Software Engineer, Back End - Capital One Software (Remote)</t>
        </is>
      </c>
      <c r="C187" t="inlineStr">
        <is>
          <t>TalentAlly</t>
        </is>
      </c>
      <c r="D187" t="inlineStr">
        <is>
          <t>linkedin</t>
        </is>
      </c>
      <c r="E187" t="inlineStr"/>
      <c r="F187" t="inlineStr"/>
      <c r="G187" t="inlineStr"/>
      <c r="H187" t="inlineStr"/>
      <c r="I187" t="inlineStr">
        <is>
          <t>Senior Software Engineer, Back End \- Capital One Software (Remote)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$144,200 \- $164,600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PDN\-a0c3873a\-3f9c\-46ae\-b875\-861322d90001</t>
        </is>
      </c>
    </row>
    <row r="188">
      <c r="A188" t="inlineStr">
        <is>
          <t>li-4354346802</t>
        </is>
      </c>
      <c r="B188" t="inlineStr">
        <is>
          <t>Lead Software Engineer</t>
        </is>
      </c>
      <c r="C188" t="inlineStr">
        <is>
          <t>Best Job Tool</t>
        </is>
      </c>
      <c r="D188" t="inlineStr">
        <is>
          <t>linkedin</t>
        </is>
      </c>
      <c r="E188" t="inlineStr"/>
      <c r="F188" t="inlineStr"/>
      <c r="G188" t="inlineStr"/>
      <c r="H188" t="inlineStr"/>
      <c r="I188" t="inlineStr">
        <is>
          <t>**About The Company**
 Capital One is a leading diversified financial services company renowned for its innovative approach to banking and credit card services. With a commitment to leveraging technology and data\-driven strategies, Capital One strives to deliver exceptional customer experiences and empower individuals and businesses to achieve their financial goals. The company operates across various segments, including credit cards, auto loans, savings accounts, and digital banking solutions, serving millions of customers nationwide. Known for its forward\-thinking culture, Capital One invests heavily in technological innovation, fostering an environment where creativity, collaboration, and continuous learning are highly valued. The organization emphasizes diversity, inclusion, and corporate responsibility, making it an attractive workplace for talented professionals seeking meaningful impact and growth opportunities.
**About The Role**
 We are seeking a highly skilled Lead Software Engineer specializing in DevOps to join our dynamic team at Capital One. In this pivotal role, you will lead a portfolio of innovative technology projects, driving the development and deployment of scalable, secure, and efficient cloud\-based solutions. Your expertise will be instrumental in transforming our infrastructure and software delivery processes, ensuring seamless integration and continuous improvement across our systems. As a leader, you will mentor and collaborate with a team of experienced developers and engineers, fostering a culture of excellence and innovation. This role offers a unique opportunity to be at the forefront of Capital One’s digital transformation, working on cutting\-edge technologies that impact millions of users and help shape the future of financial services.
**Qualifications**
 The ideal candidate will possess a strong educational background and extensive experience in DevOps and cloud\-native technologies. A bachelor’s degree in Computer Science, Information Technology, or a related field is required. Candidates should have at least 4 years of professional experience in DevOps engineering, with a proven track record of leading complex projects. Experience with cloud platforms such as Amazon Web Services, Microsoft Azure, or Google Cloud Platform is essential, along with a minimum of 3 years of hands\-on experience in cloud\-native environments. Proficiency in Unix/Linux system administration, along with scripting and coding skills in Python, SQL, and Go, is necessary. Familiarity with container orchestration tools like Docker and Kubernetes, as well as infrastructure\-as\-code tools such as Ansible and Terraform, is also required. Strong communication skills, leadership abilities, and a passion for continuous learning are key attributes for success in this role.
**Responsibilities**
* Lead a diverse portfolio of technology projects, overseeing a team of developers and engineers working on machine learning, distributed microservices, and full\-stack systems to meet regulatory and business needs.
* Drive innovation by staying current with emerging technologies, experimenting with new tools, and participating in internal and external technology communities.
* Collaborate closely with digital product managers to design, develop, and implement robust cloud\-based solutions that deliver impactful user experiences.
* Architect, build, and maintain scalable, secure, and reliable infrastructure using tools like Docker, Kubernetes, Terraform, and AWS services.
* Implement automation and CI/CD pipelines to streamline deployment processes, enhance system reliability, and improve operational efficiency.
* Mentor team members, fostering a culture of continuous improvement, technical excellence, and collaborative problem\-solving.
* Ensure adherence to security standards, compliance requirements, and best practices in all development and deployment activities.
* Monitor system performance, troubleshoot issues, and optimize infrastructure to support high availability and disaster recovery strategies.
**Benefits**
 Capital One offers a comprehensive and competitive benefits package designed to support your overall well\-being. Employees are eligible for health, dental, and vision insurance plans, along with wellness programs and resources. The company provides financial benefits such as 401(k) retirement plans, stock purchase options, and performance\-based incentives, including cash bonuses and long\-term incentives. Additionally, employees enjoy generous paid time off, parental leave, flexible work arrangements, and professional development opportunities. Capital One promotes a culture of inclusion and diversity, providing a supportive environment for all employees. The organization also offers resources for mental health, work\-life balance, and community engagement, ensuring a holistic approach to employee satisfaction and growth.
 Equal Opportunity
 Capital One is an equal opportunity employer committed to fostering an inclusive environment for all employees and applicants. We do not discriminate on the basis of race, color, religion, sex, national origin, age, disability, veteran status, or any other protected characteristic under applicable law. We actively promote diversity and inclusion initiatives to create a workplace where everyone can thrive and contribute their best. Capital One complies with all relevant federal, state, and local laws regarding equal employment opportunity and non\-discrimination. We also support a drug\-free workplace and consider qualified applicants with criminal histories in accordance with applicable laws and regulations. We encourage candidates from diverse backgrounds to apply and join our innovative team dedicated to making a difference in the financial industry.</t>
        </is>
      </c>
    </row>
    <row r="189">
      <c r="A189" t="inlineStr">
        <is>
          <t>li-4351235726</t>
        </is>
      </c>
      <c r="B189" t="inlineStr">
        <is>
          <t>Principal Backend Engineer</t>
        </is>
      </c>
      <c r="C189" t="inlineStr">
        <is>
          <t>Alldus</t>
        </is>
      </c>
      <c r="D189" t="inlineStr">
        <is>
          <t>linkedin</t>
        </is>
      </c>
      <c r="E189" t="inlineStr"/>
      <c r="F189" t="inlineStr"/>
      <c r="G189" t="inlineStr"/>
      <c r="H189" t="inlineStr"/>
      <c r="I189" t="inlineStr">
        <is>
          <t>We are a Series\-A healthtech start\-up based in NYC building an innovative product that combines healthcare’s first real\-time pricing protocol with an online marketplace. Our mission is to provide consumers with more accessibility and transparency when they engage with the health system. Our product will bring a 21st century experience to how one receives medical care.
 We are looking for a Principal Backend Engineer to join our team to work on core backend services for our product suite. This product leverages machine learning and real\-time data to provide transparent and accurate pricing for medical services.
**Role Responsibilities:**
* Expert in Node/Typescript (Experience with production Go is a plus)
* Deep experience with systems \&amp; scale: distributed systems, memory management, durable execution, etc.
* Proven ability shipping/operating in modern cloud environments with an emphasis on observability
* Product engineering experience is key – you are someone who has built and scaled products. You are comfortable making pragmatic, product first decisions, communicate risk, etc.
* You’ll Architect, build, and operate backend services that are fast, fault\-tolerant, and easy to evolve.
* Familiarity with LLM integrations is nice to have
**Technical Qualifications:**
* B.S.\+ in Computer Science or similar technical field
* 5\+ years of professional software engineering experience, ideally using languages Typescript, Go, Python, etc.
* Proven experience in building 0→1 web software and APIs
* A strong understanding of cloud infrastructure (AWS or similar)</t>
        </is>
      </c>
    </row>
    <row r="190">
      <c r="A190" t="inlineStr">
        <is>
          <t>li-4345102154</t>
        </is>
      </c>
      <c r="B190" t="inlineStr">
        <is>
          <t>Mid-Level .NET Software Engineer</t>
        </is>
      </c>
      <c r="C190" t="inlineStr">
        <is>
          <t>STAND 8 Technology Consulting</t>
        </is>
      </c>
      <c r="D190" t="inlineStr">
        <is>
          <t>linkedin</t>
        </is>
      </c>
      <c r="E190" t="inlineStr"/>
      <c r="F190" t="inlineStr"/>
      <c r="G190" t="inlineStr"/>
      <c r="H190" t="inlineStr"/>
      <c r="I190" t="inlineStr">
        <is>
          <t>STAND 8 provides end to end IT solutions to enterprise partners across the United States and with offices in Los Angeles, New York, New Jersey, Atlanta, and more including internationally in Mexico and India
 We are seeking a Mid\-Level .NET Software Engineer to join our global Release Engineering team. In this role, you will work in a matrixed, collaborative environment, partnering closely with Delivery and Client Success teams. You'll be responsible for developing, testing, and maintaining client\-specific configurations and release packages for our cloud\-based profitability solutions.
 This is an excellent opportunity for a hands\-on engineer with strong .NET expertise, an interest in financial systems, and the ability to work effectively with international banking clients in a fully remote setting.
**Key Responsibilities** 
* Design, develop, test, and deploy client\-specific configurations and platform enhancements.
* Support new client onboarding as well as ongoing Business\-as\-Usual (BAU) updates.
* Maintain and improve release processes, ensuring consistency across multiple environments.
* Collaborate with cross\-functional teams\-Customer Success, Delivery, QA, Infrastructure, Project Management, and Support\-to meet release and delivery requirements.
* Contribute to core product development and Release Engineering initiatives.
* Participate in Agile ceremonies, maintain documentation, and drive continuous improvement.
**Required Qualifications** 
* 3\+ years of professional experience in .NET development.
* 1\+ year of experience with ASP.NET Core and Entity Framework Core.
* Proficiency in C\#, ASP.NET, and REST APIs.
* Strong understanding of RDBMS concepts and Microsoft SQL Server.
* Front\-end experience with HTML5, CSS3, and JavaScript.
* Familiarity with version control systems such as Git.
* Experience with modern JavaScript frameworks (e.g., Angular, React).
* Ability to manage complex release cycles across multiple environments.
* Excellent communication and collaboration skills across distributed teams.
**Preferred / Bonus Skills** 
* Experience with Azure Cloud and Azure DevOps.
* Familiarity with Agile methodologies, Jira, and Confluence.
* Exposure to operational tools such as Splunk, PagerDuty, or Zendesk.
* Experience in the banking or financial technology sector.
**Additional Details**
 The base salary range for this position is $95K \- $120K annually, depending on experience.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191">
      <c r="A191" t="inlineStr">
        <is>
          <t>li-4207642947</t>
        </is>
      </c>
      <c r="B191" t="inlineStr">
        <is>
          <t>Senior Software Engineer- Banking/Financial Services</t>
        </is>
      </c>
      <c r="C191" t="inlineStr">
        <is>
          <t>TBG | The Bachrach Group</t>
        </is>
      </c>
      <c r="D191" t="inlineStr">
        <is>
          <t>linkedin</t>
        </is>
      </c>
      <c r="E191" t="inlineStr"/>
      <c r="F191" t="inlineStr"/>
      <c r="G191" t="inlineStr">
        <is>
          <t>New York, NY</t>
        </is>
      </c>
      <c r="H191" t="inlineStr"/>
      <c r="I191" t="inlineStr">
        <is>
          <t>**Senior Software Developer – .NET Core / Azure (Banking \&amp; Financial Services)** 
 We are actively seeking a Senior Software Developer with a strong background in banking or financial services to join our team. In this role, you'll be instrumental in developing and maintaining high\-performance back\-office web applications that power critical financial operations. The ideal candidate brings deep Microsoft technology expertise and a clear understanding of regulated environments, coupled with a passion for building scalable, secure, and efficient solutions.
 As a key member of our development team, you'll help transform and optimize digital experiences that impact core banking operations, compliance, and financial reporting. Your familiarity with the unique demands of financial services systems—such as security, auditability, data integrity, and transaction processing—will be a major asset.
**Key Responsibilities** 
* Design, develop, and maintain internal financial web applications using .NET Core and Azure
* Architect secure and scalable systems for high\-volume financial data and transactions
* Collaborate with stakeholders to understand banking business processes and propose robust technical solutions
* Ensure applications meet regulatory and compliance standards relevant to financial services
* Optimize performance, ensure data accuracy, and enforce secure coding best practices
* Conduct code reviews, write unit tests, and support deployment pipelines (CI/CD)
* Provide support for legacy financial systems and assist in modernization initiatives
* Work closely with offshore development teams and contribute to a collaborative agile workflow
* Stay current with banking tech trends, cloud solutions, and industry regulations
**Required Skills \&amp; Experience** 
* 5\+ years of software development experience, with recent work in banking or financial services
* Expertise in .NET Core (C\#), SQL, and HTML/CSS
* Experience with Azure cloud services, including deployment and monitoring
* Knowledge of financial system architecture, transaction processing, and audit logging
* Proficiency with containers, serverless functions, and microservices
* Strong grasp of security best practices, including encryption, authentication, and access control
* Comfortable in agile environments, with strong team collaboration and stakeholder communication skills
* Experience with unit testing, code reviews, and CI/CD tools
* Familiarity with compliance\-driven development, including SOX, PCI DSS, or similar standards
**Preferred Qualifications** 
* Experience working on banking platforms, payment systems, or wealth management applications
* Familiarity with React or similar modern JavaScript frameworks
* Understanding of RESTful API development and integration with third\-party financial services
* Exposure to performance profiling, memory management, and application tuning
* Experience with Jenkins, Git, and automated testing frameworks
* Proven success working with offshore development teams in regulated environments</t>
        </is>
      </c>
    </row>
    <row r="192">
      <c r="A192" t="inlineStr">
        <is>
          <t>li-4344708356</t>
        </is>
      </c>
      <c r="B192" t="inlineStr">
        <is>
          <t>Full Stack Engineer</t>
        </is>
      </c>
      <c r="C192" t="inlineStr">
        <is>
          <t>Underdog.io -Apply to top tech jobs in 60 seconds. A place where companies apply to you</t>
        </is>
      </c>
      <c r="D192" t="inlineStr">
        <is>
          <t>linkedin</t>
        </is>
      </c>
      <c r="E192" t="inlineStr"/>
      <c r="F192" t="inlineStr"/>
      <c r="G192" t="inlineStr"/>
      <c r="H192" t="inlineStr"/>
      <c r="I192" t="inlineStr">
        <is>
          <t>**Founding Full\-Stack Engineer (NYC – Hybrid/On\-Site)** 
**Location:** 
 New York City, NY
**About Us** 
 Underdog.io is a modern recruitment platform. Our hiring partner is a pioneering cybersecurity startup that recently secured pre\-seed funding (Q1 2025\). Our mission is to eliminate systemic risks in critical infrastructure—from energy grids to space systems—by transforming how software is hardened at scale. Today’s software supply chains produce uniform binaries, creating a single point of failure for entire fleets. We break this vulnerability by engineering
 *intelligent variability* 
 directly into the compilation process. Our technology disrupts attacker economics and massively increases exploitation costs, ensuring resilience for large\-scale deployments.
 To achieve this, we orchestrate thousands of parallel compiler runs across distributed systems. We’re now building our greenfield backend platform from scratch—scaling build orchestration, secure artifact distribution, and performance analytics. Join us at ground zero to architect the future of resilient software.
**Your Impact** 
 As a Founding Full\-Stack Engineer, you’ll shape our customer\-facing portal, internal tools, and backend services. You’ll collaborate with infrastructure and security teams to turn complex workflows into intuitive, secure experiences. Your code will empower enterprises to manage diversified builds, analyze security metrics, and safeguard critical systems worldwide.
**Responsibilities** 
* **Build** 
 responsive web apps (React, Next.js, TypeScript) for developers and enterprise users.
* **Design \&amp; optimize** 
 APIs and backend services (Node.js, PostgreSQL).
* **Expose infrastructure pipelines** 
 (build orchestration, artifact distribution) via UI/APIs.
* **Ship end\-to\-end features** 
 across the stack, from dashboards to access controls.
* **Embed security and usability** 
 into customer tools and internal platforms.
* **Co\-define architecture** 
 and drive technical decisions in early\-stage development.
**Required Expertise** 
* 3\+ years as a full\-stack engineer shipping production systems.
* **Frontend mastery:** 
 React, Next.js, TypeScript.
* **Backend fluency:** 
 Node.js, PostgreSQL, REST/GraphQL API design.
* **Core understanding:** 
 Web architecture, auth (OAuth/SAML), CI/CD, and testing.
* **Startup mindset:** 
 Thrives in ambiguity, owns outcomes, and iterates rapidly.
**Nice\-to\-Haves** 
* AWS, Docker, Terraform, or Kubernetes experience.
* Exposure to compilers (LLVM), embedded systems, or low\-level toolchains.
* Background in security engineering, multi\-tenant SaaS, or B2B developer tools.
* Passion for securing critical infrastructure (robotics, energy, transportation, edge).
**Why Join?** 
* **Founder\-tier equity** 
 \+ competitive salary.
* **Build the foundation:** 
 Define our tech stack, culture, and product vision.
* **Impact resilience** 
 in space, energy, transportation, and beyond.
* **Global collaboration:** 
 Hybrid/on\-site in NYC with teams in Germany and the U.S.
* **Work with veterans:** 
 An ambitious, mission\-driven founding team with deep domain expertise.
**We Seek Builders, Hackers \&amp; Systems Thinkers** 
 If you’re driven to reinvent how critical software withstands attacks—and want to own your impact from day one—apply now. Let’s engineer unbreakable systems, together.</t>
        </is>
      </c>
    </row>
    <row r="193">
      <c r="A193" t="inlineStr">
        <is>
          <t>li-4280894362</t>
        </is>
      </c>
      <c r="B193" t="inlineStr">
        <is>
          <t>Associate Software Engineer in Test</t>
        </is>
      </c>
      <c r="C193" t="inlineStr">
        <is>
          <t>Veeva Systems</t>
        </is>
      </c>
      <c r="D193" t="inlineStr">
        <is>
          <t>linkedin</t>
        </is>
      </c>
      <c r="E193" t="inlineStr"/>
      <c r="F193" t="inlineStr"/>
      <c r="G193" t="inlineStr">
        <is>
          <t>Pleasanton, CA</t>
        </is>
      </c>
      <c r="H193" t="inlineStr"/>
      <c r="I193"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being part of a team with the talent, passion, and financial backing to build top\-notch, industry\-changing cloud\-based applications and platforms? At Veeva, we build enterprise cloud technology that powers the biggest names in pharmaceuticals, biotech, consumer goods, chemical \&amp; cosmetics industries. Our customers make vaccines, life\-saving medicines, and life\-enhancing products that make a difference in everyday lives. Our technology has transformed these industries, enabling them to get critical products and services to market faster. Our products empower our customers in the fight against global pandemics like COVID\-19\.
 You will be joining the Automation Infrastructure team and working on cutting edge technologies including Spring Boot, AWS, Lambdatest, Cucumber, Open Search, building a tool box and libraries to optimize our ever\-growing suite of automated regression tests. The ideal candidate will be highly technical, detail\-oriented, creative, motivated, and focused on achieving results.
**What You'll Do**
* Collaborate and contribute to state\-of\-the\-art automation framework and cloud\-based test infrastructure that can operate at scale with 24/7 availability
* Diagnose, debug, and fix issues in a cloud\-based automation environment
* Java coding using frameworks such as Spring Boot, AWS, and Elastic Search stack
* Propose and implement innovative solutions to improve testing efficiency and reliability
**Requirements**
* Bachelor's degree in Computer Science or related field
* Knowledge in Java, Object\-Oriented Methodologies
* Curious to learn and adapt to a fast\-paced environment
* Excellent written and verbal communication skills
* Located near Pleasanton, CA, and able to work in the office 5 days/week the first 2 years
****Nice to Have****
* Knowledge of test automation tools (Selenium, Playwright, or Cypress)
* Exposure to version control systems (Git)
* Basic understanding of CI/CD tools like Jenkins, GitLab CI
* Awareness of containerization tools like docker or AWS cloud platforms
**Perks \&amp; Benefits**
* Medical, dental, vision, and basic life insurance
* Flexible PTO and company paid holidays
* Retirement programs
* 1% charitable giving program
**Compensation**
* Base pay: $70,000 \- $110,000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94">
      <c r="A194" t="inlineStr">
        <is>
          <t>li-4346461279</t>
        </is>
      </c>
      <c r="B194" t="inlineStr">
        <is>
          <t>Full Stack Engineer</t>
        </is>
      </c>
      <c r="C194" t="inlineStr">
        <is>
          <t>Underdog.io -Apply to top tech jobs in 60 seconds. A place where companies apply to you</t>
        </is>
      </c>
      <c r="D194" t="inlineStr">
        <is>
          <t>linkedin</t>
        </is>
      </c>
      <c r="E194" t="inlineStr"/>
      <c r="F194" t="inlineStr"/>
      <c r="G194" t="inlineStr"/>
      <c r="H194" t="inlineStr"/>
      <c r="I194" t="inlineStr">
        <is>
          <t>**Job Title: Full Stack Engineer, Product Experience** 
**Location:** 
 Remote (United States)
**Team:** 
 Engineering
**Partner:** 
 The fast\-growing sports gaming platform in the U.S., backed by top\-tier investors.
 Underdog.io is a modern recruitment platform.
**About Our Hiring Partner** 
 Our hiring partner is on a mission to build the best products and the biggest company in the fastest\-growing consumer industry in America. They believe sports are for everyone and are creating a new tomorrow for every fan. Founded just a few years ago, this innovative company has already built some of the most widely played fantasy games in the market and uniquely launched its own sportsbook on proprietary, homegrown technology—a first in the industry. This allows them to craft distinct, engaging, and seamless experiences that competitors cannot match.
 Their thesis is simple but powerful: build the best products and the fans will follow. They unite fantasy sports, sports betting, and prediction markets within one intuitive app, constantly pushing the boundaries of what a sports technology company can be.
**Why This is a Unique Opportunity** 
* **Impact at Scale:** 
 Build features used by millions of passionate sports fans. Your work will directly shape the daily experience of a massive, engaged user base.
* **Own Cutting\-Edge Products:** 
 Contribute to a unified platform that spans multiple high\-growth verticals (fantasy, sportsbook, predictions), all built on unique, proprietary technology.
* **High\-Agency Culture:** 
 Your voice matters. You will have real influence in technical discussions and product direction from day one.
* **Remote\-First Excellence:** 
 Join a connected, virtual\-first culture with a highly engaged distributed workforce, representing one of the most dynamic remote startup jobs in tech today.
**About the Role** 
 We are looking for a Frontend Engineer to work on cutting\-edge projects that gamify and enhance the user experience across our flagship products. This is a unique opportunity to design and build clean, reusable, and performant front\-end features that will be used by millions of sports fans.
 You will collaborate closely with product managers, designers, and backend engineers to deliver elegant and responsive web experiences. This role contributes directly to the upkeep and evolution of our design system, ensuring consistency and quality at a rapid pace.
**What You'll Do** 
* Design, build, and maintain user\-facing features and web experiences for a high\-traffic, multi\-product platform.
* Collaborate in a cross\-functional team to translate product vision into robust, maintainable, and delightful user interfaces.
* Contribute to and help evolve our shared component library and design system to ensure consistency and accelerate development.
* Write high\-quality, well\-tested code and participate in peer reviews to uphold engineering best practices.
* Actively participate in technical and product discussions, bringing your unique perspective to help solve complex challenges.
**Who You Are** 
* A product\-minded engineer with 3\+ years of professional experience building modern, consumer\-facing web applications.
* You possess a solid understanding of React and its modern ecosystem (Hooks, Context API, functional components).
* You have a strong grasp of JavaScript (ES6\+), TypeScript, and experience with state management solutions.
* You are comfortable integrating with and designing around RESTful APIs.
* You excel at cross\-functional collaboration with designers, product managers, and other engineers.
* You have a strong attention to detail and a commitment to creating high\-quality, user\-centric experiences.
* You are familiar with testing frameworks (e.g., Jest, React Testing Library) and modern build tooling (Webpack, Vite).
* You are an excellent communicator with a collaborative, product\-forward mindset.
**Even Better If You Have** 
* Experience with tools like Amplitude, DataDog, or Storybook.
* A passion for sports or gaming products.
**Tech Stack** 
 React, TypeScript, JavaScript (ES6\+), Material UI, HTML5, CSS3, AWS, Kubernetes, Kafka, Python, ExpressJS
**What We Can Offer You** 
* **Unlimited PTO:** 
 We're extremely flexible with the exception of a few key weeks around major seasons.
* **Family Support:** 
 16 weeks of fully paid parental leave.
* **Remote Work Support:** 
 A home office stipend to set up your ideal workspace.
* **Connected Culture:** 
 A virtual\-first culture with a highly engaged, distributed workforce.
* **Comprehensive Benefits:** 
 5% 401k match, FSA, and company\-paid health, dental, and vision plan options for you and your dependents.
**Apply Now** 
 If you are a talented frontend engineer who cares deeply about your craft, thrives in a high\-agency environment, and wants to build products for millions of fans, we encourage you to apply. This is a premier opportunity among remote startup jobs for those looking to join a rocketship in the exciting intersection of sports, gaming, and technology.</t>
        </is>
      </c>
    </row>
    <row r="195">
      <c r="A195" t="inlineStr">
        <is>
          <t>li-4333430457</t>
        </is>
      </c>
      <c r="B195" t="inlineStr">
        <is>
          <t>Software Engineer, Embedded, Level 5</t>
        </is>
      </c>
      <c r="C195" t="inlineStr">
        <is>
          <t>Snap Inc.</t>
        </is>
      </c>
      <c r="D195" t="inlineStr">
        <is>
          <t>linkedin</t>
        </is>
      </c>
      <c r="E195" t="inlineStr"/>
      <c r="F195" t="inlineStr"/>
      <c r="G195" t="inlineStr">
        <is>
          <t>San Diego, CA</t>
        </is>
      </c>
      <c r="H195" t="inlineStr"/>
      <c r="I19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an Embedded Engineer to join the Spectacles team!
 What you’ll do:
* Lead or participate in the design, architecture and implementation of embedded software in both prototype and shipping consumer products
* Design and implement software or system development components at all layers of the system, e.g. kernel, synchronization primitives, resource allocators, memory management, security, I/O systems, persistence, Camera, Audio etc
* Participate in design reviews, code review with peers and stakeholders to create reliable solutions
* Triage product or system issues and debug/track/resolve by analyzing the sources of issues
 Knowledge, Skills \&amp; Abilities:
* Familiarity with computer system architecture, microprocessor, and microcontroller fundamentals (caches, buses, memory controllers, DMA, etc.)
* Software Development process skills including: source control, bug tracking, and design documentation
* Excellent written and verbal communication skills
* Ability to read schematics and component data sheets
* Strong analytical and software debugging skills
 Minimum Qualifications:
* Bachelor's Degree in computer science or electrical engineering or equivalent years of experience
* 7\+ years of experience with embedded software development and ARM architecture
* Proficiency programming in C or C\+\+
* Experience in one or more of the following areas: BSP/Board Support Package, Operating Systems, Linux Embedded OS, Graphics, Camera, Audio and Display, with a view towards writing performant and energy efficient solutions
 Preferred Qualifications:
* Experience in power/performance optimizations, including Linux kernel, driver, and user space applications.
* Understanding of hardware design, ability to read schematics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96">
      <c r="A196" t="inlineStr">
        <is>
          <t>li-4344649022</t>
        </is>
      </c>
      <c r="B196" t="inlineStr">
        <is>
          <t>Full Stack Engineer</t>
        </is>
      </c>
      <c r="C196" t="inlineStr">
        <is>
          <t>Underdog.io -Apply to top tech jobs in 60 seconds. A place where companies apply to you</t>
        </is>
      </c>
      <c r="D196" t="inlineStr">
        <is>
          <t>linkedin</t>
        </is>
      </c>
      <c r="E196" t="inlineStr"/>
      <c r="F196" t="inlineStr"/>
      <c r="G196" t="inlineStr"/>
      <c r="H196" t="inlineStr"/>
      <c r="I196" t="inlineStr">
        <is>
          <t>Underdog.io is a modern recruiting platform. One of our hiring partners is looking to hire a Mid and Senior Level Full Stack Engineer.
**Senior Full Stack Engineer \- Telehealth Platform** 
**Location:** 
 NYC \- 2 days onsite
**About Us** 
 We're revolutionizing healthcare by building the nation's first vertically integrated telehealth platform \- connecting millions of patients across all 50 states to diagnosis, treatment, and ongoing care through a single, patient\-centric experience. Recognized as a Fortune Best Workplace, we're eliminating healthcare deserts and putting control back in patients' hands with transparent pricing, proactive care, and ridiculously convenient service.
**The Role** 
 As a
 **Senior Full Stack Engineer** 
 , you'll architect the web experiences that power our end\-to\-end healthcare platform. You'll:
* Build intuitive patient/provider interfaces handling thousands of daily interactions
* Lead technical design for features spanning telehealth, pharmacy, and lab services
* Optimize performance for users across diverse connectivity environments
* Mentor engineers in accessibility, scalability, and healthcare\-specific best practices
**What You'll Build** 
* **Telemedicine workflows** 
 serving 98% of primary care deserts
* **Prescription management systems** 
 with real\-time pharmacy integration
* **Data\-driven care platforms** 
 that evolve with patient needs
* **Compliance\-conscious features** 
 meeting 50\-state regulations
**Tech Stack \&amp; Requirements** 
* **Frontend:** 
 React, TypeScript (performance optimization expertise)
* **Backend:** 
 Python (Django/Flask preferred), node.js
* **Experience:** 
 5\+ years shipping production web applications
* **Mindset:** 
 Product\-oriented engineer passionate about healthcare equity
**Why Join?** 
* **Impact:** 
 Your code directly improves healthcare access for millions
* **Growth:** 
 Lead technical initiatives at a category\-defining company
**Benefits:** 
* 100% covered medical/dental/vision \+ OneMedical
* 401(k) matching \+ student loan refinancing
* Flexible PTO \+ paid parental leave
* Wellness \&amp; learning stipends
* Pet insurance \+ fertility benefits
**Our Engineering Values** 
1. **Patient First:** 
 Code with empathy for diverse healthcare needs
2. **Scale Thoughtfully:** 
 Build for today's patients and tomorrow's growth
3. **Compliance by Design:** 
 Healthcare demands rigorous standards
4. **Teach \&amp; Learn:** 
 Grow together through mentorship and innovation
**You'll Thrive Here If You** 
* Want to fix healthcare's broken user experience
* Balance technical excellence with product intuition
* Enjoy mentoring while staying hands\-on
* Get energized by complex regulatory challenges
**Apply now to build healthcare that actually works for patients.**</t>
        </is>
      </c>
    </row>
    <row r="197">
      <c r="A197" t="inlineStr">
        <is>
          <t>li-4332118955</t>
        </is>
      </c>
      <c r="B197" t="inlineStr">
        <is>
          <t>Staff Firmware/Software Engineer</t>
        </is>
      </c>
      <c r="C197" t="inlineStr">
        <is>
          <t>Marvell Technology</t>
        </is>
      </c>
      <c r="D197" t="inlineStr">
        <is>
          <t>linkedin</t>
        </is>
      </c>
      <c r="E197" t="inlineStr"/>
      <c r="F197" t="inlineStr"/>
      <c r="G197" t="inlineStr">
        <is>
          <t>Santa Clara, CA</t>
        </is>
      </c>
      <c r="H197" t="inlineStr"/>
      <c r="I197"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**Your Team, Your Impact**
 The Optical Digital Signal Processing (ODSP) PHY SW Team works on Marvell's DSP products used in pluggable optical modules. These chips form the backbone of the internet, moving data within data centers, between data centers, between cities, and even continents over high bandwidth optical fibres. Marvell is the market leader in direct\-detect optical DSPs, making chips to fit every application and use case from 100G to 1\.6T. These products are in every major cloud data center and AI cluster around the world. Even the data used for this job description has traveled through many of Marvell's DSPs to reach your computer, and our products are a key part of the biggest AI clusters that power all the latest generative AI projects. Check out our products https://www.marvell.com/products/pam\-dsp.html
 The SW team owns all the SW components for the chips, including embedded FW, customer SDK, lab scripts, and GUI applications to interface with the chips. This team is a critical part of the product development flow from pre\-silicon simulation, post\-silicon lab bring\-up, to field deployment. We're the go\-to group for getting things done, whether in the field or the lab.
 The software team is looking for a strong candidate with a positive attitude – ready to tackle any challenge. Join us and get the opportunity to make a meaningful impact on the projects we work on while gaining first\-hand experience of what it is like to be part of a high\-performing SW development team.
**What You Can Expect**
 The core responsibilities for the SW team include:
* Embedded FW that runs on our RISC\-V\-based multi\-core MCU, which controls our proprietary DSP data path
* C SDK provided to customers for interfacing and controlling our product
* Python\-based GUI for in\-field debug, status, and control
* Build, test, and automated regression infrastructure for the above
 However the SW team is a key enabler for bringing a product to production, and the roll of a Sr Staff Engineer in our team is to ensure the overall success of that product. For each individual, the role can be some combination of project planning and technical development. This is a highly visible position within the larger organization, you will be a key player in the bringup and development of the product through its entire lifetime.
**In This Position You Will Be**
* The technical or project lead on a product, driving the whole SW team dedicated to that project (2\-8 other developers) through the development process from collecting requirements to volume production
* Responsible for the overall Architecture, Design, Development, and Testing of embedded C firmware for controlling our extremely complicated DSP HW
* Taking lead on difficult to debug issues, drive to root causes with HW/Systems teams, and follow up with test/validation/customer support teams to make sure the issue is resolved
* Working with the cross\-functional team to plan SW milestones, develop in sprints, closing tickets, work with multiple test disciplines, squash all the bugs, and roll out features for the product as a whole
* Distilling complex systems specifications from standards bodies (MSA/OIF/CMIS) or directly from the customer into easy\-to\-digest internal documentation, definition of requirements, and clear sequence diagrams to aid in development.
* Traveling to offices worldwide for product development and chip bring\-up (\~3weeks/yr, California, Italy, Vietnam)
**Some Possible Tasks Will Be**
* Mentoring a Jr engineer while working on a difficult HW/SW debug together
* Developing the use cases, architecture, and system diagrams for a complicated new feature, and integrating that feature into the existing FW \&amp; Customer SDK to be as seamless as possible
* Convert computationally heavy floating point matlab algorithms into fixed point firmware state machines, and coming up with simple ways to compare the two to guarantee functional correctness
* Working with leads in other teams to develop a post\-silicon system test plan for a brand new product
* Using production FW against the DV simulation environment to root cause a complicated sequencing issue only seen in the field
* Convincing a large group hardware designers to make changes in next generation products to improve field usability
**What We're Looking For**
* Minimum Requirements:
+ BS/MS degree in CS/EE or related technical field(s)
+ 3\+ years of experience in memory constrained embedded C/C\+\+ FW development
+ SW Team Lead or Technical Lead on embedded projects; project management \&amp; release planning, architecture design \&amp; development, code reviews \&amp; testing, through to customer volume production
+ Understanding of embedded SoC, micro\-controller architecture (RISC\-V architecture a plus), memory\-mapped hardware interfaces, GPIOs, ISRs, etc.
+ Excellent verbal and written communication skills in English, and able to collaborate in a large cross functional organization
+ Excellent problem\-solving and customer debug skills on real hardware in the lab
+ Experience with using revision control and defect tracking systems (git \&amp; Jira or similar)
* Preferred but not required:
+ Experience with SERDES, IM\-DD/Coherent DSP, Ethernet/PCIe PHYs, and/or Optical Module SW
+ Experience with designing/developing/debugging software state machines, transitions, context saving, error handling
+ Experience with mixed\-signal (analog\+digital) control and monitoring, PID/feedback loop control, etc.
+ Experience with bare\-metal, RTOS, device driver, Linux kernel, etc.
+ Familiarity with advanced compiler options and details (clang/gcc preferred)
+ Proficient in C and Python, with knowledge of git, Linux, makefiles, gdb, IDEs, bash, etc.
+ Familiarity with digital verification test flows, FPGA emulation, hardware languages such as Verilog
+ Familiarity with lab equipment such as oscilloscopes, supplies, PNAs, ONTs, etc.
+ Understanding of networking from the OSI model, with emphasis on the PHY up to the data link level
+ Understanding of signal processing: histograms, BER, SNR, sampling phase, Shannon limit, impulse \&amp; frequency response, FFT, etc.
**Expected Base Pay Range (USD)**
 105,470 \- 158,000,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equity.Health and financial wellbeing are part of the package. That means flexible time off, 401k, plus a year\-end shutdown, floating holidays, paid time off to volunteer. Have a question about our benefits packages \- health or financial? Ask your recruiter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***Interview Integrity***
***As part of our commitment to fair and authentic hiring practices, we ask that candidates do not use AI tools (e.g., transcription apps, real\-time answer generators like ChatGPT, CoPilot, or note\-taking bots) during interviews.***
***Our interviews are designed to assess your personal experience, thought process, and communication skills in real\-time. If a candidate uses such tools during an interview, they will be disqualified from the hiring process.***
**This position may require access to technology and/or software subject to U.S. export control laws and regulations, including the Export Administration Regulations (EAR). As such, applicants must be eligible to access export\-controlled information as defined under applicable law. Marvell may be required to obtain export licensing approval from the U.S. Department of Commerce and/or the U.S. Department of State. Except for U.S. citizens, lawful permanent residents, or protected individuals as defined by 8 U.S.C. 1324b(a)(3\), all applicants may be subject to an export license review process prior to employment.**</t>
        </is>
      </c>
    </row>
    <row r="198">
      <c r="A198" t="inlineStr">
        <is>
          <t>li-4289381825</t>
        </is>
      </c>
      <c r="B198" t="inlineStr">
        <is>
          <t>Staff Software Engineer</t>
        </is>
      </c>
      <c r="C198" t="inlineStr">
        <is>
          <t>Blackhawk Network</t>
        </is>
      </c>
      <c r="D198" t="inlineStr">
        <is>
          <t>linkedin</t>
        </is>
      </c>
      <c r="E198" t="inlineStr"/>
      <c r="F198" t="inlineStr"/>
      <c r="G198" t="inlineStr">
        <is>
          <t>Pleasanton, CA</t>
        </is>
      </c>
      <c r="H198" t="inlineStr"/>
      <c r="I198"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**Overview**
 We are looking to hire an accomplished Staff Software Engineer to join the Blackhawk’s Enterprise System Group. The team is chartered with delivery of innovative and fault tolerant back\-office systems for fullfillment management, card services, controlling approvals/assignments and distribution of products to partners. The ideal candidate should possess demonstrated proficiency in a wide range of skills and experience utilizing core Java, SpringBoot and AWS services. This role is vital to the success of our in\-house systems.
**Responsibilities**
* Provide software engineering life\-cycle ownership of Blackhawk products and technologies.
* Develop AWS cloud\-based transaction\-processing solutions using traditional and emerging technologies.
* Develop products that perform, scale, are highly available and fault tolerant with automated failover capabilities.
* Create systems that can be easily triaged to find performance bottlenecks and root cause analysis of failure scenarios.
* Create understandable and automated product deployment mechanisms for development, QA, and production environments.
* Participate in standard scrum process including daily stand\-up meetings, iteration planning, story grooming, etc.
* Contribute novel ideas and collaborate with cross\-functional teams to deliver and improve Blackhawk systems.
* Interface with and influence product architects, product owners, and other stakeholders to create great technical requirements and evaluate solutions (in\-house or vendor).
**Qualifications**
* 8\+ years of Java application development utilizing data persistence environments.
* Hands\-on experience in development on large high performance transaction processing systems
* Hands\-on experience in development experience in multithreaded programming.
* Hands\-on experience in Amazon Web Services (AWS) including Kinesis, RDS, EC2, etc.
* Hands\-on experience in continuous integration tools and pipelines in Jenkins.
* Efficiency in designing and implementing a highly secure and robust platform
* Expert knowledge in service\-oriented architecture and REST service knowledge.
* Demonstrable solution design for performance and scalability.
* Skilled at performance testing and JVM tuning.
* Able to work autonomously and collaborate with a global team (India and Europe).
* Experience in developing products in an agile environment using Scrum/Kanban methods
* Strong verbal and written communication skills.
* Experience in settlement and accounting domains
* Experience with the database technologies defined and writing complex queries: MYSQL and NO\-SQL databases;
 We seek candidates who not only demonstrate curiosity and adaptability in emerging technologies but have also successfully implemented and utilized AI tools to enhance their work, improve processes, or deliver measurable results. Our teams embrace continuous learning and the thoughtful integration of AI to create meaningful impact – for our employees and the future of work.
**Benefits**
 Salary Range for California Residents Only: $133,920\.00 to $180,800\.00
 Salary Range for Illinois Residents Only: $105,770\.00 to $142,800\.00
 Pay is based on several factors including but not limited to education, work experience, certifications, etc. In addition to your salary, Blackhawk Network offers benefits including 401k with employer match, medical, dental, vision, 12 paid holidays in the year 2025, 1 hour of sick pay accrual for every 30 hours worked,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 .</t>
        </is>
      </c>
    </row>
    <row r="199">
      <c r="A199" t="inlineStr">
        <is>
          <t>li-4174693834</t>
        </is>
      </c>
      <c r="B199" t="inlineStr">
        <is>
          <t>Staff Software Engineer, ML Training Infrastructure</t>
        </is>
      </c>
      <c r="C199" t="inlineStr">
        <is>
          <t>Stack AV</t>
        </is>
      </c>
      <c r="D199" t="inlineStr">
        <is>
          <t>linkedin</t>
        </is>
      </c>
      <c r="E199" t="inlineStr"/>
      <c r="F199" t="inlineStr"/>
      <c r="G199" t="inlineStr"/>
      <c r="H199" t="inlineStr"/>
      <c r="I199" t="inlineStr">
        <is>
          <t>**About Stack**
 Stack is developing revolutionary AI and advanced autonomous systems designed to enhance safety, reliability, and efficiency of modern operations. Stack's autonomous technology incorporates cutting\-edge advancements in artificial intelligence, robotics, machine learning, and cloud technologies, empowering us to create innovative solutions that address the needs and challenges of the dynamic trucking transportation industry. With decades of experience creating and deploying real world systems for demanding environments, the Stack team is dedicated to developing an autonomous solution ecosystem tailored to the trucking industry's unique demands.
**About The Role**
 In the ML Training, our mission is to provide a reliable, scalable, and easy to use training framework for modeling needs of Stack AV. In addition, this team is responsible for the overall developer experience of ML engineers including building tools for testing, validation, and understanding models and the data used to train them. Finally, we are responsible for model optimization and deployment.
**Responsibilities**
* Experience with both ML Platforms and building ML\-based applications.
* Experience building scalable, reliable infra at a fast\-paced environment working with MLEs on several different modeling teams.
* A deep understanding of design tradeoffs and ability to articulate those tradeoffs and work with others on getting alignment.
* Experience with building ML models or ML infra in the domains of autonomous vehicles, perception, and decision making (desirable but not required).
* Experience with model training, model optimization, or large data processing pipelines.
**Qualifications**
* Built an end to end ML model pipeline including components such as logs processing, feature extraction, dataset storage, model configuration management, model training, experiment frameworks, and serving deployment.
* Shipped ML products (NLP, computer vision, recommender systems, etc.) at scale to make business impact
* Knows how to build appropriate abstractions and tooling to ensure MLEs are able to rapidly iterate on models.
* Prior AV experience
*We are proud to be an equal opportunity workplace. We believe that diverse teams produce the best ideas and outcomes. We are committed to building a culture of inclusion, entrepreneurship, and innovation across gender, race, age, sexual orientation, religion, disability, and identity.*
***Check out our Privacy Policy.***
**Please Note:** 
 Pursuant to its business activities and use of technology, Stack AV complies with all applicable U.S. national security laws, regulations, and administrative requirements, which can restrict Stack AV’s ability to employ certain persons in certain positions pursuant to a range of national security\-related requirements. As such, this position may be contingent upon Stack AV verifying a candidate’s residence, U.S. person status, and/or citizenship status. This position may also involve working with software and technologies subject to U.S. export control regulations. Under these regulations, it may be necessary for Stack AV to obtain a U.S. government export license prior to releasing its technologies to certain persons. If Stack AV determines that a candidate’s residence, U.S. person status, and/or citizenship status will require a license, prohibit the candidate from working in this position, or otherwise be subject to national security\-related restrictions, Stack AV expressly reserves the right to either consider the candidate for a different position that is not subject to such restrictions, on whatever terms and conditions Stack AV shall establish in its sole discretion, or, in the alternative, decline to move forward with the candidate’s application.</t>
        </is>
      </c>
    </row>
    <row r="200">
      <c r="A200" t="inlineStr">
        <is>
          <t>li-4320132945</t>
        </is>
      </c>
      <c r="B200" t="inlineStr">
        <is>
          <t>Salesforce Software Engineer</t>
        </is>
      </c>
      <c r="C200" t="inlineStr">
        <is>
          <t>Orion</t>
        </is>
      </c>
      <c r="D200" t="inlineStr">
        <is>
          <t>linkedin</t>
        </is>
      </c>
      <c r="E200" t="inlineStr"/>
      <c r="F200" t="inlineStr"/>
      <c r="G200" t="inlineStr">
        <is>
          <t>Omaha, NE</t>
        </is>
      </c>
      <c r="H200" t="inlineStr"/>
      <c r="I200" t="inlineStr">
        <is>
          <t>**About This Opportunity**
 As a Salesforce Software Developer, you will be responsible for the maintenance and development of new software on the Force.com platform for Orion. This position will utilize the system development life cycle to ensure delivery of concise, well tested, well thought out, and usable projects completed in a timely manner. As we continue to evolve and live our Orion values, we are looking for someone to grow with us.
**For External Candidates**
 Candidates must work in\-office at one of the following locations for at least 3 days per week: Omaha, NE; Lehi, UT; Hebron, KY; Berwyn, PA.
**For Internal Candidates**
 All internal employees, regardless of their current work arrangement (remote or in\-office), are encouraged to apply.
**In This Role, You'll Get To**
* Translate business requirements into well\-architected solutions that best leverage the Salesforce platform and products
* Provide detailed level of effort estimates for proposed solutions. Articulate the benefits and risks to a solution’s feasibility and functionality
* Develop, test, and document working custom development, integrations, and data migration elements of a Salesforce implementation
* Inject creativity and solutions for new and existing functionality
* Create and maintain database objects in support of application development
* Provide support for design, development and implementation of application development projects
* Learn, understand, and develop the integration between Salesforce and Orion’s existing platform, Orion Connect
* Troubleshoot and debug system inefficiencies
* Perform Salesforce Administration duties as assigned
* Regularly perform database de\-duping and cleanup storage procedures
* Manage ongoing support requests and administrative needs as assigned
* Develop documentation and training materials
* Identify and troubleshoot issues with sites or programming code and fix any resulting problems
* Secure applications against hacking vulnerabilities
* Maintain a high level of technical knowledge in all applicable programming languages and database formats
**We're Looking For Talent Who**
* Has knowledge of Force.com platform
* Has knowledge of PC architecture and operations, operating systems, networking database management and development, as well as high level of programming knowledge
* Possess knowledge of the various stages of the software development life cycle, definition of solution architecture, detailed design, solution development, testing and deployment
* Has knowledge and solid understanding of object oriented analysis, design and programming
* Has minimum of a bachelor's degree in Computer Science, MIS, or Information System Analysis
* Obtain Orion Industry Certification
* Possess minimum of 3 years of Force development experience including core, APEX and Visualforce development
* Has minimum of 2 years Salesforce Administration experience
* Has experience in SQL Server, Web\-API, angular development, entity framework, MVC, MVVM, AJAX, XML, ASP.NET, C\#.Net, Restful Services, Web Services and HTML in an application development role is preferred
* May already have experience with Pardot
* Has experience in financial services or asset management industry
* Owns and manages relationships with stakeholders directly and work effectively with people at all levels in an organization
**Salary Range**
 $83,076\.00 \- $127,179\.00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At Orion, we achieve our best work when we support one another, staying personally accountable to each other and the clients we serve. We create a welcoming environment where everyone is respected, valued, and heard. Our commitment to
 **create raving** 
**fans** 
 ensures we consistently exceed client expectations. Thinking differently is in our DNA—we
 **innovate always** 
 , push boundaries, and reject the status quo to deliver transformative outcomes. Together, we
 **support one another** 
 and
 **see it through** 
 to success, driving our collective achievements and those of our clients.</t>
        </is>
      </c>
    </row>
    <row r="201">
      <c r="A201" t="inlineStr">
        <is>
          <t>li-4298037154</t>
        </is>
      </c>
      <c r="B201" t="inlineStr">
        <is>
          <t>Prin Software Engineer</t>
        </is>
      </c>
      <c r="C201" t="inlineStr">
        <is>
          <t>Planet Pharma</t>
        </is>
      </c>
      <c r="D201" t="inlineStr">
        <is>
          <t>linkedin</t>
        </is>
      </c>
      <c r="E201" t="inlineStr"/>
      <c r="F201" t="inlineStr"/>
      <c r="G201" t="inlineStr">
        <is>
          <t>Mounds View, MN</t>
        </is>
      </c>
      <c r="H201" t="inlineStr"/>
      <c r="I201" t="inlineStr">
        <is>
          <t>**Job Description**
 This position will design and develop software for a medical instrument running iPad OS for clinical applications. Work will involve design and development of new code as well as debugging and refactoring of legacy code. Candidate must be skilled in Objective C, C, JavaScript, multi\-threading and event driven software. Additionally, experience with CSS, HTML, XML and JSON and Cordova framework would be helpful
**Must Have**
* 4\+ years of relevant experience.
* Expertise in Objective C, C and JavaScript programming.
* Experience working with iOS/iPadOS and apple eco system
* Experience working in client/ server model and working across other interfaces
* Experience resolving multitasking, multithreading issues.
* Sound debugging skills using Xcode IDE
* Ability to work in an agile cross functional team environment
* Strong Communication skills.
 Requires a University Degree and minimum 4 years of relevant experience,
**Nice To Have (one Or More)**
* Experience with CSS, HTML, XML and JSON
* Experience with Cordova framework
* Experience with legacy code refactoring
 The Planet Group of Companies is an equal opportunity employer. We celebrate diversity and are committed to creating an inclusive environment for all employees.</t>
        </is>
      </c>
    </row>
    <row r="202">
      <c r="A202" t="inlineStr">
        <is>
          <t>li-4346199439</t>
        </is>
      </c>
      <c r="B202" t="inlineStr">
        <is>
          <t>Senior Software Engineer</t>
        </is>
      </c>
      <c r="C202" t="inlineStr">
        <is>
          <t>Underdog.io -Apply to top tech jobs in 60 seconds. A place where companies apply to you</t>
        </is>
      </c>
      <c r="D202" t="inlineStr">
        <is>
          <t>linkedin</t>
        </is>
      </c>
      <c r="E202" t="inlineStr"/>
      <c r="F202" t="inlineStr"/>
      <c r="G202" t="inlineStr"/>
      <c r="H202" t="inlineStr"/>
      <c r="I202" t="inlineStr">
        <is>
          <t>Underdog.io is a modern recruiting platform. One of our hiring partners is looking to hire 3 Mid to Senior Level Software Engineers. Our hiring partner is on a mission to supercharge the impact of donation dollars through software that enables foundations to build relationships with grantees and easily distribute and track their funds.
**Job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 Design, develop, and maintain high\-performance, distributed backend services in Golang.
* Architect and implement robust APIs and data pipelines for processing and serving data to and from our LLM\-based inference systems.
* Integrate with various LLM providers (e.g., OpenAI, Anthropic) and open\-source models, optimizing for latency, cost, and reliability.
* Contribute to the entire software development lifecycle, including concept, design, build, deployment, and operational excellence.
* Collaborate closely with ML researchers and engineers to productionize machine learning models and algorithms.
* Write clean, well\-tested, and maintainable code, and participate in rigorous code reviews.
* Proactively identify and address performance bottlenecks, scalability challenges, and system vulnerabilities.
**Qualifications \&amp; Experience** 
**Must\-Haves:** 
* 3\+ years of professional software development experience with a strong focus on backend systems.
* Proven, hands\-on experience building and shipping production\-level services in Golang.
* Solid understanding of computer science fundamentals: data structures, algorithms, and system design.
* Experience with cloud platforms (AWS, GCP, or Azure) and containerization technologies (Docker, Kubernetes).
* A genuine passion for and understanding of the modern AI/ML landscape, specifically Large Language Models.
* Excellent problem\-solving skills and the ability to work independently in a fast\-paced, early\-stage startup environment.
**Nice\-to\-Haves:** 
* Hands\-on experience fine\-tuning, deploying, or managing open\-source LLMs (e.g., Llama, Mistral).
* Experience with vector databases (e.g., Pinecone, Weaviate, pgvector) and RAG (Retrieval\-Augmented Generation) architectures.
* Knowledge of MLOps practices and tools for model deployment and monitoring.
* Familiarity with data engineering and processing large\-scale, unstructured datasets.
* Previous experience in an early\-stage, venture\-backed startup.
**What We Offer** 
* **Foundational Impact:** 
 Your code and architectural decisions will have an outsized impact on the product and the company's trajectory.
* **Equity Ownership:** 
 A significant equity grant, ensuring you share directly in the value you create.
* **Competitive Compensation:** 
 A competitive salary and benefits package, reflective of our recent funding.
* **Cutting\-Edge Tech Stack:** 
 The opportunity to work exclusively with modern technologies on challenging, green\-field projects.
*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hires software engineers for remote startup jobs with pre\-seed, seed, and series A \- C high\-growth tech firms across the US.</t>
        </is>
      </c>
    </row>
    <row r="203">
      <c r="A203" t="inlineStr">
        <is>
          <t>li-4354319471</t>
        </is>
      </c>
      <c r="B203" t="inlineStr">
        <is>
          <t>Senior LIMS Software Engineer - Remote</t>
        </is>
      </c>
      <c r="C203" t="inlineStr">
        <is>
          <t>Kforce Inc</t>
        </is>
      </c>
      <c r="D203" t="inlineStr">
        <is>
          <t>linkedin</t>
        </is>
      </c>
      <c r="E203" t="inlineStr"/>
      <c r="F203" t="inlineStr"/>
      <c r="G203" t="inlineStr">
        <is>
          <t>Secaucus, NJ</t>
        </is>
      </c>
      <c r="H203" t="inlineStr"/>
      <c r="I203" t="inlineStr">
        <is>
          <t>**Responsibilities**
 Kforce is working with a well\-known client in search of a Senior LIMS Software Engineer \- Remote to join their team! Overview: Are you an experienced Software Engineer passionate about building solutions that power cutting\-edge clinical diagnostics? We're looking for a Senior LIMS Software Engineer to join our team and play a key role in designing and developing enterprise Laboratory Information Management System (LIMS) functionality that supports critical laboratory workflows and business processes. This is a full\-time, remote position with occasional travel (up to 10%) and offers a performance bonus. You'll collaborate with cross\-functional teams to deliver scalable, compliant, and efficient solutions that integrate seamlessly with scientific workflows. Why You'll Love This Role:
* 100% Remote Work \- Enjoy flexibility while working on impactful projects
* Bonus Incentives \- Earn additional rewards for your contributions
* Collaborative Environment \- Work with technical and scientific experts in a dynamic team
* Career Growth \- Opportunity to lead complex projects and influence technical standards
 What You'll Do:
* Design and develop front\-end and back\-end solutions within StarLIMS v12 environments
* Build integrations with enterprise applications using APIs, web services, and middleware
* Create and optimize reports and dashboards using tools like Advanced Analytics and Crystal Reports
* Collaborate with analysts, stakeholders, and SMEs to translate requirements into robust technical solutions
* Provide technical support for validation, troubleshooting, and production systems
* Maintain detailed technical documentation in compliance with regulatory standards
* Manage tasks in Jira and Confluence, ensuring timely updates
**Requirements**
* Bachelor's degree in Bioinformatics, Computer Science, or related STEM field; Master's degree is a plus
* 5\+ years of hands\-on LIMS development experience (not administrative)
* Strong SQL skills and experience managing large relational databases
* Expertise in enterprise system integration (REST APIs, web services)
* Proven track record implementing LIMS in regulated environments
* Excellent problem\-solving and communication skills
* Ability to work independently and manage multiple priorities in a fast\-paced setting
**Preferred Skills**
* Extensive experience with StarLIMS v12 and its technology layers
* Experience with Advanced Analytics dashboards and Crystal Reports
* Familiarity with NGS instrumentation and workflows
* Proficiency in StarLIMS scripting, HTML5, Jscript, and SQL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04">
      <c r="A204" t="inlineStr">
        <is>
          <t>li-4346248143</t>
        </is>
      </c>
      <c r="B204" t="inlineStr">
        <is>
          <t>Senior Software Engineer</t>
        </is>
      </c>
      <c r="C204" t="inlineStr">
        <is>
          <t>Underdog.io -Apply to top tech jobs in 60 seconds. A place where companies apply to you</t>
        </is>
      </c>
      <c r="D204" t="inlineStr">
        <is>
          <t>linkedin</t>
        </is>
      </c>
      <c r="E204" t="inlineStr"/>
      <c r="F204" t="inlineStr"/>
      <c r="G204" t="inlineStr"/>
      <c r="H204" t="inlineStr"/>
      <c r="I204" t="inlineStr">
        <is>
          <t>Founded in 2014 in Brooklyn, NY, Underdog.io is a modern recruiting platform. One of our seed\-funded hiring partners is looking to hire a Sr Software Engineer to join their team in Downtown Brooklyn. They've recently raised a $85M Series A and work with some of the largest hardware companies in the world.
**Senior Software Engineer \- AI Agent Infrastructure** 
**Location:** 
 On\-Site \|
 **Team:** 
 Founding Engineers from Palantir
**Architect the Future of Autonomous Research** 
 You have a unique opportunity to build the core intelligent infrastructure for a platform that is transforming how enterprises conduct deep research. Founded by two Palantir veterans who built core components of Gotham and Foundry, we are backed by the founders of OpenAI, Facebook AI, and other iconic tech companies.
 Our mission is to replace thousands of hours of manual data gathering with autonomous, transparent, and interactive AI agents. We're starting by tackling a massive problem in financial services, where professionals spend 60\-70% of their time collecting data instead of analyzing it. You will build the backend systems that power AI agents to autonomously ingest dozens of data sources, conduct deep analysis, and create interactive decision trees for analysts at top financial institutions.
 Within your first 90 days, you will design, ship, and take ownership of a multi\-agent workflow system that handles real, mission\-critical financial research tasks.
**What You’ll Do** 
 You will be foundational in architecting and building the robust, scalable systems that coordinate our autonomous AI agents. Your work will sit at the intersection of AI, distributed systems, and enterprise\-grade reliability.
* You will design and implement sophisticated agent orchestration systems, building state machines, task queues, and execution engines that coordinate multiple specialized AI agents across complex, multi\-step research workflows.
* You will architect scalable multi\-agent systems for communication, task delegation, and result synthesis, implementing patterns for load balancing and dynamic resource allocation.
* You will build robust autonomous task execution frameworks with automatic retry, error recovery, and graceful degradation, ensuring agents can navigate complex decisions while maintaining human oversight.
* You will integrate and manage multiple AI models (GPT, Claude, etc.) with intelligent routing, fallback mechanisms, and cost optimization.
* You will design high\-throughput data pipelines to process streaming financial data, SEC filings, and alternative datasets, building event\-driven architectures that trigger agent workflows.
* You will implement sophisticated agent memory and context management systems using vector databases and knowledge graphs to support long\-running research sessions.
* You will ensure enterprise\-grade reliability, building systems with comprehensive monitoring, audit logging, and security to meet the standards of top financial institutions.
**What We're Looking For** 
**Must\-Haves:** 
* You have 5\+ years of backend systems experience with a proven track record of building production\-scale distributed systems.
* You possess strong CS fundamentals in distributed systems, algorithms, and complex system design.
* You have experience with agent frameworks or multi\-agent system design patterns.
* You have expert\-level proficiency in Python, Node.js, or Rust and experience with microservices and event\-driven architectures.
* You have hands\-on experience with vector databases (Pinecone, Weaviate, Chroma) and semantic search.
* You have a clear track record of shipping mission\-critical systems that handle real user traffic.
* You communicate complex technical concepts clearly to both technical and business stakeholders.
**Nice\-to\-Haves:** 
* Experience building AI/ML production systems, workflow orchestration, or autonomous agent platforms.
* Background with financial data or enterprise integration (e.g., Bloomberg Terminal, trading systems).
* Knowledge of advanced tech: Kafka, Kubernetes, infrastructure as code.
* Technical leadership experience or a history of building systems from scratch in a startup or side projects.
**Don't check every box? Apply anyway.** 
 We prioritize problem\-solving ability, systems thinking, and the drive to build transformative infrastructure.
**Mentorship \&amp; Growth** 
 You will be directly mentored by engineers who built Palantir's core systems. Expect:
* Weekly 1:1s with senior engineers who have architected enterprise\-scale distributed systems.
* Deep architectural reviews and guidance on agent system design.
* A clear growth path toward technical leadership and system ownership.
* The opportunity to learn by building—your code will power real financial research from day one.
**Our Technical Stack** 
* **Backend:** 
 Python, Node.js, Rust, PostgreSQL, Redis
* **AI/ML:** 
 OpenAI/Anthropic/OpenRouter, Vector Databases
* **Infrastructure:** 
 AWS, Docker, Temporal, Kubernetes, Kafka, Apache Airflow
* **Monitoring:** 
 Datadog
* **Tools:** 
 Git, GitHub Actions, Pulumi
**What We Offer** 
* **Comprehensive Benefits:** 
 Medical, dental, vision, 401k, and insurance for employees and dependents.
* **Top\-Tech Setup:** 
 Latest MacBook Pro, multiple monitors, and an ergonomic setup.
* **"Build Anything" Budget:** 
 Dedicated funding for any tools, libraries, or infrastructure you need to solve challenges.
* **Learning Budget:** 
 Attend any conference or course that makes you better.
* **Daily Lunch** 
 provided in the office.
* **Unlimited PTO.**
**Our Operating Principles** 
* **Forward\-Deployed with Product DNA:** 
 We own customer outcomes. We don't win if our customers don't win.
* **Extreme Ownership:** 
 You have the initiative, you have the accountability. Authority comes from action.
* **Production\-First Engineering:** 
 We design for critical workloads from day one with resilient, observable systems.
* **Trust as the Default:** 
 We show our work, keep our promises, and flag risks early.
* **Keep Raising the Bar:** 
 Continuous learning isn't a perk; it's part of the job.
**Ready to Build Foundational Agentic Infrastructure?** 
 If you are a systems thinker driven to solve high\-stakes engineering problems and want to be mentored by the best, we need to speak with you. Apply now and tell us about a complex distributed system you've built.</t>
        </is>
      </c>
    </row>
    <row r="205">
      <c r="A205" t="inlineStr">
        <is>
          <t>li-4330097269</t>
        </is>
      </c>
      <c r="B205" t="inlineStr">
        <is>
          <t>Sr. Software Engineer, Frontend (Flutter/iOS)</t>
        </is>
      </c>
      <c r="C205" t="inlineStr">
        <is>
          <t>RemoteHunter</t>
        </is>
      </c>
      <c r="D205" t="inlineStr">
        <is>
          <t>linkedin</t>
        </is>
      </c>
      <c r="E205" t="inlineStr"/>
      <c r="F205" t="inlineStr"/>
      <c r="G205" t="inlineStr"/>
      <c r="H205" t="inlineStr"/>
      <c r="I205" t="inlineStr">
        <is>
          <t>About the Organization:
 The organization is a licensed and regulated U.S. crypto platform providing secure access to over 190 popular cryptocurrencies with low fees. It operates as a remote\-first team focused on building the bridge between traditional finance and Web3 technologies to promote financial freedom. All supporting roles are employed via BAM Management US Holdings Inc. or BAM Management Canada Holdings Inc.
 About the Opportunity:
 The Sr. Software Engineer, Frontend (Flutter/iOS) is part of the Engineering team and reports to the Manager, Engineering. This role supports the transition of the mobile platform from native iOS and Android to a unified Flutter/Dart codebase. The engineer will collaborate with Android engineers, backend engineers, designers, and product managers to deliver stable, high\-quality mobile solutions during the migration.
 Responsibilities:
 • Maintain, enhance, and support the production native iOS application written in Swift.
 • Collaborate on the design and development of a new Flutter/Dart codebase ensuring performance and scalability.
 • Build cross\-platform mobile features with Android engineers, backend developers, and product teams.
 • Contribute to shared tooling, CI/CD pipelines, and deployment workflows.
 • Uphold engineering standards and best practices throughout the hybrid mobile migration.
 • Troubleshoot and resolve integration, compatibility, and performance issues in native and cross\-platform stacks.
 • Provide mentorship to mobile engineers, especially on iOS and native integrations.
 Requirements:
 • 5 or more years of professional mobile development experience, including 3 or more years in iOS development using Swift.
 • 1 to 2 years of hands\-on experience with Flutter/Dart or demonstrated ability to adopt cross\-platform technologies.
 • Experience supporting production iOS apps through multiple OS cycles.
 • Understanding of platform interoperability such as Flutter platform channels and native SDK integration.
 • Proficiency with CI/CD and release workflows including Fastlane, App Store Connect, and TestFlight.
 • Familiarity with performance monitoring tools like Xcode Instruments, Flutter DevTools, and Firebase.
 • Strong architectural judgment, especially in platform migrations or codebase rewrites.
 • Bonus: Exposure to Android development (Kotlin) and full cross\-platform transitions.
 Compensation:
 • Starting pay range between USD 200,000 to 220,000 per year for all U.S. remote locations.
 • Actual base pay varies based on transferable skill sets, experience, business needs, and market demands.
 • The base pay range is subject to change.
 Benefits \&amp; Perks:
 • Unlimited PTO for salaried full\-time employees.
 • 12 weeks fully paid Parental Bonding Leave.
 • Mental wellness benefits including free 1:1 virtual visits with a licensed mental wellness professional.
 • Comprehensive competitive health benefits.
 • Fully remote, cameras\-on culture with work\-from\-home equipment reimbursements for new hires.
 • Annual professional development budget.
 •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6">
      <c r="A206" t="inlineStr">
        <is>
          <t>li-4241272538</t>
        </is>
      </c>
      <c r="B206" t="inlineStr">
        <is>
          <t>Staff Software Engineer</t>
        </is>
      </c>
      <c r="C206" t="inlineStr">
        <is>
          <t>Circle</t>
        </is>
      </c>
      <c r="D206" t="inlineStr">
        <is>
          <t>linkedin</t>
        </is>
      </c>
      <c r="E206" t="inlineStr"/>
      <c r="F206" t="inlineStr"/>
      <c r="G206" t="inlineStr"/>
      <c r="H206" t="inlineStr"/>
      <c r="I206"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Staff Software Engineer is responsible for extending Circle's in\-house blockchain systems infrastructure to support the tokenization of the world; analyzing requirements, procedures, and problems to improve existing systems and modifying systems; building and owning scalable microservices that are responsible for reliable and secure APIs that transfer value and assets across all blockchain protocols as well as traditional banking protocols; collaborating with Product and Engineering teams to design, test, and shape Circle features, including developing and documenting system design procedures, testing procedures, and quality standards; troubleshooting program and system malfunctions to restore normal functioning; building publicly accessible APIs that make it simple for developers to integrate with complex payment systems; integrating Platform Services with leading banks and financial technologies; consulting with management to ensure agreement on system principles; writing the infrastructure to deliver great payment experiences, including data sources (SQL or NoSQL), messaging systems and APIs; other duties as assigned.
**What You'll Bring To Circle**
* 7 years minimum professional software development experience in object oriented languages like Go or Java.
* Computer Science degree or a closely related field (or foreign equivalent).
* Technical leadership of teams \&gt;4 on architecture and system design.
* Expert in one of the domains of API design, payments processing, or blockchains.
* Deep understanding/experience with:
+ Architecture, design, and deployment of production\-quality, scalable software
+ Web3, blockchain, smart Contract business logic
+ RESTful API design and development principles
+ Cloud services (AWS, Google Cloud, Microsoft Azure, etc)
+ Container orchestration systems like Kubernetes or EKS, ECS
+ SQL databases and designing schemas
* Deep focus on coding standards and code quality \-\- a desire to have great test coverage to enable continuous delivery.
* Excellent communication skills, able to collaborate with remote teams, share ideas and present concepts effectively
* Self\-starter with a curious mindset, you enjoy moving at a fast pace, shipping software that improves the user experience and constantly improving your work with little supervision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$172,500 \- $227,500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07">
      <c r="A207" t="inlineStr">
        <is>
          <t>li-4344503612</t>
        </is>
      </c>
      <c r="B207" t="inlineStr">
        <is>
          <t>Senior Software Engineer</t>
        </is>
      </c>
      <c r="C207" t="inlineStr">
        <is>
          <t>Underdog.io -Apply to top tech jobs in 60 seconds. A place where companies apply to you</t>
        </is>
      </c>
      <c r="D207" t="inlineStr">
        <is>
          <t>linkedin</t>
        </is>
      </c>
      <c r="E207" t="inlineStr"/>
      <c r="F207" t="inlineStr"/>
      <c r="G207" t="inlineStr"/>
      <c r="H207" t="inlineStr"/>
      <c r="I207" t="inlineStr">
        <is>
          <t>**Staff Software Engineer (Backend)** 
 Underdog.io is a modern recruiting platform. One of our hiring partners is looking to hire a Senior Software Engineer.
**About the Company** 
 Our hiring partner is a pioneering crypto and Web3 platform, driving global financial empowerment through decentralized technology. Founded 10 years ago, they serve millions of users across 70\+ countries with secure, scalable solutions for crypto trading, payments, and asset management. Their mission is to unlock financial autonomy through elegant, user\-first products.
**The Role** 
 As a Senior Software Engineer, you’ll lead backend development for mission\-critical payment infrastructure powering crypto transfers and fiat transactions. Collaborate with cross\-functional teams to architect systems that process billions in assets securely and efficiently.
**Key Responsibilities** 
* Own end\-to\-end development of high\-availability backend services using Java/Scala, focusing on deposit/withdrawal systems for crypto and fiat assets.
* Optimize developer velocity by improving CI/CD pipelines, test automation, and local development workflows.
* Conduct large\-scale refactoring to reduce technical debt while maintaining 99\.99% uptime SLAs for payment systems.
* Lead architectural decisions balancing scalability, security, and regulatory compliance in fintech environments.
* Mentor junior engineers through code reviews, and design sessions.
* Partner with product teams to translate compliance requirements into technical solutions (e.g., transaction monitoring)
**Qualifications** 
* 8\+ years of backend development with 5\+ years in Java (Spring Boot/Quarkus) or Scala (Cats/ZIO ecosystems).
* Expertise building distributed systems handling 10k\+ TPS (event\-driven architectures, Kafka/RabbitMQ).
* Mastery of SQL/NoSQL databases (PostgreSQL, Cassandra) and caching strategies (Redis, Memcached).
* Proven track record optimizing cloud\-native systems (AWS/GCP) using Kubernetes, Terraform, and Prometheus/Grafana.
* Deep understanding of fintech security standards (PCI DSS, cryptography) and financial settlement workflows is a huge plus.
* BS/MS in Computer Science or equivalent experience scaling systems to 1M\+ users.
**Leadership Requirements** 
* Experience driving multi\-quarter technical roadmaps with stakeholder alignment.
* Ability to simplify complex technical concepts for executives and auditors.
* History of leading incident response for P0 outages in production systems.
**Why Join** 
* $172k–$251k base salary \+ equity \+ annual bonus (top 10% industry compensation).
* 100% covered medical/dental/vision \+ 5% 401k match.
* Unlimited PTO \+ 16\-week parental leave \+ $10k/year learning stipend.
* Remote\-first culture with quarterly team summits in global tech hubs.</t>
        </is>
      </c>
    </row>
    <row r="208">
      <c r="A208" t="inlineStr">
        <is>
          <t>li-4330470519</t>
        </is>
      </c>
      <c r="B208" t="inlineStr">
        <is>
          <t>Senior Software Engineer (SQL + Snowflake + Data Modeling + Cloud Data Platforms)</t>
        </is>
      </c>
      <c r="C208" t="inlineStr">
        <is>
          <t>Digital Asset Management.com</t>
        </is>
      </c>
      <c r="D208" t="inlineStr">
        <is>
          <t>linkedin</t>
        </is>
      </c>
      <c r="E208">
        <f>HYPERLINK("https://www.linkedin.com/jobs/view/4330470519", "https://www.linkedin.com/jobs/view/4330470519")</f>
        <v/>
      </c>
      <c r="F208" t="inlineStr"/>
      <c r="G208" t="inlineStr"/>
      <c r="H208" t="inlineStr"/>
      <c r="I208" t="inlineStr">
        <is>
          <t>New
 Senior Software Engineer (SQL \+ Snowflake \+ Data Modeling \+ Cloud Data Platforms)
 Pune or Delhi/NCR Remote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positioned as a market leader by the analyst community and is listed as one of the world’s top software companies by The Software Report. We are Acquia. We are a global company with employees located in more than 30 countries, and we’re building for the future. We want you to be a part of it!
 We are seeking an experienced
 **Senior Software Engineer** 
 specializing in Data Engineering to join our team and build robust, scalable data infrastructure using modern tools like Snowflake and Dagster to power our marketing cloud platform and AI\-driven analytics.
**As a Senior Software Engineer, You Will**
* Design and build scalable data pipelines using Dagster for orchestration and Snowflake for data warehousing
* Develop and optimize complex data models and transformations to support real\-time analytics and AI/ML initiatives
* Build metadata\-driven, reusable data solutions that enable self\-service analytics across the organization
* Implement AI\-powered data quality monitoring, anomaly detection, and automated data validation frameworks
* Partner with Data Scientists and ML Engineers to enable efficient model training and inference workflows
* Optimize query performance and cost efficiency across multi\-petabyte data workloads in Snowflake
* Build robust data governance frameworks including lineage tracking, data cataloging, and access controls
* Implement event\-driven data architectures supporting real\-time customer experience optimization
* Collaborate with Product and Engineering teams to instrument applications for comprehensive data collection
* Mentor junior engineers on data engineering best practices and modern data stack technologies
**Skills**
* 5\+ years of experience in data engineering roles with focus on large\-scale data processing
* Expert\-level proficiency in Python for data pipeline development and automation
* Strong SQL skills with experience in query optimization and performance tuning
* Strong hands\-on experience with Snowflake including performance optimization, security, and cost management (must\-have)
* Proven experience with Dagster or similar workflow orchestration tools (Airflow, Prefect)
* Deep understanding of data modeling, ETL/ELT patterns, and dimensional modeling techniques
* Experience with streaming data technologies (Kafka, Kinesis, Pub/Sub) and real\-time processing
* Experience with cloud data platforms (AWS, GCP, Azure) and their native data services
* Knowledge of data governance tools and practices (data cataloging, lineage, quality monitoring)
* Familiarity with version control (Git) and CI/CD practices for data pipelines
* Interest in AI/ML applications including feature engineering, model serving, and MLOps workflows
**Additional Advantages**
* Experience with dbt for analytics engineering and data transformation
* Hands\-on experience with vector databases and embedding pipelines for AI applications
* Knowledge of data mesh architecture and domain\-driven data design
* Experience with Apache Spark for large\-scale data processing
* Snowflake certifications (Data Engineer, Architect)
* Experience with customer data platforms (CDPs) and marketing analytics
* Understanding of privacy regulations (GDPR, CCPA) and data anonymization techniques
*We are an organization that embraces innovation and the potential of AI to enhance our processes and improve our work. We are always looking for individuals who are open to learning new technologies and collaborating with AI tools to achieve our goals.*
*Acquia is proud to provide best\-in\-class benefits to help our employees and their families maintain a healthy body and mind. Core Benefits include: competitive healthcare coverage, wellness programs, take it when you need it time off, parental leave, recognition programs, and much more!*
*Individuals seeking employment at Acquia are considered without regard to race, color, religion, caste, creed, national origin, age, sex, marital status, ancestry, physical or mental disability, veteran status, gender identity, or sexual orientation. Whatever you answer will not be considered in the hiring process or thereafter.*
 Create a Job Alert
 Interested in building your career at Acquia? Get future opportunities sent straight to your email.
 Apply for this job
 indicates a required field
 First Name\*
 Last Name\*
 Email\*
 Phone
 Country\*
 Phone\*
 Resume/CV\*
 Attach
 Enter manually
 Accepted file types: pdf, doc, docx, txt, rtf
 Cover Letter
 Attach
 Enter manually
 Accepted file types: pdf, doc, docx, txt, rtf
 Individuals seeking employment at Acquia are considered without regard to race, color, religion, caste, creed, national origin, age, sex, marital status, ancestry, differently abled, veteran status, gender identity, or sexual orientation. Whatever you answer will not be considered in the hiring process or thereafter.\*
 Select...
 How did you hear about this job?\*
 LinkedIn Profile\*
 Have you been a previous Acquia employee or contractor? \*
 Select...
 Individuals seeking employment at Acquia are considered without regard to race, color, religion, caste, creed, national origin, age, sex, marital status, ancestry, physical or mental disability, veteran status, gender identity, or sexual orientation. Whatever you answer will not be considered in the hiring process or thereafter.\*
 Select...
 If referred, please provide the email of the person who referred\*
 Current Company (Please put N/A if not applicable)\*
 Current Company Website (Please put N/A if not applicable)\*
 What is your current state? (If state is not found, please select the closest one)\*
 Select...
 What is your current city?\*
 How many relevant years of experience do you have (post qualification)?\*
 Select...
 Powered by
 Greenhouse</t>
        </is>
      </c>
    </row>
    <row r="209">
      <c r="A209" t="inlineStr">
        <is>
          <t>li-4330410779</t>
        </is>
      </c>
      <c r="B209" t="inlineStr">
        <is>
          <t>Senior Software Engineer, ML Platform</t>
        </is>
      </c>
      <c r="C209" t="inlineStr">
        <is>
          <t>Parafin</t>
        </is>
      </c>
      <c r="D209" t="inlineStr">
        <is>
          <t>linkedin</t>
        </is>
      </c>
      <c r="E209">
        <f>HYPERLINK("https://www.linkedin.com/jobs/view/4330410779", "https://www.linkedin.com/jobs/view/4330410779")</f>
        <v/>
      </c>
      <c r="F209" t="inlineStr"/>
      <c r="G209" t="inlineStr">
        <is>
          <t>San Francisco, CA</t>
        </is>
      </c>
      <c r="H209" t="inlineStr"/>
      <c r="I209" t="inlineStr">
        <is>
          <t>**About Us:**
 At Parafin, we’re on a mission to grow small businesses.
 Small businesses are the backbone of our economy, but traditional banks often don’t have their backs. We build tech that makes it simple for small businesses to access the financial tools they need through the platforms they already sell on.
 We partner with companies like DoorDash, Amazon, Worldpay, and Mindbody to offer fast and flexible funding, spend management, and savings tools to their small business users via a simple integration. Parafin takes on all the complexity of capital markets, underwriting, servicing, compliance, and customer service for our partners.
 We’re a tight\-knit team of innovators hailing from Stripe, Square, Plaid, Coinbase, Robinhood, CERN, and more — all united by a passion for building tools that help small businesses succeed. Parafin is backed by prominent venture capitalists including GIC, Notable Capital, Redpoint Ventures, Ribbit Capital, and Thrive Capital. Parafin is a Series C company, and we have raised more than $194M in equity and $340M in debt facilities.
 Join us in creating a future where every small business has the financial tools they need.
**About The Position**
 We’re looking for a software engineer to join Parafin’s Infrastructure team and lead the evolution of our ML Platform. This role is critical to building reliable, scalable, and developer\-friendly systems for model experimentation, training, evaluation, inference, and retraining that power underwriting and other ML\-driven products for small businesses.
 As a Software Engineer, you’ll design, build, and maintain the core abstractions and platforms that let data scientists ship high\-quality models to production—safely and quickly. You’ll partner closely with Data Science and Platform Engineering, own the ML platform end\-to\-end, and develop batch and real\-time underwriting infrastructure.
**What You'll Do**
* Turn notebooks into software. Decompose data scientist training/inference notebooks into reusable, tested components (libraries, pipelines, templates) with clear interfaces and documentation.
* Create developer\-friendly ML abstractions. Build SDKs, CLIs, and templates that make it simple to define features, train/evaluate models, and deploy to batch or real\-time targets with minimal boilerplate.
* Build our real\-time ML inference platform. Stand up and scale low\-latency model serving.
* Expand batch ML inference. Improve scheduling, parallelism, cost controls, observability, and failure/rollback for large\-scale batch scoring and post\-processing.
* Own and expand the feature store. Design offline/online feature definitions, high read/write throughput, and consistent offline/online semantics.
* Platform reliability and observability. Instrument training/inference for latency, throughput, accuracy, drift, data quality, and cost; build alerting and dashboards; drive incident response and postmortems.
* Underwriting infrastructure partnership. Support production batch and real\-time underwriting systems in collaboration with Data Science; collaborate on model interfaces, SLAs, safety checks, and product integrations.
**What We Are Looking For**
* 5\+ years of software engineering experience, including experience on ML platform/MLOps systems (training, deployment, and/or feature pipelines).
* Strong Python; solid software design and testing fundamentals. Proficiency with SQL; hands\-on Spark/PySpark experience.
* Knowledge of ML fundamentals—probability \&amp; statistics, supervised vs. unsupervised learning, bias/variance \&amp; regularization, feature engineering, model evaluation metrics, validation strategies, and production concerns like drift, stability, and monitoring.
* Expertise with modern data/ML stacks—AWS, Databricks (workflows, lakehouse, MLflow/registry, Model Serving), and Airflow (or equivalent orchestration).
* Experience building real\-time systems (service design, caching, rate limiting, backpressure) and batch pipelines at scale.
* Practical knowledge of feature\-store concepts (offline/online stores, backfills, point\-in\-time correctness), model registries, experiment tracking, and evaluation frameworks.
* Strong problem\-solving skills and a proactive attitude toward ownership and platform health.
* Excellent communication and collaboration skills, especially in cross\-functional settings.
**Bonus Points**
* Databricks experience (MLflow, Model Serving).
* Experience with feature stores (e.g., Tecton, Feast) and streaming (Kafka/Kinesis).
* Experience with fintech, risk, or underwriting systems; familiarity with model safety checks, rejection/override flows, and auditability.
* Background with A/B testing platforms, shadow/canary deployments, and automated rollback.
* Experience with low\-latency inference systems.
**What We Offer**
* Salary Range: $230k \- $265k
* Equity grant
* Medical, dental \&amp; vision insurance
* Work from home flexibility
* Unlimited PTO
* Commuter benefits
* Free lunches
* Paid parental leave
* 401(k)
* Employee assistance program
**If you require reasonable accommodation in completing this application, interviewing, completing any pre\-employment testing, or otherwise participating in the employee selection process, please contact us.**</t>
        </is>
      </c>
    </row>
    <row r="210">
      <c r="A210" t="inlineStr">
        <is>
          <t>li-4354339470</t>
        </is>
      </c>
      <c r="B210" t="inlineStr">
        <is>
          <t>AI/ML Software Engineer (Senior)</t>
        </is>
      </c>
      <c r="C210" t="inlineStr">
        <is>
          <t>Candid Health</t>
        </is>
      </c>
      <c r="D210" t="inlineStr">
        <is>
          <t>linkedin</t>
        </is>
      </c>
      <c r="E210">
        <f>HYPERLINK("https://www.linkedin.com/jobs/view/4354339470", "https://www.linkedin.com/jobs/view/4354339470")</f>
        <v/>
      </c>
      <c r="F210">
        <f>HYPERLINK("https://www.joincandidhealth.com/careers?ashby_jid=a406ec65-85ac-4403-9943-1a9ce68d209f&amp;utm_source=mvzxgrd3O0&amp;urlHash=uUmK", "https://www.joincandidhealth.com/careers?ashby_jid=a406ec65-85ac-4403-9943-1a9ce68d209f&amp;utm_source=mvzxgrd3O0&amp;urlHash=uUmK")</f>
        <v/>
      </c>
      <c r="G210" t="inlineStr">
        <is>
          <t>Menlo Park, CA</t>
        </is>
      </c>
      <c r="H210" t="inlineStr"/>
      <c r="I210"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Role**
 As an AI Engineer at Candid health, you’ll be empowered to bring Artificial Intelligence \&amp; Machine Learning to the forefront of healthcare automation. This is an opportunity to get in at the ground floor of designing and building something exciting and new \- generating immense value to both medical providers and their patients. You will be responsible for translating compelling initial prototypes into a foundational set of differentiated, high impact ML/AI use cases throughout our platform and across our customer base.
 We’re looking for a tastemaker and strong hands\-on builder who can effectively navigate the complexities of our problem space – medical billing– and leverage their technical expertise to deliver strategic AI\- \&amp; ML\-based solutions leading to impactful business outcomes.
**What You’ll Do**
* Expansively Own Outcomes \&amp; Apply AI to Real Problems: Candid’s mission is to use technology to rebuild the backbone of American healthcare. The innovations we make have the potential to change both medical providers and patient experience in a meaningful way. You are responsible for Candid delivering on outcomes for both internal teams and external customers through, but not limited to, building AI features into Candid’s platform.
* Innovate and Drive our Technical AI Strategy: Identify and drive opportunities on when, where and which AI/ML techniques can deliver business value. Research industry best practices, leverage state\-of\-the\-art technologies and tools to design systems and support the necessary outcomes in a forward looking and responsible manner. Take compelling initial prototypes we’ve built and ensure we have a strong foundation to scale and deploy them across our customer base.
* Scale and Unlock New \&amp; Existing Products: Partner with leadership and cross\-functional teams to automate and scale products and workflows with the most technical complexity, such as claim submission, resubmission, and workflow optimization. You will drive Candid’s AI roadmap and directly influence our product roadmap across the board to enable Candid’s customers to optimize their RCM operations at scale.
* Build AI Infrastructure: Architect the infrastructure that will allow us to leverage AI across every facet of our product. Structure and format our data to better support AI development. Establish rigorous processes for model training, testing, and monitoring—ensuring they are scalable, extensible, and meet our high expectations for security standards.
**Who You Are**
* Bachelors or Masters of Science in Computer Science, Computer Engineering, Math or other similar degree.
* 8\+ years of experience building software of significant scale and complexity.
* 5\+ years of AI engineering experience in a professional setting, preferably applying it to real world solutions.
* You’ve built systems that leverage ML technologies (e.g. built or used specific NLP models), and know what tools, frameworks, and libraries to use.
* You understand the pros, cons, and tradeoffs of leveraging various AI solutions across a wide variety of use cases, and can help us make informed decisions around when to use deterministic (ML) vs. non\-deterministic (LLM) approaches to deliver the best ROI, efficiency improvements, \&amp; cost savings.
* you know the right architecture and patterns to build something of enduring value and scale.
* You have a customer\-first and learner’s mindset, and value teaching others.
* You make the right trade\-offs when considering project scope, which corners are worth cutting, and which are not.
* You’re a clear and concise communicator; you enjoy the challenge of explaining complicated ideas in simple terms, both in\-person and in writing.
* Experience with the technologies we currently use is a plus, but by no means required: Google Cloud Platform, BigQuery, PostgreSQL, Metabase, Terraform, Python.
**Pay Transparency**
 The estimated starting annual salary range for this position is $195,000 to $255,000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t>
        </is>
      </c>
    </row>
    <row r="211">
      <c r="A211" t="inlineStr">
        <is>
          <t>li-4354661598</t>
        </is>
      </c>
      <c r="B211" t="inlineStr">
        <is>
          <t>Software Engineer - AI</t>
        </is>
      </c>
      <c r="C211" t="inlineStr">
        <is>
          <t>Unify</t>
        </is>
      </c>
      <c r="D211" t="inlineStr">
        <is>
          <t>linkedin</t>
        </is>
      </c>
      <c r="E211">
        <f>HYPERLINK("https://www.linkedin.com/jobs/view/4354661598", "https://www.linkedin.com/jobs/view/4354661598")</f>
        <v/>
      </c>
      <c r="F211">
        <f>HYPERLINK("https://jobs.ashbyhq.com/unify/704a93f1-74a6-482f-acd7-f0d226d83055/application?utm_source=3Lm7ed8nOK&amp;urlHash=IjpA", "https://jobs.ashbyhq.com/unify/704a93f1-74a6-482f-acd7-f0d226d83055/application?utm_source=3Lm7ed8nOK&amp;urlHash=IjpA")</f>
        <v/>
      </c>
      <c r="G211" t="inlineStr">
        <is>
          <t>New York, NY</t>
        </is>
      </c>
      <c r="H211" t="inlineStr"/>
      <c r="I211" t="inlineStr">
        <is>
          <t>**About Unify:**
 Unify was founded January 17th, 2023 by Austin Hughes and Connor Heggie. Prior to Unify, Austin led
 **Ramp’s** 
 growth product team focused on new customer acquisition, and Connor was a machine learning research engineer at
 **Scale AI** 
 . The rest of our team comes from companies like
 **Airbnb** 
 ,
 **Spotify** 
 ,
 **Waymo,** 
 and
 **LinkedIn** 
 .
 Our mission is to build the first system\-of\-action for go\-to\-market teams, starting with an end to end platform powering warm outbound. Today, outbound sales is dominated by cold, mass outreach that floods people's inboxes and converts to deals at a tiny rate. We’re building a platform to power warm outbound, allowing go\-to\-market teams to get in touch with the right people at the exact time they’re looking for a solution.
 We've grown revenue 8x year\-over\-year, and are already serving customers like Guru, Justworks, Together.AI, Flock Safety, Hightouch and more. We’re a high energy, high intensity team and we’ve raised $58M from Thrive, Emergence, OpenAI and others. Come join us in changing how go\-to\-market works.
**About the role:** 
 At Unify, we leverage AI throughout our platform to enable innovative workflows and to power the next generation of GTM. As an AI Engineer, you will bring new AI products from zero to one and build the AI platform at Unify. You will work on agents, retrieval systems, classification, fine\-tuning, reinforcement learning, and LLM inference infrastructure. If you are interested in working on production AI systems and want to build cutting edge AI applications used by the best GTM teams, this role is for you.
**What You'll Do:**
* Ship novel AI projects and features end to end
* Build and scale AI infrastructure to support production inference
* Develop and improve engineering processes, tools, and systems to scale AI solutions across Unify
* Create novel AI capabilities and push the frontiers of Agents
* Collaborate with frontier labs like OpenAI to test and iterate on features and models before public release
**What You Need:**
* You have 3\+ years of software engineering experience and at least 1 year working in AI
* A track record of delivering full\-stack AI projects, particularly those involving production use cases of LLMs and Agents
* You think empirically; running experiments and measuring outcomes drives how you develop AI products
* Experience building backend systems and infrastructure that can support AI\-driven products
* You are customer\-obsessed, creative and hungry. You have the ability to take high\-level business/product ideas to deployed engineering solutions.
**About this role:**
 This a salaried position with a target range of $180,000 \- $250,000 (depending on experience), equity package and comprehensive benefits (including medical, dental, vision, and 401(k) options). This position is onsite in either San Francisco, CA, or New York City, NY, offering the invaluable opportunity to work closely with a talented team in a dynamic, high\-energy environment. Being in\-person enables real\-time collaboration, fosters creative problem\-solving, and strengthens the connections that drive innovation and impact. You'll be at the center of our fast\-paced operations, contributing to a culture that values engagement, growth, and teamwork.</t>
        </is>
      </c>
    </row>
    <row r="212">
      <c r="A212" t="inlineStr">
        <is>
          <t>li-4354556481</t>
        </is>
      </c>
      <c r="B212" t="inlineStr">
        <is>
          <t>AI/ML Software Engineer (Senior)</t>
        </is>
      </c>
      <c r="C212" t="inlineStr">
        <is>
          <t>Candid Health</t>
        </is>
      </c>
      <c r="D212" t="inlineStr">
        <is>
          <t>linkedin</t>
        </is>
      </c>
      <c r="E212">
        <f>HYPERLINK("https://www.linkedin.com/jobs/view/4354556481", "https://www.linkedin.com/jobs/view/4354556481")</f>
        <v/>
      </c>
      <c r="F212">
        <f>HYPERLINK("https://www.joincandidhealth.com/careers?ashby_jid=a406ec65-85ac-4403-9943-1a9ce68d209f&amp;utm_source=mvzxgrd3O0&amp;urlHash=uUmK", "https://www.joincandidhealth.com/careers?ashby_jid=a406ec65-85ac-4403-9943-1a9ce68d209f&amp;utm_source=mvzxgrd3O0&amp;urlHash=uUmK")</f>
        <v/>
      </c>
      <c r="G212" t="inlineStr">
        <is>
          <t>New York, NY</t>
        </is>
      </c>
      <c r="H212" t="inlineStr"/>
      <c r="I212"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Role**
 As an AI Engineer at Candid health, you’ll be empowered to bring Artificial Intelligence \&amp; Machine Learning to the forefront of healthcare automation. This is an opportunity to get in at the ground floor of designing and building something exciting and new \- generating immense value to both medical providers and their patients. You will be responsible for translating compelling initial prototypes into a foundational set of differentiated, high impact ML/AI use cases throughout our platform and across our customer base.
 We’re looking for a tastemaker and strong hands\-on builder who can effectively navigate the complexities of our problem space – medical billing– and leverage their technical expertise to deliver strategic AI\- \&amp; ML\-based solutions leading to impactful business outcomes.
**What You’ll Do**
* Expansively Own Outcomes \&amp; Apply AI to Real Problems: Candid’s mission is to use technology to rebuild the backbone of American healthcare. The innovations we make have the potential to change both medical providers and patient experience in a meaningful way. You are responsible for Candid delivering on outcomes for both internal teams and external customers through, but not limited to, building AI features into Candid’s platform.
* Innovate and Drive our Technical AI Strategy: Identify and drive opportunities on when, where and which AI/ML techniques can deliver business value. Research industry best practices, leverage state\-of\-the\-art technologies and tools to design systems and support the necessary outcomes in a forward looking and responsible manner. Take compelling initial prototypes we’ve built and ensure we have a strong foundation to scale and deploy them across our customer base.
* Scale and Unlock New \&amp; Existing Products: Partner with leadership and cross\-functional teams to automate and scale products and workflows with the most technical complexity, such as claim submission, resubmission, and workflow optimization. You will drive Candid’s AI roadmap and directly influence our product roadmap across the board to enable Candid’s customers to optimize their RCM operations at scale.
* Build AI Infrastructure: Architect the infrastructure that will allow us to leverage AI across every facet of our product. Structure and format our data to better support AI development. Establish rigorous processes for model training, testing, and monitoring—ensuring they are scalable, extensible, and meet our high expectations for security standards.
**Who You Are**
* Bachelors or Masters of Science in Computer Science, Computer Engineering, Math or other similar degree.
* 8\+ years of experience building software of significant scale and complexity.
* 5\+ years of AI engineering experience in a professional setting, preferably applying it to real world solutions.
* You’ve built systems that leverage ML technologies (e.g. built or used specific NLP models), and know what tools, frameworks, and libraries to use.
* You understand the pros, cons, and tradeoffs of leveraging various AI solutions across a wide variety of use cases, and can help us make informed decisions around when to use deterministic (ML) vs. non\-deterministic (LLM) approaches to deliver the best ROI, efficiency improvements, \&amp; cost savings.
* you know the right architecture and patterns to build something of enduring value and scale.
* You have a customer\-first and learner’s mindset, and value teaching others.
* You make the right trade\-offs when considering project scope, which corners are worth cutting, and which are not.
* You’re a clear and concise communicator; you enjoy the challenge of explaining complicated ideas in simple terms, both in\-person and in writing.
* Experience with the technologies we currently use is a plus, but by no means required: Google Cloud Platform, BigQuery, PostgreSQL, Metabase, Terraform, Python.
**Pay Transparency**
 The estimated starting annual salary range for this position is $195,000 to $255,000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t>
        </is>
      </c>
    </row>
    <row r="213">
      <c r="A213" t="inlineStr">
        <is>
          <t>li-4354339471</t>
        </is>
      </c>
      <c r="B213" t="inlineStr">
        <is>
          <t>AI/ML Software Engineer (Senior)</t>
        </is>
      </c>
      <c r="C213" t="inlineStr">
        <is>
          <t>Candid Health</t>
        </is>
      </c>
      <c r="D213" t="inlineStr">
        <is>
          <t>linkedin</t>
        </is>
      </c>
      <c r="E213">
        <f>HYPERLINK("https://www.linkedin.com/jobs/view/4354339471", "https://www.linkedin.com/jobs/view/4354339471")</f>
        <v/>
      </c>
      <c r="F213" t="inlineStr"/>
      <c r="G213" t="inlineStr">
        <is>
          <t>Denver, CO</t>
        </is>
      </c>
      <c r="H213" t="inlineStr"/>
      <c r="I213"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Role**
 As an AI Engineer at Candid health, you’ll be empowered to bring Artificial Intelligence \&amp; Machine Learning to the forefront of healthcare automation. This is an opportunity to get in at the ground floor of designing and building something exciting and new \- generating immense value to both medical providers and their patients. You will be responsible for translating compelling initial prototypes into a foundational set of differentiated, high impact ML/AI use cases throughout our platform and across our customer base.
 We’re looking for a tastemaker and strong hands\-on builder who can effectively navigate the complexities of our problem space – medical billing– and leverage their technical expertise to deliver strategic AI\- \&amp; ML\-based solutions leading to impactful business outcomes.
**What You’ll Do**
* Expansively Own Outcomes \&amp; Apply AI to Real Problems: Candid’s mission is to use technology to rebuild the backbone of American healthcare. The innovations we make have the potential to change both medical providers and patient experience in a meaningful way. You are responsible for Candid delivering on outcomes for both internal teams and external customers through, but not limited to, building AI features into Candid’s platform.
* Innovate and Drive our Technical AI Strategy: Identify and drive opportunities on when, where and which AI/ML techniques can deliver business value. Research industry best practices, leverage state\-of\-the\-art technologies and tools to design systems and support the necessary outcomes in a forward looking and responsible manner. Take compelling initial prototypes we’ve built and ensure we have a strong foundation to scale and deploy them across our customer base.
* Scale and Unlock New \&amp; Existing Products: Partner with leadership and cross\-functional teams to automate and scale products and workflows with the most technical complexity, such as claim submission, resubmission, and workflow optimization. You will drive Candid’s AI roadmap and directly influence our product roadmap across the board to enable Candid’s customers to optimize their RCM operations at scale.
* Build AI Infrastructure: Architect the infrastructure that will allow us to leverage AI across every facet of our product. Structure and format our data to better support AI development. Establish rigorous processes for model training, testing, and monitoring—ensuring they are scalable, extensible, and meet our high expectations for security standards.
**Who You Are**
* Bachelors or Masters of Science in Computer Science, Computer Engineering, Math or other similar degree.
* 8\+ years of experience building software of significant scale and complexity.
* 5\+ years of AI engineering experience in a professional setting, preferably applying it to real world solutions.
* You’ve built systems that leverage ML technologies (e.g. built or used specific NLP models), and know what tools, frameworks, and libraries to use.
* You understand the pros, cons, and tradeoffs of leveraging various AI solutions across a wide variety of use cases, and can help us make informed decisions around when to use deterministic (ML) vs. non\-deterministic (LLM) approaches to deliver the best ROI, efficiency improvements, \&amp; cost savings.
* you know the right architecture and patterns to build something of enduring value and scale.
* You have a customer\-first and learner’s mindset, and value teaching others.
* You make the right trade\-offs when considering project scope, which corners are worth cutting, and which are not.
* You’re a clear and concise communicator; you enjoy the challenge of explaining complicated ideas in simple terms, both in\-person and in writing.
* Experience with the technologies we currently use is a plus, but by no means required: Google Cloud Platform, BigQuery, PostgreSQL, Metabase, Terraform, Python.
**Pay Transparency**
 The estimated starting annual salary range for this position is $195,000 to $255,000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t>
        </is>
      </c>
    </row>
    <row r="214">
      <c r="A214" t="inlineStr">
        <is>
          <t>li-4354586564</t>
        </is>
      </c>
      <c r="B214" t="inlineStr">
        <is>
          <t>Software Engineer - Backend</t>
        </is>
      </c>
      <c r="C214" t="inlineStr">
        <is>
          <t>FurtherAI</t>
        </is>
      </c>
      <c r="D214" t="inlineStr">
        <is>
          <t>linkedin</t>
        </is>
      </c>
      <c r="E214">
        <f>HYPERLINK("https://www.linkedin.com/jobs/view/4354586564", "https://www.linkedin.com/jobs/view/4354586564")</f>
        <v/>
      </c>
      <c r="F214">
        <f>HYPERLINK("https://jobs.ashbyhq.com/furtherai/60fc3be7-04cd-4c12-8eef-340d739ff461/application?utm_source=OewnN6E9dj&amp;urlHash=ANZw", "https://jobs.ashbyhq.com/furtherai/60fc3be7-04cd-4c12-8eef-340d739ff461/application?utm_source=OewnN6E9dj&amp;urlHash=ANZw")</f>
        <v/>
      </c>
      <c r="G214" t="inlineStr">
        <is>
          <t>San Francisco, CA</t>
        </is>
      </c>
      <c r="H214" t="inlineStr"/>
      <c r="I214" t="inlineStr">
        <is>
          <t>**Role Details**
 Location: San Francisco, CA. This role is based out of our San Francisco HQ and is not eligible for full\-time remote work.
 Compensation: The annual salary range for this position is $150,000 \- $250,000 based on level in addition to equity \&amp; benefits
**About Us**
 At FurtherAI, we’re building the next generation of AI agents for the insurance industry \- a trillion\-dollar market ready for transformation.
 We’ve raised more than
 **$30M from top investors (Andreesen Horowitz, YC, Nexus, South Park Commons, Converge)** 
 and have grown 10x in revenue this year alone. Our customers include some of the largest names in insurance (we recently closed a top 5 insurance company in the world), and our team combines deep AI expertise with proven company\-building experience.
 Now, we’re looking for an exceptional
 **Software Engineer** 
 to join our early team and help shape both our product and culture.
**Why Join Us**
* Rocketship Growth: Post\-PMF, with revenue growing at an exceptional pace.
* Elite Team: Founding team includes ex\-Apple AI Research, 4 ex\-YC founders, and 6 ex\-founders. Engineers have prior experience at Apple, Microsoft, Google, and Amazon.
* Technical Depth: Work alongside a staff research scientist and a team of 7 engineers solving cutting\-edge problems in AI and scalable backend systems.
* Massive Market Impact: Insurance is the backbone of global commerce \- our work reshapes how this industry operates.
* Founder’s Mindset: Perfect fit if you want to own big pieces of the product and possibly start your own company in the future.
**What You’ll Do**
* Build and scale the core product, ensuring performance, reliability, and continuous improvement.
* Own significant portions of the backend stack in Python.
* Collaborate directly with founders to set the technical direction.
* Operate with extreme ownership in a fast\-paced, high\-output environment.
* Work in\-person from our San Francisco office (5 day week)
**What We’re Looking For**
* 2\+ years building products.
* Strong experience with backend systems (Python preferred).
* Clear communicator \- both in person and in writing.
* Bonus: background in B2B SaaS and 0 \- 1 experience
* Above all: drive, grit, and ownership. If you excel here, other requirements are secondary
 At FurtherAI, we set a high bar. We’re not looking for someone who just wants a job—we’re looking for someone who wants to
 **build something transformative** 
 . If you thrive in environments where the pace is fast, expectations are high, and the rewards are outsized, you’ll love it here.
 Compensation Range: $150K \- $250K</t>
        </is>
      </c>
    </row>
    <row r="215">
      <c r="A215" t="inlineStr">
        <is>
          <t>li-4354567681</t>
        </is>
      </c>
      <c r="B215" t="inlineStr">
        <is>
          <t>Graduate 2026 Software Engineer I, US</t>
        </is>
      </c>
      <c r="C215" t="inlineStr">
        <is>
          <t>Uber</t>
        </is>
      </c>
      <c r="D215" t="inlineStr">
        <is>
          <t>linkedin</t>
        </is>
      </c>
      <c r="E215">
        <f>HYPERLINK("https://www.linkedin.com/jobs/view/4354567681", "https://www.linkedin.com/jobs/view/4354567681")</f>
        <v/>
      </c>
      <c r="F215">
        <f>HYPERLINK("https://tnl2.jometer.com/v2/job?jz=5wqzsb3a1b411e8a7992c44cdb9ca51dca2d7MAAGUCAAAABQ&amp;iis=Job%20Board%20-%20Recruitment%20Marketing&amp;iisn=LinkedIn&amp;urlHash=Nvcx", "https://tnl2.jometer.com/v2/job?jz=5wqzsb3a1b411e8a7992c44cdb9ca51dca2d7MAAGUCAAAABQ&amp;iis=Job%20Board%20-%20Recruitment%20Marketing&amp;iisn=LinkedIn&amp;urlHash=Nvcx")</f>
        <v/>
      </c>
      <c r="G215" t="inlineStr">
        <is>
          <t>New York, NY</t>
        </is>
      </c>
      <c r="H215" t="inlineStr"/>
      <c r="I215" t="inlineStr">
        <is>
          <t>**About the role and team** 
 Engineering at Uber means building for real\-world impact under real\-world constraints. You'll join a team that builds the platforms and services powering safe, affordable, and reliable movement in over 10,000 cities worldwide. The problems are complex, the systems are massive, and the pace is fast, requiring you to make smart decisions with guidance from seasoned peers. If you think in systems and care about building things that actually work for millions of people, this is where you'll grow.
 We're not looking for someone who just follows a manual; we need builders who thrive in ambiguity and own their growth. You'll be part of a high\-performance culture marked by perseverance, where your code directly impacts earners, riders, and merchants every day. This is a unique environment where the digital and physical worlds intersect, and every line of code helps move the world forward. You will face shifting priorities and legacy trade\-offs, but that is exactly what makes the work meaningful and your impact tangible.
**What You'll Do**
* Build, maintain, and optimize backend services and infrastructure that support Uber's global user\-facing products and internal platforms.
* Design and implement high\-quality, testable, and maintainable code using programming languages like Java, Go, Python, or C\+\+ to solve well\-defined technical tasks.
* Collaborate across disciplines\-including product, design, and data science\-to ship thoughtful and practical solutions at Uber's hyper\-scale.
* Participate in on\-call rotations and apply best practices to troubleshoot, diagnose, and resolve production incidents with team guidance.
* Own your work end\-to\-end, from drafting technical documentation and design docs to monitoring product quality and fixing inefficiencies in the production environment.
**Basic qualifications**
* Bachelor's or Master's degree in Computer Science, Engineering, or a related technical field in 2025 or 2026\.
* Proficient experience with data structures, algorithms, and one or more programming languages such as Java, Go, C/C\+\+, or Python.
**Preferred qualifications**
* Desire to work with a team that delivers high\-impact results every day while navigating large\-scale distributed systems.
* Grit, drive, and a strong sense of ownership coupled with an appetite for collaboration and constant learning.
* Proficiency in writing understandable, maintainable software and a curiosity to explore different solutions for complex problems.
* Experience or interest in building distributed systems at hyper\-scale and making practical trade\-offs based on business needs.
**Ready to ride?** 
 Uber's mission is to reimagine the way the world moves for the better. Here, bold ideas create real\-world impact, challenges drive growth, and speed fuels progress. This isn't the kind of place where you follow a playbook \- it's where you help write one. If you're driven by impact, energized by challenge, and ready to shape how the world moves, this is the place for you. What moves us, moves the world \- let's move it forward, together. You may be eligible for bonuses, equity, and other compensation, as well as a range of benefits. Learn more at https://www.uber.com/careers/benefits . Offices remain key to collaboration and Uber's culture. Unless approved for full remote work, employees must spend at least Tuesday, Wednesday, Thursday in\-office. Some roles, like those at greenlight hubs, require full\-time in\-office presence. Ask your Recruiter for details about this role's requirements. Accommodations may be available based on religious and/or medical conditions, or as required by applicable law. To request an accommodation, please reach out to accommodations@uber.com.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16">
      <c r="A216" t="inlineStr">
        <is>
          <t>li-4358100780</t>
        </is>
      </c>
      <c r="B216" t="inlineStr">
        <is>
          <t>Graduate 2026 Software Engineer I, US</t>
        </is>
      </c>
      <c r="C216" t="inlineStr">
        <is>
          <t>Uber</t>
        </is>
      </c>
      <c r="D216" t="inlineStr">
        <is>
          <t>linkedin</t>
        </is>
      </c>
      <c r="E216">
        <f>HYPERLINK("https://www.linkedin.com/jobs/view/4358100780", "https://www.linkedin.com/jobs/view/4358100780")</f>
        <v/>
      </c>
      <c r="F216" t="inlineStr"/>
      <c r="G216" t="inlineStr">
        <is>
          <t>Sunnyvale, CA</t>
        </is>
      </c>
      <c r="H216" t="inlineStr"/>
      <c r="I216" t="inlineStr">
        <is>
          <t>**About the role and team** 
 Engineering at Uber means building for real\-world impact under real\-world constraints. You'll join a team that builds the platforms and services powering safe, affordable, and reliable movement in over 10,000 cities worldwide. The problems are complex, the systems are massive, and the pace is fast, requiring you to make smart decisions with guidance from seasoned peers. If you think in systems and care about building things that actually work for millions of people, this is where you'll grow.
 We're not looking for someone who just follows a manual; we need builders who thrive in ambiguity and own their growth. You'll be part of a high\-performance culture marked by perseverance, where your code directly impacts earners, riders, and merchants every day. This is a unique environment where the digital and physical worlds intersect, and every line of code helps move the world forward. You will face shifting priorities and legacy trade\-offs, but that is exactly what makes the work meaningful and your impact tangible.
**What You'll Do**
* Build, maintain, and optimize backend services and infrastructure that support Uber's global user\-facing products and internal platforms.
* Design and implement high\-quality, testable, and maintainable code using programming languages like Java, Go, Python, or C\+\+ to solve well\-defined technical tasks.
* Collaborate across disciplines\-including product, design, and data science\-to ship thoughtful and practical solutions at Uber's hyper\-scale.
* Participate in on\-call rotations and apply best practices to troubleshoot, diagnose, and resolve production incidents with team guidance.
* Own your work end\-to\-end, from drafting technical documentation and design docs to monitoring product quality and fixing inefficiencies in the production environment.
**Basic qualifications**
* Bachelor's or Master's degree in Computer Science, Engineering, or a related technical field in 2025 or 2026\.
* Proficient experience with data structures, algorithms, and one or more programming languages such as Java, Go, C/C\+\+, or Python.
**Preferred qualifications**
* Desire to work with a team that delivers high\-impact results every day while navigating large\-scale distributed systems.
* Grit, drive, and a strong sense of ownership coupled with an appetite for collaboration and constant learning.
* Proficiency in writing understandable, maintainable software and a curiosity to explore different solutions for complex problems.
* Experience or interest in building distributed systems at hyper\-scale and making practical trade\-offs based on business needs.
**Ready to ride?** 
 Uber's mission is to reimagine the way the world moves for the better. Here, bold ideas create real\-world impact, challenges drive growth, and speed fuels progress. This isn't the kind of place where you follow a playbook \- it's where you help write one. If you're driven by impact, energized by challenge, and ready to shape how the world moves, this is the place for you. What moves us, moves the world \- let's move it forward, together. You may be eligible for bonuses, equity, and other compensation, as well as a range of benefits. Learn more at https://www.uber.com/careers/benefits . Offices remain key to collaboration and Uber's culture. Unless approved for full remote work, employees must spend at least Tuesday, Wednesday, Thursday in\-office. Some roles, like those at greenlight hubs, require full\-time in\-office presence. Ask your Recruiter for details about this role's requirements. Accommodations may be available based on religious and/or medical conditions, or as required by applicable law. To request an accommodation, please reach out to accommodations@uber.com.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17">
      <c r="A217" t="inlineStr">
        <is>
          <t>li-4354681409</t>
        </is>
      </c>
      <c r="B217" t="inlineStr">
        <is>
          <t>Graduate 2026 Software Engineer I, US</t>
        </is>
      </c>
      <c r="C217" t="inlineStr">
        <is>
          <t>Uber</t>
        </is>
      </c>
      <c r="D217" t="inlineStr">
        <is>
          <t>linkedin</t>
        </is>
      </c>
      <c r="E217">
        <f>HYPERLINK("https://www.linkedin.com/jobs/view/4354681409", "https://www.linkedin.com/jobs/view/4354681409")</f>
        <v/>
      </c>
      <c r="F217" t="inlineStr"/>
      <c r="G217" t="inlineStr">
        <is>
          <t>Seattle, WA</t>
        </is>
      </c>
      <c r="H217" t="inlineStr"/>
      <c r="I217" t="inlineStr">
        <is>
          <t>**About the role and team** 
 Engineering at Uber means building for real\-world impact under real\-world constraints. You'll join a team that builds the platforms and services powering safe, affordable, and reliable movement in over 10,000 cities worldwide. The problems are complex, the systems are massive, and the pace is fast, requiring you to make smart decisions with guidance from seasoned peers. If you think in systems and care about building things that actually work for millions of people, this is where you'll grow.
 We're not looking for someone who just follows a manual; we need builders who thrive in ambiguity and own their growth. You'll be part of a high\-performance culture marked by perseverance, where your code directly impacts earners, riders, and merchants every day. This is a unique environment where the digital and physical worlds intersect, and every line of code helps move the world forward. You will face shifting priorities and legacy trade\-offs, but that is exactly what makes the work meaningful and your impact tangible.
**What You'll Do**
* Build, maintain, and optimize backend services and infrastructure that support Uber's global user\-facing products and internal platforms.
* Design and implement high\-quality, testable, and maintainable code using programming languages like Java, Go, Python, or C\+\+ to solve well\-defined technical tasks.
* Collaborate across disciplines\-including product, design, and data science\-to ship thoughtful and practical solutions at Uber's hyper\-scale.
* Participate in on\-call rotations and apply best practices to troubleshoot, diagnose, and resolve production incidents with team guidance.
* Own your work end\-to\-end, from drafting technical documentation and design docs to monitoring product quality and fixing inefficiencies in the production environment.
**Basic qualifications**
* Bachelor's or Master's degree in Computer Science, Engineering, or a related technical field in 2025 or 2026\.
* Proficient experience with data structures, algorithms, and one or more programming languages such as Java, Go, C/C\+\+, or Python.
**Preferred qualifications**
* Desire to work with a team that delivers high\-impact results every day while navigating large\-scale distributed systems.
* Grit, drive, and a strong sense of ownership coupled with an appetite for collaboration and constant learning.
* Proficiency in writing understandable, maintainable software and a curiosity to explore different solutions for complex problems.
* Experience or interest in building distributed systems at hyper\-scale and making practical trade\-offs based on business needs.
**Ready to ride?** 
 Uber's mission is to reimagine the way the world moves for the better. Here, bold ideas create real\-world impact, challenges drive growth, and speed fuels progress. This isn't the kind of place where you follow a playbook \- it's where you help write one. If you're driven by impact, energized by challenge, and ready to shape how the world moves, this is the place for you. What moves us, moves the world \- let's move it forward, together. You may be eligible for bonuses, equity, and other compensation, as well as a range of benefits. Learn more at https://www.uber.com/careers/benefits . Offices remain key to collaboration and Uber's culture. Unless approved for full remote work, employees must spend at least Tuesday, Wednesday, Thursday in\-office. Some roles, like those at greenlight hubs, require full\-time in\-office presence. Ask your Recruiter for details about this role's requirements. Accommodations may be available based on religious and/or medical conditions, or as required by applicable law. To request an accommodation, please reach out to accommodations@uber.com.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18">
      <c r="A218" t="inlineStr">
        <is>
          <t>li-4354389410</t>
        </is>
      </c>
      <c r="B218" t="inlineStr">
        <is>
          <t>Graduate 2026 Software Engineer I, US</t>
        </is>
      </c>
      <c r="C218" t="inlineStr">
        <is>
          <t>Uber</t>
        </is>
      </c>
      <c r="D218" t="inlineStr">
        <is>
          <t>linkedin</t>
        </is>
      </c>
      <c r="E218">
        <f>HYPERLINK("https://www.linkedin.com/jobs/view/4354389410", "https://www.linkedin.com/jobs/view/4354389410")</f>
        <v/>
      </c>
      <c r="F218">
        <f>HYPERLINK("https://tnl2.jometer.com/v2/job?jz=5wqzs17db99f37381133c291e483d5278449bMAAGUCAAAABQ&amp;iis=Job%20Board%20-%20Recruitment%20Marketing&amp;iisn=LinkedIn&amp;urlHash=HGX7", "https://tnl2.jometer.com/v2/job?jz=5wqzs17db99f37381133c291e483d5278449bMAAGUCAAAABQ&amp;iis=Job%20Board%20-%20Recruitment%20Marketing&amp;iisn=LinkedIn&amp;urlHash=HGX7")</f>
        <v/>
      </c>
      <c r="G218" t="inlineStr">
        <is>
          <t>San Francisco, CA</t>
        </is>
      </c>
      <c r="H218" t="inlineStr"/>
      <c r="I218" t="inlineStr">
        <is>
          <t>**About the role and team** 
 Engineering at Uber means building for real\-world impact under real\-world constraints. You'll join a team that builds the platforms and services powering safe, affordable, and reliable movement in over 10,000 cities worldwide. The problems are complex, the systems are massive, and the pace is fast, requiring you to make smart decisions with guidance from seasoned peers. If you think in systems and care about building things that actually work for millions of people, this is where you'll grow.
 We're not looking for someone who just follows a manual; we need builders who thrive in ambiguity and own their growth. You'll be part of a high\-performance culture marked by perseverance, where your code directly impacts earners, riders, and merchants every day. This is a unique environment where the digital and physical worlds intersect, and every line of code helps move the world forward. You will face shifting priorities and legacy trade\-offs, but that is exactly what makes the work meaningful and your impact tangible.
**What You'll Do**
* Build, maintain, and optimize backend services and infrastructure that support Uber's global user\-facing products and internal platforms.
* Design and implement high\-quality, testable, and maintainable code using programming languages like Java, Go, Python, or C\+\+ to solve well\-defined technical tasks.
* Collaborate across disciplines\-including product, design, and data science\-to ship thoughtful and practical solutions at Uber's hyper\-scale.
* Participate in on\-call rotations and apply best practices to troubleshoot, diagnose, and resolve production incidents with team guidance.
* Own your work end\-to\-end, from drafting technical documentation and design docs to monitoring product quality and fixing inefficiencies in the production environment.
**Basic qualifications**
* Bachelor's or Master's degree in Computer Science, Engineering, or a related technical field in 2025 or 2026\.
* Proficient experience with data structures, algorithms, and one or more programming languages such as Java, Go, C/C\+\+, or Python.
**Preferred qualifications**
* Desire to work with a team that delivers high\-impact results every day while navigating large\-scale distributed systems.
* Grit, drive, and a strong sense of ownership coupled with an appetite for collaboration and constant learning.
* Proficiency in writing understandable, maintainable software and a curiosity to explore different solutions for complex problems.
* Experience or interest in building distributed systems at hyper\-scale and making practical trade\-offs based on business needs.
**Ready to ride?** 
 Uber's mission is to reimagine the way the world moves for the better. Here, bold ideas create real\-world impact, challenges drive growth, and speed fuels progress. This isn't the kind of place where you follow a playbook \- it's where you help write one. If you're driven by impact, energized by challenge, and ready to shape how the world moves, this is the place for you. What moves us, moves the world \- let's move it forward, together. You may be eligible for bonuses, equity, and other compensation, as well as a range of benefits. Learn more at https://www.uber.com/careers/benefits . Offices remain key to collaboration and Uber's culture. Unless approved for full remote work, employees must spend at least Tuesday, Wednesday, Thursday in\-office. Some roles, like those at greenlight hubs, require full\-time in\-office presence. Ask your Recruiter for details about this role's requirements. Accommodations may be available based on religious and/or medical conditions, or as required by applicable law. To request an accommodation, please reach out to accommodations@uber.com.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19">
      <c r="A219" t="inlineStr">
        <is>
          <t>li-4354398426</t>
        </is>
      </c>
      <c r="B219" t="inlineStr">
        <is>
          <t>Senior Software Engineer - Backend | Product</t>
        </is>
      </c>
      <c r="C219" t="inlineStr">
        <is>
          <t>Unify</t>
        </is>
      </c>
      <c r="D219" t="inlineStr">
        <is>
          <t>linkedin</t>
        </is>
      </c>
      <c r="E219">
        <f>HYPERLINK("https://www.linkedin.com/jobs/view/4354398426", "https://www.linkedin.com/jobs/view/4354398426")</f>
        <v/>
      </c>
      <c r="F219">
        <f>HYPERLINK("https://jobs.ashbyhq.com/unify/72d32cd6-9be8-4b7a-b214-ba8b4d6126fa/application?utm_source=3Lm7ed8nOK&amp;urlHash=5LkF", "https://jobs.ashbyhq.com/unify/72d32cd6-9be8-4b7a-b214-ba8b4d6126fa/application?utm_source=3Lm7ed8nOK&amp;urlHash=5LkF")</f>
        <v/>
      </c>
      <c r="G219" t="inlineStr">
        <is>
          <t>New York, NY</t>
        </is>
      </c>
      <c r="H219" t="inlineStr"/>
      <c r="I219" t="inlineStr">
        <is>
          <t>**About Unify:**
 Unify was founded January 17th, 2023 by Austin Hughes and Connor Heggie. Prior to Unify, Austin led
 **Ramp’s** 
 growth product team focused on new customer acquisition, and Connor was a machine learning research engineer at
 **Scale AI** 
 . The rest of our team comes from companies like
 **Airbnb** 
 ,
 **Spotify** 
 ,
 **Waymo,** 
 and
 **LinkedIn** 
 .
 Our mission is to build the first system\-of\-action for go\-to\-market teams, starting with an end to end platform powering warm outbound. Today, outbound sales is dominated by cold, mass outreach that floods people's inboxes and converts to deals at a tiny rate. We’re building a platform to power warm outbound, allowing go\-to\-market teams to get in touch with the right people at the exact time they’re looking for a solution.
 We've grown revenue 8x year\-over\-year, and are already serving customers like Guru, Justworks, Together.AI, Flock Safety, Hightouch and more. We’re a high energy, high intensity team and we’ve raised $58M from Thrive, Emergence, OpenAI and others. Come join us in changing how go\-to\-market works.
**About the role:**
 You will bring new products from zero to one working closely with our founders. You will own large engineering scope which will both bring immense value to our customers, and also lay the technical foundation for Unify. We are revolutionizing GTM using all the latest AI technology that has recently come online \- so you will be working at the cutting edge.
**What you will do:**
* Shape both our product roadmap and engineering foundation working with a highly collaborative product, design and engineering team
* Build new products using the latest and greatest tech such as such as TypeScript, Prisma, Temporal, PostgreSQL, Kubernetes, Pulsar, ClickHouse, LLMs, and more
* Experiment, assess and integrate with various tech platforms and vendors that help us deliver value faster
* Lay the foundation for our engineering standard so that we can successfully scale our team and business
**Who you are:**
* You have 4\+ years of software engineering experience and have a track record of shipping high\-quality products and features at scale
* You are customer\-obsessed, creative and hungry. You have the ability to take high\-level business/product ideas to deployed engineering solutions.
* While you are independent you are also kind and highly collaborative. You always go the extra mile to help your team members.
* You have experience standing up and managing infrastructure. You are comfortable and excited to mentor multiple engineers.
**About this role:**
 This a salaried position with a target range of $180,000 \- $225,000 (depending on experience), equity package and comprehensive benefits (including medical, dental, vision, and 401(k) options). This position is onsite in either San Francisco, CA, or New York City, NY, offering the invaluable opportunity to work closely with a talented team in a dynamic, high\-energy environment. Being in\-person enables real\-time collaboration, fosters creative problem\-solving, and strengthens the connections that drive innovation and impact. You'll be at the center of our fast\-paced operations, contributing to a culture that values engagement, growth, and teamwork.</t>
        </is>
      </c>
    </row>
    <row r="220">
      <c r="A220" t="inlineStr">
        <is>
          <t>li-4354396890</t>
        </is>
      </c>
      <c r="B220" t="inlineStr">
        <is>
          <t>Full Stack Engineer</t>
        </is>
      </c>
      <c r="C220" t="inlineStr">
        <is>
          <t>Earnix</t>
        </is>
      </c>
      <c r="D220" t="inlineStr">
        <is>
          <t>linkedin</t>
        </is>
      </c>
      <c r="E220">
        <f>HYPERLINK("https://www.linkedin.com/jobs/view/4354396890", "https://www.linkedin.com/jobs/view/4354396890")</f>
        <v/>
      </c>
      <c r="F220" t="inlineStr"/>
      <c r="G220" t="inlineStr">
        <is>
          <t>Boston, MA</t>
        </is>
      </c>
      <c r="H220" t="inlineStr"/>
      <c r="I220" t="inlineStr">
        <is>
          <t>As a Full\-stack Developer, you will contribute across backend and frontend layers, designing and implementing product features while enhancing existing modules. Your technical knowledge will be essential in building scalable solutions and ensuring a seamless user experience.
**What You'll Do**
* Work closely with cross\-functional teams to understand requirements and translate them into balanced backend (Java) and frontend (React.js) components.
* Participate in system and feature design discussions, contributing to architecture and robustness improvements.
* Design, develop, and maintain high\-quality features end\-to\-end.
* Troubleshoot and debug both server\-side and client\-side code to ensure optimal performance and usability.
* Support collaboration with customer\-facing groups to understand needs and incorporate relevant feedback, ensuring alignment with user expectations while not directly owning customer interactions.
 Requirements:
**You’ll do it using:**
* 4–6 years of full\-stack development experience, including hands\-on backend work in Java and frontend development in React.js.
* Experience in developing performant and scalable applications.
* Familiarity with both monolithic and microservices architectures.
* DevOps knowledge (CI/CD, Docker, Kubernetes) – an advantage.
* Experience working with AI\-driven development tools (e.g., AI code generation, automated refactoring/testing assistants) – an advantage.
* Agile mindset with practical experience in Scrum development cycles.
* Ability to work effectively with distributed/remote engineering teams.
**You’ll excel by:**
* Demonstrating clear communication and collaboration skills across backend, frontend, QA, and DevOps teams.
* Bringing a pragmatic, structured approach to technical problem\-solving.
* Balancing innovation with reliability, code quality, and maintainability.
* Maintaining strong development discipline while supporting feedback loops with internal stakeholders.
 Applicants must be authorized to work for ANY employer in the U.S. We are unable to sponsor or take over sponsorship of an employment Visa at this time.
**Salary Range:** 
 $125,000\-$165,000 USD
**Location:** 
 Waltham MA
 Position Intro:
 Earnix is the premier provider of mission\-critical, cloud\-based intelligent decisioning across pricing, rating, underwriting, and product personalization. These fully\-integrated solutions provide ultra\-fast ROI and are designed to transform how global insurers and banks are run by unlocking value across all facets of the business. Earnix has been innovating for insurers and banks since 2001 with customers in over 35 countries across six continents and offices in the Americas, Europe, Asia Pacific, and Israel.</t>
        </is>
      </c>
    </row>
    <row r="221">
      <c r="A221" t="inlineStr">
        <is>
          <t>li-4330560537</t>
        </is>
      </c>
      <c r="B221" t="inlineStr">
        <is>
          <t>Senior Software Engineer</t>
        </is>
      </c>
      <c r="C221" t="inlineStr">
        <is>
          <t>SOCOTEC</t>
        </is>
      </c>
      <c r="D221" t="inlineStr">
        <is>
          <t>linkedin</t>
        </is>
      </c>
      <c r="E221">
        <f>HYPERLINK("https://www.linkedin.com/jobs/view/4330560537", "https://www.linkedin.com/jobs/view/4330560537")</f>
        <v/>
      </c>
      <c r="F221" t="inlineStr"/>
      <c r="G221" t="inlineStr">
        <is>
          <t>New York, NY</t>
        </is>
      </c>
      <c r="H221" t="inlineStr"/>
      <c r="I221" t="inlineStr">
        <is>
          <t>**Description Du Poste** 
**Company Description**
 SOCOTEC is a leader in niche consulting services within the architecture, engineering, and construction industries, with a focus on high\-performance buildings and specialty structures. We take an integrated, holistic approach to solving challenges in building envelopes, energy efficiency, sustainability, code advisory, and construction advisory projects. SOCOTEC’s reputation for excellence continues to drive its growth and recognition as a best\-in\-class service provider.
 We offer a competitive salary and benefits package, mentorship and training opportunities, and regular team\-building activities. SOCOTEC is proud to be officially certified as a Great Place to Work® by the global authority on workplace culture.
**Job Description**
 We are seeking an innovative and collaborative Senior Software Engineer who thrives in a fast\-paced environment and is passionate about developing both traditional software systems and AI\-driven applications. If you are excited about building cutting\-edge solutions that transform the AEC industry, we encourage you to apply.
 As a Senior Software Engineer at SOCOTEC, you will play a key role in designing, developing, and maintaining robust software solutions that power our digital initiatives. In addition to core software engineering responsibilities, this role offers the opportunity to work on applied AI solutions that enhance our enterprise systems, automate complex workflows, and improve client experiences.
 You’ll collaborate with cross\-functional teams—including product managers, UI/UX designers, data scientists, consultants, and engineers—to build scalable applications, deploy AI\-powered features, and drive innovation across our technology stack.
**Key Responsibilities:**
* Software Design \&amp; Development: Architect, design, and implement scalable, reliable, and maintainable software applications, services, and APIs.
* Applied AI Development: Design and deploy AI\-driven solutions that support SOCOTEC’s chatbot programs and automation initiatives.
* Technical Leadership: Provide technical guidance, code reviews, and mentorship to software engineers. Foster engineering best practices and ensure adherence to software quality standards.
* AI Integration \&amp; Deployment: Collaborate with AI/ML engineers and data scientists to integrate AI models into production applications, ensuring scalability, security, and performance.
* Collaborate Across Teams: Work with product managers, designers, and stakeholders to translate business requirements into intelligent software and AI\-powered solutions.
* Performance Optimization: Monitor, analyze, and optimize application and AI model performance, addressing bottlenecks, and ensuring systems are robust and efficient.
* Continuous Improvement: Drive continuous improvements in our software development lifecycle (SDLC), including CI/CD pipelines, automated testing, and deployment workflows.
* Documentation: Maintain clear and comprehensive documentation of software systems, AI workflows, APIs, and architecture decisions.
**Qualifications**
**Programming Expertise:** 
 Proficiency in Python with experience in JavaScript/TypeScript or another modern programming language.
**Backend \&amp; API Development:** 
 Demonstrated experience designing and building scalable backend systems, including RESTful and/or GraphQL APIs and microservices architectures.
**Frontend Development:** 
 Proficiency in modern frontend frameworks such as React or Vue, with experience building responsive, user\-friendly interfaces that integrate with backend and AI services.
**Applied AI/ML:**
* Hands\-on experience developing and deploying large language model (LLM)\-based applications in production environments.
* Deep familiarity with agentic workflows and orchestration frameworks such as LangChain, LangGraph, or similar tools.
* Proficient in AI/ML libraries and ecosystems including Hugging Face Transformers, TensorFlow, PyTorch, and Scikit\-learn.
* Proven ability to integrate AI\-driven functionality into complex software systems at scale.
**Cloud Platforms:** 
 Experience deploying software and ML services on major cloud providers such as AWS, Azure, or GCP.
**Version Control \&amp; Collaboration:** 
 Strong command of Git and GitHub workflows; experience working in agile development environments.
**Database Management:** 
 Skilled in working with relational databases (e.g., PostgreSQL, MySQL) and NoSQL databases (e.g., MongoDB).
**Communication \&amp; Leadership:** 
 Excellent collaboration and communication skills, with experience mentoring junior engineers and coordinating with cross\-functional stakeholders
**Preferred Qualifications:**
 Experience with containerization and orchestration (Docker, Kubernetes).
 Familiarity with CI/CD pipelines and automated testing frameworks.
 Knowledge of model monitoring, A/B testing, and continuous improvement strategies for AI systems.
 Understanding of security best practices for both software and AI/ML applications.
 Experience in the architecture, engineering, and construction (AEC) industry is a plus.
**Additional Information**
 For more information, please visit www.socotec.us
 SOCOTEC is an Equal Opportunity Employer. Your information will be kept confidential according to EEO guidelines. SOCOTEC is an Equal Opportunity Employer.
 Salary range: $90,000\-$180,000 (final compensation is based on experience, technical depth, and scope of ownership).
 SOCOTEC is an Equal Opportunity Employer.</t>
        </is>
      </c>
    </row>
    <row r="222">
      <c r="A222" t="inlineStr">
        <is>
          <t>li-4358100111</t>
        </is>
      </c>
      <c r="B222" t="inlineStr">
        <is>
          <t>Software Engineer - AI</t>
        </is>
      </c>
      <c r="C222" t="inlineStr">
        <is>
          <t>Unify</t>
        </is>
      </c>
      <c r="D222" t="inlineStr">
        <is>
          <t>linkedin</t>
        </is>
      </c>
      <c r="E222">
        <f>HYPERLINK("https://www.linkedin.com/jobs/view/4358100111", "https://www.linkedin.com/jobs/view/4358100111")</f>
        <v/>
      </c>
      <c r="F222" t="inlineStr"/>
      <c r="G222" t="inlineStr">
        <is>
          <t>San Francisco, CA</t>
        </is>
      </c>
      <c r="H222" t="inlineStr"/>
      <c r="I222" t="inlineStr">
        <is>
          <t>**About Unify:**
 Unify was founded January 17th, 2023 by Austin Hughes and Connor Heggie. Prior to Unify, Austin led
 **Ramp’s** 
 growth product team focused on new customer acquisition, and Connor was a machine learning research engineer at
 **Scale AI** 
 . The rest of our team comes from companies like
 **Airbnb** 
 ,
 **Spotify** 
 ,
 **Waymo,** 
 and
 **LinkedIn** 
 .
 Our mission is to build the first system\-of\-action for go\-to\-market teams, starting with an end to end platform powering warm outbound. Today, outbound sales is dominated by cold, mass outreach that floods people's inboxes and converts to deals at a tiny rate. We’re building a platform to power warm outbound, allowing go\-to\-market teams to get in touch with the right people at the exact time they’re looking for a solution.
 We've grown revenue 8x year\-over\-year, and are already serving customers like Guru, Justworks, Together.AI, Flock Safety, Hightouch and more. We’re a high energy, high intensity team and we’ve raised $58M from Thrive, Emergence, OpenAI and others. Come join us in changing how go\-to\-market works.
**About the role:** 
 At Unify, we leverage AI throughout our platform to enable innovative workflows and to power the next generation of GTM. As an AI Engineer, you will bring new AI products from zero to one and build the AI platform at Unify. You will work on agents, retrieval systems, classification, fine\-tuning, reinforcement learning, and LLM inference infrastructure. If you are interested in working on production AI systems and want to build cutting edge AI applications used by the best GTM teams, this role is for you.
**What You'll Do:**
* Ship novel AI projects and features end to end
* Build and scale AI infrastructure to support production inference
* Develop and improve engineering processes, tools, and systems to scale AI solutions across Unify
* Create novel AI capabilities and push the frontiers of Agents
* Collaborate with frontier labs like OpenAI to test and iterate on features and models before public release
**What You Need:**
* You have 3\+ years of software engineering experience and at least 1 year working in AI
* A track record of delivering full\-stack AI projects, particularly those involving production use cases of LLMs and Agents
* You think empirically; running experiments and measuring outcomes drives how you develop AI products
* Experience building backend systems and infrastructure that can support AI\-driven products
* You are customer\-obsessed, creative and hungry. You have the ability to take high\-level business/product ideas to deployed engineering solutions.
**About this role:**
 This a salaried position with a target range of $180,000 \- $250,000 (depending on experience), equity package and comprehensive benefits (including medical, dental, vision, and 401(k) options). This position is onsite in either San Francisco, CA, or New York City, NY, offering the invaluable opportunity to work closely with a talented team in a dynamic, high\-energy environment. Being in\-person enables real\-time collaboration, fosters creative problem\-solving, and strengthens the connections that drive innovation and impact. You'll be at the center of our fast\-paced operations, contributing to a culture that values engagement, growth, and teamwork.</t>
        </is>
      </c>
    </row>
    <row r="223">
      <c r="A223" t="inlineStr">
        <is>
          <t>li-4354613591</t>
        </is>
      </c>
      <c r="B223" t="inlineStr">
        <is>
          <t>Java Software Engineer I</t>
        </is>
      </c>
      <c r="C223" t="inlineStr">
        <is>
          <t>Esri</t>
        </is>
      </c>
      <c r="D223" t="inlineStr">
        <is>
          <t>linkedin</t>
        </is>
      </c>
      <c r="E223">
        <f>HYPERLINK("https://www.linkedin.com/jobs/view/4354613591", "https://www.linkedin.com/jobs/view/4354613591")</f>
        <v/>
      </c>
      <c r="F223" t="inlineStr"/>
      <c r="G223" t="inlineStr">
        <is>
          <t>Redlands, CA</t>
        </is>
      </c>
      <c r="H223" t="inlineStr"/>
      <c r="I223" t="inlineStr">
        <is>
          <t>**Overview**
 Build the next generation of ArcGIS Enterprise, a suite of products delivering state\-of\-the\-art mapping and analytics capability to thousands of customers and millions of users worldwide.
 Our team builds cutting\-edge, highly\-scalable and reliable distributed software for on\-premises and the cloud to make maps, geographic information, and analyses available on any device, anywhere, at any time. Our software engineers provide a strong technical voice in the product development process and use the best tools available to design, develop, and deliver a high\-quality distributed systems platform.
 As a software engineer, you will work with our cross\-functional global team of software engineers, product engineers, designers, product managers, and release engineers. You will be actively involved in enhancing the capability of the ArcGIS Enterprise platform from feature inception to delivery, using bleeding edge technology.
 If you are passionate about building great distributed systems, micro\-services architecture, and spatial data analytics, join us!
**Responsibilities**
* Build server\-side Java components and web services to power user experience and geospatial workflows
* Prototype, design, develop, and deliver complete software features and products that can scale, are fault tolerant, and handle concurrent workloads
* Design, architect, and develop complete software features/products to meet customer requirements
* Find, analyze, and fix bugs/performance problems whenever and wherever they occur
* Work collaboratively with other teams to understand requirements and incorporate them into the software
**Requirements**
* 1\+ years of experience developing middleware software components using core Java, Servlets (JavaEE), JSP
* Good understanding of cloud computing platforms (AWS and Azure) and services such as Amazon S3, SQS, EC2 and Azure services such as Blob Service, Table Service, and more
* Good understanding of Java design patterns
* Knowledge of relational databases such as SQL Server, Oracle, PostgreSQL, or DB2
* Experience working with large code bases
* Fundamental understanding of web services including REST and SOAP
* Proficient in debugging and profiling tools (Eclipse/IntelliJ Debugger, JProfiler, and more)
* Knowledge of working with a source control system, preferably GIT
* Excellent problem\-solving, design, development, and debugging skills
* Excellent written and verbal communication and time management skills
* Bachelor's degree in math, computer science, physics, or related field
**Recommended Qualifications**
* Familiarity with JSON and XML
* Knowledge of and familiarity with Java build systems, such as Maven and ANT
* Experience with HTTP monitoring tools (Fiddler) and JDK debugging tools (JProfiler, jmap)
* Knowledge of Docker containers and orchestrators such as Kubernetes
* Master's degree in math, computer science, physics, or related field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$79,040 USD \- $129,792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224">
      <c r="A224" t="inlineStr">
        <is>
          <t>li-4354596426</t>
        </is>
      </c>
      <c r="B224" t="inlineStr">
        <is>
          <t>Full Stack Engineer</t>
        </is>
      </c>
      <c r="C224" t="inlineStr">
        <is>
          <t>Odyssey</t>
        </is>
      </c>
      <c r="D224" t="inlineStr">
        <is>
          <t>linkedin</t>
        </is>
      </c>
      <c r="E224">
        <f>HYPERLINK("https://www.linkedin.com/jobs/view/4354596426", "https://www.linkedin.com/jobs/view/4354596426")</f>
        <v/>
      </c>
      <c r="F224" t="inlineStr"/>
      <c r="G224" t="inlineStr">
        <is>
          <t>New York, NY</t>
        </is>
      </c>
      <c r="H224" t="inlineStr"/>
      <c r="I224" t="inlineStr">
        <is>
          <t>**About Odyssey:**
 At Odyssey, our Mission is to enable access to high\-quality education across the U.S. regardless of income. We do that by making Education Savings Accounts (ESAs) and microgrant programs accessible to parents and vendors, enabling millions of students across the country to choose their own education paths on the Odyssey platform. At Odyssey, our technology powers programs that collectively support more than 140,000 students across the US in accessing more than $400 million in state funding.
**About the Role:**
 As a Full Stack Engineer at Odyssey, you’ll build the core technology behind our platform. You’ll work across the stack on program eligibility systems, education fund ledgers, and a marketplace that enables schools and vendors to accept tuition and service payments.
 This role focuses on building full\-stack systems, including scalable services, APIs, data models, frontend UI, and internal tools that support families, schools, providers, and operational teams as the platform grows.
 By joining our team, you will leverage your skills to make a direct impact on the quality and accessibility of K\-12 education across the United States.
**What You’ll Do** 
 :
* Architect, plan and develop beautiful functional experiences for customers using TypeScript, AWS Lambda, Next.js, and other frameworks and languages.
* Design, write, and execute tests to ensure the robustness and reliability of our applications.
* Design and implement sophisticated database models considering scalability and performance.
* Develop and maintain APIs for widespread public and internal use, enhancing our mobile applications and various systems.
* Drive the continuous improvement of Odyssey’s Marketplace platform in collaboration with the product team.
* Collaborate with cross\-functional teams to identify needs, formulate solutions, and bridge product gaps.
* Foster transparent communication within the team, sharing both challenges and successes openly.
* Contribute to system design, platform management, code reviews, and capacity planning.
**About You** 
 :
* 3\-5\+ years of experience in software development.
* Proficient in TypeScript for building robust, scalable applications.
* Experience with early to mid\-stage tech startups and enthusiasm for startup growth and dynamics.
* Strong communication skills, comfortable pitching new approaches and concepts to the team.
* Solid understanding and experience in Agile practices, with flexibility to adapt to evolving project needs.
**Preferred Skills:**
* Experience with building scalable software using AWS technologies.
* Experience in highly regulated industries such as fintech, govtech or healthtech
* Experience with double\-entry ledgers, payments, and money movement.
* Experience owning services end\-to\-end including maintenance of infrastructure.
* Familiarity with Terraform, CI/CD and observability tools
**Additional Details:**
* This role is a hybrid position out of our NYC office in Tribeca.
* Applicants must be currently authorized to work in the United States on a full\-time basis.
* We believe that everyone at Odyssey should be compensated fairly. We set our salary bands based on compensation data from hundreds of companies at our stage. The salary range for this role is $160,000 \- $180,000 depending on experience, interview performance and location.
* Odyssey benefits include Medical/Dental/Vision plan(s), health services, short term disability, unlimited PTO and more.
**Our Commitment to Diversity:**
 Odyssey encourages individuals from diverse backgrounds to apply. We are an equal opportunity employer, committed to a fair and consistent interview process. Please inform us in your application if you require accommodation to apply for or perform your job.
**Why Odyssey:**
 Join us if you believe in the power of education as the single most important investment we can make as Americans today. Odyssey is well\-capitalized, with venture capital from leading technology investors such as Andreessen Horowitz and Tusk Venture Partners. We are dedicated to making a massive impact in education in America.
 Compensation Range: $160\.00 \- $180,000\.00</t>
        </is>
      </c>
    </row>
    <row r="225">
      <c r="A225" t="inlineStr">
        <is>
          <t>li-4354661236</t>
        </is>
      </c>
      <c r="B225" t="inlineStr">
        <is>
          <t>Software Engineer - Full Stack</t>
        </is>
      </c>
      <c r="C225" t="inlineStr">
        <is>
          <t>Axion</t>
        </is>
      </c>
      <c r="D225" t="inlineStr">
        <is>
          <t>linkedin</t>
        </is>
      </c>
      <c r="E225">
        <f>HYPERLINK("https://www.linkedin.com/jobs/view/4354661236", "https://www.linkedin.com/jobs/view/4354661236")</f>
        <v/>
      </c>
      <c r="F225">
        <f>HYPERLINK("https://jobs.ashbyhq.com/axion/0f5a3255-339b-4532-9fef-a33809477553?src=LinkedIn&amp;urlHash=tLlq", "https://jobs.ashbyhq.com/axion/0f5a3255-339b-4532-9fef-a33809477553?src=LinkedIn&amp;urlHash=tLlq")</f>
        <v/>
      </c>
      <c r="G225" t="inlineStr">
        <is>
          <t>New York, NY</t>
        </is>
      </c>
      <c r="H225" t="inlineStr"/>
      <c r="I225" t="inlineStr">
        <is>
          <t>**About Us**
 Founded in 2021, Axion is at the forefront of transforming product quality and customer satisfaction in manufacturing. Our cutting\-edge AI\-powered platform empowers manufacturers to swiftly identify, thoroughly investigate, and effectively resolve quality issues while simultaneously elevating customer experiences and outcomes.
 As trailblazers in end\-to\-end quality intelligence, we're setting new industry standards. Our innovative approach enables industrial, aerospace, consumer, and medtech manufacturers to harness the power of quality and post\-market data, driving down costs and boosting business performance.
 Our vision extends beyond mere problem\-solving; we're committed to reshaping the future of manufacturing. By seamlessly integrating advanced AI technology with deep industry expertise, Axion is paving the way for smarter, safer, and more efficient production processes across diverse sectors.
 Backed by leading investors, including Bessemer Venture Partners, Amplo, Boeing, and RTX Ventures, Axion is poised to lead the quality revolution in manufacturing.
**About The Role**
 In this role, you'll build and maintain high\-quality applications using React and TypeScript, ensuring seamless integration across the stack. You’ll collaborate cross\-functionally, contribute to agile development processes, and play a key role in optimizing performance, scalability, and code quality. We're looking for someone with 7\+ years of experience, strong front\-end and API development skills, and a passion for clean, maintainable code. If you thrive in fast\-paced environments and enjoy solving complex problems with a team\-first mindset, we’d love to meet you
**Key Responsibilities**
* Develop and maintain web applications using React and Typescript
* Collaborate with cross\-functional teams to ensure seamless integration of front\-end and back\-end functionalities
* Optimize website performance and ensure scalability
* Write clean and maintainable code that adheres to industry standards and best practices
* Troubleshoot and debug issues that arise during development and testing
* Continuously improve the quality of the codebase through code reviews and refactoring
* Participate in agile ceremonies such as sprint planning and retrospectives
* Stay up\-to\-date with emerging trends and technologies in full\-stack development
**Requirements**
* You have at least 3 years of experience in software development and are highly skilled in React, Typescript, and APIs
* You possess strong problem\-solving skills and can think critically and creatively to find solutions to complex problems
* You have excellent communication skills and can articulate technical concepts to both technical and non\-technical stakeholders
* You are detail\-oriented and take pride in writing clean, maintainable, and reusable code
* You are comfortable working in a fast\-paced environment and can adapt to changing priorities and requirements
* You are a self\-motivated individual with a passion for building high\-quality web applications
* You are a team player and enjoy collaborating with others to achieve common goals
**Who You Are**
 You’re a builder and operator who thrives in fast\-moving, high\-accountability environments. You take pride in getting things done — thoughtfully, efficiently, and without drama. You’re energized by ambiguity, skilled at bringing clarity, and comfortable flexing between strategy and execution.
 You value feedback — giving it, receiving it, and acting on it — and you see collaboration as a competitive advantage, not a burden. You’re low\-ego but high\-agency: you care about winning as a team more than being right individually. You move quickly, communicate directly, and make decisions grounded in impact and data.
 You don’t need constant direction — you create momentum. You take ownership for outcomes, and you expect the same from those around you.
**How We Operate**
 We move fast, work smart, and hold ourselves to a high bar. Axion isn’t a 9–5 — it’s a place for people who take pride in their craft and are motivated by meaningful work. We respect time off and boundaries, but we’re also realistic: hard problems sometimes require weekend pushes or late\-night thinking sessions. We support that balance — intensity with respect for recharge.
 We stay highly collaborative and connected throughout the day — much of our communication happens over Slack. We move quickly, share feedback often, and keep discussions open so decisions and context flow freely. If you value crisp communication, rapid iteration, and a steady hum of collaboration, you’ll fit right in.
**We**
* Collaborate deeply. Feedback is part of how we build — everyone has a voice, and ideas win on merit.
* Leave ego at the door. Titles don’t define value; contribution does.
* Bias toward action. We iterate fast and favor progress over perfection.
* Communicate with clarity. Direct, transparent, and always in service of the mission.
* Act like owners. Everyone is accountable for outcomes, not just tasks.
* Sustain excellence. We push hard but don’t glorify burnout — we’re in this for the long game.
 If you want to help shape a company redefining how manufacturing operates — and you thrive in a culture that rewards ownership, speed, and candor — you’ll feel at home here
**What We Offer**
* Work with cutting\-edge AI technology making a tangible impact in manufacturing
* Collaborative, mission\-driven team and supportive leadership
* Generous time off
* Competitive compensation, equity, and benefits
* Lunch stipend…. And much more
 Ready to drive the future of manufacturing with AI? Apply today to join our team and help us build the category\-defining platform for quality intelligence.
 Axion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t>
        </is>
      </c>
    </row>
    <row r="226">
      <c r="A226" t="inlineStr">
        <is>
          <t>li-4354398425</t>
        </is>
      </c>
      <c r="B226" t="inlineStr">
        <is>
          <t>Senior Software Engineer - Backend | Product</t>
        </is>
      </c>
      <c r="C226" t="inlineStr">
        <is>
          <t>Unify</t>
        </is>
      </c>
      <c r="D226" t="inlineStr">
        <is>
          <t>linkedin</t>
        </is>
      </c>
      <c r="E226">
        <f>HYPERLINK("https://www.linkedin.com/jobs/view/4354398425", "https://www.linkedin.com/jobs/view/4354398425")</f>
        <v/>
      </c>
      <c r="F226" t="inlineStr"/>
      <c r="G226" t="inlineStr">
        <is>
          <t>San Francisco, CA</t>
        </is>
      </c>
      <c r="H226" t="inlineStr"/>
      <c r="I226" t="inlineStr">
        <is>
          <t>**About Unify:**
 Unify was founded January 17th, 2023 by Austin Hughes and Connor Heggie. Prior to Unify, Austin led
 **Ramp’s** 
 growth product team focused on new customer acquisition, and Connor was a machine learning research engineer at
 **Scale AI** 
 . The rest of our team comes from companies like
 **Airbnb** 
 ,
 **Spotify** 
 ,
 **Waymo,** 
 and
 **LinkedIn** 
 .
 Our mission is to build the first system\-of\-action for go\-to\-market teams, starting with an end to end platform powering warm outbound. Today, outbound sales is dominated by cold, mass outreach that floods people's inboxes and converts to deals at a tiny rate. We’re building a platform to power warm outbound, allowing go\-to\-market teams to get in touch with the right people at the exact time they’re looking for a solution.
 We've grown revenue 8x year\-over\-year, and are already serving customers like Guru, Justworks, Together.AI, Flock Safety, Hightouch and more. We’re a high energy, high intensity team and we’ve raised $58M from Thrive, Emergence, OpenAI and others. Come join us in changing how go\-to\-market works.
**About the role:**
 You will bring new products from zero to one working closely with our founders. You will own large engineering scope which will both bring immense value to our customers, and also lay the technical foundation for Unify. We are revolutionizing GTM using all the latest AI technology that has recently come online \- so you will be working at the cutting edge.
**What you will do:**
* Shape both our product roadmap and engineering foundation working with a highly collaborative product, design and engineering team
* Build new products using the latest and greatest tech such as such as TypeScript, Prisma, Temporal, PostgreSQL, Kubernetes, Pulsar, ClickHouse, LLMs, and more
* Experiment, assess and integrate with various tech platforms and vendors that help us deliver value faster
* Lay the foundation for our engineering standard so that we can successfully scale our team and business
**Who you are:**
* You have 4\+ years of software engineering experience and have a track record of shipping high\-quality products and features at scale
* You are customer\-obsessed, creative and hungry. You have the ability to take high\-level business/product ideas to deployed engineering solutions.
* While you are independent you are also kind and highly collaborative. You always go the extra mile to help your team members.
* You have experience standing up and managing infrastructure. You are comfortable and excited to mentor multiple engineers.
**About this role:**
 This a salaried position with a target range of $180,000 \- $225,000 (depending on experience), equity package and comprehensive benefits (including medical, dental, vision, and 401(k) options). This position is onsite in either San Francisco, CA, or New York City, NY, offering the invaluable opportunity to work closely with a talented team in a dynamic, high\-energy environment. Being in\-person enables real\-time collaboration, fosters creative problem\-solving, and strengthens the connections that drive innovation and impact. You'll be at the center of our fast\-paced operations, contributing to a culture that values engagement, growth, and teamwork.</t>
        </is>
      </c>
    </row>
    <row r="227">
      <c r="A227" t="inlineStr">
        <is>
          <t>li-4330550538</t>
        </is>
      </c>
      <c r="B227" t="inlineStr">
        <is>
          <t>Senior Software Engineer</t>
        </is>
      </c>
      <c r="C227" t="inlineStr">
        <is>
          <t>SOCOTEC</t>
        </is>
      </c>
      <c r="D227" t="inlineStr">
        <is>
          <t>linkedin</t>
        </is>
      </c>
      <c r="E227">
        <f>HYPERLINK("https://www.linkedin.com/jobs/view/4330550538", "https://www.linkedin.com/jobs/view/4330550538")</f>
        <v/>
      </c>
      <c r="F227" t="inlineStr"/>
      <c r="G227" t="inlineStr">
        <is>
          <t>Boston, MA</t>
        </is>
      </c>
      <c r="H227" t="inlineStr"/>
      <c r="I227" t="inlineStr">
        <is>
          <t>**Description Du Poste** 
**Company Description**
 SOCOTEC is a leader in niche consulting services within the architecture, engineering, and construction industries, with a focus on high\-performance buildings and specialty structures. We take an integrated, holistic approach to solving challenges in building envelopes, energy efficiency, sustainability, code advisory, and construction advisory projects. SOCOTEC’s reputation for excellence continues to drive its growth and recognition as a best\-in\-class service provider.
 We offer a competitive salary and benefits package, mentorship and training opportunities, and regular team\-building activities. SOCOTEC is proud to be officially certified as a Great Place to Work® by the global authority on workplace culture.
**Job Description**
 We are seeking an innovative and collaborative Senior Software Engineer who thrives in a fast\-paced environment and is passionate about developing both traditional software systems and AI\-driven applications. If you are excited about building cutting\-edge solutions that transform the AEC industry, we encourage you to apply.
 As a Senior Software Engineer at SOCOTEC, you will play a key role in designing, developing, and maintaining robust software solutions that power our digital initiatives. In addition to core software engineering responsibilities, this role offers the opportunity to work on applied AI solutions that enhance our enterprise systems, automate complex workflows, and improve client experiences.
 You’ll collaborate with cross\-functional teams—including product managers, UI/UX designers, data scientists, consultants, and engineers—to build scalable applications, deploy AI\-powered features, and drive innovation across our technology stack.
**Key Responsibilities:**
* Software Design \&amp; Development: Architect, design, and implement scalable, reliable, and maintainable software applications, services, and APIs.
* Applied AI Development: Design and deploy AI\-driven solutions that support SOCOTEC’s chatbot programs and automation initiatives.
* Technical Leadership: Provide technical guidance, code reviews, and mentorship to software engineers. Foster engineering best practices and ensure adherence to software quality standards.
* AI Integration \&amp; Deployment: Collaborate with AI/ML engineers and data scientists to integrate AI models into production applications, ensuring scalability, security, and performance.
* Collaborate Across Teams: Work with product managers, designers, and stakeholders to translate business requirements into intelligent software and AI\-powered solutions.
* Performance Optimization: Monitor, analyze, and optimize application and AI model performance, addressing bottlenecks, and ensuring systems are robust and efficient.
* Continuous Improvement: Drive continuous improvements in our software development lifecycle (SDLC), including CI/CD pipelines, automated testing, and deployment workflows.
* Documentation: Maintain clear and comprehensive documentation of software systems, AI workflows, APIs, and architecture decisions.
**Qualifications**
**Programming Expertise:** 
 Proficiency in Python with experience in JavaScript/TypeScript or another modern programming language.
**Backend \&amp; API Development:** 
 Demonstrated experience designing and building scalable backend systems, including RESTful and/or GraphQL APIs and microservices architectures.
**Frontend Development:** 
 Proficiency in modern frontend frameworks such as React or Vue, with experience building responsive, user\-friendly interfaces that integrate with backend and AI services.
**Applied AI/ML:**
* Hands\-on experience developing and deploying large language model (LLM)\-based applications in production environments.
* Deep familiarity with agentic workflows and orchestration frameworks such as LangChain, LangGraph, or similar tools.
* Proficient in AI/ML libraries and ecosystems including Hugging Face Transformers, TensorFlow, PyTorch, and Scikit\-learn.
* Proven ability to integrate AI\-driven functionality into complex software systems at scale.
**Cloud Platforms:** 
 Experience deploying software and ML services on major cloud providers such as AWS, Azure, or GCP.
**Version Control \&amp; Collaboration:** 
 Strong command of Git and GitHub workflows; experience working in agile development environments.
**Database Management:** 
 Skilled in working with relational databases (e.g., PostgreSQL, MySQL) and NoSQL databases (e.g., MongoDB).
**Communication \&amp; Leadership:** 
 Excellent collaboration and communication skills, with experience mentoring junior engineers and coordinating with cross\-functional stakeholders
**Preferred Qualifications:**
 Experience with containerization and orchestration (Docker, Kubernetes).
 Familiarity with CI/CD pipelines and automated testing frameworks.
 Knowledge of model monitoring, A/B testing, and continuous improvement strategies for AI systems.
 Understanding of security best practices for both software and AI/ML applications.
 Experience in the architecture, engineering, and construction (AEC) industry is a plus.
**Additional Information**
 For more information, please visit www.socotec.us
 SOCOTEC is an Equal Opportunity Employer. Your information will be kept confidential according to EEO guidelines. SOCOTEC is an Equal Opportunity Employer.
 Salary range: $90,000\-$180,000 (final compensation is based on experience, technical depth, and scope of ownership).
 SOCOTEC is an Equal Opportunity Employer.</t>
        </is>
      </c>
    </row>
    <row r="228">
      <c r="A228" t="inlineStr">
        <is>
          <t>li-4354558166</t>
        </is>
      </c>
      <c r="B228" t="inlineStr">
        <is>
          <t>Junior Software Engineer</t>
        </is>
      </c>
      <c r="C228" t="inlineStr">
        <is>
          <t>Visionist, Inc.</t>
        </is>
      </c>
      <c r="D228" t="inlineStr">
        <is>
          <t>linkedin</t>
        </is>
      </c>
      <c r="E228">
        <f>HYPERLINK("https://www.linkedin.com/jobs/view/4354558166", "https://www.linkedin.com/jobs/view/4354558166")</f>
        <v/>
      </c>
      <c r="F228">
        <f>HYPERLINK("https://app.jobvite.com/CompanyJobs/Careers.aspx?k=Apply&amp;j=onqezfwk&amp;s=LinkedInLimited&amp;urlHash=hABv", "https://app.jobvite.com/CompanyJobs/Careers.aspx?k=Apply&amp;j=onqezfwk&amp;s=LinkedInLimited&amp;urlHash=hABv")</f>
        <v/>
      </c>
      <c r="G228" t="inlineStr">
        <is>
          <t>Fort George G. Meade, MD</t>
        </is>
      </c>
      <c r="H228" t="inlineStr"/>
      <c r="I228" t="inlineStr">
        <is>
          <t>**Active Top Secret (TS/SCI) Clearance With Polygraph Is Required.**
**Visionist has an exciting upcoming opportunity for a Junior Software Engineer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encompasses traditional software services including Systems Design and Engineering, Database Administration, Data Science and Knowledge Management, Enterprise Risk Management, Integration and Test, as well as Operations and Systems Support. The program is characterized by innovation and excitement, fostering meaningful engagements, and offering distinctive collaboration opportunities with users, policy makers, and mission leadership, all while maintaining a service mindset. If you thrive in a collaborative work environment and enjoy utilizing a diverse tech stack, then this opportunity is tailor\-made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**Your contributions are…**
* Assist in the development, maintenance, and automated build and deployment of applications
* Learn and apply Infrastructure as Code (IaC) tools like Terraform to manage cloud environments
* Use Python to build backend services and automate processes
* Contribute to the development and maintenance of modern web applications and APIs
* Collaborate with a multi\-disciplinary team to develop and integrate solutions across various platforms
**Requirements For Your New Career…**
* Bachelor's degree in a technical discipline. (Additional 4 years of experience may substitute degree)
* Basic proficiency in a programming language such as Python
* Familiarity with DevOps principles and CI/CD concepts
* Understanding of Infrastructure as Code (IaC) fundamentals
* Familiarity with web development fundamentals (HTML, CSS, JavaScript)
* Strong curiosity and willingness to learn AI/ML technologies and other emerging tools
**Benefits of becoming a Visionist:** 
 Your New Career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$85,000 \- $120,000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229">
      <c r="A229" t="inlineStr">
        <is>
          <t>li-4347651502</t>
        </is>
      </c>
      <c r="B229" t="inlineStr">
        <is>
          <t>Software Engineer, Backend</t>
        </is>
      </c>
      <c r="C229" t="inlineStr">
        <is>
          <t>Twin Health</t>
        </is>
      </c>
      <c r="D229" t="inlineStr">
        <is>
          <t>linkedin</t>
        </is>
      </c>
      <c r="E229">
        <f>HYPERLINK("https://www.linkedin.com/jobs/view/4347651502", "https://www.linkedin.com/jobs/view/4347651502")</f>
        <v/>
      </c>
      <c r="F229">
        <f>HYPERLINK("https://job-boards.greenhouse.io/twinhealth/jobs/5722148004&amp;urlHash=MZlm", "https://job-boards.greenhouse.io/twinhealth/jobs/5722148004&amp;urlHash=MZlm")</f>
        <v/>
      </c>
      <c r="G229" t="inlineStr"/>
      <c r="H229" t="inlineStr"/>
      <c r="I229" t="inlineStr">
        <is>
          <t>**Twin Health**
 At Twin Health, we empower people to improve and prevent chronic metabolic diseases, like type 2 diabetes and obesity, with a new standard of care. Twin Health is the only company applying AI Digital Twin technology exclusively toward metabolic health.
 We start by building a dynamic model of each person’s metabolism — drawing on thousands of data points from CGMs, smartwatches, and meal logs — that maps their personal path to better health. Guided by a dedicated clinical care team, our members have lowered their A1C below the diabetes range, achieved lasting weight loss, and reduced or even eliminated medications, all while living healthier, happier lives.
**Working here**
 Our team at Twin Health is passionate, talented, and united by a shared purpose: to improve the metabolic health and happiness of our members. We believe in empowering every Twin to make a meaningful impact for our members, our clients, and each other, while enjoying a supportive, collaborative work environment.
 Twin has been recognized not only for our innovation but also for our culture, including: Innovator of the Year by the Employer Health Innovation Roundtable (EHIR), selected to CB Insights’ Digital Health 150, and named one of Newsweek’s Top Most Loved Workplace® .
 With more than $100 million raised in recent funding, including a $53 million Series E round in 2025 led by Maj Invest, and a $50 million investment in 2023 led by Temasek, Twin is scaling rapidly across the U.S. and globally. Backed by leading venture firms like ICONIQ Growth, Sequoia, Sofina, Temasek, and Peak XV, we are building the most impactful digital health company in the world.
 Join us as we reinvent the standard of care in metabolic health.
**Opportunity**
 Our team is on the cutting edge of blending healthcare and technology. The ideal candidate is a self\-motivated, multi\-tasker, and demonstrated team\-player. You will be responsible for the development of the global platform and enhancements to existing products. You should excel in working with large\-scale applications and frameworks and have outstanding communication and leadership skills.
**Responsibilities**
* Strong programming experience in Java and/or JavaScript is a must. Node is a plus.
* Expertise in cloud infrastructure technologies (i.e. Micro\-services Architecture, RESTful APIs, AWS, NoSQL) and/or JS frameworks (i.e. Vue, Angular or React) in addition to HTML5 and CSS
* Deep knowledge of one or more JS frameworks (i.e. Vue, React,, Angular, etc.) as well as responsive and adaptive web design principles
* Experience with database technologies such as Amazon DynamoDB, MySQL, NoSQL, etc.
* Design and develop backend micro\-services using technologies such as Java, Spring Boot, REST APIs, SQL databases, Time Series databases, Message Queues, Docker etc.
* Writing clean, high\-quality, high\-performance, maintainable code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Participate in code reviews.
* Additional duties as assigned
**Qualifications**
* Bachelor's degree in Computer Science (or related field). Masters would be a plus
* 3 years of relevant work experience (good to have)
* Expertise in Object Oriented Design, Database Design, and Design Patterns
* Experience with Agile or Scrum software development methodologies
* Ability to multitask, organize, and prioritize work
* Domain experience in healthcare, biosensors, or related areas would be a plus, but is not required
* Preferred: Experience using AWS, Kubernetes and Docker containers
* This remote opportunity is available to US based persons.
**Compensation And Benefits**
 The compensation range for this position is $130,000\-$140,000 annually.
 In addition, Twin has an ambitious vision to empower people to live healthier and happier lives, and to achieve this purpose, we need the very best people to enhance our cutting\-edge technology and medical science, deliver the best possible care, and turn our passion into value for our members, partners and investors. We are committed to delivering an outstanding culture and experience for every Twin employee through a company based on the values of passion, talent, and trust. We offer comprehensive benefits and perks in line with these principles, as well as a high level of flexibility for every Twin
* A competitive compensation package in line with leading technology companies
* As a remote friendly company we are committed to providing opportunities for all who join to further build relationships, increase cross\-functional collaboration, and celebrate our accomplishments.
* Opportunity for equity participation
* Unlimited vacation with manager approval
* 16 weeks of 100% paid parental leave for delivering parents; 8 weeks of 100% paid parental leave for non\-delivering parents
* 100% Employer sponsored healthcare, dental, and vision for you, and 80% coverage for your family; Health Savings Account and Flexible Spending Account options
* 401k retirement savings plan</t>
        </is>
      </c>
    </row>
    <row r="230">
      <c r="A230" t="inlineStr">
        <is>
          <t>li-4330570600</t>
        </is>
      </c>
      <c r="B230" t="inlineStr">
        <is>
          <t>Software Engineer</t>
        </is>
      </c>
      <c r="C230" t="inlineStr">
        <is>
          <t>Red Hat</t>
        </is>
      </c>
      <c r="D230" t="inlineStr">
        <is>
          <t>linkedin</t>
        </is>
      </c>
      <c r="E230">
        <f>HYPERLINK("https://www.linkedin.com/jobs/view/4330570600", "https://www.linkedin.com/jobs/view/4330570600")</f>
        <v/>
      </c>
      <c r="F230" t="inlineStr"/>
      <c r="G230" t="inlineStr">
        <is>
          <t>Durham, NC</t>
        </is>
      </c>
      <c r="H230" t="inlineStr"/>
      <c r="I230" t="inlineStr">
        <is>
          <t>The Red Hat Ansible Engineering team (https://www.ansible.com/) is looking for a software engineer in the Raleigh/Durham area. If you are a highly motivated professional who wants to work with a high performing team to deliver a high\-quality user experience for our customers then please read on.
 As a Software Engineer in the Ansible organization, you will be working with geographically dispersed technical team members to analyze, design, develop, debug, and deliver new products and feature functionality for the Ansible Automation Platform. You will get an opportunity to collaborate with diverse agile teams around the world to deliver value for our customers and partners in an open source way. This is also a great opportunity to hone your skills while working with a wide range of modern languages, frameworks, and technologies. You will also become a part of Red Hat’s culture, which makes us unique in the industry. You will work with communities like https://www.ansible.com/community passionate about open source software. Successful applicants must reside in a country where Red Hat is registered to do business.
**What You Will Do**
* Develop and maintain software to automatically provision, upgrade, monitor, and heal Red Hat Ansible Automation Platform.
* Work with technical leads and the business to understand feature requirements. Help break requirements down into smaller units of work.
* Create test plans and tests to ensure a high level of quality
* Ability to work on\-site or Hybrid in Raleigh NC or Durham NC
* Contribute to all aspects of product delivery, including design/architecture, development, testing, documentation, and deployment.
**What You Will Bring**
* Passion for learning new technologies, building elegant software systems, troubleshooting complex technical issues, and automation.
* 2\+ years industry experience
* Software development experience using Python.
* Basic knowledge of software development life cycle tools, like GitHub and Jenkins.
* Software development life cycle (SDLC) and agile or scrum processes
**Experience With The Following Is Considered a Plus**
* Writing Ansible playbooks and administering the Red Hat Ansible Automation Platform
* Familiarity with observability platforms (such as Dynatrace, DataDog, etc) are a plus.
* Cloud native development/administration experience
* Prior experience working on a globally distributed, remote team
* Experience with quality and testing
 The salary range for this position is $94,550\.00 \- $151,170\.00\.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31">
      <c r="A231" t="inlineStr">
        <is>
          <t>li-4354515561</t>
        </is>
      </c>
      <c r="B231" t="inlineStr">
        <is>
          <t>Java Software Engineer II</t>
        </is>
      </c>
      <c r="C231" t="inlineStr">
        <is>
          <t>Esri</t>
        </is>
      </c>
      <c r="D231" t="inlineStr">
        <is>
          <t>linkedin</t>
        </is>
      </c>
      <c r="E231">
        <f>HYPERLINK("https://www.linkedin.com/jobs/view/4354515561", "https://www.linkedin.com/jobs/view/4354515561")</f>
        <v/>
      </c>
      <c r="F231" t="inlineStr"/>
      <c r="G231" t="inlineStr">
        <is>
          <t>Redlands, CA</t>
        </is>
      </c>
      <c r="H231" t="inlineStr"/>
      <c r="I231" t="inlineStr">
        <is>
          <t>**Overview**
 Build the next generation of ArcGIS Enterprise, a suite of products delivering state\-of\-the\-art mapping and analytics capability to thousands of customers and millions of users worldwide.
 Our team builds cutting\-edge, highly\-scalable and reliable distributed software for on\-premises and the cloud to make maps, geographic information, and analyses available on any device, anywhere, at any time. Our software engineers provide a strong technical voice in the product development process and use the best tools available to design, develop, and deliver a high\-quality distributed systems platform.
 As a software engineer, you will work with our cross\-functional global team of software engineers, product engineers, designers, product managers, and release engineers. You will be actively involved in enhancing the capability of the ArcGIS Enterprise platform from feature inception to delivery, using bleeding edge technology.
 If you are passionate about building great distributed systems, micro\-services architecture, and spatial data analytics, join us!
**Responsibilities**
* Build server\-side Java components and web services to power user experience and geospatial workflows
* Prototype, design, develop, and deliver complete software features and products that can scale, are fault tolerant, and handle concurrent workloads
* Design, architect, and develop complete software features/products to meet customer requirements
* Find, analyze, and fix bugs/performance problems whenever and wherever they occur
* Work collaboratively with other teams to understand requirements and incorporate them into the software
**Requirements**
* 2\+ years of experience developing middleware software components using core Java, Servlets (JavaEE), JSP
* Good understanding of cloud computing platforms (AWS and Azure) and services such as Amazon S3, SQS, EC2 and Azure services such as Blob Service, Table Service, and more
* Good understanding of Java design patterns
* Knowledge of relational databases such as SQL Server, Oracle, PostgreSQL, or DB2
* Experience working with large code bases
* Fundamental understanding of web services including REST and SOAP
* Proficient in debugging and profiling tools (Eclipse/IntelliJ Debugger, JProfiler, and more)
* Knowledge of working with a source control system, preferably GIT
* Excellent problem\-solving, design, development, and debugging skills
* Excellent written and verbal communication and time management skills
* Bachelor's degree in math, computer science, physics, or related field
**Recommended Qualifications**
* Master's degree in math, computer science, physics, or related field
* Familiarity with JSON and XML
* Knowledge of and familiarity with Java build systems, such as Maven and ANT
* Experience with HTTP monitoring tools (Fiddler) and JDK debugging tools (JProfiler, jmap)
* Knowledge of Docker containers and orchestrators such as Kubernetes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$97,760 USD \- $163,280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232">
      <c r="A232" t="inlineStr">
        <is>
          <t>li-4351147084</t>
        </is>
      </c>
      <c r="B232" t="inlineStr">
        <is>
          <t>Senior Software Engineer</t>
        </is>
      </c>
      <c r="C232" t="inlineStr">
        <is>
          <t>Natera</t>
        </is>
      </c>
      <c r="D232" t="inlineStr">
        <is>
          <t>linkedin</t>
        </is>
      </c>
      <c r="E232">
        <f>HYPERLINK("https://www.linkedin.com/jobs/view/4351147084", "https://www.linkedin.com/jobs/view/4351147084")</f>
        <v/>
      </c>
      <c r="F232" t="inlineStr"/>
      <c r="G232" t="inlineStr"/>
      <c r="H232" t="inlineStr"/>
      <c r="I232" t="inlineStr">
        <is>
          <t>**Position Summary**
 The Senior Software Engineer within the Platform group will join a tight\-knit, cross\-functional team of scientists and engineers. This team is dedicated to developing a scalable and robust platform that will underpin Natera's next generation of clinical assays. You will be instrumental in the design, development, and architecture of software products relevant to the clinical laboratory, while also contributing to cutting\-edge R\&amp;D, bioinformatics, and high\-performance computing initiatives. We're seeking an experienced candidate who is proficient across various tech stacks, passionate about building robust and scalable software, and excited about their work directly impacting the care of millions of patients.
**Primary Responsibilities**
* Design, develop, and build systems that integrate software, automation, and biology to create a robust and scalable clinical genomics assay platform.
* Collaborate closely with assay development and automation scientists to build high\-scale and robust workflows.
* Engage with cross\-functional teams, including Product Management, R\&amp;D, software architects, and senior leadership, to improve existing processes and systems.
* Interface with internal software development teams to ensure seamless integration between the Laboratory Information Management System (LIMS) and the automation software stack.
* Analyze and enhance existing front\-end applications, proposing solutions based on your technical software and bioinformatics expertise.
* Contribute to laying the foundational architecture for fully automated laboratory systems at Natera.
* Performs other duties as assigned.
**Qualifications**
* Education: BA/BS or MS in Computer Science or Engineering (or a similar relevant field).
* Experience: 8 or more years of experience in software development.
* Track Record: Demonstrated success in delivering complex projects into production.
**Knowledge, Skills, And Abilities**
* Strong programming skills in one or more modern languages.
* Experience designing, building, and maintaining scalable backend or full\-stack systems.
* Solid understanding of software development best practices, including version control, testing, CI/CD.
* Familiarity with cloud platforms (e.g., AWS, GCP, or Azure)
* Exposure to system integration, RESTful APIs, and microservice architectures.
* Ability to quickly learn new tools, frameworks, and technical domains.
* Comfortable working with a variety of internal teams, and managing relationships with external contractors.
* Experience working with LIMS systems integration is a plus.
* Experience writing software for complex hardware and instrumentation is a plus.
**Physical Demands and Work Environment**
* Duties are typically performed remotely, in an office, or in a laboratory setting.
* This position requires the ability to use a computer keyboard, communicate over zoom/telephone and read printed material.
* Laboratory activities require periods of standing while working and occasionally lifting heavy objects.
* Duties may require working outside normal working hours (evenings and weekends) at times.
 The pay range is listed and actual compensation packages are based on a wide array of factors unique to each candidate, including but not limited to skill set, years \&amp; depth of experience, certifications and specific office location. This may differ in other locations due to cost of labor considerations.
 Remote USA
 $125,000—$156,300 USD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233">
      <c r="A233" t="inlineStr">
        <is>
          <t>li-4330461420</t>
        </is>
      </c>
      <c r="B233" t="inlineStr">
        <is>
          <t>Software Engineer - Telemetry</t>
        </is>
      </c>
      <c r="C233" t="inlineStr">
        <is>
          <t>Clarapath</t>
        </is>
      </c>
      <c r="D233" t="inlineStr">
        <is>
          <t>linkedin</t>
        </is>
      </c>
      <c r="E233">
        <f>HYPERLINK("https://www.linkedin.com/jobs/view/4330461420", "https://www.linkedin.com/jobs/view/4330461420")</f>
        <v/>
      </c>
      <c r="F233">
        <f>HYPERLINK("https://clarapath.clearcompany.com/careers/jobs/63ae5c9b-17f8-4528-77ee-a7861012fd7e/apply?src=LinkedIn&amp;urlHash=dG_i", "https://clarapath.clearcompany.com/careers/jobs/63ae5c9b-17f8-4528-77ee-a7861012fd7e/apply?src=LinkedIn&amp;urlHash=dG_i")</f>
        <v/>
      </c>
      <c r="G233" t="inlineStr">
        <is>
          <t>Hawthorne, NY</t>
        </is>
      </c>
      <c r="H233" t="inlineStr"/>
      <c r="I233" t="inlineStr">
        <is>
          <t>**JOB TITLE:** 
 Software Engineer – Telemetry
**LOCATION:** 
 Hawthorne, NY (on\-site)
**TYPE:** 
 Full time, regular
**COMPENSATION:** 
 $150,000 – $175,000/yr
 Clarapath is a medical robotics company based in Westchester County, NY. Our mission is to transform and modernize laboratory workflows with the goal of improving patient care, decreasing costs, and enhancing the quality and consistency of laboratory processes. SectionStar™ by Clarapath is a ground\-breaking electro\-mechanical system designed to elevate and automate the workflow in histology laboratories and provide pathologists with the tissue samples they need to make the most accurate diagnoses. Through the use of innovative technology, data, and precision analytics, Clarapath is paving the way for a new era of laboratory medicine.
**Role Summary:**
 The
 **Software Engineer – Telemetry** 
 will play a key role in designing, developing, and maintaining Clarapath’s telemetry and data acquisition systems for SectionStar™, our advanced electro\-mechanical device. This role requires a strong software engineering foundation with experience in data pipelines, real\-time system monitoring, and telemetry frameworks. Working closely with cross\-functional teams—including firmware, systems, and mechanical engineering—this individual will build reliable, scalable solutions that enable device performance tracking, diagnostics, and predictive insights. We are looking for a proactive, detail\-oriented engineer who thrives in a fast\-paced, rapidly growing environment and is eager to apply software engineering best practices to complex, data\-driven challenges.
**Responsibilities:**
* Design, develop, and maintain internal software tools to organize, search, and analyze telemetry data from machines in the field
* Build scalable data pipelines to process raw and semi\-structured device data stored in cloud environments
* Develop automated filters, alerts, and reporting tools for device errors and system health monitoring
* Create tools to summarize error trends across time and across fleets of deployed systems
* Implement systems for organizing images and image metadata (ex: QC scores, decision modes, cut depth, session data)
* Develop simple UI/UX applications to enable fast, intuitive searching and filtering of telemetry data for engineering, service, and analytics use cases
* Support data organization for downstream AI training and analytics initiatives
* Collaborate closely with firmware, systems, mechanical, service, and QA teams to define telemetry requirements and data use cases
* Work alongside other engineers focused on data transmission and infrastructure to ensure seamless end\-to\-end telemetry workflows
* Gather user requirements from internal stakeholders and iterate quickly through prototypes, demos, and feedback cycles
* Implement data validation, error handling, and monitoring to ensure platform reliability
* Contribute to documentation, testing, and code reviews to maintain high engineering standards
* Support ongoing product releases, field deployments, and platform evolution
**Qualifications:**
* Bachelor’s degree in Computer Science, Software Engineering, Electrical Engineering, or a related field
* 2\+ years of industry software development experience (5\+ years preferred)
* Strong programming skills in Python, C\+\+, or similar languages
* Experience working with SQL databases
* Experience integrating with cloud services (Google Cloud Platform or similar) and using cloud APIs
* Familiarity with Linux\-based systems and writing software that runs via scheduled jobs, user triggers, or external events
* Ability to translate user requirements into well\-structured software architectures
* Strong analytical, problem\-solving, and communication skills
* Ability to thrive in a fast\-paced, collaborative, and evolving environment
* Experience with telemetry systems, logging frameworks, or data streaming (ex: MQTT, gRPC, ROS, custom pipelines), a plus
* Experience with Docker or containerized deployment workflows, a plus
* Experience developing simple UI/UX tools for internal users, a plus
* Familiarity with embedded systems, hardware–software interfaces, or device communication protocols, a plus
**Company Offers:**
* Competitive salary, commensurate with experience and education
* Comprehensive benefits package available: (healthcare, vision, dental and life insurances; 401k; PTO and holidays)
* A collaborative and diverse work environment where our teams thrive on solving complex challenges
* Ability to file IP with the company
* Connections with world class researchers and their laboratories
* Collaboration with strategic leaders in healthcare and pharmaceutical world
* A mission driven organization where every team member will be responsible for changing the standards of delivering healthcare
*Clarapath is proud to be an equal opportunity employer. We are committed to providing equal employment opportunities to all employees and applicants for employment without regard to race, color, religion, gender, gender identity or expression, sexual orientation, national origin, genetics, disability, age, or veteran status. In addition to federal law requirements, Clarapath complies with applicable state and local laws governing nondiscrimination in employment. This policy applies to all terms and conditions of employment, including recruiting, hiring, placement, promotion, termination, layoff, recall, transfer, leaves of absence, compensation, and training.*</t>
        </is>
      </c>
    </row>
    <row r="234">
      <c r="A234" t="inlineStr">
        <is>
          <t>li-4342763387</t>
        </is>
      </c>
      <c r="B234" t="inlineStr">
        <is>
          <t>Full Stack Engineer</t>
        </is>
      </c>
      <c r="C234" t="inlineStr">
        <is>
          <t>Berkley Hunt</t>
        </is>
      </c>
      <c r="D234" t="inlineStr">
        <is>
          <t>linkedin</t>
        </is>
      </c>
      <c r="E234">
        <f>HYPERLINK("https://www.linkedin.com/jobs/view/4342763387", "https://www.linkedin.com/jobs/view/4342763387")</f>
        <v/>
      </c>
      <c r="F234" t="inlineStr"/>
      <c r="G234" t="inlineStr">
        <is>
          <t>San Francisco, CA</t>
        </is>
      </c>
      <c r="H234" t="inlineStr"/>
      <c r="I234" t="inlineStr">
        <is>
          <t>**Senior Full\-Stack Engineer \| Onsite SF \| SaaS Developer Tools** 
 We’re looking for a true maker
 **,** 
 a senior engineer with elite technical ability and the autonomy, initiative, and product instincts to act as their own PM. Someone who sees problems end\-to\-end, ships fast, and obsesses about delivering a world\-class developer experience. As an early engineer, you will own major pieces of the product across the entire stack from infrastructure and backend architecture to frontend UI, performance, testing, and documentation. You’ll define your own roadmap, talk directly to users, communicate progress, and identify gaps before they become blockers. This is a high\-impact, high\-visibility role for someone who wants to build a foundational product in an early, hungry team.
**What You’ll Work On** 
* Build and iterate on core product features across the full stack
* Design intuitive, high\-performance frontend experiences using React, Vite, and TanStack Router
* Architect and maintain backend services with Typescript, Hono, Drizzle, and Postgres
* Develop reliable cloud infrastructure deployed on AWS Lambda, ECS, and SST
* Create internal tooling, automation, and DX improvements that accelerate shipping
* Interface directly with customers to gather feedback and shape product direction
* Write clear documentation, improve workflows, and establish engineering best practices
* Push the boundaries of what’s possible in the browser, the runtime, and the tooling ecosystem
**Our Tech Stack** 
* **Frontend:** 
 Typescript, React, Vite, TanStack Router
* **Backend:** 
 Typescript, Hono, Drizzle ORM, Postgres
* **Infra:** 
 AWS Lambda, ECS, SST
**What We’re Looking For** 
* Deep expertise in full\-stack Typescript and modern web development
* Proven ability to self\-manage, drive initiatives, and ship without heavy process
* Experience designing systems end\-to\-end—frontend, backend, infra, deployment
* Strong product intuition and an obsession with the end\-user experience
* Ability to 80/20 effectively and move quickly while maintaining high quality
* Willingness to fork libraries, dive into low\-level internals, or build primitives from scratch
* Desire to work in a fast\-paced, high\-ownership environment where impact is obvious
* Excellent communication skills and comfort level interacting with customers</t>
        </is>
      </c>
    </row>
    <row r="235">
      <c r="A235" t="inlineStr">
        <is>
          <t>li-4354635350</t>
        </is>
      </c>
      <c r="B235" t="inlineStr">
        <is>
          <t>Senior Software Engineer - Full Stack</t>
        </is>
      </c>
      <c r="C235" t="inlineStr">
        <is>
          <t>Donnelley Financial Solutions (DFIN)</t>
        </is>
      </c>
      <c r="D235" t="inlineStr">
        <is>
          <t>linkedin</t>
        </is>
      </c>
      <c r="E235">
        <f>HYPERLINK("https://www.linkedin.com/jobs/view/4354635350", "https://www.linkedin.com/jobs/view/4354635350")</f>
        <v/>
      </c>
      <c r="F235" t="inlineStr"/>
      <c r="G235" t="inlineStr"/>
      <c r="H235" t="inlineStr"/>
      <c r="I235" t="inlineStr">
        <is>
          <t>**Summary:** 
 We are looking for technical team members at all levels who want to push themselves to deliver best in market SaaS solutions. We offer a challenging environment where you will have to grow, adapt and use your skills consistently. Our customers rely on us in the moments that matter. Engineering delivers on that promise.
*You can read the bullets below. But they almost always look the same, right?* 
 Here is the deal – being a senior engineer here at DFIN means helping us deliver SaaS software solutions for our customers who primarily work with the SEC or other global regulating bodies. Our products are in demand because we solve regulatory problems for our customers. As a senior engineer, you’ll own projects end to end, write code that others will look towards as a standard, understand how we operate our systems, and make sure our technology grows and doesn’t become a big pile of tech debt.
 This isn’t your simple, run\-of\-the\-mill, boring system. This is a system with an interesting mix of design challenges such as eventual consistency, messaging, concurrency, network resiliency, data replication, load/demand prediction, observability engineering, build and deployment pipeline optimization, etc.
**Responsibilities:** 
* Design and implement concise, modular, cohesive, frontend and backend services in a distributed system context that are resilient, efficient, and reliable.
* Ensure automated tests are highly effective in terms of software quality, refactor flexibility, and integration/delivery speed.
* Concurrent and asynchronous software design/development.
* Advanced asynchronous and resilient network communications design and implementation.
* Extensive usage of all aspects of observability systems from experienced instrumentation of code to well\-designed queries, dashboards, and alerts.
* Data driven optimization of latency, compute, memory, storage, and network traffic.
* Maintain awareness of production system performance, errors, and code usage.
* Communicate with clarity with diagrams, documentation, and presentations to other developers, dev teams, SREs, and management.
* Optimize build, deployment, and IaC provisioning pipelines.
* Rigorous analysis of escaped defects to determine corrective actions with depth of insight.
* Design and develop defensively to maintain or increase security going beyond OWASP and zero trust patterns by truly understanding the area of the system being worked on.
* Rigorous and proficient review and clear feedback on pull requests by team members.
* Keep up with relevant technologies, techniques, tools, and patterns.
* Build software with people. Product managers, other developers, SREs, junior engineers, senior engineers, and offshore. Construct software that matters!
* Constantly address technical debt. Shine a light on it, even when it hurts.
* Plan, lead, or manage projects when called upon to do so while remaining hands on.
**Qualifications:** 
* Commitment to your software development, the products you work on, and the firm.
* 5\-10\+ years of experience working in full stack distributed systems.
* BS in Computer Science or equivalent work experience.
* Experience meeting secure coding standards and willing to participate in financial systems security practices.
* Ability to explain complex topics to managers/directors, program/product managers
* Non\-negotiables
* Strong in C\#
* Must be willing to work with C\#, Node JS, Typescript
* Maybe/sometimes \- REACT (preferred), Angular, or other SPA frontend development tech stack
**Qualifications (cont.):** 
* Roughly 50% or more of the following in rough order of importance
* Distributed systems design patterns and experience
* Concurrency and/or asynchronous operations.
* Messaging systems and patterns using tech like Azure Service Bus, Rabbit MQ, etc.
* Azure (Preferred), AWS, and/or GCP
* In depth REST API experience
* Build pipelines and ideally IaC such as Terraform
* Typescript/JavaScript
* RDBMS such as SQL Databases such as SQL Server or PostgreSQL
* WebSockets or other push technologies
* Algorithm design/optimization and combinatorial problem solving.
* Profiling for compute and memory optimization.
**Education:** 
 BS in Computer Science or equivalent work experience.</t>
        </is>
      </c>
    </row>
    <row r="236">
      <c r="A236" t="inlineStr">
        <is>
          <t>li-4315167123</t>
        </is>
      </c>
      <c r="B236" t="inlineStr">
        <is>
          <t>Full Stack Engineer</t>
        </is>
      </c>
      <c r="C236" t="inlineStr">
        <is>
          <t>Berkley Hunt</t>
        </is>
      </c>
      <c r="D236" t="inlineStr">
        <is>
          <t>linkedin</t>
        </is>
      </c>
      <c r="E236">
        <f>HYPERLINK("https://www.linkedin.com/jobs/view/4315167123", "https://www.linkedin.com/jobs/view/4315167123")</f>
        <v/>
      </c>
      <c r="F236" t="inlineStr"/>
      <c r="G236" t="inlineStr">
        <is>
          <t>San Francisco, CA</t>
        </is>
      </c>
      <c r="H236" t="inlineStr"/>
      <c r="I236" t="inlineStr">
        <is>
          <t>**Full Stack Engineer** 
 Berkley Hunt’s has partnered with a stealth\-stage technology company building trust and safety infrastructure for AI used in mission‑critical, highly regulated environments. They partner with organizations that require rigorous reliability, oversight, and auditability for AI\-driven systems. We are hiring a Full Stack Engineer to join an experienced engineering team and help design and operate the overall end\-to\-end life cycle that powers their core platform.
**About the Role** 
 We are seeking a Full Stack Engineer to design, build, and scale high\-performance web applications from frontend to backend. This is a hands\-on role where curiosity, rapid learning, and shipping quality code are more important than familiarity with any specific language or framework.
**Who You Are:** 
* 3\+ years of professional software development experience across backend and frontend systems
* Strong proficiency in TypeScript and React, with experience in modern web frameworks
* Experience with Prisma or similar database/ORM tools
* Comfortable working across the full stack: frontend interfaces, backend services, and database schemas
* Quick learner who can dive into unfamiliar codebases and ship impactful features
* Startup mindset: thrive in fast\-moving environments, take ownership, and enjoy solving complex problems
**Responsibilities:** 
* Architect, develop, and maintain full\-stack applications powering millions of users
* Ship features end\-to\-end, including backend services, frontend interfaces, and database schemas
* Collaborate with cross\-functional teams to shape product and technical direction
* Ensure application performance, scalability, and reliability in production
* Contribute to code quality, testing, and best practices, and mentor future engineers</t>
        </is>
      </c>
    </row>
    <row r="237">
      <c r="A237" t="inlineStr">
        <is>
          <t>li-4354397309</t>
        </is>
      </c>
      <c r="B237" t="inlineStr">
        <is>
          <t>Software Engineer II in Test</t>
        </is>
      </c>
      <c r="C237" t="inlineStr">
        <is>
          <t>Starry, Inc.</t>
        </is>
      </c>
      <c r="D237" t="inlineStr">
        <is>
          <t>linkedin</t>
        </is>
      </c>
      <c r="E237">
        <f>HYPERLINK("https://www.linkedin.com/jobs/view/4354397309", "https://www.linkedin.com/jobs/view/4354397309")</f>
        <v/>
      </c>
      <c r="F237" t="inlineStr"/>
      <c r="G237" t="inlineStr">
        <is>
          <t>Boston, MA</t>
        </is>
      </c>
      <c r="H237" t="inlineStr"/>
      <c r="I237" t="inlineStr">
        <is>
          <t>About Starry:
 Starry is proud to be an Equal Opportunity workplace. Just like the internet service we provide, we do not discriminate. We welcome people from all over the world to share their knowledge and perspectives. At Starry, you can discover the many careers and opportunities that are made possible when you connect people to the limitless possibilities of the internet.
 Our mission focuses on two things. First, we're making the experience of accessing the internet simple, transparent, and delightful. Second, we're bringing that experience to underserved communities around the world. We approach our mission with cutting\-edge wireless technology, customer service designed to delight, and a culture of innovation and intellectual curiosity.
 What You'll Do:
* Design, develop, and extend custom test frameworks, testbeds, and network infrastructure
* Write software that interfaces with Starry hardware, both as a complete system and in test harnesses
* Develop automated scripts in Python to continually improve testing capabilities
* Evaluate product and feature specifications and requirements
**Requirements**
 Requirements:
* Bachelor of Science in Computer Science, Electrical/Computer Engineering, or other related disciplines
* Working knowledge of embedded systems and networking concepts, preferably from experience in developing these technologies
* Proficiency with Python, Linux, networking, and bash
* Experience with source control and defect tracking systems (Github, Jira, etc.)
* Strong interpersonal skills and a love of learning
 Bonus Points:
* Understanding of wireless communications protocols, e.g. 802\.11ac/ax (Wi\-Fi)
* Familiarity with electronics labs and test equipment
* Knowledge of languages such as C, C\+\+, and Rust
* Experience with RF systems and concepts
**Benefits**
 All full time Starry employees receive:
* Generous employer contribution for you and your dependents on low deductible health plan, dental plan, vision plan, AD\&amp;D, and life insurance and access to our 401(k) retirement plan
* 12 weeks of 100% paid parental leave for all new parents after six months of continuous employment
* Salary range of $110,000 to $125,000\. Final salary will be based on a variety of factors, including experience, education, and training</t>
        </is>
      </c>
    </row>
    <row r="238">
      <c r="A238" t="inlineStr">
        <is>
          <t>li-4354397568</t>
        </is>
      </c>
      <c r="B238" t="inlineStr">
        <is>
          <t>Autonomy Software Developer</t>
        </is>
      </c>
      <c r="C238" t="inlineStr">
        <is>
          <t>TECHFORGE SOLUTIONS</t>
        </is>
      </c>
      <c r="D238" t="inlineStr">
        <is>
          <t>linkedin</t>
        </is>
      </c>
      <c r="E238">
        <f>HYPERLINK("https://www.linkedin.com/jobs/view/4354397568", "https://www.linkedin.com/jobs/view/4354397568")</f>
        <v/>
      </c>
      <c r="F238" t="inlineStr"/>
      <c r="G238" t="inlineStr">
        <is>
          <t>Dayton, OH</t>
        </is>
      </c>
      <c r="H238" t="inlineStr"/>
      <c r="I238" t="inlineStr">
        <is>
          <t>**LOCATION** 
 : Hybrid; Dayton, OH
**ELIGIBILITY:** 
 US Citizen
**CLEARANCE:** 
 Secret (or Higher), Successful Background Check Required..
**POSITION:** 
 Developer I, Developer II, Developer III
**GROUP:** 
 Investigative Research \&amp; Development (IR\&amp;D)
**DESCRIPTION** 
 :
 TECHFORGE Solutions is looking for one or more mid to senior level, experienced Autonomous \&amp; Manned Aircraft Modeling \&amp; Simulation Software Developer/Engineers to join our team in the Dayton, OH office. We are looking for a self\-motivated, intelligent, and talented software developer with the ability to translate systems \&amp; simulation models and algorithms into C\+\+ code with ease. You will work with a diverse team of Model Based Systems Engineering (MBSE) analysts and autonomous systems scientists to translate and implement digital models and algorithms into C\+\+ for execution.
 At TECHFORGE, we work on high complexity autonomy systems, and we are looking for the right candidate that is excited to join a dynamic team of scientists and engineers building the cutting\-edge autonomous fleet of the future. As an autonomy software developer/engineer, you will work on design of the various algorithms that lie at the heart of the autonomous control systems and subsystems that drive interaction between them and you will have a direct influence on design decisions.
 You will join a multi\-faceted, collaborative, and experienced team of scientists and engineers who will encourage and help you to develop skills including coding and modelling, mathematics, dynamics and control theory, utilizing leading edge custom and commercial tools. You will broaden your technical knowledge of the design and function of complex autonomous vehicle systems and have input into a wide range of work projects, ranging from feasibility studies through high\-profile projects.
**RESPONSIBILITIES** 
 :
**For this role we are seeking a competent and motivated MATLAB / C\+\+ software developer** 
 ;
 **with proven expertise in the field of software engineering and algorithm implementation** 
 . Your expertise will contribute to the team’s ability to develop models and algorithms that govern the application of system inputs to drive the vehicle system state for maximum efficiency, safety, stability of control, optimality, and achievement of mission objectives.
 You will work with the product design and engineering team to implement code based on algorithms developed by subject matter experts in one or more of 4 areas of expertise: Guidance, Control, Navigation, Command and Control (C2\).
 As a TECHFORGE team member, the Autonomous Vehicle Software Developer will work alone or on a team within an AGILE product development life cycle, supporting activities which include requirements creation, sprint planning, and grooming, etc. to collaborate across time zones via tools such as Teams, Slack, GitHub, Zoom, Jira, shared documents, and frequent video conferences. The Autonomous Vehicle Software Developer/Engineer will have responsibility for participating in all aspects of agile product development including design, implementation, and deployment for internal and external client product development.
**TRAVEL:** 
 The role will be
 **Hybrid** 
 . The role is primarily remote, but it will require regular (weekly) travel, 2\-3 days per week, to Dayton, OH as necessary for team collaboration, client meetings, and/or presentations.
**REQUIREMENTS:**
* All candidates must be U.S. Citizens.
* A Secret (or higher) level U.S. government security clearance is required for this role. If you have an inactive clearance that is eligible to be reactivated, that is acceptable.
* All candidates must pass a full scope background check prior to employment.
* BS Degree in Computer Science, Computer Engineering, Mathematics, Physics, Electrical Engineering, Mechanical Engineering, or similar engineering/science/technical education.
* Significant professional experience may be accepted in place of a degree, subject to client approval.
* Must be able to travel, domestically, up to 10% as needed.
* Strong oral and written communication skills.
* Ability to work in a hybrid (partially on\-site, partially remote), collaborative, team environment.
* Experience with remote collaboration tools (e.g., Teams, WebEx, Meet, Zoom, etc.).
* Perform other related duties as assigned.
**REQUIRED SKILLS:**
* Professional experience in algorithmic software development (minimum of 3 years professional experience).
* Professional software coding experience in C\+\+ (minimum of 3 years professional experience).
* Professional experience in MATLAB, AFSIM, Simulink or similar modeling tool suites.
* Evidence of prototyping \&amp; engineering product development experience.
* Strong math skills, preferably a mathematics minor or proven experience.
* Familiarity with modern, industry standard DevOps and Software Life\-cycle tools.
* Ability to work under time pressure and to a budget.
* Excellent written and verbal communication skills.
* Experience in a client\-facing role.
* Able to demonstrate a commitment to quality and delivery.
* Self\-motivated.
**MINIMUM EDUCATION** 
 : Bachelor’s degree in a Computer Science, Computer Engineering, Mathematics, Physics, Electrical Engineering, Mechanical Engineering or other engineering related field. Significant professional experience may be accepted in place of a degree, if the candidate meets the above qualifications and has at least 7\+ years of relevant professional experience (subject to client approval).
**DESIRED SKILLS:**
* Professional Experience with MATLAB (2\+ years).
* Background in autonomy software development and autonomous vehicle control implementation highly desired.
* Strong interest in in learning new tools, languages, workflows, and philosophies.
* MS Degree (or higher) in Computer Science, Mathematics, Physics, Electrical Engineering, Mechanical Engineering, or similar is highly desired.
* Experience in applied mathematics is desired.
* Additional experience in Python software development desirable.
* Security Clearance: Top Secret or higher.</t>
        </is>
      </c>
    </row>
    <row r="239">
      <c r="A239" t="inlineStr">
        <is>
          <t>li-4335205638</t>
        </is>
      </c>
      <c r="B239" t="inlineStr">
        <is>
          <t>Fullstack Software Engineer</t>
        </is>
      </c>
      <c r="C239" t="inlineStr">
        <is>
          <t>PermitFlow</t>
        </is>
      </c>
      <c r="D239" t="inlineStr">
        <is>
          <t>linkedin</t>
        </is>
      </c>
      <c r="E239">
        <f>HYPERLINK("https://www.linkedin.com/jobs/view/4335205638", "https://www.linkedin.com/jobs/view/4335205638")</f>
        <v/>
      </c>
      <c r="F239" t="inlineStr"/>
      <c r="G239" t="inlineStr">
        <is>
          <t>New York, NY</t>
        </is>
      </c>
      <c r="H239" t="inlineStr"/>
      <c r="I239" t="inlineStr">
        <is>
          <t>PermitFlow is redefining how America builds. We’re an applied AI company serving the nation’s builders, tackling one of the largest information challenges in the economy: understanding
 *what can be built, where, and how* 
 . Our AI agent workforce helps the fastest\-growing construction companies navigate everything from permitting and licensing to inspections and project closeouts – accelerating housing, clean\-energy, and infrastructure development across the country.
 Despite being a $1\.6T industry, construction still suffers from massive delays, wasted capital, and lost opportunity. PermitFlow has already delivered unprecedented speed, accuracy, and visibility to over $20B in development, helping contractors reduce compliance time, de\-risk projects, and scale with confidence.
 America is entering a CAPEX super\-cycle, from data centers and factories to housing and renewables, and joining PermitFlow is building the AI at the heart of every construction project powering the next wave of re\-industrialization.
 We’ve raised over $90M, most recently completing our Series B, from top\-tier investors including Accel, Kleiner Perkins, Initialized, Y Combinator, Felicis, and Altos Ventures, with backing from leaders at OpenAI, Google, Procore, ServiceTitan, Zillow, PlanGrid, and Uber.
**Our HQ is in New York City with a hybrid schedule (3 in\-office days per week). Preference for NYC\-based candidates or those open to relocation.**
**What You’ll Do**
* Transform complex, manual permitting workflows into seamless, AI\-enabled software experiences.
* Design and implement backend and frontend services, APIs, and data pipelines to support AI\-driven workflows.
* Partner cross\-functionally with Operations, Customer Success, and Sales to deliver intelligent, user\-facing features.
* Work directly with users to shape product direction and rapidly ship features that drive impact.
* Own features end\-to\-end, from architecture and implementation to testing and production deployment.
* Help establish engineering best practices and contribute to a culture of technical excellence.
**What We’re Looking For**
* Strong experience in fullstack development, ideally including time at a startup or fast\-moving team
* Comfortable owning features across frontend, backend, and data layers
* Experience with React, TypeScript, Node.js, and Postgres, or ability to learn quickly
* Track record of shipping production systems and making thoughtful trade\-offs for speed, reliability, and scalability
* Excitement for AI\-powered tools that solve real\-world construction challenges and a customer\-first mindset
 What We Offer
* Competitive salary and meaningful equity in a high\-growth company
* Comprehensive medical, dental, and vision coverage
* Flexible PTO and paid family leave
* Home office \&amp; equipment stipend
* Hybrid NYC office culture (3 days in\-office/week) with direct access to leadership
* In\-Office Lunch \&amp; Dinner Provided</t>
        </is>
      </c>
    </row>
    <row r="240">
      <c r="A240" t="inlineStr">
        <is>
          <t>li-4354594633</t>
        </is>
      </c>
      <c r="B240" t="inlineStr">
        <is>
          <t>Software Engineer</t>
        </is>
      </c>
      <c r="C240" t="inlineStr">
        <is>
          <t>Helic &amp; Co.</t>
        </is>
      </c>
      <c r="D240" t="inlineStr">
        <is>
          <t>linkedin</t>
        </is>
      </c>
      <c r="E240">
        <f>HYPERLINK("https://www.linkedin.com/jobs/view/4354594633", "https://www.linkedin.com/jobs/view/4354594633")</f>
        <v/>
      </c>
      <c r="F240" t="inlineStr"/>
      <c r="G240" t="inlineStr"/>
      <c r="H240" t="inlineStr"/>
      <c r="I240"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241">
      <c r="A241" t="inlineStr">
        <is>
          <t>li-4328890933</t>
        </is>
      </c>
      <c r="B241" t="inlineStr">
        <is>
          <t>Frontend Engineer</t>
        </is>
      </c>
      <c r="C241" t="inlineStr">
        <is>
          <t>Topsort</t>
        </is>
      </c>
      <c r="D241" t="inlineStr">
        <is>
          <t>linkedin</t>
        </is>
      </c>
      <c r="E241">
        <f>HYPERLINK("https://www.linkedin.com/jobs/view/4328890933", "https://www.linkedin.com/jobs/view/4328890933")</f>
        <v/>
      </c>
      <c r="F241" t="inlineStr"/>
      <c r="G241" t="inlineStr">
        <is>
          <t>Somerville, MA</t>
        </is>
      </c>
      <c r="H241" t="inlineStr"/>
      <c r="I241" t="inlineStr">
        <is>
          <t>We're quickly growing and super excited for you to join us!
**About Topsort** 
 At Topsort, we believe in the mission of democratizing the secret technologies of the walled gardens and creating a privacy\-first cookie\-free world of clean advertising with modern tech, friendly products, and AI. We believe in making advertising intuitive, intelligent, and genuinely cool, without any of the creepy ads or cookie\-obsession (well, maybe just the chocolate ones). In a rapidly changing industry, we're on a mission to democratize monetization access for all and ensure that advertising doesn't leave any brand or seller feeling confused or overwhelmed
 Today, Topsort has 6 major hubs worldwide, and employees in 13\+ countries, including Menlo Park, Boston, Santiago Chile, São Paulo Brazil, Barcelona Spain, and Sydney Australia. We are a truly global company that was born in the pandemic that’s had rapid growth since out of a genius product, a customer\-first mentality, and a hardworking team of talented individuals. Since our founding in 2021, we’ve gained customers in retail, marketplaces, and delivery apps in 40\+ countries and are quickly approaching the \#1 position in the industry.
 Do you enjoy a fast\-paced environment? Do you like seeing your work create real\-time impact, being part of a rocket ship from the very beginning? Let’s do the unimaginable \- let’s make ads clean and cool again, with AI and modern technology.
**Why Topsort? Why now?** 
 Topsort is changing the way Retail Media works. By joining our scaling team, you'll feel your impact from day 1\. The processes and messaging you build today will be a critical part of our foundation as we accelerate toward 200 Topsorters worldwide, and your innovations will leave a lasting mark on the industry, as a whole. Retail Media is on the verge of a new era, and Topsort is gathering the ecosystem together to shape a brighter future. Joining us now, you'll work directly alongside our co\-founders and founding members to bring on Retail Media 3\.0\. If you're looking to define your career as something greater than yourself, come scale with us.
**What it’s like to work at Topsort** 
 At Topsort, we communicate openly and move fast. We say things as they are, challenge each other early, and embrace feedback with curiosity—it’s how we build better, faster. Every experiment has a purpose, and every outcome helps us make the next decision smarter. There’s no single formula for success here; we find what works, improve it, and scale it.
 We’re collaborative internally and competitive externally—never the other way around. The pace is quick, sometimes a 100\-mph kind of fast, and that’s what keeps it exciting. We act with intent, lift each other up, and turn bold ideas into real results. No endless meetings here—if it can be done today, it gets done today.
**What is this Role like?**
 As a
 **Senior Front\-End Developer** 
 at Topsort, you’ll be responsible for building and optimizing user\-facing features that power our platform, working closely with designers, product managers, and backend engineers to deliver seamless and responsive web experiences. You’ll work primarily with modern JavaScript frameworks like React (and ideally Next.js), focusing on performance, accessibility, and scalability. This role is ideal for someone who thrives in a fast\-paced startup environment, enjoys turning complex problems into intuitive interfaces, and takes pride in clean, maintainable code.
**What you will do at Topsort:** 
* Develop, maintain, and optimize front\-end components and user interfaces.
* Work closely with designers, product managers, and backend developers to implement new features.
* Ensure cross\-browser compatibility and responsive design for web applications.
**What We Think You Need to Be Successful** 
 We’re open to candidates who don’t check every box but show strong potential.
**Core Requirements \&amp; Experience** 
* Bachelor’s in Computer Science, Design, or related field.
* 2\+ years of experience in front\-end development.
* Strong knowledge of JavaScript, HTML, CSS, and front\-end frameworks such as React.
* Proficiency in modern JavaScript frameworks (React, Vue.js, or similar).
* Experience with front\-end build tools and workflows (Webpack, Babel, NPM).
* Strong understanding of responsive design, accessibility, and web performance optimization.
* Preferred experience: Experience with Next.js or server\-side rendering (SSR). Contributions to open\-source projects or development of high\-traffic web applications.
* Availability to work 4 days a week onsite from our Somerville office.
**Bonus Points** 
* Demonstrated experience working in a three\-tier application architecture
* Experience working with Python frameworks like FastAPI
* Experience working with PostgreSQL
**What We Value** 
 At Topsort, we seek professionals who embody the following qualities to drive our mission forward:
* ****Deep dive into details:****
 Professionals who are not content with superficial answers and dive deeply into the details to uncover root causes and optimal solutions.
* ****Team first:****
  A low need for individual recognition, always prioritizing collective results over personal credit.
* ****You thrive with ambiguity:****
 Exceptional ability to tackle open\-ended problems in unstructured environments, turning chaos into structured innovation.
* ****Adaptability:****
 Willingness to learn, mentor, lead, and follow as the situation demands, fostering growth at all levels.
* ****Urgency:****
 A disproportionate sense of urgency in execution, while keeping scalability and the creation of replicable processes in mind to ensure long\-term success.
* ****Curiosity:****
 Genuinely curious individuals who can quickly learn difficult concepts and apply them effectively.
*We are proud to be an equal opportunity employer and to foster a workplace where diversity is valued and celebrated. We believe that diverse perspectives and experiences strengthen our teams and drive better outcomes. We respect and value any race, religion, color, national origin, ancestry, caste, gender, gender identity or expression, sexual orientation, age, disability, medical condition, pregnancy, genetic information, marital status, or military service.* 
 Do you sound like the right fit? Let's dive right in!</t>
        </is>
      </c>
    </row>
    <row r="242">
      <c r="A242" t="inlineStr">
        <is>
          <t>li-4354339417</t>
        </is>
      </c>
      <c r="B242" t="inlineStr">
        <is>
          <t>Embedded Systems Software Engineer</t>
        </is>
      </c>
      <c r="C242" t="inlineStr">
        <is>
          <t>Galois, Inc.</t>
        </is>
      </c>
      <c r="D242" t="inlineStr">
        <is>
          <t>linkedin</t>
        </is>
      </c>
      <c r="E242">
        <f>HYPERLINK("https://www.linkedin.com/jobs/view/4354339417", "https://www.linkedin.com/jobs/view/4354339417")</f>
        <v/>
      </c>
      <c r="F242" t="inlineStr"/>
      <c r="G242" t="inlineStr">
        <is>
          <t>Portland, OR</t>
        </is>
      </c>
      <c r="H242" t="inlineStr"/>
      <c r="I242" t="inlineStr">
        <is>
          <t>**About Galois**
**Who We Are:** 
 From building digital engineering tools that make space exploration safer to verifying cryptographic libraries that protect some of the world's most valuable data, Galois develops technology to guarantee the trustworthiness of systems where failure is unacceptable.
 We are a community of researchers, engineers, and operations people dedicated to creating trustworthiness in critical systems in every functional area of the organization. Our unique organizational structure enables us to adapt to the needs of the innovative projects we deliver.
**What We Do:** 
 We believe trustworthy systems are built on a formal mathematical foundation. Our researchers apply formal analysis techniques to the design and verification of critical software systems, allowing us to model, analyze, and mathematically prove that a system behaves exactly as intended under all circumstances. With clients including NASA, DARPA, AWS, and the DoW, we leverage our cutting\-edge research to deliver high assurance solutions and tools that enhance security, reliability, and operational efficiency across sectors including aerospace \&amp; defense, healthcare, semiconductors, and fintech.
 Research Engineers at Galois design and develop advanced technologies for safety\- and security\-critical systems, networks, and applications. Engineers work in small team settings and must successfully interact with clients, partners, and other employees in a highly cooperative, collaborative, and intellectually challenging environment.
**Life at Galois:** 
 People are the foundation of Galois's success. As an employee\-owned company, we care not only about the technologies we develop, but also the path we take to create them. Galois operates under a highly collaborative organizational model that encourages leadership and teamwork and respects the individuals.
 For more on our culture and organizational structure, visit Life at Galois.
**About This Role**
 We are currently seeking researchers/engineers with embedded systems and software assurance expertise to perform research on embedded systems. Software assurance is pivotal in fulfilling our mission to make critical systems trustworthy.
**Responsibilities**
 As a Research Engineer, you will have the following responsibilities:
* Requirements gathering: Engaging the client in a series of discussions, where each iteration refines the needs of the client and leads to suggestions for means to meet those needs
* Architecture and design: constructing high\-level architectural descriptions of systems, and constructing deeper designs by fleshing out architecture prototypes. Architectures must be designed with assurance in mind, determining where and how formal methods are to be applied
* Implementation: extending design prototypes through to a finished product, with care taken to ensure robustness and ease of use.
* Software Assurance: use mechanical reasoning tools and techniques such as static analysis, property\-based testing, bounded model\-checking, or symbolic execution to demonstrate or analyze desired security and correctness properties of software systems
* Testing and validation: constructing and regularly conducting system, unit, and regression tests, as well as conducting semi\-formal validation and verification
* Technology research and development: conducting speculative research and development of cutting\-edge technology, and incorporating that technology in product prototypes.
* Technical infrastructure development: developing (designing, implementing, and maintaining) tools to be used within Galois, and developing library code to be shared among projects
**Key Qualifications**
* Education \- Minimum of a BS in computer science, electrical engineering, or mathematics
* Required Technical Expertise
+ Experience building highly performant and trustworthy cyber\-physical software for mission\-critical applications
+ Experience with C, C\+\+, and Rust programming languages
+ Experience with advanced software analysis tools based on symbolic execution (e.g., Kani, Frama\-C, Verus, or Astree)
+ Experience developing, testing, and operationalizing capabilities in integrated (SWIL/HWIL) lab environments
+ Ability to work in a small team to rapidly prototype and operationalize new features and capabilities
+ Eagerness to learn new tools and techniques emerging from the R\&amp;D community
* Desired Technical Expertise
+ Experience developing control algorithms in MATLAB/simulink or Ansys SCADE
+ In\-depth understanding of formal verification principles, methods, and relevant standard industry practices
* Required General Skills:
+ Must work well with customers, including building rapport, identifying needs, and communicating with strong written, verbal, and presentation skills.
+ Must be highly motivated and able to self\-manage deadlines and quality goals
**Location**
 We enjoy a hybrid work environment, and candidates may be based out of any of our offices in Arlington, VA, Dayton, OH, Minneapolis, MN, or Portland, OR. Additionally, being located in Boston, MA is also welcome.
**Security and Citizenship Requirement**
 Active and transferable U.S. government issued security clearance is required.
 U.S. citizenship is required, as only U.S. citizens are eligible for a security clearance .
**Benefits**
 We offer a robust benefits package to provide for your and your family's well\-being, including:
* Employee Stock Ownership Plan (ESOP)
* 401(k) retirement plan with 5% employer match and immediate vesting
* Fully paid medical insurance plans, and dental and vision reimbursement plan
* Health Savings Account (HSA) with generous employer contributions
* Mental health and well\-being support through our employee assistance program
* 5 weeks of paid time off and 9 days of paid company holidays each year
* 16 weeks of fully paid parental leave (available for birth, adoption, and fostering)
* 1 week of fully paid "Blue Sky" innovation time each year to pursue your interests
 For more information on our benefits, visit Careers at Galois.
**Compensation**
 Compensation is based on the value of your results, not your value as an employee or person. The compensation process, individual salaries, and criteria for salary changes are transparent to the entire company.
 For more information about our forward\-looking and transparent approach to pay, visit Compensation.
**Equal Employment Opportunity**
 Galois is an Equal Opportunity Employer and does not discriminate in employment opportunities or practices based on race, ethnicity, national origin, ancestry, color, sex, gender identity or expression, sexual orientation, marital or parental status, pregnancy or childbirth, disability, age, religion, creed, genetic information, veteran status, or any other characteristic protected by applicable federal, state, or local law. We encourage and respect different viewpoints and experiences as being essential to the process of innovation. We strive to acquire, grow, and maintain a diverse and inclusive workplace that applies principles and standards equitably while supporting the needs and accommodations of the individual employee.
 Consistent with the Americans with Disabilities Act (ADA) and federal and state laws, it is the policy of Galois, Inc. to provide reasonable accommodation when requested by a qualified applicant or employee with a disability, unless such accommodation would cause an undue hardship. If you require reasonable accommodation in completing the employment application, interviewing, completing any pre\-employment testing, or otherwise participating in the employee selection process, please contact peopleoperations@galois.com.</t>
        </is>
      </c>
    </row>
    <row r="243">
      <c r="A243" t="inlineStr">
        <is>
          <t>li-4354348923</t>
        </is>
      </c>
      <c r="B243" t="inlineStr">
        <is>
          <t>Senior Software Engineer</t>
        </is>
      </c>
      <c r="C243" t="inlineStr">
        <is>
          <t>Metric Bio</t>
        </is>
      </c>
      <c r="D243" t="inlineStr">
        <is>
          <t>linkedin</t>
        </is>
      </c>
      <c r="E243">
        <f>HYPERLINK("https://www.linkedin.com/jobs/view/4354348923", "https://www.linkedin.com/jobs/view/4354348923")</f>
        <v/>
      </c>
      <c r="F243" t="inlineStr"/>
      <c r="G243" t="inlineStr">
        <is>
          <t>Menlo Park, CA</t>
        </is>
      </c>
      <c r="H243" t="inlineStr"/>
      <c r="I243" t="inlineStr">
        <is>
          <t>We’re partnering with a fast\-growing healthcare AI company building production\-grade software that connects advanced machine\-learning models directly into real clinical workflows. This role sits at the intersection of full\-stack engineering, cloud infrastructure, and data\-intensive systems supporting clinician\-facing applications.
 You’ll work on systems that handle voice\-driven clinical documentation, structured report generation, and backend services that operate at scale in a regulated environment.
**What You’ll Work On:** 
* Build and operate full\-stack services supporting clinician workflows and AI\-powered applications
* Develop systems that transform voice dictation and model outputs into structured clinical reports
* Create workflows for drafting, editing, and final clinician sign\-off
* Design and maintain low\-latency, scalable backend services in the cloud
* Work with large volumes of structured and unstructured data, including metadata and model outputs
* Partner closely with machine\-learning and infrastructure teams to bring inference into production
* Own services end\-to\-end: design, implementation, deployment, and ongoing reliability
**What We’re Looking For:** 
* Demonstrated ability to build and ship full\-stack systems in production environments
* Experience designing, deploying, and operating cloud\-based services (AWS preferred)
* Comfort owning API\-driven, data\-intensive systems
* Experience working with distributed systems and production reliability concerns
* Familiarity with a modern backend stack, such as:
* AWS (e.g., EC2, S3, ECS/EKS, IAM, monitoring/logging tools)
* Python\-based backend services (e.g., FastAPI or similar frameworks)
* Relational databases (e.g., PostgreSQL or equivalent)
* Strong ownership mindset and sound engineering judgment
 This team is not credential\-driven \- they value clear evidence of impact, technical depth, and the ability to own complex systems.
**Nice to Have:** 
* Experience with report generation, document workflows, or structured text pipelines
* Exposure to ML inference pipelines or AI\-powered production systems
* Background working in healthcare or other regulated environments</t>
        </is>
      </c>
    </row>
    <row r="244">
      <c r="A244" t="inlineStr">
        <is>
          <t>li-4354595343</t>
        </is>
      </c>
      <c r="B244" t="inlineStr">
        <is>
          <t>Software Engineer</t>
        </is>
      </c>
      <c r="C244" t="inlineStr">
        <is>
          <t>Click2.ai</t>
        </is>
      </c>
      <c r="D244" t="inlineStr">
        <is>
          <t>linkedin</t>
        </is>
      </c>
      <c r="E244">
        <f>HYPERLINK("https://www.linkedin.com/jobs/view/4354595343", "https://www.linkedin.com/jobs/view/4354595343")</f>
        <v/>
      </c>
      <c r="F244" t="inlineStr"/>
      <c r="G244" t="inlineStr"/>
      <c r="H244" t="inlineStr"/>
      <c r="I244" t="inlineStr">
        <is>
          <t>Software Engineer – Applied AI \&amp; LLM Systems
 Role Overview
 This role focuses on building, deploying, and operating
 **production LLM\-powered applications** 
 at Click2\.ai Consulting. You will design and implement AI\-driven features such as search, document understanding, and workflow copilots, with a strong emphasis on
 **software engineering rigor, evaluation, and reliability** 
 .
 Systems are primarily deployed on
 **AWS** 
 , with periodic integration into
 **Azure\-hosted client environments** 
 .
 Responsibilities
* Design and implement
 **LLM\-based applications** 
 including RAG search, document Q\&amp;A, summarization, and task copilots
* Build and maintain
 **retrieval pipelines** 
 (chunking strategies, embeddings, indexing, permissions\-aware access)
* Develop backend services using
 **Python and TypeScript**
* Deploy, operate, and monitor AI services on
 **AWS infrastructure**
* Design and maintain
 **evaluation frameworks** 
 for quality, hallucination rates, latency, and cost
* Implement
 **guardrails** 
 including citation enforcement, PII handling, prompt/version control, and safety checks
* Instrument systems and drive improvements based on production usage data
* Integrate with
 **Azure\-based client systems** 
 where required
 Qualifications
* 3\+ years of professional experience as a
 **software engineer** 
 , with applied LLM or ML system experience
* Strong proficiency in
 **Python and TypeScript**
* Experience deploying production services on
 **AWS**
* Familiarity with
 **Azure cloud concepts** 
 and enterprise identity systems
* Experience with
 **vector databases, embeddings, and retrieval systems**
* Strong understanding of
 **system design and production operations**
* Fluent in English
 Preferred Qualifications
* React experience for user\-facing AI features
* Experience operating AI systems in regulated or enterprise environments
* Familiarity with observability, performance optimization, and cost management
- 
**Remote work available** 
 Resumes:
 **rdeck@click2\-ai.com**</t>
        </is>
      </c>
    </row>
    <row r="245">
      <c r="A245" t="inlineStr">
        <is>
          <t>li-4351335554</t>
        </is>
      </c>
      <c r="B245" t="inlineStr">
        <is>
          <t>Senior Software Engineer</t>
        </is>
      </c>
      <c r="C245" t="inlineStr">
        <is>
          <t>Cabana</t>
        </is>
      </c>
      <c r="D245" t="inlineStr">
        <is>
          <t>linkedin</t>
        </is>
      </c>
      <c r="E245">
        <f>HYPERLINK("https://www.linkedin.com/jobs/view/4351335554", "https://www.linkedin.com/jobs/view/4351335554")</f>
        <v/>
      </c>
      <c r="F245" t="inlineStr"/>
      <c r="G245" t="inlineStr">
        <is>
          <t>New York, United States</t>
        </is>
      </c>
      <c r="H245" t="inlineStr"/>
      <c r="I245" t="inlineStr">
        <is>
          <t>**Senior Software Engineer** 
**$205k – $250k \+ Equity \| NY** 
 A high\-growth YC\-backed startup is looking for a
 **Senior Software Engineer** 
 to join their founding team in New York City.
 Backed by Y Combinator and top investors, this startup is building the operating system for a trillion\-dollar industry still running on spreadsheets and paper processes. They’ve grown 7x in the past year and are now hiring a product\-driven software engineer to help lead their next wave of growth.
 The current team comes from
 **Instagram, Cash App, PagerDuty, and Foraged\-** 
 a small, highly\-talented group working in\-person in NYC.
**Role** 
 The Senior Product Engineer will:
* Own the product end\-to\-end: customer conversations → UI sketches → code → QA → ship.
* Influence not just the code, but the direction of the business.
* Lead key strategic initiatives that can reshape the industry.
* Ship quickly, with an obsession for craft and user experience.
**Ideally** 
* 7–15 years engineering experience.
* Big Tech pedigree (FAANG\-level or equivalent scale).
* Startup experience (Seed–Series B, hands\-on execution).
* Strong product mindset\- cares as much about UX as technical design.
* Owner’s mentality\- makes tradeoffs like a founder would.
* Collaborative and energised by small, high\-calibre teams.
 Candidates with backgrounds limited to consulting, solutions engineering, or support roles will not be considered.
**Tech** 
 TypeScript, React, Remix, Node.js, Postgres.
**Process** 
1. Intro Chat (30 min)
2. Meet the Team (90 min)
3. Paid Work Trial (1 day)
 If you enjoy staying ahead on early\-stage chaos, big raises, founder drama, and where the best engineers are actually heading, I also run
 **n
 *ot An Engineering Newsletter***
*.* 
 We often post roles before they're live on LinkedIn or the job boards of the actual companies.
 Check it out here: naen.beehiiv.com</t>
        </is>
      </c>
    </row>
    <row r="246">
      <c r="A246" t="inlineStr">
        <is>
          <t>li-4330177811</t>
        </is>
      </c>
      <c r="B246" t="inlineStr">
        <is>
          <t>Full Stack Engineer</t>
        </is>
      </c>
      <c r="C246" t="inlineStr">
        <is>
          <t>Primis</t>
        </is>
      </c>
      <c r="D246" t="inlineStr">
        <is>
          <t>linkedin</t>
        </is>
      </c>
      <c r="E246">
        <f>HYPERLINK("https://www.linkedin.com/jobs/view/4330177811", "https://www.linkedin.com/jobs/view/4330177811")</f>
        <v/>
      </c>
      <c r="F246" t="inlineStr"/>
      <c r="G246" t="inlineStr">
        <is>
          <t>Texas, United States</t>
        </is>
      </c>
      <c r="H246" t="inlineStr"/>
      <c r="I246" t="inlineStr">
        <is>
          <t>**Software Engineer (Vue.js)** 
**US Remote \| Up to $130k** 
**No Visa Sponsorship offered** 
**Full Stack Software Engineer \| Purpose\-Driven Tech** 
 Join a fast\-growing company on a mission to eliminate wire fraud. Their platform combines identity verification SaaS, fraud insurance, and recovery services, protecting thousands of businesses and individuals from financial loss.
 As part of their team, your code will have a real\-world impact. You’ll work across the stack (
 **C\#, Vue, TypeScript, MongoDB)** 
 , take ownership of meaningful projects, and grow in a supportive, innovative environment.
**What you’ll do** 
 :
* Build, debug, and scale applications across front and back end
* Collaborate with product, design, and engineering teams to deliver impactful solutions
* Contribute to code reviews and best practices
* Explore new tools and technologies while improving engineering culture
**What they’re looking for** 
 :
* 3–5 years of software engineering experience
* Strong skills in C\#, Java, C\+\+, or Python
* 3\-5 years of experience working with Vue.js
* Solid understanding of version control, testing, CI/CD, and agile ways of working
**Nice to have** 
 : Cloud (AWS/Azure/GCP), Docker/Kubernetes, Terraform, Cloudflare, Figma, LaunchDarkly
**Perks \&amp; benefits** 
 : Competitive pay, equity, 401(k) match, flexible vacation \+ paid holidays (including your birthday!), health \&amp; wellness benefits, parental leave, and professional development support.
**Why apply?** 
 This isn’t just another engineering role; it’s a chance to solve complex challenges that protect people from devastating financial loss. Every line of code makes a difference.
*Research indicates that men will apply to a role when they only meet 50\-60% of the descriptions; however, when looking at women and other minority groups, they can look for up to a 99% match in order to apply to a role. If you feel you are a fit for our role, please still apply, don’t worry if you don’t tick every single box. We’d still love to hear from you. We encourage underrepresented talent to apply to all our roles \&amp; support accessibility needs*</t>
        </is>
      </c>
    </row>
    <row r="247">
      <c r="A247" t="inlineStr">
        <is>
          <t>li-4354634055</t>
        </is>
      </c>
      <c r="B247" t="inlineStr">
        <is>
          <t>Senior Software Engineer - Full Stack</t>
        </is>
      </c>
      <c r="C247" t="inlineStr">
        <is>
          <t>Axion</t>
        </is>
      </c>
      <c r="D247" t="inlineStr">
        <is>
          <t>linkedin</t>
        </is>
      </c>
      <c r="E247">
        <f>HYPERLINK("https://www.linkedin.com/jobs/view/4354634055", "https://www.linkedin.com/jobs/view/4354634055")</f>
        <v/>
      </c>
      <c r="F247" t="inlineStr"/>
      <c r="G247" t="inlineStr">
        <is>
          <t>San Francisco, CA</t>
        </is>
      </c>
      <c r="H247" t="inlineStr"/>
      <c r="I247" t="inlineStr">
        <is>
          <t>**About Us**
 Founded in 2021, Axion is at the forefront of transforming product quality and customer satisfaction in manufacturing. Our cutting\-edge AI\-powered platform empowers manufacturers to swiftly identify, thoroughly investigate, and effectively resolve quality issues while simultaneously elevating customer experiences and outcomes.
 As trailblazers in end\-to\-end quality intelligence, we're setting new industry standards. Our innovative approach enables industrial, aerospace, consumer, and medtech manufacturers to harness the power of quality and post\-market data, driving down costs and boosting business performance.
 Our vision extends beyond mere problem\-solving; we're committed to reshaping the future of manufacturing. By seamlessly integrating advanced AI technology with deep industry expertise, Axion is paving the way for smarter, safer, and more efficient production processes across diverse sectors.
 Backed by leading investors, including Bessemer Venture Partners, Amplo, Boeing, and RTX Ventures, Axion is poised to lead the quality revolution in manufacturing.
**About The Role**
 We are looking for an experienced Senior Software Engineer with expertise in React and Typescript to join our growing team. In this role, you will develop and maintain high\-quality web applications while collaborating closely with cross\-functional teams to ensure seamless front\-end and back\-end integration. You'll focus on optimizing website performance, ensuring scalability, and writing clean, maintainable code that adheres to industry standards. As a key contributor, you’ll troubleshoot issues, participate in agile development processes, and stay current with emerging trends in full\-stack development. Your problem\-solving skills, attention to detail, and ability to communicate complex technical concepts to a range of stakeholders will be critical to your success in this fast\-paced environment.
**Key Responsibilities**
* Develop and maintain web applications using React and Typescript
* Collaborate with cross\-functional teams to ensure seamless integration of front\-end and back\-end functionalities
* Optimize website performance and ensure scalability
* Write clean and maintainable code that adheres to industry standards and best practices
* Troubleshoot and debug issues that arise during development and testing
* Continuously improve the quality of the codebase through code reviews and refactoring
* Participate in agile ceremonies such as sprint planning and retrospectives
* Stay up\-to\-date with emerging trends and technologies in full\-stack development
**Requirements**
* You have at least 5 years of experience in software development and are highly skilled in React, Typescript, and APIs
* You possess strong problem\-solving skills and can think critically and creatively to find solutions to complex problems
* You have excellent communication skills and can articulate technical concepts to both technical and non\-technical stakeholders
* You are detail\-oriented and take pride in writing clean, maintainable, and reusable code
* You are comfortable working in a fast\-paced environment and can adapt to changing priorities and requirements
* You are a self\-motivated individual with a passion for building high\-quality web applications
* You are a team player and enjoy collaborating with others to achieve common goals
**Who You Are**
 You’re a builder and operator who thrives in fast\-moving, high\-accountability environments. You take pride in getting things done — thoughtfully, efficiently, and without drama. You’re energized by ambiguity, skilled at bringing clarity, and comfortable flexing between strategy and execution.
 You value feedback — giving it, receiving it, and acting on it — and you see collaboration as a competitive advantage, not a burden. You’re low\-ego but high\-agency: you care about winning as a team more than being right individually. You move quickly, communicate directly, and make decisions grounded in impact and data.
 You don’t need constant direction — you create momentum. You take ownership for outcomes, and you expect the same from those around you.
**How We Operate**
 We move fast, work smart, and hold ourselves to a high bar. Axion isn’t a 9–5 — it’s a place for people who take pride in their craft and are motivated by meaningful work. We respect time off and boundaries, but we’re also realistic: hard problems sometimes require weekend pushes or late\-night thinking sessions. We support that balance — intensity with respect for recharge.
 We stay highly collaborative and connected throughout the day — much of our communication happens over Slack. We move quickly, share feedback often, and keep discussions open so decisions and context flow freely. If you value crisp communication, rapid iteration, and a steady hum of collaboration, you’ll fit right in.
**We**
* Collaborate deeply. Feedback is part of how we build — everyone has a voice, and ideas win on merit.
* Leave ego at the door. Titles don’t define value; contribution does.
* Bias toward action. We iterate fast and favor progress over perfection.
* Communicate with clarity. Direct, transparent, and always in service of the mission.
* Act like owners. Everyone is accountable for outcomes, not just tasks.
* Sustain excellence. We push hard but don’t glorify burnout — we’re in this for the long game.
 If you want to help shape a company redefining how manufacturing operates — and you thrive in a culture that rewards ownership, speed, and candor — you’ll feel at home here
**What We Offer**
* Work with cutting\-edge AI technology making a tangible impact in manufacturing
* Collaborative, mission\-driven team and supportive leadership
* Generous time off
* Competitive compensation, equity, and benefits
* Lunch stipend…. And much more
 Ready to drive the future of manufacturing with AI? Apply today to join our team and help us build the category\-defining platform for quality intelligence.
 Axion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t>
        </is>
      </c>
    </row>
    <row r="248">
      <c r="A248" t="inlineStr">
        <is>
          <t>li-4343757408</t>
        </is>
      </c>
      <c r="B248" t="inlineStr">
        <is>
          <t>Founding Full Stack Engineer</t>
        </is>
      </c>
      <c r="C248" t="inlineStr">
        <is>
          <t>Berkley Hunt</t>
        </is>
      </c>
      <c r="D248" t="inlineStr">
        <is>
          <t>linkedin</t>
        </is>
      </c>
      <c r="E248">
        <f>HYPERLINK("https://www.linkedin.com/jobs/view/4343757408", "https://www.linkedin.com/jobs/view/4343757408")</f>
        <v/>
      </c>
      <c r="F248" t="inlineStr"/>
      <c r="G248" t="inlineStr"/>
      <c r="H248" t="inlineStr"/>
      <c r="I248" t="inlineStr">
        <is>
          <t>**Founding Full\-Stack Software Engineer \| Onsite \| Web3** 
 Berkley Hunt is partnering with a seed stage startup in the crypto space who is looking for a founding Full\-Stack Engineer to help build the next generation of tools for exploring and interacting with smart contracts. You will be responsible for designing and implementing systems and protocols that make Ethereum the bedrock of decentralized finance.
**What You’ll Do** 
* Write high\-quality and well\-tested code and review teammates’ work
* Architect, build, deploy, and maintain the infrastructure underlying product offerings
* Collaborate with design and product teams to craft first\-class user experiences
* Own product improvements from ideation through launch
* Author or contribute to Ethereum Improvement Proposals
**What We’re Looking For** 
* Based in the US
* 2\+ years of engineering experience at fast\-paced startups
* Extensive experience shipping full\-stack products from start to finish
* Proficiency in TypeScript, JavaScript, Solidity, Go, or Rust
* Supremely curious
* Web3 native
* Excellent oral and written communication skills
**Bonus Skills** 
* Experience with cloud infrastructure, networking, or orchestration (AWS, Docker, ECS, CDK, DynamoDB)
* Extensive knowledge of the Ethereum Virtual Machine (EVM) and Ethereum infrastructure
* Experience writing smart contracts</t>
        </is>
      </c>
    </row>
    <row r="249">
      <c r="A249" t="inlineStr">
        <is>
          <t>li-4354378643</t>
        </is>
      </c>
      <c r="B249" t="inlineStr">
        <is>
          <t>Senior Backend Software Engineer</t>
        </is>
      </c>
      <c r="C249" t="inlineStr">
        <is>
          <t>Pinterest</t>
        </is>
      </c>
      <c r="D249" t="inlineStr">
        <is>
          <t>linkedin</t>
        </is>
      </c>
      <c r="E249">
        <f>HYPERLINK("https://www.linkedin.com/jobs/view/4354378643", "https://www.linkedin.com/jobs/view/4354378643")</f>
        <v/>
      </c>
      <c r="F249">
        <f>HYPERLINK("https://www.pinterestcareers.com/jobs/4902175/senior-backend-software-engineer/?source=linkedin_limited_listing&amp;utm_source=linkedin_limited_listing&amp;urlHash=nsQb", "https://www.pinterestcareers.com/jobs/4902175/senior-backend-software-engineer/?source=linkedin_limited_listing&amp;utm_source=linkedin_limited_listing&amp;urlHash=nsQb")</f>
        <v/>
      </c>
      <c r="G249" t="inlineStr"/>
      <c r="H249" t="inlineStr"/>
      <c r="I24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inquisitive, well\-rounded Backend engineers to join our Core, Monetization, and Tech Foundations engineering teams. Working closely with product managers, designers, data scientists, and backend engineers, you’ll play an important role in enabling the newest technologies and experiences as we scale and evolve. You will build robust frameworks \&amp; features. You will accelerate velocity for one of the world’s largest public cloud workloads. You will empower both developers and Pinners alike.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out the backend for Pinner\-facing features to power the future of inspiration on Pinterest
* Partner with design, product, and backend teams to build end\-to\-end functionality
* Put on your Pinner hat to suggest new product ideas and features
* Employ automated testing to build features with a high degree of technical quality, taking responsibility for the components and features you develop
* Grow as an engineer by working with world\-class peers on varied and high impact projects
* Design, develop, and operate large scale, distributed systems and networks
* Work with Engineering customers to understand new requirements and address them in a scalable and efficient manner
* Actively work to improve the developer process and experience in all phases from coding to operation
* May contribute to and lead each step of the product development process, from ideation to implementation to release; from rapidly prototyping, running A/B tests, to architecting and building solutions that can scale to support millions of users
**What We’re Looking For**
* Bachelor’s degree in Computer Science, a related field or equivalent experience.
* 4\+ years of industry backend development experience, building consumer or business facing products
* Proficiency in common backend tech stacks for online service, storage, caching and data processing
* Proficiency in building GraphQL APIs and converting REST to GraphQL
* Passionate about working on a Platform team; experience owning large projects
* Self\-motivated and a desire to improve the lives of other developers / internal developer productivity
* Experience in following best practices in writing reliable and maintainable code that may be used by many other engineers
* Ability to keep up\-to\-date with new technologies to understand what should be incorporated
* Strong collaboration and communication skills
* Experience building \&amp; operating large scale distributed systems and/or networks. Bonus points if you enjoy deploying and operating large scale workloads on a public cloud footprint
* Experience in Python, Java, C\+\+, or Go or another language and a willingness to learn
 This position is not eligible for relocation assistance.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$149,600—$308,000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50">
      <c r="A250" t="inlineStr">
        <is>
          <t>li-4354576626</t>
        </is>
      </c>
      <c r="B250" t="inlineStr">
        <is>
          <t>Senior Backend Software Engineer</t>
        </is>
      </c>
      <c r="C250" t="inlineStr">
        <is>
          <t>Pinterest</t>
        </is>
      </c>
      <c r="D250" t="inlineStr">
        <is>
          <t>linkedin</t>
        </is>
      </c>
      <c r="E250">
        <f>HYPERLINK("https://www.linkedin.com/jobs/view/4354576626", "https://www.linkedin.com/jobs/view/4354576626")</f>
        <v/>
      </c>
      <c r="F250" t="inlineStr"/>
      <c r="G250" t="inlineStr">
        <is>
          <t>San Francisco, CA</t>
        </is>
      </c>
      <c r="H250" t="inlineStr"/>
      <c r="I25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inquisitive, well\-rounded Backend engineers to join our Core, Monetization, and Tech Foundations engineering teams. Working closely with product managers, designers, data scientists, and backend engineers, you’ll play an important role in enabling the newest technologies and experiences as we scale and evolve. You will build robust frameworks \&amp; features. You will accelerate velocity for one of the world’s largest public cloud workloads. You will empower both developers and Pinners alike.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out the backend for Pinner\-facing features to power the future of inspiration on Pinterest
* Partner with design, product, and backend teams to build end\-to\-end functionality
* Put on your Pinner hat to suggest new product ideas and features
* Employ automated testing to build features with a high degree of technical quality, taking responsibility for the components and features you develop
* Grow as an engineer by working with world\-class peers on varied and high impact projects
* Design, develop, and operate large scale, distributed systems and networks
* Work with Engineering customers to understand new requirements and address them in a scalable and efficient manner
* Actively work to improve the developer process and experience in all phases from coding to operation
* May contribute to and lead each step of the product development process, from ideation to implementation to release; from rapidly prototyping, running A/B tests, to architecting and building solutions that can scale to support millions of users
**What We’re Looking For**
* Bachelor’s degree in Computer Science, a related field or equivalent experience.
* 4\+ years of industry backend development experience, building consumer or business facing products
* Proficiency in common backend tech stacks for online service, storage, caching and data processing
* Proficiency in building GraphQL APIs and converting REST to GraphQL
* Passionate about working on a Platform team; experience owning large projects
* Self\-motivated and a desire to improve the lives of other developers / internal developer productivity
* Experience in following best practices in writing reliable and maintainable code that may be used by many other engineers
* Ability to keep up\-to\-date with new technologies to understand what should be incorporated
* Strong collaboration and communication skills
* Experience building \&amp; operating large scale distributed systems and/or networks. Bonus points if you enjoy deploying and operating large scale workloads on a public cloud footprint
* Experience in Python, Java, C\+\+, or Go or another language and a willingness to learn
 This position is not eligible for relocation assistance.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$149,600—$308,000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51">
      <c r="A251" t="inlineStr">
        <is>
          <t>li-4354547444</t>
        </is>
      </c>
      <c r="B251" t="inlineStr">
        <is>
          <t>Senior Software Engineer - Backend</t>
        </is>
      </c>
      <c r="C251" t="inlineStr">
        <is>
          <t>LiveRamp</t>
        </is>
      </c>
      <c r="D251" t="inlineStr">
        <is>
          <t>linkedin</t>
        </is>
      </c>
      <c r="E251">
        <f>HYPERLINK("https://www.linkedin.com/jobs/view/4354547444", "https://www.linkedin.com/jobs/view/4354547444")</f>
        <v/>
      </c>
      <c r="F251" t="inlineStr"/>
      <c r="G251" t="inlineStr">
        <is>
          <t>New York, NY</t>
        </is>
      </c>
      <c r="H251" t="inlineStr"/>
      <c r="I251"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We on the Pixel Serving team are part of the Identity Engineering teams at LiveRamp. We are LiveRamp’s gateway for all realtime data workflows ranging from single digit milliseconds to under 150ms depending on the business use case. We strive to keep the internet open and privacy safe.
**You Will**
* Contribute to building and scaling the next\-generation, AI\-forward advertising technology stack.
* Own several distributed real time APIs and applications, written in Go, that service external partners
* Help Develop robust cross\-team data flows using modern streaming platforms like Redpanda.
* Continuously improve the reliability, performance, and maintainability of core production systems.
**Your Team And Tech Stack**
 Our team builds and owns the entire stack, giving us full visibility into the business problems we solve. We follow Scrum methodology.
* Primary Languages: Golang (main), Java and Python (partially).
* Core Technologies: Kubernetes, Redpanda, SingleStore, Terraform.
* Cloud Ecosystem: Deep usage of Google Cloud Platform (GCP) services including BigTable, BigQuery, Pub/Sub, DataProc and Data Transfer solutions.
**About You**
* 5\+ years of professional experience deploying high\-performance production code.
* Proven ability to thrive in environments ranging from building and launching Minimum Viable Products (MVPs) quickly, to scaling existing products to high volumes, and managing complex, high\-reliability distributed systems (2\+ years of relevant experience in this space is required).
* Strong track record of designing and building maintainable, large\-scale systems.
* You are comfortable navigating complex, unfamiliar and unclear problem spaces and platforms.
* You enjoy translating business challenges into effective technical solutions.
* You thrive on mentoring and promoting engineering best practices within a team environment.
**Bonus Points**
* Experience working on 0\-to\-1 (new product launch) initiatives.
* Hands\-on Experience scaling 1\-to\-N (large\-scale growth) distributed systems.
* Experience with designing and implementing interfaces and infrastructure for high\-volume services and APIs.
* Familiarity with the AdTech ecosystem.
 The approximate annual base compensation range is $127,000 to $191,500\.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252">
      <c r="A252" t="inlineStr">
        <is>
          <t>li-4354377956</t>
        </is>
      </c>
      <c r="B252" t="inlineStr">
        <is>
          <t>Backend Engineer</t>
        </is>
      </c>
      <c r="C252" t="inlineStr">
        <is>
          <t>Wissen Technology</t>
        </is>
      </c>
      <c r="D252" t="inlineStr">
        <is>
          <t>linkedin</t>
        </is>
      </c>
      <c r="E252">
        <f>HYPERLINK("https://www.linkedin.com/jobs/view/4354377956", "https://www.linkedin.com/jobs/view/4354377956")</f>
        <v/>
      </c>
      <c r="F252" t="inlineStr"/>
      <c r="G252" t="inlineStr">
        <is>
          <t>Alpharetta, GA</t>
        </is>
      </c>
      <c r="H252" t="inlineStr"/>
      <c r="I252" t="inlineStr">
        <is>
          <t>About the job
 The Wissen team continues to expand its footprint in the Canada \&amp; USA. More openings to come as we continue to grow the team!
 Please read below for a brilliant career opportunity.
**Role: Backend Engineer** 
**Title: Associate** 
**Location: Alpharetta, GA (Day 1 Onsite/Hybrid) – Fulltime** 
**Mode of Work: 3 days/week onsite required** 
**Required Experience: 1\+ years Required** 
**Position Overview:** 
 We are seeking a skilled and enthusiastic
 **Backend Engineer** 
 with 1\+ years of experience to join our engineering team. The ideal candidate should have strong backend development fundamentals, hands\-on experience with Java and Spring Boot, and solid SQL knowledge.
**Key Responsibilities:** 
* Develop, maintain, and optimize backend services and APIs.
* Build scalable and secure server\-side applications using Java and Spring Boot.
* Design and manage database queries, schemas, and performance tuning using SQL.
* Write efficient, reusable, and maintainable backend code.
* Collaborate with frontend developers, QA engineers, and DevOps teams to deliver end\-to\-end solutions.
* Participate in troubleshooting, debugging, and improving existing backend systems.
* Contribute to code reviews and follow best software engineering practices.
**Mandatory Skills:** 
* Strong proficiency in
 **Java**
* Hands\-on experience with
 **Spring Boot**
* Good understanding of
 **SQL**
* Working knowledge of
 **Python**
**Preferred Skills:** 
* Basic understanding of
 **Kafka**
* Exposure to
 **ElasticSearch**
**Benefits:** 
* Healthcare insurance for you and your family (medical, dental, vision).
* Short / Long term disability insurance.
* Life Insurance.
* Accidental death \&amp; disability Insurance.
* 401K.
* 3 weeks of Paid Time Off.
* Support and fee coverage for immigration needs.
* Remote office set up stipend.
* Support for industry certifications.
* Additional cash incentives.
* Re\-skilling opportunities to transition between technologies.
**We are:** 
 A high end technical consulting firm built and run by highly qualified technologists. Our workforce consists of 5000\+ highly skilled professionals, with leadership from Wharton, MIT, IITs, IIMs, and NITs and decades of experience at Goldman Sachs, Morgan Stanley, MSCI, Deutsche Bank, Credit Suisse, Verizon, British Telecom, ISRO etc. Without any external funding or investments, Wissen Technology has grown its revenues by 100% every other year since it started as a subsidiary of Wissen Group in 2015\. We have a global presence with offices in the US, India, UK, Australia, Mexico, and Canada.
**You are:** 
 A true tech or domain ninja. Or both. Comfortable working in a quickly growing profitable startup, have a “can do” attitude and are willing to take on any task thrown your way.
**You will:** 
 · Develop and promote the company’s culture of engineering excellence.
 · Define, develop and deliver solutions at a top tier investment bank or another esteemed client.
 Perform other duties as needed
**Your Education and Experience:** 
 · We value candidates who can execute on our vision and help us build an industry\-leading organization. Rather than requiring a specific certification or number of years of experience, we ask that you be able to demonstrate your skills in the areas outlined above.
 · Graduate\-level degree in computer science, engineering, or related technical field
 Wissen embraces diversity and is an equal opportunity employer. We are committed to building a team that represents a variety of backgrounds, skills, and abilities. We believe that the more inclusive our team is, the better our work will be. All qualified applicants, including but not limited to LGBTQ\+, Minorities, Females, the Disabled, and Veterans, are encouraged to apply.
**About Wissen Technology:** 
 The Wissen Group was founded in the year 2000\. Wissen Technology, a part of Wissen Group, was established in the year 2015\. Wissen Technology is a specialized technology company that delivers high\-end consulting for organizations in the Banking \&amp; Finance, Telecom, and Healthcare domains. We help clients build world\-class products.
 We empower businesses with a dynamic portfolio of services and accelerators tailored to today’s digital demands and based on future ready technology stack. Our services include Industry Leading Custom Software Development, AI\-Driven Software Engineering, Generative AI \&amp; Machine Learning, Real\-Time Data Analytics \&amp; Insights, Interactive Data Visualization \&amp; Decision Intelligence, Intelligent Process Automation, Multi\-Cloud \&amp; Hybrid Cloud Strategies, Cross\-Platform Mobile Experiences, CI/CD\-Powered Agile DevOps, Automated Quality Engineering, and cutting\-edge integrations.
 Certified as a Great Place to Work® for five consecutive years (2020\-2025\) and recognized as a Top 20 AI/ML vendor by CIO Insider, Wissen Group has delivered multimillion\-dollar projects for over 20 Fortune 500 companies. Wissen Technology delivers exceptional value on mission\-critical projects through thought leadership, ownership, and reliable, high\-quality, on\-time delivery.
 Our industry\-leading technical expertise stems from the talented professionals we attract. Committed to fostering their growth and providing top\-tier career opportunities, Wissen ensures an outstanding experience and value for our clients and employees. We serve diverse industries, including Banking, E\-commerce, Telecom, Healthcare, Manufacturing, and Energy.
**About Wissen Technology:** 
 Website : www.wissen.com
 LinkedIn: https://www.linkedin.com/company/wissen\-technology
 Wissen Leadership : https://www.wissen.com/company/wissen\-technology\-leadership
 Wissen Live : https://www.linkedin.com/company/wissen\-technology/posts/feedView\=All
 Wissen Thought Leadership : https://www.wissen.com/articles/
 Employee Speak:
 https://www.ambitionbox.com/overview/wissen\-technology\-overview
 https://www.glassdoor.com/Reviews/Wissen\-Infotech\-Reviews\-E287365\.htm
 Great Place to Work:
 https://www.wissen.com/blog/wissen\-is\-a\-great\-place\-to\-work\-says\-the\-great\-place\-to\-work\-institute\-…
 https://www.linkedin.com/posts/wissen\-infotech\_wissen\-leadership\-wissenites\-activity\-69354595461317…
 About Wissen Interview Process:
 https://www.wissen.com/blog/we\-work\-on\-highly\-complex\-technology\-projects\-here\-is\-how\-it\-changes\-wh…
 Latest in Wissen in CIO Insider :
 https://www.cioinsiderindia.com/vendor/wissen\-technology\-setting\-new\-benchmarks\-in\-technology\-consu…
 Job Type: Full\-time
 Schedule:
* Monday to Friday</t>
        </is>
      </c>
    </row>
    <row r="253">
      <c r="A253" t="inlineStr">
        <is>
          <t>li-4330581147</t>
        </is>
      </c>
      <c r="B253" t="inlineStr">
        <is>
          <t>Software Engineer, Data &amp; AI</t>
        </is>
      </c>
      <c r="C253" t="inlineStr">
        <is>
          <t>Vendelux</t>
        </is>
      </c>
      <c r="D253" t="inlineStr">
        <is>
          <t>linkedin</t>
        </is>
      </c>
      <c r="E253">
        <f>HYPERLINK("https://www.linkedin.com/jobs/view/4330581147", "https://www.linkedin.com/jobs/view/4330581147")</f>
        <v/>
      </c>
      <c r="F253" t="inlineStr"/>
      <c r="G253" t="inlineStr">
        <is>
          <t>New York, United States</t>
        </is>
      </c>
      <c r="H253" t="inlineStr"/>
      <c r="I253" t="inlineStr">
        <is>
          <t>Vendelux helps companies discover the best events. Event marketers are the unsung heroes of successful companies. From generating leads to building world\-class brands, event marketers make magic happen throughout the year. Vendelux is here to help maximize the impact of all the events that a company sponsors and attends.
 We are a Series A SaaS company and provide the system of record for event marketing. Our software platform provides proprietary insights that helps high\-growth companies find the highest ROI events, conferences and trade shows to attend and sponsor. We have built an AI\-powered platform that customers describe as an event marketer’s dream.
 Vendelux was founded in 2021, and our recent $14 million Series A was led by FirstMark, whose portfolio includes companies like Shopify, Pinterest, Discord, Airbnb, Draft Kings, Carta and Justworks (amongst others). Our leadership team includes alumni from Bain, ZoomInfo, Shutterstock, Compass, ModernLoop, Forter, Zulilly, NewtonX.
 We’re looking for a
 **Software Engineer, Data \&amp; AI** 
 who thrives at the intersection of software engineering, data engineering, and applied AI to build production\-grade systems. You’ll develop, deploy, and scale features that sit at the core of our product. This role is perfect for someone motivated more by impact than method, loves to solve data problems using whatever means necessary, and is eager to see their output shape the user experience.
**Key Responsibilities**
* Design \&amp; Build AI\-Powered Features: Architect, implement, and ship data\-driven product features, always starting with the customer problem first. From prototyping through production, you’ll apply the right level of technology (whether simple heuristics or advanced AI) to deliver impact.
* Build for Production: Build maintainable and scalable systems, including writing clean, testable code, integrating with new and existing data pipelines, and deploying solutions and services into cloud environments.
* End to End Solution Delivery: Operate as an end\-to\-end developer in a fast paced startup. This involves identifying opportunities, prototyping solutions, securing stakeholder support, and productionalizing features that deliver measurable business value.
* Applied AI Innovation: Research and apply modern methods (AI agents, LLMs, RAG, embeddings, supervised/unsupervised learning) to power new product capabilities, prioritizing impact and speed over perfection.
* Enhance User Experience Through AI: Translate business problems into AI solutions that improve user workflows, accelerate insights, and drive measurable value.
* Collaborate Cross\-Functionally: Work with business stakeholders and other engineers to turn customer problems into technical requirements and impactful features.
* Promote Best Practices: Establish and evangelize standards for AI/ML engineering and data quality across the team.
**Qualifications**
* 3\+ years of professional experience in software engineering or data engineering
* Strong programming skills in Python and proficiency in SQL.
* Experience with modern AI frameworks (eg HuggingFace, LangChain, etc.) and designing data pipelines (Airflow, Dagster, or equivalent),
* Solid understanding of cloud\-based infrastructure (AWS, GCP, or Azure).
* Experience applying LLMs and generative AI in production, including prompt engineering, RAG, and LLM deployment.
* Strong grasp of fundamental data science and machine learning techniques, with the ability to balance research and engineering tradeoffs.
* Demonstrated ability to translate business problems into data solutions that drive business value.
* Proven track record of shipping user\-facing features with measurable impact.
* Excellent written and verbal communication skills; ability to collaborate across data, engineering, and product teams.
* Startup experience preferred.
**Why Join Us**
* Direct product impact: Your models will shape how event marketers discover, connect, and measure ROI.
* Product market fit: Customers love our platform; now it’s about enhancing the user experience and scaling with AI.
* Ownership: You’ll set the standard for how we build, evaluate, and ship AI at Vendelux.
* Growth: Work on cutting\-edge problems in LLMs, recommendation systems, and applied ML.
* Team: Join a collaborative, ambitious group with backgrounds at top tech and consulting firms.
 Not all candidates will check all of the requirements listed above and that’s ok! We are open to great people from non\-traditional backgrounds.
 Vendelux is proud to be an equal opportunity workplace. We are committed to equal opportunity regardless of race, color, ancestry, religion, gender, gender identity, parental or pregnancy status, national origin, sexual orientation, age, citizenship, marital status, disability, or veteran status.</t>
        </is>
      </c>
    </row>
    <row r="254">
      <c r="A254" t="inlineStr">
        <is>
          <t>li-4354594430</t>
        </is>
      </c>
      <c r="B254" t="inlineStr">
        <is>
          <t>Backend Engineer II</t>
        </is>
      </c>
      <c r="C254" t="inlineStr">
        <is>
          <t>Wiraa</t>
        </is>
      </c>
      <c r="D254" t="inlineStr">
        <is>
          <t>linkedin</t>
        </is>
      </c>
      <c r="E254">
        <f>HYPERLINK("https://www.linkedin.com/jobs/view/4354594430", "https://www.linkedin.com/jobs/view/4354594430")</f>
        <v/>
      </c>
      <c r="F254">
        <f>HYPERLINK("https://www.wiraa.com/job-description/us8C0D1826E7CD4A4FC73E07098935AD1C?source=Linkedin&amp;urlHash=kO0w", "https://www.wiraa.com/job-description/us8C0D1826E7CD4A4FC73E07098935AD1C?source=Linkedin&amp;urlHash=kO0w")</f>
        <v/>
      </c>
      <c r="G254" t="inlineStr"/>
      <c r="H254" t="inlineStr"/>
      <c r="I254" t="inlineStr">
        <is>
          <t>**About The Company**
 Checkr, Inc. is a pioneering technology company dedicated to building a comprehensive data platform that enables safe, fair, and compliant decision\-making processes. Established in 2014, Checkr leverages innovative technology and a robust data infrastructure to assist organizations in assessing risk and ensuring safety across various industries. The company's solutions support a wide array of clients, including leading companies such as DoorDash, Coinbase, Lyft, Instacart, and Airtable, fostering trusted workplaces and communities worldwide. Recognized for its excellence, Checkr was featured on the Forbes Cloud 100 2025 list and was named a Y Combinator 2024 Breakthrough Company. The organization’s culture emphasizes solving complex problems through innovative solutions, fostering an environment where engineers can thrive, learn, and contribute meaningfully to a fairer future for all.
**About The Role**
 We are seeking a talented Backend Software Engineer II to join our dynamic engineering team. In this role, you will be instrumental in developing high\-impact features and services that underpin Checkr’s data platform. You will work on a collection of small, scalable services built primarily on Ruby and JavaScript, utilizing both SQL and NoSQL databases, alongside message queues for asynchronous processing. As a core member of our engineering team, you will collaborate closely with product managers, designers, and other stakeholders to design, develop, test, and deploy reliable, scalable, and secure software solutions. Your work will directly influence the safety and fairness of decision\-making processes for hundreds of thousands of transactions daily, making a tangible impact on our customers and communities. The role offers an opportunity to innovate, experiment, and improve our products continuously, fostering a customer\-centric and quality\-driven mindset.
**Qualifications**
* 2\+ years of full\-stack software development experience
* Proficiency in Ruby and JavaScript (or similar frameworks/languages)
* Experience with test automation frameworks such as Cypress
* Strong understanding of RESTful API development
* Knowledge of Domain Driven Design, Continuous Delivery, and XP practices
* Experience working with SQL and NoSQL databases
* Familiarity with component\-based design systems (bonus)
* Excellent documentation skills
* Strong ownership and accountability from feature design through to production release
* Ability to collaborate effectively with external stakeholders
* Desire to learn, innovate, and contribute to a team\-oriented environment
**Responsibilities**
* Own the end\-to\-end development of new features, from initial design to deployment and maintenance
* Collaborate with product, design, and other engineering teams to develop innovative features aligned with business goals
* Design, develop, test, and deploy reliable and scalable backend services capable of handling high transaction volumes
* Monitor, troubleshoot, investigate, and resolve production issues promptly to ensure service stability
* Implement security best practices to safeguard data and ensure platform integrity
* Develop and enhance RESTful APIs to support frontend and third\-party integrations
* Participate in code reviews, documentation, and knowledge sharing to maintain high\-quality standards
* Instrument and analyze product experiments, leveraging data to inform development decisions
* Contribute to a culture of continuous improvement, automation, and experimentation within the engineering team
**Benefits**
* Fast\-paced, collaborative work environment that encourages innovation
* Learning and development allowance to support professional growth
* Competitive compensation packages with opportunities for advancement
* 100% medical, dental, and vision coverage
* Up to $25,000 reimbursement for fertility, adoption, and parental planning services
* Flexible paid time off policy to promote work\-life balance
* Monthly wellness stipend and home office stipend to support employee well\-being
* In\-office perks including lunch four times a week, commuter stipend, and snacks
* Hybrid work environment with flexible in\-office days based on location
 Equal Opportunity
 Checkr is committed to fostering an inclusive and diverse workplace. We believe that a variety of perspectives and experiences enrich our team and drive innovation. We are an equal opportunity employer and welcome applicants of all backgrounds, including those impacted by the justice system, in accordance with applicable laws. Our hiring practices are designed to ensure fairness and equity, and we are dedicated to creating a welcoming environment where everyone can thrive.</t>
        </is>
      </c>
    </row>
    <row r="255">
      <c r="A255" t="inlineStr">
        <is>
          <t>li-4354377542</t>
        </is>
      </c>
      <c r="B255" t="inlineStr">
        <is>
          <t>Software Developer I</t>
        </is>
      </c>
      <c r="C255" t="inlineStr">
        <is>
          <t>EPB</t>
        </is>
      </c>
      <c r="D255" t="inlineStr">
        <is>
          <t>linkedin</t>
        </is>
      </c>
      <c r="E255">
        <f>HYPERLINK("https://www.linkedin.com/jobs/view/4354377542", "https://www.linkedin.com/jobs/view/4354377542")</f>
        <v/>
      </c>
      <c r="F255" t="inlineStr"/>
      <c r="G255" t="inlineStr">
        <is>
          <t>Chattanooga, TN</t>
        </is>
      </c>
      <c r="H255" t="inlineStr"/>
      <c r="I255" t="inlineStr">
        <is>
          <t>**Purpose** 
 The Software Developer I will assist in the integration of core software systems to enhance external and internal customer experiences. This role will operate at a corporate level.
**Duties \&amp; Responsibilities** 
* Assist in developing and maintaining the underlying middleware software that powers EPB’s customer\-facing internal applications and websites.
* Learn to write solid, efficient, and readable code.
* Participate in department scrum meetings to learn software and engineering best practices.
* Contribute to the progress of the team in an efficient manner.
* Assist in performing root cause analysis (RCA) and learn how systems are integrated.
* Assist with documentation of supporting knowledge architecture and standards.
* Perform after\-hours support duties as needed to sustain systems, software, and customer\-impacting internal tools– 24/7/365\.
**Education \&amp; Experience** 
* Bachelor's degree in computer science or a related field preferred or an equivalent combination of related training and experience.
* 1\-2 years of related experience.
* Database and SQL experience.
* Experience communicating technical concepts to non\-technical audiences.
**Certifications \&amp; Other Requirements** 
* Possess and maintain a current, valid driver's license in state of residence and demonstrate safe and responsible operation of motor vehicles.
* Knowledge of Enterprise Java preferred.
* Knowledge of REST and Soap based web services preferred.
* Knowledge of how to document components of the software development life cycle (designs, testing plans, etc.) preferred.
* Received a “Meets Expectations” or higher overall rating on last annual performance appraisal and no disciplinary actions (verbal or written) during previous appraisal period.
 May perform other duties as assigned.
 All employees, pursuant to their job duties, should demonstrate the behaviors of Professional Empowerment and comply with all EPB policies, standards, and guidelines.
 EPB provides electric and communications services, which are considered critical infrastructure by the Department of Homeland Security.
 This EPB job is essential to support this critical infrastructure and may be required to work onsite or in the field to maintain these services.</t>
        </is>
      </c>
    </row>
    <row r="256">
      <c r="A256" t="inlineStr">
        <is>
          <t>li-4358100782</t>
        </is>
      </c>
      <c r="B256" t="inlineStr">
        <is>
          <t>2026 Software Engineering Boost Fellowship, United States</t>
        </is>
      </c>
      <c r="C256" t="inlineStr">
        <is>
          <t>Uber</t>
        </is>
      </c>
      <c r="D256" t="inlineStr">
        <is>
          <t>linkedin</t>
        </is>
      </c>
      <c r="E256">
        <f>HYPERLINK("https://www.linkedin.com/jobs/view/4358100782", "https://www.linkedin.com/jobs/view/4358100782")</f>
        <v/>
      </c>
      <c r="F256">
        <f>HYPERLINK("https://tnl2.jometer.com/v2/job?jz=5wqzs6f156f8d9063a9e4466db4b2d2b8466dMAAGUCAAAABQ&amp;iis=Job%20Board%20-%20Recruitment%20Marketing&amp;iisn=LinkedIn&amp;urlHash=oVS0", "https://tnl2.jometer.com/v2/job?jz=5wqzs6f156f8d9063a9e4466db4b2d2b8466dMAAGUCAAAABQ&amp;iis=Job%20Board%20-%20Recruitment%20Marketing&amp;iisn=LinkedIn&amp;urlHash=oVS0")</f>
        <v/>
      </c>
      <c r="G256" t="inlineStr">
        <is>
          <t>San Francisco, CA</t>
        </is>
      </c>
      <c r="H256" t="inlineStr"/>
      <c r="I256" t="inlineStr">
        <is>
          <t>**About The Role**
 The Uber Engineering Boost Fellowship is a unique, 10\-month opportunity for engineers with non\-traditional backgrounds to launch their software engineering career. Fellows gain hands\-on experience, mentorship, and the chance to build and scale a product used globally to move real people and assets, with the ultimate possibility of converting to a full\-time role afterwards.
**What You'll Do**
 You will participate in a structured, 10\-month program in the San Francisco Bay Area with two phases:
* Phase 1 (3 months): specialized engineering training
* Phase 2 (7 months): embedded within an engineering team, contributing to real\-world projects.
**What You'll Gain**
* Ongoing professional development and mentorship from Uber engineers
* Build a professional network of driven people who share their passion for technology in an international work environment
* Be eligible for health insurance (medical, dental, and vision benefits)
* Relocation support, if you are not already located in the San Francisco Bay Area
* Opportunity for full\-time conversion based on performance and business need
**What You'll Need**
* Ability to code small projects in any programming language
* Ability to work full\-time (40 hours per week) from January 26, 2026 \- December 4, 2026
* Ability to work in\-person at an Uber Bay Area Office (San Francisco/Sunnyvale, California)
* Less than 6 months of full\-time experience as a software engineer
* Eligible to work in the United States
**Bonus Points if You're**
* A graduate from ASU (Arizona State University) between 2020\-2024 through the Uber\-ASU partnership for Uber earners with a bachelor's degree in computer science, software engineering, information technology, or data science
* A graduate with an Associate's or Bachelor's degree in Computer Science or a related technical field, or equivalent experience in an engineering related bootcamp
* Naturally curious : You're innovative and constantly search for ways to tweak and optimize processes.
* A fast learner : You flourish with learning new technologies and adapt easily to a fast\-paced business environment.
* A great teammate : You believe the whole is greater than the sum of its parts and rely on others' feedback for continuous improvement.
* A self\-starter : You have integrity, superior organization skills, and follow through on tasks.
 For San Francisco, CA\-based roles: The base hourly rate amount for this role is USD$52\.00 per hour. You will also be eligible for various benefits., For San Francisco, CA\-based roles: The base hourly rate amount for this role is USD$52\.00 per hour. You will also be eligible for various benefits.</t>
        </is>
      </c>
    </row>
    <row r="257">
      <c r="A257" t="inlineStr">
        <is>
          <t>li-4351126134</t>
        </is>
      </c>
      <c r="B257" t="inlineStr">
        <is>
          <t>Senior Software Engineer</t>
        </is>
      </c>
      <c r="C257" t="inlineStr">
        <is>
          <t>SoTalent</t>
        </is>
      </c>
      <c r="D257" t="inlineStr">
        <is>
          <t>linkedin</t>
        </is>
      </c>
      <c r="E257">
        <f>HYPERLINK("https://www.linkedin.com/jobs/view/4351126134", "https://www.linkedin.com/jobs/view/4351126134")</f>
        <v/>
      </c>
      <c r="F257" t="inlineStr"/>
      <c r="G257" t="inlineStr">
        <is>
          <t>District of Columbia, United States</t>
        </is>
      </c>
      <c r="H257" t="inlineStr"/>
      <c r="I257" t="inlineStr">
        <is>
          <t>**Job Title : Senior Software Engineer** 
**Location : District of Columbia, United States** 
**Job Type : Full Time** 
**Job Summary** 
 Our client is seeking a skilled Software Engineer to join their technology organization and help build scalable, cloud\-based solutions that power meaningful digital experiences. This role is well suited for an engineer who enjoys working across the full stack, collaborating within Agile teams, and continuously learning new technologies.
**What the Role Involves** 
* Partnering with cross\-functional Agile teams to design, build, test, deploy, and maintain modern software solutions
* Contributing to full\-stack development using a broad set of programming languages, frameworks, and tools
* Working closely with product managers to deliver reliable, cloud\-native applications that create real impact for users
* Staying current with emerging technologies, experimenting with new tools, and sharing knowledge through internal and external engineering communities
* Supporting and mentoring fellow engineers while promoting strong engineering best practices
**Technology Environment** 
* Programming languages such as Java, Python, SQL, Node.js, Go, and Scala
* Open\-source relational and NoSQL databases
* Containerization and orchestration technologies including Docker and Kubernetes
* Public cloud platforms and services, primarily within AWS
**Basic Qualifications** 
* Bachelor’s degree
* Minimum of 3 years of professional software engineering experience (excluding internships)
**Preferred Qualifications** 
* 5\+ years of hands\-on experience with one or more of the following: Java, Scala, Python, Go, or Node.js
* Experience working with cloud platforms such as AWS, Azure, or Google Cloud
* Strong background using open\-source frameworks and libraries
* Practical experience working in Agile development environments</t>
        </is>
      </c>
    </row>
    <row r="258">
      <c r="A258" t="inlineStr">
        <is>
          <t>li-4350975290</t>
        </is>
      </c>
      <c r="B258" t="inlineStr">
        <is>
          <t>Software Engineer</t>
        </is>
      </c>
      <c r="C258" t="inlineStr">
        <is>
          <t>Shamrock Trading Corporation</t>
        </is>
      </c>
      <c r="D258" t="inlineStr">
        <is>
          <t>linkedin</t>
        </is>
      </c>
      <c r="E258">
        <f>HYPERLINK("https://www.linkedin.com/jobs/view/4350975290", "https://www.linkedin.com/jobs/view/4350975290")</f>
        <v/>
      </c>
      <c r="F258">
        <f>HYPERLINK("https://jobs.dayforcehcm.com/en-US/shamrocktc/CANDIDATEPORTAL/jobs/1597?source=LinkedIn&amp;urlHash=ZtDr", "https://jobs.dayforcehcm.com/en-US/shamrocktc/CANDIDATEPORTAL/jobs/1597?source=LinkedIn&amp;urlHash=ZtDr")</f>
        <v/>
      </c>
      <c r="G258" t="inlineStr"/>
      <c r="H258" t="inlineStr"/>
      <c r="I258" t="inlineStr">
        <is>
          <t>**About Shamrock Trading Corporation**
 Shamrock Trading Corporation is a family of brands that has been serving the transportation and logistics industries since 1986\. Shamrock offers factoring solutions, export financing, third\-party logistics, a fuel card program and trucking technology.
 Shamrock’s mission since the start has been to create value and success for our customers, our partners and our people. Strong ethics, dedication to our customers and close attention to the marketplace are critical to the success and growth of the Shamrock brands. Shamrock is headquartered in Overland Park, Kansas, with multiple offices throughout the U.S.
**Why You’ll Love Working Here**
 Our award\-winning culture is a testament to our commitment to growth, recognition and empowerment. From day one, we prioritize employees first, encouraging them to think and act like owners and providing endless opportunities for growth and self\-development, both personally and professionally. Shamrock has been recognized as one of America’s 2025 “Most Loved Workplaces” by Newsweek.
**Benefits**
 At Shamrock, we hire bright, ambitious people and give them the tools they need for a successful, long\-term career here. Shamrock also offers a premier set of benefits for employees and their families:
* Training and Development: Ongoing training and professional development opportunities, and a LEAD Program for aspiring leaders
* Medical: Fully paid healthcare, dental and vision premiums for employees and eligible dependents, and gym benefits
* Financial: One\-time sign\-on bonus, generous company 401(k) contributions and employee stock ownership after one year
* Work\-Life Balance: Competitive PTO and work from home opportunities after an introductory period
**About The Role**
 Shamrock Trading Corporation is looking for a Software Engineer to join our Engineering team. Software Engineer will be responsible for participating in development, maintenance, and enhancement of business applications. Participate in project teams within assigned business units or corporate departments and utilize various technology platforms. Collaborate with business partners, and other technical staff to identify user requirements, assess available technologies, and recommend solution options.
**What You’ll Do**
* Provide both technical expertise and inspiration, fostering an environment where complex problem\-solving and creative engineering flourish
* Lead the design, architecture, and implementation of complex software systems, ensuring alignment with business goals, enterprise systems and industry best practices
* Drive innovation by researching, prototyping, and implementing modern technologies, tools, and methodologies that enhance our software development processes
* Provide mentorship and guidance to software engineers and other technical team members, fostering a culture of continuous learning and professional growth.
* Work closely with cross\-functional teams to deliver high\-quality software solutions
* Establish and enforce coding standards, best practices, and code reviews to ensure the delivery of clean, maintainable, and efficient code
* Design and implement scalable, high\-performance, and resilient software architectures that meet the demands of our growing user base
* Tackle complex technical challenges and provide strategic solutions that address both current and future needs of the business
* Create and maintain comprehensive technical documentation, including system architecture, design patterns, and development guidelines
* Champion continuous improvement initiatives, including process optimization, automation, and the adoption of modern development practice
**What You’ll Bring**
* Bachelor's or Master’s degree in Computer Science, Software Engineering, or a related field
* 8\+ years of experience in Fintech and/or modern payment solutions software engineering, with at least 3 years in a senior or lead engineering role
* Strong proficiency in JavaScript, React, React Native, microservices architecture, and containerization. Experience with cloud platforms such as AWS, Azure, or Google Cloud Expertise building and working with APIs
* Strong technical knowledge, with hands\-on experience building Fintech and/or BaaS payment solutions platforms; knowledge or relevant technology, tools, and middleware is critical covering compliance, onboarding, KYB/KYC and fund flows
* Proven experience leading and mentoring software engineering teams, with a record of accomplishment delivering high\-quality Fintech software products
* Deep expertise in payment solutions, specifically including bank payment rails such as ACH, Fed wires, RTP, Fed Now, and/or API Payment Integrations
* Expertise building high\-volume transactional processing and cloud first/native distributed systems
* Exceptional analytical and problem\-solving abilities, with a focus on strategic thinking and innovative solutions
* Excellent verbal and written communication skills, with the ability to articulate complex technical concepts to diverse audiences
* Strong understanding and experience with Agile development practices, including Scrum and Kanban
* Proven experience integrating payment technologies, such as Plaid, Finicity, Stripe, Paypal
* Experience delivering solutions requiring banking standards such as NACHA and card processing certifications PCI and ISO 8583
* Strong experience building exception\-based operational workflow automation, alerting, and frontend tools
**Apply Today!**
 We’re so excited to connect with you! If you want to work with forward\-thinking people in an award\-winning culture, submit your application today.
 Having trouble submitting your application? Contact us at Recruiting@shamrocktradingcorp.com for support.</t>
        </is>
      </c>
    </row>
    <row r="259">
      <c r="A259" t="inlineStr">
        <is>
          <t>li-4354622983</t>
        </is>
      </c>
      <c r="B259" t="inlineStr">
        <is>
          <t>Software Engineer - 25495
            Bangalore,
            India</t>
        </is>
      </c>
      <c r="C259" t="inlineStr">
        <is>
          <t>Energy Acuity</t>
        </is>
      </c>
      <c r="D259" t="inlineStr">
        <is>
          <t>linkedin</t>
        </is>
      </c>
      <c r="E259">
        <f>HYPERLINK("https://www.linkedin.com/jobs/view/4354622983", "https://www.linkedin.com/jobs/view/4354622983")</f>
        <v/>
      </c>
      <c r="F259" t="inlineStr"/>
      <c r="G259" t="inlineStr">
        <is>
          <t>Denver, CO</t>
        </is>
      </c>
      <c r="H259" t="inlineStr"/>
      <c r="I259" t="inlineStr">
        <is>
          <t>**Description**
**Why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**The Team**
 You’ll work as part of our backend team to build and maintain Java\-based services and APIs.
 Contribute to development, and gradually take ownership of smaller modules/features. Strong
 communication skills, willingness to learn, and a collaborative mindset are key.
**Performance Objectives**
* Write server\-side code in Java to build backend services and APIs (RESTful).
* Work with frameworks like Spring Boot / Spring Framework to build microservices
 or web services.
* Collaborate with front\-end developers, QA, and other stakeholders to integrate the backend
 with client\-facing features.
* Help design and optimise MongoDB collections and indexes, and write queries using
 native MongoDB syntax or the appropriate drivers.
* Write unit tests, help with debugging, and bug fixes.
* Work under guidance, follow coding standards, and support deployment/integration
 tasks (CI/CD, version control).
**Competitive Candidate Profile**
* Minimum 2 years of software development experience
* Strong foundation in core Java (OOP, collections, exception handling, basic
 concurrency)
* Familiarity or willingness to learn frameworks like Spring / Spring Boot
* Basic understanding of MongoDB, including collections, indexing strategies,
 aggregation queries and working with BSON/JSON data.
* Understanding of REST APIs / web services / JSON / HTTP fundamentals.
* Experience or willingness to work with version control (e.g., Git), build tools (e.g.
 Maven), basic testing.
* Good communication and willingness to collaborate.
* Problem\-solving attitude, eagerness to learn and grow.
* Familiarity with GitHub Copilot or similar AI\-assisted coding tools is an advantage,
 along with the ability to write clear prompts when using them.
**Technology Stack**
 Java, Spring, MongoDB, RestAPI, Git, GitHub</t>
        </is>
      </c>
    </row>
    <row r="260">
      <c r="A260" t="inlineStr">
        <is>
          <t>li-4330471242</t>
        </is>
      </c>
      <c r="B260" t="inlineStr">
        <is>
          <t>Software Engineer, Global Banking &amp; Markets, Goldman Sachs Electronic Trading (GSET)</t>
        </is>
      </c>
      <c r="C260" t="inlineStr">
        <is>
          <t>Goldman Sachs</t>
        </is>
      </c>
      <c r="D260" t="inlineStr">
        <is>
          <t>linkedin</t>
        </is>
      </c>
      <c r="E260">
        <f>HYPERLINK("https://www.linkedin.com/jobs/view/4330471242", "https://www.linkedin.com/jobs/view/4330471242")</f>
        <v/>
      </c>
      <c r="F260" t="inlineStr"/>
      <c r="G260" t="inlineStr">
        <is>
          <t>New York, NY</t>
        </is>
      </c>
      <c r="H260" t="inlineStr"/>
      <c r="I260" t="inlineStr">
        <is>
          <t>**Job Description**
 Goldman Sachs Electronic Trading (GSET) is looking for motivated Software Engineers to deliver innovative solutions to challenging engineering problems for our business and clients. Building atop our existing trading technology stacks you will develop features supporting our best in class Algorithmic and Direct Market Access trading products. Join our team to participate in the creation and launch of exceptional products providing value to top clients across the industry. We are looking for eager, nimble, and ambitious trading platform developers to join our growing team and drive Goldman Sachs Electronic Trading to achieve and exceed our goals.
**Your Impact**
 As a member of our Platforms team, your focus will be on building and maintaining our order management and exchange connectivity systems. Your responsibilities will include gathering requirements from internal/external clients, designing and developing features across our various trading platforms, and deploying your solutions. Our global team interfaces with clients, sales, trading, compliance, legal, and other strat \&amp; engineering teams within the firm on a regular basis and plays a critical role in sustaining Goldman Sachs' Electronic Trading business.
**Responsibilities**
* Design, build, and maintain high\-performance yet nimble and adaptive trading platforms for internal and external clients.
* Understand US Cash and Options market structure, regulations, exchange service offerings, and implement changes to these on an on\-going basis.
* Communication with traders, sales, clients and compliance officers about new feature requests, explanation of existing features, etc.
**Basic Qualifications**
* Bachelor's degree in Computer Science/Engineering with 2 to 5 years of relevant work experience.
* Proficiency in either Java or C\+\+
* Strong knowledge of data structures, algorithms, and design pattern.
* Experience with Linux operating system.
* Strong communication skills and the ability to work in a team.
**Preferred Qualifications**
* Experience with Event Sourcing (Sequenced core stream) based architecture.
* Knowledge about JVM internals and tuning for low\-latency.
* Experience with building C\+\+/Java systems with strict requirements for low\-latency (microseconds count) and deterministic performance.
* Experience with developing order management and exchange connectivity systems.
 Salary Range
 The expected base salary for this New York, New York, United States\-based position is $115000\-$180000\. In addition, you may be eligible for a discretionary bonus if you are an active employee as of fiscal year\-end.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2026\. All rights reserved.
 Goldman Sachs is an equal opportunity employer and does not discriminate on the basis of race, color, religion, sex, national origin, age, veterans status, disability, or any other characteristic protected by applicable law.</t>
        </is>
      </c>
    </row>
    <row r="261">
      <c r="A261" t="inlineStr">
        <is>
          <t>li-4354386673</t>
        </is>
      </c>
      <c r="B261" t="inlineStr">
        <is>
          <t>Software Engineer (Go, Python)</t>
        </is>
      </c>
      <c r="C261" t="inlineStr">
        <is>
          <t>DigitalOcean</t>
        </is>
      </c>
      <c r="D261" t="inlineStr">
        <is>
          <t>linkedin</t>
        </is>
      </c>
      <c r="E261">
        <f>HYPERLINK("https://www.linkedin.com/jobs/view/4354386673", "https://www.linkedin.com/jobs/view/4354386673")</f>
        <v/>
      </c>
      <c r="F261">
        <f>HYPERLINK("https://www.wiraa.com/job-description/us66B3644BE3374DC36FF716D97D8E2C59?source=Linkedin&amp;urlHash=9kIl", "https://www.wiraa.com/job-description/us66B3644BE3374DC36FF716D97D8E2C59?source=Linkedin&amp;urlHash=9kIl")</f>
        <v/>
      </c>
      <c r="G261" t="inlineStr"/>
      <c r="H261" t="inlineStr"/>
      <c r="I261" t="inlineStr">
        <is>
          <t>**About The Company**
 Join DigitalOcean, a leading cloud infrastructure provider dedicated to simplifying cloud computing for developers worldwide. With a mission to make deploying, scaling, and managing applications straightforward and accessible, DigitalOcean empowers millions of developers, startups, and enterprises to build and grow their digital presence. Our innovative platform combines ease of use with robust performance, enabling users to focus on their core ideas rather than complex infrastructure challenges. As a disruptive force in the industry, we foster a culture of continuous learning, collaboration, and impact, ensuring our team remains at the forefront of technology and customer satisfaction.
**About The Role**
 We are seeking a highly experienced Principal Engineer to lead the technical strategy and architecture of our Platform\-as\-a\-Service (PaaS) offerings at DigitalOcean. In this pivotal role, you will influence the future of our cloud\-native services, including App Platform, Functions, and CI/CD pipelines. Your expertise will drive the design of scalable, reliable, and secure systems that support our global infrastructure. Collaborating closely with product managers and engineering teams, you will establish long\-term technical roadmaps, solve complex distributed system challenges, and mentor engineers to elevate the organization’s technical excellence. This role offers a unique opportunity to shape how developers worldwide deploy and manage software on a platform optimized for simplicity and scale, making a meaningful impact on the developer community and our company's growth trajectory.
**Qualifications**
* 11\+ years of experience designing and building large\-scale distributed systems.
* Proficiency in one or more backend programming languages such as Go, Python, C\+\+, or Java.
* Strong foundation in systems architecture, infrastructure, and cloud\-native technologies.
* Proven experience leading the development of high\-availability services used by thousands or millions of users.
* Exceptional problem\-solving skills in distributed and scalable system design.
* Experience mentoring and leading engineering teams, fostering technical growth and excellence.
* Ability to stay ahead of emerging industry trends, tools, and best practices in PaaS and serverless ecosystems.
* Excellent communication and collaboration skills to partner effectively across teams and stakeholders.
**Responsibilities**
* Architect and oversee the implementation of high\-scale, reliable, and secure cloud platform systems.
* Define and drive the technical vision, including system design, scalability, observability, and developer experience enhancements.
* Collaborate with product management and engineering leadership to develop and execute strategic roadmaps.
* Identify potential platform bottlenecks, inefficiencies, and risks, designing proactive solutions.
* Partner with cross\-functional teams to ensure seamless integration of platform services, infrastructure, and developer tools.
* Mentor engineers across all levels, promoting a culture of technical excellence, inclusivity, and impact.
* Research and incorporate emerging technologies, patterns, and best practices in cloud\-native and serverless environments.
* Monitor key performance metrics such as platform availability, system performance, and developer satisfaction to inform improvements.
**Benefits**
* Competitive salary within the range of $227,040 – $283,800, commensurate with experience.
* Flexible remote work environment, supporting work\-life balance.
* Comprehensive health and wellness benefits, including Employee Assistance Programs.
* Opportunities for professional development through conferences, training, and LinkedIn Learning courses.
* Performance\-based bonuses and equity compensation packages, including stock grants and Employee Stock Purchase Programs.
* Supportive and inclusive workplace culture that values diversity and innovation.
 Equal Opportunity
 DigitalOcean is an equal‑opportunity employer. We celebrate diversity and are committed to creating an inclusive environment for all employees. We do not discriminate based on race, religion, color, ancestry, national origin, caste, sex, sexual orientation, gender, gender identity or expression, age, disability, medical condition, pregnancy, genetic information, marital status, or military service. All qualified applicants will receive consideration for employment without regard to these factors.</t>
        </is>
      </c>
    </row>
    <row r="262">
      <c r="A262" t="inlineStr">
        <is>
          <t>li-4354525583</t>
        </is>
      </c>
      <c r="B262" t="inlineStr">
        <is>
          <t>Backend Engineer - Cloud Services (Mid Level)</t>
        </is>
      </c>
      <c r="C262" t="inlineStr">
        <is>
          <t>SOTEREON.AI</t>
        </is>
      </c>
      <c r="D262" t="inlineStr">
        <is>
          <t>linkedin</t>
        </is>
      </c>
      <c r="E262">
        <f>HYPERLINK("https://www.linkedin.com/jobs/view/4354525583", "https://www.linkedin.com/jobs/view/4354525583")</f>
        <v/>
      </c>
      <c r="F262" t="inlineStr"/>
      <c r="G262" t="inlineStr">
        <is>
          <t>Tampa, FL</t>
        </is>
      </c>
      <c r="H262" t="inlineStr"/>
      <c r="I262" t="inlineStr">
        <is>
          <t>The Indoor Lab is at the forefront of spatial intelligence and advanced mapping technologies. We develop cutting\-edge solutions that leverage LiDAR data to power real\-time decision\-making in industries like autonomous navigation, smart infrastructure, geospatial analytics, and environmental monitoring. The Backend Engineer position is responsible for designing and implementing cloud services to evaluate, store, and distribute live analytic data. This includes developing and testing micro\-services and making improvements to existing ones. The cloud specialized Backend Engineer will also collaborate with cross\-functional teams to understand customer needs, develop customized solutions, and implement innovative enhancements.
**Location** 
 Tampa, Florida.
**Key Responsibilities** 
* Develop, implement, and deploy APIs and micro\-services in a .NET environment
* Collaborate with cross\-functional teams to integrate containerized applications
* Write reusable, modular code that adhere to SOLID principles
* Manage cloud infrastructure and build pipelines
* Optimize database queries for scalable deployments
**Qualifications** 
* Bachelor's degree or higher in Computer Science or related discipline
* 3\+ years of professional backend development experience
* Strong programming skills in C\#, .NET framework, and SQL
* Experience with Kafka and Kubernetes in distributed cloud infrastructure
* Deep understanding of Object Oriented Design principles
* Production experience with real time compliant systems
* Excellent written and verbal communication skills, and ability to work effectively in cross\-functional teams</t>
        </is>
      </c>
    </row>
    <row r="263">
      <c r="A263" t="inlineStr">
        <is>
          <t>li-4354690887</t>
        </is>
      </c>
      <c r="B263" t="inlineStr">
        <is>
          <t>Senior Software Engineer, Infrastructure</t>
        </is>
      </c>
      <c r="C263" t="inlineStr">
        <is>
          <t>Current</t>
        </is>
      </c>
      <c r="D263" t="inlineStr">
        <is>
          <t>linkedin</t>
        </is>
      </c>
      <c r="E263">
        <f>HYPERLINK("https://www.linkedin.com/jobs/view/4354690887", "https://www.linkedin.com/jobs/view/4354690887")</f>
        <v/>
      </c>
      <c r="F263" t="inlineStr"/>
      <c r="G263" t="inlineStr">
        <is>
          <t>New York, NY</t>
        </is>
      </c>
      <c r="H263" t="inlineStr"/>
      <c r="I263" t="inlineStr">
        <is>
          <t>**SENIOR SOFTWARE ENGINEER, INFRASTRUCTURE**
 Current is a leading consumer fintech platform transforming financial access for everyday Americans with over 5 million members. We provide access to financial solutions that seamlessly work together to solve the needs of our members and enable all Americans to build better financial futures. Based in NYC, our results\-driven environment drives us to build better products, grow faster and empower everyone on our team to have an impact on our business and mission to improve financial outcomes.
 Current’s Engineering team is dedicated to building our products and infrastructure. With our applications running on Google Cloud Kubernetes Engine, we support a proprietary banking core that can scale to handle millions of transactions a day. Our stack includes MongoDB and Spanner for persistence, Pub/Sub for asynchronous event processing, Dataflow for data transformation paired with BigQuery and Google Cloud Storage for data storage and analytics. Our backend services are written in Java and our data pipelines are built in Scala.
 We work across a broad set of domains, including user\-facing products like liquidity offerings and reward programs, infrastructure for machine learning and experimentation, real\-time fraud detection and identity protection, and large\-scale transaction processing across multiple payment rails.
 We are looking for a Backend Engineer to join our Infrastructure team in New York. This role has a salary range of $150,000 \- $240,000\. You will work to deliver on key business initiatives, improve existing architecture and services, and design large\-scale data\-intensive applications. You will also help protect application and network boundaries, keeping Current’s systems hardened against attacks and providing security services to protect highly sensitive data. The ideal candidate should have a background in backend development and experience working with cloud\-hosted services. This person should also be a motivated self\-starter who is able to feel at ease working in a fast\-paced environment.
**What To Expect**
* Owning the end\-to\-end delivery of key business initiatives from product discovery, to system design, and all the way to feature launch
* Build tools and processes for critical infrastructure security , monitoring and remediation
* Learning and applying distributed system optimization patterns
* A strong culture of code and architecture review
* Designing and delivering large\-scale data\-intensive applications with cutting edge techniques in:
+ Real\-time transaction decisioning
+ Stream\-processing
+ Machine learning
* Evolving the company standards for engineering excellence by helping to improve architecture, testing, and monitoring practices
* Helping Current’s users access new decentralized financial systems for wealth creation
**About You**
* Significant professional backend development experience
* Production experience with a JVM language
* Experience with cloud\-hosted services, like AWS or GCP
* Proficiency in both RDBMS and NoSQL databases
* Demonstrated experience in cloud infrastructure and security delivered within the context of customer facing roles, preferably GCP
* A good grasp of concurrency and multi\-threading
**Benefits**
* Competitive salary
* Meaningful equity in the form of stock options
* 401(k) plan
* Discretionary performance bonus program
* Biannual performance reviews
* Medical, Dental and Vision premiums covered at 100% for you and your dependents
* Flexible time off and paid holidays
* Generous parental leave policy
* Commuter benefits
* Fitness benefits
* Healthcare and Dependent care FSA benefit
* Employee Assistance Programs focused on mental health
* Healthcare advocacy program for all employees
* Access to mental health apps
* Team building activities
* Our modern Chelsea\-based office with open floor plan, stocked kitchen, and catered lunches</t>
        </is>
      </c>
    </row>
    <row r="264">
      <c r="A264" t="inlineStr">
        <is>
          <t>li-4313099766</t>
        </is>
      </c>
      <c r="B264" t="inlineStr">
        <is>
          <t>Robotics Software Engineer</t>
        </is>
      </c>
      <c r="C264" t="inlineStr">
        <is>
          <t>HCLTech</t>
        </is>
      </c>
      <c r="D264" t="inlineStr">
        <is>
          <t>linkedin</t>
        </is>
      </c>
      <c r="E264">
        <f>HYPERLINK("https://www.linkedin.com/jobs/view/4313099766", "https://www.linkedin.com/jobs/view/4313099766")</f>
        <v/>
      </c>
      <c r="F264" t="inlineStr"/>
      <c r="G264" t="inlineStr">
        <is>
          <t>Santa Clara, CA</t>
        </is>
      </c>
      <c r="H264" t="inlineStr"/>
      <c r="I264" t="inlineStr">
        <is>
          <t>HCLTech is looking for a highly talented and self\- motivated
 **Robotics Software Engineer** 
 to join it in advancing the technological world through innovation and creativity.
**Job Title: Robotics Software Engineer** 
**Job ID: 1625360BR** 
**Position Type: Fulltime** 
**Location: East Brunswick NJ or Santa Clara CA** 
 As a Robotics Software Engineer, you will bring business value to our clients through the development, optimization, and implementation of robotic software solutions. You will use the latest technologies and frameworks to create efficient and reliable robotic systems. We are seeking experienced professionals for our open position.
**What will You do:** 
* Develop robot control algorithms to enhance robotic functionality.
* Implement simulation scenarios to test and validate robotic behaviors.
* Write Python/C\+\+ scripts to program robot behavior and interactions.
* Integrate simulation environments with ROS/ROS2 for seamless operation.
* Conduct performance tests and troubleshoot software issues.
* Collaborate with hardware engineers to ensure software\-hardware compatibility.
**Qualifications:** 
 We want to hear from you if you have:
* Experience in robotics software engineering.
* Solid knowledge of Python programming, robot kinematics, and control theory.
* Experience with simulation frameworks and ROS/ROS2\.
* Professional level of English (written and oral).
* Excellent problem\-solving, analytical, and communication skills.
* Intelligent, communicative team\-player personality, interested in and willing to learn new skills and technologies.
**Pay and Benefits**
**Pay Range Minimum: $120000 per year** 
**Pay Range Maximum: $130000 per 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**A candidate’s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265">
      <c r="A265" t="inlineStr">
        <is>
          <t>li-4351295899</t>
        </is>
      </c>
      <c r="B265" t="inlineStr">
        <is>
          <t>Software Engineer in Test (SDET)</t>
        </is>
      </c>
      <c r="C265" t="inlineStr">
        <is>
          <t>BeaconFire Inc.</t>
        </is>
      </c>
      <c r="D265" t="inlineStr">
        <is>
          <t>linkedin</t>
        </is>
      </c>
      <c r="E265">
        <f>HYPERLINK("https://www.linkedin.com/jobs/view/4351295899", "https://www.linkedin.com/jobs/view/4351295899")</f>
        <v/>
      </c>
      <c r="F265" t="inlineStr"/>
      <c r="G265" t="inlineStr">
        <is>
          <t>New York, United States</t>
        </is>
      </c>
      <c r="H265" t="inlineStr"/>
      <c r="I265" t="inlineStr">
        <is>
          <t>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266">
      <c r="A266" t="inlineStr">
        <is>
          <t>li-4354651855</t>
        </is>
      </c>
      <c r="B266" t="inlineStr">
        <is>
          <t>Software Developer</t>
        </is>
      </c>
      <c r="C266" t="inlineStr">
        <is>
          <t>TransPerfect Connect</t>
        </is>
      </c>
      <c r="D266" t="inlineStr">
        <is>
          <t>linkedin</t>
        </is>
      </c>
      <c r="E266">
        <f>HYPERLINK("https://www.linkedin.com/jobs/view/4354651855", "https://www.linkedin.com/jobs/view/4354651855")</f>
        <v/>
      </c>
      <c r="F266">
        <f>HYPERLINK("https://transperfect.wd5.myworkdayjobs.com/en-US/transperfect/job/US-Maynard-MA/Software-Developer_R2025-240820&amp;urlHash=QVEK", "https://transperfect.wd5.myworkdayjobs.com/en-US/transperfect/job/US-Maynard-MA/Software-Developer_R2025-240820&amp;urlHash=QVEK")</f>
        <v/>
      </c>
      <c r="G266" t="inlineStr">
        <is>
          <t>Maynard, MA</t>
        </is>
      </c>
      <c r="H266" t="inlineStr"/>
      <c r="I266" t="inlineStr">
        <is>
          <t>**TransPerfect Is More Than Just a Job…**
 Our greatest asset is our people, and nothing is more important to us than ensuring that everyone knows that. Each of our 100\+ offices has its own individual identity, and each also has its own unique rewards.</t>
        </is>
      </c>
    </row>
    <row r="267">
      <c r="A267" t="inlineStr">
        <is>
          <t>li-4330551360</t>
        </is>
      </c>
      <c r="B267" t="inlineStr">
        <is>
          <t>Software Engineer</t>
        </is>
      </c>
      <c r="C267" t="inlineStr">
        <is>
          <t>B/CORE</t>
        </is>
      </c>
      <c r="D267" t="inlineStr">
        <is>
          <t>linkedin</t>
        </is>
      </c>
      <c r="E267">
        <f>HYPERLINK("https://www.linkedin.com/jobs/view/4330551360", "https://www.linkedin.com/jobs/view/4330551360")</f>
        <v/>
      </c>
      <c r="F267">
        <f>HYPERLINK("https://careers-bcore.icims.com/jobs/2891/software-engineer/job?mode=job&amp;iis=Job+Posting&amp;iisn=LinkedIn&amp;urlHash=7xPD", "https://careers-bcore.icims.com/jobs/2891/software-engineer/job?mode=job&amp;iis=Job+Posting&amp;iisn=LinkedIn&amp;urlHash=7xPD")</f>
        <v/>
      </c>
      <c r="G267" t="inlineStr">
        <is>
          <t>Herndon, VA</t>
        </is>
      </c>
      <c r="H267" t="inlineStr"/>
      <c r="I267" t="inlineStr">
        <is>
          <t>**Herndon, VA**
**TS/SCI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**Software Engineer** 
 in
 **Herndon, Virginia** 
 .
* Develop, build, and optimize systems for data collection, storage, access, and analytics at enterprise scale
* Make data available, accessible, and secure to all stakeholders
* Develop robust and resilient data pipelines to connect data sources to analytics tools
* Analyze data sources for accuracy, data prioritization, and apply appropriate logic to developed solutions
* Work with various team members to craft solutions to requirements and/or help refine the requirements for implementation
* Enumerate the necessary datasets and design the data model and schemas to support the requirements
* Provide platform support, including problem solving and debugging, for production issues
* Coach junior team members through the Software Development Life Cycle process
* Follow the deployment procedures and standard operating procedures utilized by the team
**Required Qualifications**
* 7\+ years’ experience in application development, software engineering or data engineering
* 2\+ years’ recent practical (applied) experience with Python
* Experience with ETL, data transformation and data pipelines
* Experience taking data collection requirements and translating those requirements into implementable solutions
* Demonstrated experience in the Software Development Life Cycle to include debugging, testing, and deployment to different environments
**Desired Qualifications**
* Experience with Database Management, SQL and/or PostgreSQL
* Experience with Linux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row>
    <row r="268">
      <c r="A268" t="inlineStr">
        <is>
          <t>li-4351316032</t>
        </is>
      </c>
      <c r="B268" t="inlineStr">
        <is>
          <t>Full Stack Engineer</t>
        </is>
      </c>
      <c r="C268" t="inlineStr">
        <is>
          <t>Mastech Digital</t>
        </is>
      </c>
      <c r="D268" t="inlineStr">
        <is>
          <t>linkedin</t>
        </is>
      </c>
      <c r="E268">
        <f>HYPERLINK("https://www.linkedin.com/jobs/view/4351316032", "https://www.linkedin.com/jobs/view/4351316032")</f>
        <v/>
      </c>
      <c r="F268" t="inlineStr"/>
      <c r="G268" t="inlineStr">
        <is>
          <t>Dallas, TX</t>
        </is>
      </c>
      <c r="H268" t="inlineStr"/>
      <c r="I268" t="inlineStr">
        <is>
          <t>7\+ years of experience in software engineering, including 3\+ years of cloud experience.
 Proven hands\-on experience in Java, Tomcat, Spring Boot.
 Build and develop Java\-based application programming interfaces (APIs) and event\-driven applications to improve back\-end performance.
 Extensive experience with Service Oriented Architecture REST APIs using Spring Boot / Drop wizard.
 5 to 10 years of hands\-on experience with crafting and building large scale applications.
 Solid understanding in application development with micro architectures, Docker containers.
 Knowledge of end\-to\-end DevSecOps automation with CI and CD pipelines including Unit, Component, Functional, Performance, and Security test automation.
 good experience with front end technology mainly angular
 Knowledge of mock frameworks and service virtualization.
 Proven experience working with sql and no\-sql databases such as Oracle database and PL\-SQL, DynamoDB.</t>
        </is>
      </c>
    </row>
    <row r="269">
      <c r="A269" t="inlineStr">
        <is>
          <t>li-4348542601</t>
        </is>
      </c>
      <c r="B269" t="inlineStr">
        <is>
          <t>Java Software Engineer</t>
        </is>
      </c>
      <c r="C269" t="inlineStr">
        <is>
          <t>BeaconFire Inc.</t>
        </is>
      </c>
      <c r="D269" t="inlineStr">
        <is>
          <t>linkedin</t>
        </is>
      </c>
      <c r="E269">
        <f>HYPERLINK("https://www.linkedin.com/jobs/view/4348542601", "https://www.linkedin.com/jobs/view/4348542601")</f>
        <v/>
      </c>
      <c r="F269" t="inlineStr"/>
      <c r="G269" t="inlineStr">
        <is>
          <t>New Jersey, United States</t>
        </is>
      </c>
      <c r="H269" t="inlineStr"/>
      <c r="I269" t="inlineStr">
        <is>
          <t>**Job Title: Java Developer** 
**Location: NJ (Onsite/Hybrid)** 
**Employment Type: Full\-Time** 
**About the Role** 
 We are looking for a motivated and detail\-oriented
 **Java Developer** 
 to join our development team. In this role, you will work closely with senior engineers to design, develop, test, and maintain high\-quality applications using Java and related technologies. This is an excellent opportunity for recent graduates or early\-career professionals to grow their technical and professional skills.
**Key Responsibilities** 
* Assist in designing, developing, and maintaining Java\-based applications.
* Collaborate with cross\-functional teams to analyze requirements and implement software solutions.
* Write clean, efficient, and well\-documented code following best practices.
* Participate in code reviews and contribute to continuous improvement.
* Troubleshoot, debug, and resolve technical issues as they arise.
* Support the testing process, including writing unit tests and fixing defects.
* Learn and adapt to new technologies, tools, and methodologies as required.
**Required Qualifications** 
* Bachelor’s degree in computer science, Software Engineering, or a related field.
* Strong understanding of
 **Core Java** 
 , OOP concepts, and data structures.
* Basic knowledge of
 **Java frameworks** 
 such as Spring or Spring Boot (preferred).
* Familiarity with databases (MySQL, PostgreSQL, or similar).
* Understanding of REST APIs and web services.
* Knowledge of version control systems like Git.
* Good problem\-solving skills and attention to detail.
* Strong communication and teamwork abilities.</t>
        </is>
      </c>
    </row>
    <row r="270">
      <c r="A270" t="inlineStr">
        <is>
          <t>li-4330570856</t>
        </is>
      </c>
      <c r="B270" t="inlineStr">
        <is>
          <t>Python Software Engineer</t>
        </is>
      </c>
      <c r="C270" t="inlineStr">
        <is>
          <t>CPS, Inc.</t>
        </is>
      </c>
      <c r="D270" t="inlineStr">
        <is>
          <t>linkedin</t>
        </is>
      </c>
      <c r="E270">
        <f>HYPERLINK("https://www.linkedin.com/jobs/view/4330570856", "https://www.linkedin.com/jobs/view/4330570856")</f>
        <v/>
      </c>
      <c r="F270" t="inlineStr"/>
      <c r="G270" t="inlineStr">
        <is>
          <t>New York, NY</t>
        </is>
      </c>
      <c r="H270" t="inlineStr"/>
      <c r="I270" t="inlineStr">
        <is>
          <t>**Senior Python Software Engineer**
 We’re looking for a Senior Python Engineer to join a small, high\-performing engineering team building production\-quality software systems that power critical applications. This role is ideal for someone with a strong computer science background, a track record of delivering robust, scalable code, and a passion for solving challenging engineering problems.
 Our environment is cloud\-native and Kubernetes\-based, with a focus on modern development practices, continuous integration/deployment, and high reliability at scale. Engineers on this team contribute to both product direction and technical strategy, and are expected to engage deeply in design discussions, code reviews, and best practices.
**Responsibilities**
* Design, build, and maintain high\-quality production Python software.
* Apply strong computer science principles to develop efficient, scalable, and maintainable systems.
* Contribute to system architecture and technical design decisions.
* Write code that is well\-tested, well\-documented, and easy to understand.
* Collaborate closely with teammates to solve problems, review code, and continuously improve engineering practices.
* Provide guidance and mentorship to other engineers when needed.</t>
        </is>
      </c>
    </row>
    <row r="271">
      <c r="A271" t="inlineStr">
        <is>
          <t>li-4354661123</t>
        </is>
      </c>
      <c r="B271" t="inlineStr">
        <is>
          <t>C# Software Engineer - Project Based</t>
        </is>
      </c>
      <c r="C271" t="inlineStr">
        <is>
          <t>Autonomous Solutions, Inc. (ASI)</t>
        </is>
      </c>
      <c r="D271" t="inlineStr">
        <is>
          <t>linkedin</t>
        </is>
      </c>
      <c r="E271">
        <f>HYPERLINK("https://www.linkedin.com/jobs/view/4354661123", "https://www.linkedin.com/jobs/view/4354661123")</f>
        <v/>
      </c>
      <c r="F271">
        <f>HYPERLINK("https://www.adzuna.com/details/5558525418?v=8B1313352060DB97490630A3F7943572678BBFA5&amp;r=20997133&amp;frd=b01d6a46d0572df324481eacbd1db6fb&amp;ccd=e86707be88fd2f94e03db06f45285cb3&amp;utm_source=linkedin7&amp;utm_medium=organic&amp;chnlid=1931&amp;title=C%23%20Software%20Engineer%20-%20Project%20Based&amp;a=e&amp;urlHash=jkEH", "https://www.adzuna.com/details/5558525418?v=8B1313352060DB97490630A3F7943572678BBFA5&amp;r=20997133&amp;frd=b01d6a46d0572df324481eacbd1db6fb&amp;ccd=e86707be88fd2f94e03db06f45285cb3&amp;utm_source=linkedin7&amp;utm_medium=organic&amp;chnlid=1931&amp;title=C%23%20Software%20Engineer%20-%20Project%20Based&amp;a=e&amp;urlHash=jkEH")</f>
        <v/>
      </c>
      <c r="G271" t="inlineStr">
        <is>
          <t>Lehi, UT</t>
        </is>
      </c>
      <c r="H271" t="inlineStr"/>
      <c r="I271" t="inlineStr">
        <is>
          <t>This is a project\-based employee role supporting the initial development phase of our autonomous vehicle platforms. Development phases of this nature typically span up to approximately 24 months, though scope and duration are driven by business needs.
**Why work at ASI?**
 Autonomous Solutions, Inc. (ASI) is located in the hills of beautiful Northern Utah and is an exciting team to be a part of. We are a rapidly growing autonomous robotics company and design innovative automation technology that is utilized by numerous companies in the mining, automobile, and agricultural industries! Being a part of the ASI team can give you opportunities to work in an industry that is meaningful and changing our world we live in. And being able to do that with a team that is passionate about making a difference makes ASI a great place to work and grow!
 ASI features a family\-friendly work environment and is committed to the belief that employees should maintain a strong work/personal life balance. Evidence of this commitment can be seen in our compensation plan, culture, benefits, and work environment. (\*Details can be discussed with the recruiter.)
**Who are we looking for?**
 We are looking for a Software Engineer looking for an exciting and challenging opportunity. ASI is one of the fastest\-growing robotics companies in the United States, and we're always looking for the best and brightest engineers to join us. As an ASI Software Engineer, you will be participating in design, implementation, testing, and maintaining software, to meet client needs and advance robotics technologies. Our software engineers participate in the full life cycle of software development and help determine project architecture and requirements and gain exposure to some of the complex tasks within the job function.
**Essential Duties And Responsibilities**
* Work with a team of software engineers to add functionality and improve and upgrade Mobius software product applications
* Write understandable code
* Ability to code in multiple languages including C\#, C/C\+\+
* Write detailed technical specifications for new features
* Maintain and extend developer documentation
* Work with customers (on\-site and off\-site) to ensure end product meets expectations
* Write unit\-level tests and assist in specifying and creating integration tests
* Designs/codes applications following specifications using the appropriate tools
* Maintains and modifies existing applications without supervision
* Perform maintenance programming for existing version
* Perform custom programming at customer request
* Assume responsibility for ongoing data architecture for product
* Analyze, design and develop tests and test\-automation suites
* Design and develop a processing platform using various configuration management technologies
* Test software development methodology in an agile environment
* Provide ongoing maintenance, support and enhancements in existing systems and platforms
* Collaborate cross\-functionally with data scientists, business users, project managers and other engineers to achieve elegant solutions
* Provide recommendations for continuous improvement
* Work alongside other engineers on the team to elevate technology and consistently apply best practices
**Essential Education, Work Experience, And Job Skills**
* Bachelor or Master's degree in Computer Science or related field
* 2\-5 yrs. experience as a software engineer using C\# or other related experience
* Must have experience in:
+ Working in a team environment with an established process
+ Solving problems limited in complexity
+ Unit Tests
+ Version Control
+ Story Estimation
+ Actively Holds Code reviews
* Experience with complex technical areas such as memory management, profiling and optimization, complex algorithms, and concurrency
* Understanding of geometry, trigonometry, matrix transforms, and general linear algebra
* Experience with Scrum/Agile development methodologies preferred
 At Autonomous Solutions, Inc. (ASI), we are committed to fostering a diverse, inclusive, and equitable workplace where all employees and applicants have equal opportunities. We prohibit discrimination and harassment of any kind based on race, color, religion, sex, national origin, age, disability, genetic information, veteran status, sexual orientation, gender identity, or any other legally protected characteristic. ASI complies with all applicable federal, state, and local laws regarding non\-discrimination in employment and is dedicated to providing reasonable accommodations for individuals with disabilities throughout the hiring process.
 Your employment with ASI will be "at\-will", meaning that either you or ASI may terminate your employment at any time for any reason, with or without cause.
***Job Posted by ApplicantPro***</t>
        </is>
      </c>
    </row>
    <row r="272">
      <c r="A272" t="inlineStr">
        <is>
          <t>li-4354595152</t>
        </is>
      </c>
      <c r="B272" t="inlineStr">
        <is>
          <t>Software Engineer - Infrastructure</t>
        </is>
      </c>
      <c r="C272" t="inlineStr">
        <is>
          <t>Baseten</t>
        </is>
      </c>
      <c r="D272" t="inlineStr">
        <is>
          <t>linkedin</t>
        </is>
      </c>
      <c r="E272">
        <f>HYPERLINK("https://www.linkedin.com/jobs/view/4354595152", "https://www.linkedin.com/jobs/view/4354595152")</f>
        <v/>
      </c>
      <c r="F272" t="inlineStr"/>
      <c r="G272" t="inlineStr">
        <is>
          <t>San Francisco, CA</t>
        </is>
      </c>
      <c r="H272" t="inlineStr"/>
      <c r="I272"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Software Engineer at Baseten, you'll build and maintain components of our ML inference platform that powers production AI applications. You'll contribute to the core infrastructure, enabling developers to deploy, scale, and monitor ML models with high performance.
**EXAMPLE INITIATIVES**
 You'll get to work on these types of projects as part of our Infrastructure team:
* Multi\-cloud capacity management
* Inference on B200 GPUs
* Multi\-node inference
* Fractional H100 GPUs for efficient model serving
**Responsibilities**
* Develop infrastructure components for our ML inference platform using Python and Go
* Implement and maintain Kubernetes deployments for model serving
* Contribute to our inference orchestration layer for model deployments
* Build and enhance monitoring systems for model performance metrics
* Implement efficient resource management solutions for ML workloads
* Support infrastructure automation to improve ML deployment workflows
* Work closely with team members to implement technical solutions
* Help balance performance optimization with system reliability
* Participate in technical discussions around infrastructure improvements
* Learn and apply infrastructure best practices
**Requirements**
* Bachelor's degree or higher in Computer Science or related field
* 1\-3 years experience in software engineering or infrastructure
* Proficient coding abilities in one or more popular programming or scripting languages; Go proficiency is a plus
* Working knowledge of Kubernetes and containerization
* Basic understanding of machine learning concepts and model serving
* Familiarity with distributed systems concepts
* Experience with basic monitoring and logging tools
* Interest in ML/AI infrastructure and willingness to learn
* Strong collaboration and communication skills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273">
      <c r="A273" t="inlineStr">
        <is>
          <t>li-4330500896</t>
        </is>
      </c>
      <c r="B273" t="inlineStr">
        <is>
          <t>Software Engineer, Applied Machine Learning, Planner Technology</t>
        </is>
      </c>
      <c r="C273" t="inlineStr">
        <is>
          <t>Waymo</t>
        </is>
      </c>
      <c r="D273" t="inlineStr">
        <is>
          <t>linkedin</t>
        </is>
      </c>
      <c r="E273">
        <f>HYPERLINK("https://www.linkedin.com/jobs/view/4330500896", "https://www.linkedin.com/jobs/view/4330500896")</f>
        <v/>
      </c>
      <c r="F273">
        <f>HYPERLINK("https://careers.withwaymo.com/jobs?gh_jid=7163224&amp;gh_src=e2a2625d1us&amp;urlHash=lqvL", "https://careers.withwaymo.com/jobs?gh_jid=7163224&amp;gh_src=e2a2625d1us&amp;urlHash=lqvL")</f>
        <v/>
      </c>
      <c r="G273" t="inlineStr">
        <is>
          <t>Mountain View, CA</t>
        </is>
      </c>
      <c r="H273" t="inlineStr"/>
      <c r="I27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 Applied Machine Learing, Planner Technology**
 In this hybrid role, you will report to a Technical Lead Manager.
**You Will**
* Investigate driving behavior issues from logs and understand the root cause.
* Formulate deficiencies in driving behavior into crisp definitions of learning objectives, and develop evaluation metrics for planner’s ML models to achieve these objectives.
* Improve performance of the state of the art ML models in Planner.
* Develop foundational frameworks that help advancement of the Waymo Driver's capabilities.
* Expand the impact of ML models while preserving interpretability and behavioral guarantees
* Directly contribute to solving some of the most challenging driving situations in the long tail.
**You Have**
* Masters or PhD degree in Computer Science, Machine Learning or a similar discipline.
* Proficiency in C\+\+ or Python.
* Experience with Machine Learning models in production system.
**We Prefer**
* AV or Robotics experience
* 4\+ years of Software Engineering experience in complex system,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74">
      <c r="A274" t="inlineStr">
        <is>
          <t>li-4354575659</t>
        </is>
      </c>
      <c r="B274" t="inlineStr">
        <is>
          <t>Software Engineer - Model Performance</t>
        </is>
      </c>
      <c r="C274" t="inlineStr">
        <is>
          <t>Baseten</t>
        </is>
      </c>
      <c r="D274" t="inlineStr">
        <is>
          <t>linkedin</t>
        </is>
      </c>
      <c r="E274">
        <f>HYPERLINK("https://www.linkedin.com/jobs/view/4354575659", "https://www.linkedin.com/jobs/view/4354575659")</f>
        <v/>
      </c>
      <c r="F274" t="inlineStr"/>
      <c r="G274" t="inlineStr">
        <is>
          <t>San Francisco, CA</t>
        </is>
      </c>
      <c r="H274" t="inlineStr"/>
      <c r="I274"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Are you passionate about advancing the application of artificial intelligence? We are looking for a Software Engineer focused on ML performance to join our dynamic team. This role is ideal for someone who thrives in a fast\-paced startup environment and is eager to make significant contributions to the exciting field of LLM Inference. If you are a backend engineer who thrives on making things faster and is excited about open\-source ML models, we look forward to your application.
**EXAMPLE INITIATIVES**
 You'll get to work on these types of projects as part of our Model Performance team:
* Baseten Embeddings Inference: The fastest embeddings solution available
* The Baseten Inference Stack
* Driving model performance optimization
**Responsibilities**
* Implement, refine, and productionize cutting\-edge techniques (quantization, speculative decoding, kv cache reuse, chunked prefill and LoRA) for ML model inference and infrastructure.
* Deep dive into underlying codebases of TensorRT, PyTorch, TensorRT\-LLM, vllm, sglang, CUDA, and other libraries to debug ML performance issues.
* Apply and scale optimization techniques across a wide range of ML models, particularly large language models.
* Collaborate with a diverse team to design and implement innovative solutions.
* Own projects from idea to production.
**Requirements**
* Bachelor's, Master's, or Ph.D. degree in Computer Science, Engineering, Mathematics, or related field.
* Experience with one or more general\-purpose programming languages, such as Python or C\+\+.
* Familiarity with LLM optimization techniques (e.g., quantization, speculative decoding, continuous batching).
* Strong familiarity with ML libraries, especially PyTorch, TensorRT, or TensorRT\-LLM.
* Demonstrated interest and experience in LLM’s.
* Deep understanding of GPU architecture.
* Bonus:
+ Proficiency in enhancing the performance of software systems, particularly in the context of large language models (LLMs).
+ Experience with CUDA or similar technologies.
+ Deep understanding of software engineering principles and a proven track record of developing and deploying AI/ML inference solutions.
+ Experience with Docker and Kubernetes.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275">
      <c r="A275" t="inlineStr">
        <is>
          <t>li-4349527650</t>
        </is>
      </c>
      <c r="B275" t="inlineStr">
        <is>
          <t>Engineer - Software Developer in Test I</t>
        </is>
      </c>
      <c r="C275" t="inlineStr">
        <is>
          <t>Spectra Logic</t>
        </is>
      </c>
      <c r="D275" t="inlineStr">
        <is>
          <t>linkedin</t>
        </is>
      </c>
      <c r="E275">
        <f>HYPERLINK("https://www.linkedin.com/jobs/view/4349527650", "https://www.linkedin.com/jobs/view/4349527650")</f>
        <v/>
      </c>
      <c r="F275" t="inlineStr"/>
      <c r="G275" t="inlineStr">
        <is>
          <t>Boulder, CO</t>
        </is>
      </c>
      <c r="H275" t="inlineStr"/>
      <c r="I275" t="inlineStr">
        <is>
          <t>**Description**
**OVERVIEW:**
 Spectra Logic Corporation is a global leader in data management, data protection, and data storage technology. With its focus on data storage innovation for more than 40 years, Spectra helps organizations modernize their IT infrastructures and protect and preserve their data with a broad portfolio of solutions.
 As a key player in Spectra’s Test Engineering Group, you will focus on automated validation of new features, bug fixes, and overall quality of the product. Day\-to\-day activities will include developing test infrastructure, test cases and test plans in Golang, participating in design and code reviews with all development teams, implementing small to medium features and bug fixes in production code, and diagnosing failures found via automated testing.
**WHAT YOU’LL BE DOING:**
* Developing in Go to improve the quality of the product. This includes automation code, production code, and proof of concept code.
* Designing and implementing test plans and test cases in Go that run continuously.
* Performing root cause analysis on issues found and implementing fixes.
* Working closely with other development teams to drive quality, improve functionality, and transfer knowledge.
**WHAT YOU NEED TO BRING TO THE TABLE:**
* Must have B.S. degree in Computer Science, Computer Engineering
* A passion for creating world class products by applying new testing methodologies, think outside of the box
* Strong analytical, diagnosis and troubleshooting skills
* Experience with basic System Administrator for Linux environments
* Experience with Go
* Experience with HW and SW integrated solutions
**COMPENSATION:**
 Base salary range: $70,000 to $100,000 annually. While this salary range is a good faith and reasonable estimate, a candidate’s actual salary will be competitive based on a variety of factors including the candidate’s knowledge, skills, experience, and location.
**BENEFITS** 
 :
 Spectra provides a casual work environment and a compensation structure that rewards contribution and hard work. Our comprehensive benefits package includes:
* Medical, dental and vision insurance
* 401K with matching
* Health Savings Account (HSA) and Flexible Spending Account (FSA) options
* Short\-term and long\-term disability insurance
* Employee Assistance Program
* Paid vacation, holidays and sick time
* Educational reimbursement
* Hybrid work options
**WHY SPECTRA?**
 Located in the foothills of the Rocky Mountains in Boulder, Colorado, Spectra is an entrepreneurial, private company with more than 40 years of proven success preserving, protecting and defending the world’s data. We place a high value on our team’s happiness, work/life balance and professional development, so everybody wins – customers included. Work out on your own or with our trainer at one of the on\-campus gyms; grab lunch or snacks onsite or challenge the CEO to a game of pinball; and grow your career with peers who are second to none.
 Spectra is committed to recruiting and retaining a diverse and inclusive workforce. We are proud to be an Equal Opportunity Employer, and we never discriminate against applicants or employees on the basis of gender, age, color, disability, gender identity, gender expression, genetic information, military or veteran status, national origin, race, religion, sex, sexual orientation or any other characteristics protected by applicable law.
* Spectra Logic is committed to the practice and policies of equal employment opportunities in the recruitment, employment and promotion of all associates without regard to age 40 and over, race, color, religion, sex, sexual orientation, disability, gender, gender identity, gender expression, genetic information, status as protected veteran, national origin, or any other applicable status protected by state or local law.</t>
        </is>
      </c>
    </row>
    <row r="276">
      <c r="A276" t="inlineStr">
        <is>
          <t>li-4351126116</t>
        </is>
      </c>
      <c r="B276" t="inlineStr">
        <is>
          <t>Java Software Engineer</t>
        </is>
      </c>
      <c r="C276" t="inlineStr">
        <is>
          <t>Mastech Digital</t>
        </is>
      </c>
      <c r="D276" t="inlineStr">
        <is>
          <t>linkedin</t>
        </is>
      </c>
      <c r="E276">
        <f>HYPERLINK("https://www.linkedin.com/jobs/view/4351126116", "https://www.linkedin.com/jobs/view/4351126116")</f>
        <v/>
      </c>
      <c r="F276" t="inlineStr"/>
      <c r="G276" t="inlineStr">
        <is>
          <t>Texas, United States</t>
        </is>
      </c>
      <c r="H276" t="inlineStr"/>
      <c r="I276" t="inlineStr">
        <is>
          <t>Java Backend Engineer
 location\- NC/TX
 W2, Hybrid(C2C dont apply please)
 1\.) Java/Spring (LWC)
 2\.) CI/CD pipeline maintenance
 3\.) AWS code deployment
 CANDIDATE PROFILE:
 1\.) Strong complex Java (any version), J2EE, memory management
 2\.) Spring Boot
 3\.) Rest APIs
 \*Nice to Have\*
 1\.) AWS (can work with Azure)
 2\.) Financial Services</t>
        </is>
      </c>
    </row>
    <row r="277">
      <c r="A277" t="inlineStr">
        <is>
          <t>li-4344153288</t>
        </is>
      </c>
      <c r="B277" t="inlineStr">
        <is>
          <t>Senior Software Engineer</t>
        </is>
      </c>
      <c r="C277" t="inlineStr">
        <is>
          <t>KeyBank</t>
        </is>
      </c>
      <c r="D277" t="inlineStr">
        <is>
          <t>linkedin</t>
        </is>
      </c>
      <c r="E277">
        <f>HYPERLINK("https://www.linkedin.com/jobs/view/4344153288", "https://www.linkedin.com/jobs/view/4344153288")</f>
        <v/>
      </c>
      <c r="F277">
        <f>HYPERLINK("https://keybank.wd5.myworkdayjobs.com/External_Career_Site/job/4910-Tiedeman-Road-Brooklyn-OH/Senior-Software-Engineer_R-36751-1?q=R-13386&amp;source=Linked_In&amp;urlHash=GnQ8", "https://keybank.wd5.myworkdayjobs.com/External_Career_Site/job/4910-Tiedeman-Road-Brooklyn-OH/Senior-Software-Engineer_R-36751-1?q=R-13386&amp;source=Linked_In&amp;urlHash=GnQ8")</f>
        <v/>
      </c>
      <c r="G277" t="inlineStr">
        <is>
          <t>Brooklyn, OH</t>
        </is>
      </c>
      <c r="H277" t="inlineStr"/>
      <c r="I277" t="inlineStr">
        <is>
          <t>**Location:**
 4910 Tiedeman Road, Brooklyn Ohio
**Location:**
 Mobile, in office 2 days a week at 4910 Tiedeman Rd, Brooklyn, OH.
**Job Summary**
 KeyBank is seeking a highly skilled Senior Software Engineer with deep expertise in Google Dialogflow or similar platforms, Voice Bot and Chatbot development, Google Cloud Platform (GCP), and Node.js to lead development initiatives for our Contact Center solutions. The ideal candidate will have strong technical leadership capabilities, hands\-on experience in building scalable conversational AI applications, and a background in the finance industry.
**Essential Functions**
* Lead the design, development, and deployment of voice and chat\-based conversational agents using Google Dialogflow or similar platforms and GCP services.
* Architect and implement Node.js\-based microservices for high\-performance, secure, and scalable solutions.
* Build and optimize voice\-enabled and chat\-enabled AI solutions for customer interactions across multiple channels.
* Collaborate with cross\-functional teams to integrate conversational AI into enterprise workflows.
* Drive best practices in coding, testing, and deployment for cloud\-native applications.
* Mentor junior engineers and provide technical leadership across projects.
* Ensure compliance with security and regulatory standards in the financial services domain.
**Education**
* Bachelor's Degree (preferred)
* OR equivalent experience (required)
**Work Experience**
* 8\+ years of software engineering experience, with at least 3\+ years in a lead role.
**Skills**
* Strong proficiency in Node.js, JavaScript, and modern frameworks.
* Expertise in Google Dialog flow or similar platforms, Voice Bot and Chatbot development, and GCP services.
* Proven experience in Contact Center technologies and integrations.
* Solid understanding of microservices architecture, APIs, and cloud\-native design.
* Experience in the finance industry (preferred).
* Excellent problem\-solving, communication, and leadership skills.
* Knowledge of CI/CD pipelines, containerization (Docker/Kubernetes), and DevOps practices.
* Familiarity with Agile methodologies and enterprise\-scale deployments.
**Core Competencies**
* All KeyBank employees are expected to demonstrate Key’s Values and abide by Key’s Code of Conduct.
**Physical Demands**
* General Office \- Prolonged sitting, ability to communicate face to face in person or on the phone with teammates and clients, frequent use of PC/laptop, occasional lifting/pushing/pulling of backpacks, computer bags up to 10 lbs.
*This position is NOT eligible for employment visa sponsorship for non\-U.S. citizens.*
**Compensation And Benefits**
 This position is eligible to earn a base salary in the range of $68,000\.00 \- $103,000\.00 annually. Placement within the pay range may differ based upon various factors, including but not limited to skills, experience and geographic location. Compensation for this role also includes eligibility for incentive compensation subject to individual and company performance.
 Please click here for a list of benefits for which this position is eligible.
 Key has implemented an approach to employee workspaces which prioritizes in\-office presence, while providing flexible options in circumstances where roles can be performed effectively in a mobile environment.
 Job Posting Expiration Date: 01/30/2026 KeyCorp is an Equal Opportunity Employer committed to sustaining an inclusive culture. All qualified applicants will receive consideration for employment without regard to race, color, religion, sex, sexual orientation, gender identity, national origin, age, genetic information, pregnancy, disability, veteran status or any other characteristic protected by law.
 Qualified individuals with disabilities or disabled veterans who are unable or limited in their ability to apply on this site may request reasonable accommodations by emailing HR\_Compliance@keybank.com.</t>
        </is>
      </c>
    </row>
    <row r="278">
      <c r="A278" t="inlineStr">
        <is>
          <t>li-4326634542</t>
        </is>
      </c>
      <c r="B278" t="inlineStr">
        <is>
          <t>Senior Software Engineer, Machine Learning, Weather Data</t>
        </is>
      </c>
      <c r="C278" t="inlineStr">
        <is>
          <t>Waymo</t>
        </is>
      </c>
      <c r="D278" t="inlineStr">
        <is>
          <t>linkedin</t>
        </is>
      </c>
      <c r="E278">
        <f>HYPERLINK("https://www.linkedin.com/jobs/view/4326634542", "https://www.linkedin.com/jobs/view/4326634542")</f>
        <v/>
      </c>
      <c r="F278">
        <f>HYPERLINK("https://careers.withwaymo.com/jobs?gh_jid=7403728&amp;gh_src=e2a2625d1us&amp;urlHash=bjJg", "https://careers.withwaymo.com/jobs?gh_jid=7403728&amp;gh_src=e2a2625d1us&amp;urlHash=bjJg")</f>
        <v/>
      </c>
      <c r="G278" t="inlineStr">
        <is>
          <t>Mountain View, CA</t>
        </is>
      </c>
      <c r="H278" t="inlineStr"/>
      <c r="I27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The DRAW team is a
 *perception problem\-domain team \-* 
 our name stands for Degraded Road Surfaces and Weather
 *.* 
 We take a high\-level business problem like “waymo vehicles need to drive safely in snow” and use whatever technologies and tools we need to solve the problem at hand. Most of our work is ML\-related. Recently we have been working with both large supervised multi\-model models (lidar\+camera\+radar) as well as few\-shot detection using Vision Language Models (VLMs). We work closely with
 *perception platform teams* 
 that build infra for us as well as
 *behavior teams* 
 that focus on changing the car’s behavior in response to new outputs we produce.
 Previously, our main focus was on driving in rain and dense fog. The team built Waymo’s first ever ML weather estimators to determine the weather around the vehicle and set the vehicle's speed appropriately. We also developed signals to determine when our sensors are in need of cleaning. Finally, we delivered ML models that let the vehicle avoid floods and puddles. We have also worked to make the waymo ADV driver appropriately around potholes, sand, trenches, debris, etc. Our new focus area is snow \- we need to build models to understand road friction, snow accumulation, tire tracks in snow, etc.
 In this hybrid role, you will report to a Technical Lead Manager.
**You Will**
* Design and deploy machine learning models that take camera images, lidar data, and radar data and estimate weather conditions
* Work with customer teams to understand what weather\-related needs they have
* Build tools and evaluation systems that let the team rapidly launch new weather prediction ML models
**You Have**
* Bachelors in Computer Science, Robotics, Machine Learning or similar technical field of study, or equivalent practical experience
* Experience training and deploying ML models that consume either camera images, lidar data, or radar data
* 5\+ years of Industry experience working with large industrial codebases and development tools
* Strong Python experience
* Some experience with C or C\+\+
**We Prefer**
* MS or PhD Degree in Computer Science, Robotics, Machine Learning or a similar discipline with 2\+ years of industry experience working with large industrial codebases and development tools
* Deep C\+\+ skills
* Robotics experience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79">
      <c r="A279" t="inlineStr">
        <is>
          <t>li-4351237063</t>
        </is>
      </c>
      <c r="B279" t="inlineStr">
        <is>
          <t>(USA) Software Engineer III</t>
        </is>
      </c>
      <c r="C279" t="inlineStr">
        <is>
          <t>Walmart</t>
        </is>
      </c>
      <c r="D279" t="inlineStr">
        <is>
          <t>linkedin</t>
        </is>
      </c>
      <c r="E279">
        <f>HYPERLINK("https://www.linkedin.com/jobs/view/4351237063", "https://www.linkedin.com/jobs/view/4351237063")</f>
        <v/>
      </c>
      <c r="F279">
        <f>HYPERLINK("https://click.appcast.io/t/LKnRIBRyvZhGVcyl93ZBlAUtD6_ajJYVnXkToPpoE8OrftVOp3P7N9c8at-MHinp?source=LinkedIn&amp;urlHash=CPaQ", "https://click.appcast.io/t/LKnRIBRyvZhGVcyl93ZBlAUtD6_ajJYVnXkToPpoE8OrftVOp3P7N9c8at-MHinp?source=LinkedIn&amp;urlHash=CPaQ")</f>
        <v/>
      </c>
      <c r="G279" t="inlineStr">
        <is>
          <t>Bentonville, AR</t>
        </is>
      </c>
      <c r="H279" t="inlineStr"/>
      <c r="I279" t="inlineStr">
        <is>
          <t>Position Summary...
 What you'll do...
**Job Description**
 Immigration sponsorship is not available for this role.
 Join Walmart Global Tech as a Software Engineer III (Backend) to build and enhance scalable systems that power seamless digital experiences for millions of customers worldwide. You will work across diverse systems and domains, contributing to the design and development of critical backend services supporting Walmart’s digital ecosystem, from checkout and fulfillment to user engagement journeys.
 About Team:
 Focusing on customer, associate and business needs, this team works with Walmart International, which includes more than 5,200 retail units, operating in 23 countries such as Canada, Central America, Chile, China, India, Mexico and South Africa to name a few.
 What You'll Do:
* Architect, design, and develop scalable backend services and APIs to support complex digital experiences.
* Collaborate with cross\-functional teams across domains, including product, frontend, data, and UX teams, to design solutions that enhance the customer journey.
* Lead technical initiatives, including solution architecture, performance tuning, and system scalability enhancements.
* Optimize application performance and ensure high code quality.
* Mentor junior engineers and drive knowledge sharing within the team.
* Advocate for best practices in services architecture, security, and testing.
* Implement and maintain secure, high\-performance, and fault\-tolerant distributed systems.
* Develop reusable frameworks and components for backend service integrations.
* Maintain high code quality through automated testing, continuous integration, and code reviews.
* Troubleshoot and resolve production issues across complex services.
* Build scalable and reliable systems that handle large volumes of traffic and data.
* Write clean, efficient, and maintainable code while following engineering best practices.
* Debug and troubleshoot issues in distributed systems across environments.
* Contribute to performance optimization, security improvements, and system resilience.
* Participate in code reviews and provide constructive feedback to peers.
 What You'll bring:
* 4 \+ years of total experience of which 3\+ years in Backend engineering platform development.
* 4\+ years of experience in Java technologies, Distributed systems and large\-scale application development and design.
* Hands on experience Spring Boot, REST, Kafka, Cassandra.
* Experience with containerization technology and Microservices
* Well versed in CI/CD, DevOps practices, and monitoring tools.
* Work with Java, Multithreading, Data Structures, Algorithm, Design Patterns and develop robust high\- performance and scalable applications.
* Strong adherence to SLDC process and Scrum/agile methodologies
**About Walmart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retailers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on a scale that impacts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the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701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80">
      <c r="A280" t="inlineStr">
        <is>
          <t>li-4354642857</t>
        </is>
      </c>
      <c r="B280" t="inlineStr">
        <is>
          <t>Sr. Fullstack Software Engineer</t>
        </is>
      </c>
      <c r="C280" t="inlineStr">
        <is>
          <t>Sigil Partners</t>
        </is>
      </c>
      <c r="D280" t="inlineStr">
        <is>
          <t>linkedin</t>
        </is>
      </c>
      <c r="E280">
        <f>HYPERLINK("https://www.linkedin.com/jobs/view/4354642857", "https://www.linkedin.com/jobs/view/4354642857")</f>
        <v/>
      </c>
      <c r="F280" t="inlineStr"/>
      <c r="G280" t="inlineStr">
        <is>
          <t>Atlanta, GA</t>
        </is>
      </c>
      <c r="H280" t="inlineStr"/>
      <c r="I280" t="inlineStr">
        <is>
          <t>**Senior Full Stack Software Engineer (Cloud)** 
 Hybrid – 2\-3 Days Onsite
 We are seeking an experienced Senior Full Stack Software Engineer with strong cloud expertise to join our development team. The ideal candidate will have at least 8 years of experience building scalable applications, with proficiency in TypeScript, React, AWS, and containerized environments, as well as backend development in C\#, Java, or Golang. This role is hybrid, requiring three days per week in the office.
**Responsibilities** 
* Design, develop, and maintain scalable full stack applications leveraging React, TypeScript, and cloud\-native architectures
* Build and optimize backend services and APIs using C\#, Java, or Golang
* Architect, deploy, and maintain applications on AWS, utilizing services such as Lambda, ECS/EKS, S3, DynamoDB, and API Gateway
* Implement containerized solutions with Docker and Kubernetes for reliable deployments and scaling
* Build and maintain DevOps pipelines to streamline CI/CD, infrastructure as code, and automated deployments
* Apply automation testing frameworks and best practices to ensure code quality and reliability
* Collaborate with product managers, architects, and engineers to deliver secure, high\-performance applications
* Mentor junior engineers and contribute to best practices across the team
**Qualifications** 
* 8\+ years of professional software engineering experience in full stack development
* Strong proficiency in TypeScript, React, and cloud\-native application design
* Backend expertise with at least one of: C\#, Java, or Golang
* Experience building and deploying containerized applications (Docker, Kubernetes)
* Deep understanding of AWS cloud services and cloud architecture best practices
* Proven experience with DevOps pipelines, CI/CD, and infrastructure automation
* Familiarity with automation testing tools and methodologies (unit, integration, end\-to\-end)
* Strong problem\-solving skills and ability to translate business requirements into technical solutions
* Excellent communication and collaboration skills</t>
        </is>
      </c>
    </row>
    <row r="281">
      <c r="A281" t="inlineStr">
        <is>
          <t>li-4330217854</t>
        </is>
      </c>
      <c r="B281" t="inlineStr">
        <is>
          <t>Senior Software Engineer ML</t>
        </is>
      </c>
      <c r="C281" t="inlineStr">
        <is>
          <t>North</t>
        </is>
      </c>
      <c r="D281" t="inlineStr">
        <is>
          <t>linkedin</t>
        </is>
      </c>
      <c r="E281">
        <f>HYPERLINK("https://www.linkedin.com/jobs/view/4330217854", "https://www.linkedin.com/jobs/view/4330217854")</f>
        <v/>
      </c>
      <c r="F281" t="inlineStr"/>
      <c r="G281" t="inlineStr">
        <is>
          <t>New York, NY</t>
        </is>
      </c>
      <c r="H281" t="inlineStr"/>
      <c r="I281" t="inlineStr">
        <is>
          <t>🚫
 **Please Note:** 
* *We are not accepting outreach from external recruiters or agencies for this role.*
* *This is a hybrid role—please only apply if you can be in the office 2\-3 days per week.*
**About North** 
 The public cloud is rapidly evolving, with businesses investing over $200B annually in cloud technology. As AI and software accelerates demand for scalable infrastructure, cloud costs continue to rise—yet most teams still rely on spreadsheets to manage them.
 North is building the next\-generation cloud spend management platform. We provide real\-time visibility, control, and automation over cloud finances, enabling companies to scale efficiently without wasting time or money.
 Backed by top\-tier investors and trusted by global customers like Brave, The New York Public Library, and Ramp, North is assembling a world\-class engineering team to redefine how businesses manage cloud infrastructure. For those seeking impact, ownership, and the opportunity to build from 0 → 1, North offers a unique path.
**About the Role** 
 We’re looking for talented engineers who thrive on working on complex problems and solving them through building reliable, scalable systems. You’ll work across backend services, data pipelines, and APIs that form the foundation of our platform.
 This is a hands\-on role where you’ll partner with engineers and our CTO to design and implement core systems spanning multiple clouds. If you enjoy solving ambiguous data problems by building the backbone of a modern SaaS platform, this role is for you.
**What You’ll Do** 
* Build features that help manage
 **half a billion of dollars of annual spend** 
 and save customers millions of dollars per month
* Work on unsolved, esoteric data problems that span multiple cloud providers
* Design, build, and maintain backend services, ML models, and infrastructure that power North’s forecasting features
* Work with our serverless, microservice architecture stack maintained with Terraform and written in Python
* Create large\-scale, AWS\-native data processing pipeline for cloud and SaaS agnostic features to support data and AI features
* Work across multiple cloud and SaaS providers to harmonize their data
* Ensure platform security, compliance, and cost performance
* Collaborate closely with the engineering team on system design, performance optimization, and scaling.
* Own your work from start to finish—architect, build, test, deploy, monitor.
**What We’re Looking For** 
* 5\+ years of software engineering experience across cloud infrastructure, data engineering, or backend systems
* Deep experience with developing production ready architectures on AWS (alternatively GCP or Azure)
* Ability to understand tradeoffs between heuristic and machine learning
* Experience developing machine learning model
* Strong Python and SQL skills (alternatively Go, Ruby, JS)
* Familiarity with CI/CD (GitHub Actions, etc.)
* Pragmatic, solution\-oriented, and comfortable making tradeoffs in early\-stage product development
* Excellent communicator with strong documentation habits and a collaborative engineering mindset
**Nice to Have** 
* Previous technical founder
* Achieved outstanding recognition in competitions, awards, or business ventures
* Worked in quantitative, trading, financial algorithmic heavy positions
* Experience in a startup or fast\-moving environment
* Background in data\-heavy systems or ML infrastructure or Agentic workflows
* Familiarity with FinOps concepts or financial data pipelines
* AWS or GCP technical certifications
* Built platforms that scaled rapidly with user growth
* Understanding of AI/ML systems at the infrastructure level (data prep, feature stores, inference pipelines)
**Work Setup** 
 Hybrid role based in New York City, with an office in Dumbo, Brooklyn.
**Benefits** 
* Unlimited PTO
* 16\-week fully paid parental leave (20 weeks at 50% for mothers)
* Company\-wide breaks: last week of August \&amp; Dec 23–Jan 3
* Healthcare: Anthem BlueCross Gold PPO, 75% employer\-covered
* 30\-day sabbatical every 4 years
* Ramp card for approved expenses
 If you’re a ML engineer who loves building AI\-powered products, deploying at scale, and shaping the future of cloud financial automation, we’d love to hear from you. Apply today.</t>
        </is>
      </c>
    </row>
    <row r="282">
      <c r="A282" t="inlineStr">
        <is>
          <t>li-4351146310</t>
        </is>
      </c>
      <c r="B282" t="inlineStr">
        <is>
          <t>Java Software Engineer</t>
        </is>
      </c>
      <c r="C282" t="inlineStr">
        <is>
          <t>Mastech Digital</t>
        </is>
      </c>
      <c r="D282" t="inlineStr">
        <is>
          <t>linkedin</t>
        </is>
      </c>
      <c r="E282">
        <f>HYPERLINK("https://www.linkedin.com/jobs/view/4351146310", "https://www.linkedin.com/jobs/view/4351146310")</f>
        <v/>
      </c>
      <c r="F282" t="inlineStr"/>
      <c r="G282" t="inlineStr">
        <is>
          <t>Merrimack, NH</t>
        </is>
      </c>
      <c r="H282" t="inlineStr"/>
      <c r="I282" t="inlineStr">
        <is>
          <t>7\+ years of experience in software engineering, including 3\+ years of cloud experience.
 Proven hands\-on experience in Java, Tomcat, Spring Boot.
 Build and develop Java\-based application programming interfaces (APIs) and event\-driven applications to improve back\-end performance.
 Extensive experience with Service Oriented Architecture REST APIs using Spring Boot / Drop wizard.
 5 to 10 years of hands\-on experience with crafting and building large scale applications.
 Solid understanding in application development with micro architectures, Docker containers.
 Knowledge of end\-to\-end DevSecOps automation with CI and CD pipelines including Unit, Component, Functional, Performance, and Security test automation.
 Knowledge of mock frameworks and service virtualization.
 Proven experience working with sql and no\-sql databases such as Oracle database and PL\-SQL, DynamoDB.</t>
        </is>
      </c>
    </row>
    <row r="283">
      <c r="A283" t="inlineStr">
        <is>
          <t>li-4354644566</t>
        </is>
      </c>
      <c r="B283" t="inlineStr">
        <is>
          <t>Senior Full Stack Engineer</t>
        </is>
      </c>
      <c r="C283" t="inlineStr">
        <is>
          <t>Soni</t>
        </is>
      </c>
      <c r="D283" t="inlineStr">
        <is>
          <t>linkedin</t>
        </is>
      </c>
      <c r="E283">
        <f>HYPERLINK("https://www.linkedin.com/jobs/view/4354644566", "https://www.linkedin.com/jobs/view/4354644566")</f>
        <v/>
      </c>
      <c r="F283">
        <f>HYPERLINK("https://www.soniresources.com/careers/#/jobs/13740&amp;urlHash=2DJf", "https://www.soniresources.com/careers/#/jobs/13740&amp;urlHash=2DJf")</f>
        <v/>
      </c>
      <c r="G283" t="inlineStr">
        <is>
          <t>New York, NY</t>
        </is>
      </c>
      <c r="H283" t="inlineStr"/>
      <c r="I283" t="inlineStr">
        <is>
          <t>Soni's client is a fast\-growing technology company building a platform that connects real\-world experiences with digital engagement. They are seeking a
 **Senior Full\-Stack Software Engineer** 
 to help design, build, and scale core platform capabilities with a focus on user activation and growth\-oriented experiences. This role offers the opportunity to work across the full stack while contributing to architectural decisions and mentoring teammates in a high\-impact environment.
**The Role**
 As a senior member of a lean, high\-performing engineering team, you will own medium\-to\-large features end\-to\-end — from data modeling and API design to polished user\-facing interfaces. You’ll help balance rapid iteration with long\-term maintainability, ensuring the platform remains reliable, performant, and scalable as the business grows.
 This role is well\-suited for an engineer who values pragmatic solutions, thoughtful architecture, and collaborative problem\-solving.
**What You’ll Do**
* Design, develop, and maintain scalable features across modern frontend frameworks and backend services
* Own features from concept through production, including data design and user experience considerations
* Contribute to technical direction and architectural decisions that support platform growth
* Partner closely with product, design, and data teams to deliver and iterate on features efficiently
* Write clean, maintainable, and well\-tested code with attention to performance and developer experience
* Mentor engineers and help raise the overall technical bar within the team
* Balance ideal engineering practices with real\-world constraints such as timelines and customer needs
**What We’re Looking For**
* 5–7\+ years of experience building and shipping production\-grade software across the stack
* Proficiency in at least one modern backend language (e.g., Go, Python, or Java)
* Strong experience with modern frontend frameworks such as React, Vue, or Angular
* Solid understanding of web architecture, API design, and data modeling (SQL and/or NoSQL)
* Experience working in cloud environments and with containerized deployments
* Commitment to code quality, testing, and CI/CD best practices
* Ability to reason about scalability, performance, and tradeoffs
* Strong communication skills and a collaborative, ownership\-oriented mindset
* Comfort operating in fast\-moving, resource\-conscious environments
**Why Join**
* Opportunity to build and scale a core platform used by a broad and growing user base
* Meaningful ownership and influence over technical decisions
* Collaborative environment with experienced engineers and cross\-functional partners
* High\-impact work with visibility across the organization
**Compensation:** 
 $175,000 to $225,000 annually
*Compensation is based on a range of factors that include relevant experience, knowledge, skills, other job\-related qualifications* 
 .</t>
        </is>
      </c>
    </row>
    <row r="284">
      <c r="A284" t="inlineStr">
        <is>
          <t>li-4354358566</t>
        </is>
      </c>
      <c r="B284" t="inlineStr">
        <is>
          <t>Senior/Lead Full Stack Engineer</t>
        </is>
      </c>
      <c r="C284" t="inlineStr">
        <is>
          <t>Wissen Technology</t>
        </is>
      </c>
      <c r="D284" t="inlineStr">
        <is>
          <t>linkedin</t>
        </is>
      </c>
      <c r="E284">
        <f>HYPERLINK("https://www.linkedin.com/jobs/view/4354358566", "https://www.linkedin.com/jobs/view/4354358566")</f>
        <v/>
      </c>
      <c r="F284" t="inlineStr"/>
      <c r="G284" t="inlineStr">
        <is>
          <t>Alpharetta, GA</t>
        </is>
      </c>
      <c r="H284" t="inlineStr"/>
      <c r="I284" t="inlineStr">
        <is>
          <t>About the job
 The Wissen team continues to expand its footprint in the USA, Canada, UK, Australia, and India. More openings to come as we continue to grow the team!
 Please read below for a brilliant career opportunity.
**Role: Senior/Lead Full Stack Engineer** 
**Title: AVP/VP** 
**Location: Alpharetta, Georgia(Day 1 Onsite/Hybrid) – Fulltime** 
**Mode of Work: 3 days/week onsite required** 
**Required Experience: 5\+ years** 
 We are seeking skilled
 **Full Stack Engineers** 
 proficient in
 **Java, Spring Boot, and Angular/React** 
 to build high\-performance, scalable, and cloud\-ready applications. The role involves working across frontend, backend, microservices, cloud, and DevOps components in a collaborative, fast\-paced environment.
**Key Responsibilities:** 
* Develop end\-to\-end
 **full\-stack applications** 
 using
 **Java, Spring Boot, and Angular/React** 
 .
* Build and maintain
 **scalable microservices** 
 following industry best practices.
* Work with
 **SQL and NoSQL databases** 
 to design and optimize data models.
* Implement
 **CI/CD pipelines** 
 , containerization, and deployment workflows.
* Collaborate with
 **QA, DevOps, Product, and other cross\-functional teams** 
 .
* Troubleshoot, debug, and optimize application performance across layers.
* Integrate
 **Kafka, Elasticsearch** 
 , and other messaging/search technologies.
* Deploy and manage applications in
 **cloud environments** 
 (AWS/Azure/GCP).
* Lead
 **full\-stack architecture design** 
 and drive strategic technology decisions.
* Implement advanced
 **performance optimization** 
 for highly scalable systems.
* Ensure top\-tier
 **security, API governance, compliance** 
 , and best practices.
* Guide teams in
 **cloud\-native design** 
 , modernization, and scalable architectures.
* Integrate
 **AI/ML capabilities** 
 into enterprise applications where applicable.
* Provide strong
 **technical leadership and mentorship** 
 to cross\-functional teams.
**Mandatory Skills (All Levels)** 
* Strong proficiency in
 **Java \&amp; Spring Boot**
* Advanced hands\-on experience with
 **Angular or React**
* Deep understanding of
 **Microservices architecture**
* Experience with
 **SQL \+ NoSQL databases**
**Benefits:** 
* Healthcare insurance for you and your family (medical, dental, vision).
* Short / Long term disability insurance.
* Life Insurance.
* Accidental death \&amp; disability Insurance.
* 401K.
* 3 weeks of Paid Time Off.
* Support and fee coverage for immigration needs.
* Remote office set up stipend.
* Support for industry certifications.
* Additional cash incentives.
* Re\-skilling opportunities to transition between technologies.
**Schedule:** 
 Monday to Friday
**Work Mode:** 
 Hybrid
**Job Type:** 
 Full\-time
**We are:** 
 A high end technical consulting firm built and run by highly qualified technologists. Our workforce consists of 5000\+ highly skilled professionals, with leadership from Wharton, MIT, IITs, IIMs, and NITs and decades of experience at Goldman Sachs, Morgan Stanley, MSCI, Deutsche Bank, Credit Suisse, Verizon, British Telecom, ISRO etc. Without any external funding or investments, Wissen Technology has grown its revenues by 100% every other year since it started as a subsidiary of Wissen Group in 2015\. We have a global presence with offices in the US, India, UK, Australia, Mexico, and Canada.
**You are:** 
 A true tech or domain ninja. Or both. Comfortable working in a quickly growing profitable startup, have a “can do” attitude and are willing to take on any task thrown your way.
**You will:** 
* Develop and promote the company’s culture of engineering excellence.
* Define, develop and deliver solutions at a top tier investment bank or another esteemed client.
* Perform other duties as needed
**Your Education and Experience:** 
* We value candidates who can execute on our vision and help us build an industry\-leading organization.
* Graduate\-level degree in computer science, engineering, or related technical field
* Wissen embraces diversity and is an equal opportunity employer. We are committed to building a team that represents a variety of backgrounds, skills, and abilities. We believe that the more inclusive our team is, the better our work will be. All qualified applicants, including but not limited to LGBTQ\+, Minorities, Females, the Disabled, and Veterans, are encouraged to apply.
**About Wissen Technology:** 
 The Wissen Group was founded in the year 2000\. Wissen Technology, a part of Wissen Group, was established in the year 2015\. Wissen Technology is a specialized technology company that delivers high\-end consulting for diverse industries, including Banking, E\-commerce, Telecom, Healthcare, Manufacturing, and Energy. We help clients build world\-class products. We have offices in the US, India (Bangalore, Hyderabad, Chennai, Gurugram, Mumbai, Pune), UK, Australia, Mexico, Vietnam, and Canada.
 We empower businesses with a dynamic portfolio of services and accelerators tailored to today’s digital demands and based on future ready technology stack. Our services include Industry Leading Custom Software Development, AI\-Driven Software Engineering, Generative AI \&amp; Machine Learning, Real\-Time Data Analytics \&amp; Insights, Interactive Data Visualization \&amp; Decision Intelligence, Intelligent Process Automation, Multi\-Cloud \&amp; Hybrid Cloud Strategies, Cross\-Platform Mobile Experiences, CI/CD\-Powered Agile DevOps, Automated Quality Engineering, and cutting\-edge integrations.
 Certified as a Great Place to Work® for five consecutive years (2020\-2025\) and recognized as a Top 20 AI/ML vendor by CIO Insider, Wissen Group has delivered multimillion\-dollar projects for over 20 Fortune 500 companies. Wissen Technology delivers exceptional value on mission\-critical projects through thought leadership, ownership, and reliable, high\-quality, on\-time delivery.
 Our industry\-leading technical expertise stem from the talented professionals we attract. Committed to fostering their growth and providing top\-tier career opportunities, Wissen ensures an outstanding experience and value for our clients and employees.
**We Value:** 
* Perfection: Pursuit of excellence through continuous improvement.
* Curiosity: Fostering continuous learning and exploration.
* Respect: Valuing diversity and mutual respect.
* Integrity: Commitment to ethical conduct and transparency.
* Transparency: Open communication and trust.
**Website** 
 : www.wissen.com
**Glassdoor Reviews:** 
 https://www.glassdoor.com/Reviews/Wissen\-Reviews\-E2587444\.htm
**Wissen Thought leadership** 
 : https://www.wissen.com/articles/
**Latest in Wissen in CIO Insider:** 
 https://www.cioinsiderindia.com/vendor/wissen\-technology\-setting\-new\-benchmarks\-in\-technology\-consulting\-cid\-1064\.html
**Employee Speak:** 
 https://www.ambitionbox.com/overview/wissen\-technology\-overview
**LinkedIn** 
 : https://www.linkedin.com/company/wissen\-technology
**About Wissen Interview Process:** 
 https://www.wissen.com/blog/we\-work\-on\-highly\-complex\-technology\-projects\-here\-is\-how\-it\-changes\-whom\-we\-hire/
**Wissen: A Great Place to Work** 
 https://www.wissen.com/blog/wissen\-is\-a\-great\-place\-to\-work\-says\-the\-great\-place\-to\-work\-r\-institute\-india
 https://www.wissen.com/blog/here\-is\-what\-ownership\-and\-commitment\-mean\-to\-wissenites/
 Wissen \| Driving Digital Transformation
 A technology consultancy that drives digital innovation by connecting strategy and execution, helping global clients to strengthen their core technology.</t>
        </is>
      </c>
    </row>
    <row r="285">
      <c r="A285" t="inlineStr">
        <is>
          <t>li-4330207891</t>
        </is>
      </c>
      <c r="B285" t="inlineStr">
        <is>
          <t>Software Engineer / Sr. Software Engineer</t>
        </is>
      </c>
      <c r="C285" t="inlineStr">
        <is>
          <t>Applied Systems</t>
        </is>
      </c>
      <c r="D285" t="inlineStr">
        <is>
          <t>linkedin</t>
        </is>
      </c>
      <c r="E285">
        <f>HYPERLINK("https://www.linkedin.com/jobs/view/4330207891", "https://www.linkedin.com/jobs/view/4330207891")</f>
        <v/>
      </c>
      <c r="F285" t="inlineStr"/>
      <c r="G285" t="inlineStr"/>
      <c r="H285" t="inlineStr"/>
      <c r="I285"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seeking a
 **Software Engineer /** 
**Senior Software Engineer** 
 interested in transforming the insurance industry. The ideal candidate will have a commitment to delivering results, a passion for quality, and the ability to solve technical problems as we build solutions while simplifying and scaling along the way.
 At Applied, we’re committed to our work, customers, having fun, and most importantly to each other’s success. Within Technology, you’ll partner with our global team of engineers and product managers designing, architecting, building, and testing impactful products.
 The Software Engineer / Senior Software Engineer will contribute to our product vision by delivering a high level of quality and technical excellence on our Platform Engineering Team. Success will require fluency in SaaS\-based application development, test automation, analytical skills, and unwavering dedication to software quality.
**What You’ll Do**
* Contribute to design, development, and delivery of releasable, high\-quality software
* Author code aligned with internal standards and guidance from architects to ensure maintainability and consistency across our products
* Develop, maintain, and update automated test systems as functionality changes during the evolution of our products
* Assess the impact of changes by actively engaging in code reviews, design reviews, and technical discussions with engineering and product teams
* Monitor application performance in production and non\-production environments
* Debug and resolve application errors and performance issues
* Continuously learn about new tools and technologies
 As a Senior Software Engineer, you will also:
* Support the team by sharing comprehensive feedback during code reviews and providing guidance for complex technical problem solving
* Contribute to technical decisions by identifying opportunities and risks
* Share knowledge of software development languages, frameworks, testing strategies, and tools
* Support continuous improvement of internal processes and documentation to champion a principles\-based approaches to design, implementation, and testing
**We’re Excited to Learn More About You** 
**We’re looking for someone who:**
 Has the ability to work from an Applied Systems office or 100% remotely
**Your experience should include some or all of the following:**
* 3\+ years of experience in software engineering and practical experience with:
+ Golang, React, SQL, OpenAPI
+ Secure access and configuration management using Vault, service accounts and Identity Access Management (IAM) roles
+ Document storage using Google Cloud Storage
+ Email services for inbound and outbound email flows
* Knowledge of software development life cycles, coding standards, code reviews, source control management, build processes, testing, and operations
* Experience managing infrastructure using Terraform
* Experience deploying and managing containerized applications
* Practical experience with SQL and relational database systems
 The Senior Software Engineer position requires:
* 5\+ years of experience in software engineering
* Experience guiding and supporting other engineers with technical problem solving by applying knowledge of software engineering practices and cloud environments
* Advanced communication skills, with the ability to distill complex concepts to support others with complex problem solving
* Proven ability to advance technical discussions, debates, and reviews on while contributing to positive and constructive communication across the team
+ We know that talent comes from all backgrounds and experience levels. We encourage military members and their spouses as well as candidates without a degree or a background in tech to apply!
**Location**
 Candidate will need to reside in North America, working arrangement will be remote.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$60,000 \- $150,000\.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t>
        </is>
      </c>
    </row>
    <row r="286">
      <c r="A286" t="inlineStr">
        <is>
          <t>li-4343619231</t>
        </is>
      </c>
      <c r="B286" t="inlineStr">
        <is>
          <t>Software Engineer - Angular</t>
        </is>
      </c>
      <c r="C286" t="inlineStr">
        <is>
          <t>KeyBank</t>
        </is>
      </c>
      <c r="D286" t="inlineStr">
        <is>
          <t>linkedin</t>
        </is>
      </c>
      <c r="E286">
        <f>HYPERLINK("https://www.linkedin.com/jobs/view/4343619231", "https://www.linkedin.com/jobs/view/4343619231")</f>
        <v/>
      </c>
      <c r="F286">
        <f>HYPERLINK("https://keybank.wd5.myworkdayjobs.com/External_Career_Site/job/Brooklyn-OH/Software-Engineer_R-36271?q=R-13386&amp;source=Linked_In&amp;urlHash=RErD", "https://keybank.wd5.myworkdayjobs.com/External_Career_Site/job/Brooklyn-OH/Software-Engineer_R-36271?q=R-13386&amp;source=Linked_In&amp;urlHash=RErD")</f>
        <v/>
      </c>
      <c r="G286" t="inlineStr">
        <is>
          <t>Brooklyn, OH</t>
        </is>
      </c>
      <c r="H286" t="inlineStr"/>
      <c r="I286" t="inlineStr">
        <is>
          <t>**Location:**
 4910 Tiedeman Road, Brooklyn Ohio
 The Software Engineer is responsible for the development, implementation, assessment, and support of the KeyNavigator platform. This role collaborates closely with product owners, business analysts, designers, and technical leads to deliver high\-quality digital solutions. The engineer participates in agile squad ceremonies, contributes to UI standards, and supports the full software development lifecycle driving continuous improvement.
**Essential Functions**
* Drive development, implementation, and support of the KeyNavigator platform
* Collaborate with product owners and business analysts to develop features aligned with standards and best practices
* Participate in agile squad ceremonies and the release process across the digital team
* Develop and maintain UI standards; conduct code and design reviews
* Estimate, design, implement, document, test, and deploy software solutions
* Interpret wireframes and creative designs into functional requirements
* Follow and promote best practices and standards for the team
* Contribute ideas to advance technology and improve processes
* Collaborate and communicate effectively with cross\-functional teams
* Monitor junior developers
* Report status and progress to scrum masters and technical leads
* Adapt and work with team members across varying experience levels
**Education**
* Bachelor’s degree in Computer Science, Engineering, or related field (required)
**Work Experience**
* 3\+ years of experience in Angular development
* 2\+ years of experience in mobile app development
* 3\+ years of experience working in agile development environments
* 3\+ years of experience collaborating with cross\-functional teams
* Mobile app development experience is a plus.
**Skills**
* Strong proficiency in Angular front\-end development
* Experience in developing and deploying Front End Applications.
* Hybrid mobile applications (e.g. Cordova, Capacitor) and programming languages like Swift, Kotlin, Java and Objective\-C.
* Experience interpreting design specifications and wireframes
* Familiarity with agile methodologies and ceremonies
* Ability to develop and enforce UI standards
* Strong communication and collaboration skills
* Problem\-solving and troubleshooting capabilities
* Experience with release management and deployment processes
* Ability to work independently and within a team
* Commitment to continuous learning and improvement
**Compensation And Benefits**
 This position is eligible to earn a base salary in the range of $71,000\.00 \- $122,000\.00 annually. Placement within the pay range may differ based upon various factors, including but not limited to skills, experience and geographic location. Compensation for this role also includes eligibility for incentive compensation subject to individual and company performance.
 Please click here for a list of benefits for which this position is eligible.
 Key has implemented an approach to employee workspaces which prioritizes in\-office presence, while providing flexible options in circumstances where roles can be performed effectively in a mobile environment.
 Job Posting Expiration Date: 01/15/2026 KeyCorp is an Equal Opportunity Employer committed to sustaining an inclusive culture. All qualified applicants will receive consideration for employment without regard to race, color, religion, sex, sexual orientation, gender identity, national origin, age, genetic information, pregnancy, disability, veteran status or any other characteristic protected by law.
 Qualified individuals with disabilities or disabled veterans who are unable or limited in their ability to apply on this site may request reasonable accommodations by emailing HR\_Compliance@keybank.com.</t>
        </is>
      </c>
    </row>
    <row r="287">
      <c r="A287" t="inlineStr">
        <is>
          <t>li-4354632828</t>
        </is>
      </c>
      <c r="B287" t="inlineStr">
        <is>
          <t>Senior Software Engineer</t>
        </is>
      </c>
      <c r="C287" t="inlineStr">
        <is>
          <t>Salesforce</t>
        </is>
      </c>
      <c r="D287" t="inlineStr">
        <is>
          <t>linkedin</t>
        </is>
      </c>
      <c r="E287">
        <f>HYPERLINK("https://www.linkedin.com/jobs/view/4354632828", "https://www.linkedin.com/jobs/view/4354632828")</f>
        <v/>
      </c>
      <c r="F287">
        <f>HYPERLINK("https://salesforce.wd12.myworkdayjobs.com/External_Career_Site/job/California\u002d\u002d-San-Francisco/Senior-Software-Engineer_JR323916?source=LinkedIn_Jobs&amp;urlHash=xERm", "https://salesforce.wd12.myworkdayjobs.com/External_Career_Site/job/California\u002d\u002d-San-Francisco/Senior-Software-Engineer_JR323916?source=LinkedIn_Jobs&amp;urlHash=xERm")</f>
        <v/>
      </c>
      <c r="G287" t="inlineStr">
        <is>
          <t>San Francisco, CA</t>
        </is>
      </c>
      <c r="H287" t="inlineStr"/>
      <c r="I28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an experienced and hands\-on software engineer to join a team of highly motivated software engineers and infrastructure experts. Your charter will be to deliver multi substrate infrastructure automation tools , frameworks, workflows, and validation platforms, applying AI tools, that help Salesforce scale infrastructure to meet the phenomenal growth we are experiencing.
**Attributes of an ideal candidate**
* A solid foundation in software and storage design and implementation, with particular focus in cloud services.
* Familiarity with Agile methodologies, and passion for data\-driven, iterative improvement to code and process.
* Fast learner, capable of working in a fast\-paced ambiguous environment with focus on delivery.
* Development and/or operational experience with cloud infrastructure technologies such as AWS
* Experience in applying AI to practical solutions \- data modeling, applications of models, data analytics.
* Experience with datacenter technologies including compute, storage, network, and application lifecycle management.
* Experience with live\-site management, feature delivery, and retirement of technical debt of an always\-on service.
**Example Job Responsibilities And Opportunities For This Position**
* Design, implement and maintain the automated cloud infrastructure on which the Salesforce service runs.
* Resolve complex technical issues that cut across multiple subsystems.
* Guide junior team members across the organization.
* Create, maintain and share technical documentation used by engineers and other team members.
**Requirements**
* 5\+ years of industry experience in software development, design and testing.
* Design and implementation experience of large projects with multiple teams
* Development experience with Go, Java or Python.
* Development experience in a Linux/UNIX environment
* Deep understanding of algorithms and data structures
* Bachelor's degree in CS or any engineering discipline, or equivalent experience
* Excellent English\-language written and verbal communication skills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288">
      <c r="A288" t="inlineStr">
        <is>
          <t>li-4354368390</t>
        </is>
      </c>
      <c r="B288" t="inlineStr">
        <is>
          <t>Embedded Software Engineer (Networking)</t>
        </is>
      </c>
      <c r="C288" t="inlineStr">
        <is>
          <t>TP-Link Systems Inc.</t>
        </is>
      </c>
      <c r="D288" t="inlineStr">
        <is>
          <t>linkedin</t>
        </is>
      </c>
      <c r="E288">
        <f>HYPERLINK("https://www.linkedin.com/jobs/view/4354368390", "https://www.linkedin.com/jobs/view/4354368390")</f>
        <v/>
      </c>
      <c r="F288" t="inlineStr"/>
      <c r="G288" t="inlineStr">
        <is>
          <t>Irvine, CA</t>
        </is>
      </c>
      <c r="H288" t="inlineStr"/>
      <c r="I288"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skilled Senior Embedded Software Engineer to design, develop, and optimize enterprise networking products such as routers and so on. In this hands\-on role, you will collaborate closely with cross\-functional teams to bring features from concept to completion, ensuring high standards of performance, reliability, and safety. You will be involved in every stage of the product life cycle, including development, manufacture, and maintenance and so on.
 Key Responsibilities:
* Design, develop, and maintain software systems for embedded network devices
* Design and integrate network solutions into overall architecture and hardware design across multiple platforms
* Responsible for device driver development and maintenance, such as Flash, wired network etc
* Design and development of features in the area of L2/Bridging/L3/Routing for the network devices
* Analyze and resolve performance bottlenecks in network and packet processing paths
* Implement, maintain, troubleshoot, and improve manufacturing processes, including maintain flow charts, develop manufacture software, identify and fix issues, and make improvements and so on
* Work closely with hardware team to deliver high quality products
* Responsible for design and development review of software systems
* Responsible for identifying and fixing bugs prior to software release
* Write clean, maintainable, and well\-documented code
* Implement software features of high quality and on schedule
* Collaborate seamlessly with cross\-functional teams, including designers, product managers, and QA engineers, to deliver unparalleled user experiences
* Provide technical leadership, mentorship, and guidance to junior team members, fostering a collaborative and high\-performing environment
* Conduct meticulous code reviews and provide mentorship to junior developers, ensuring strict adherence to coding standards and industry best practices
**Requirements**
* Bachelor's degree in computer science, Software Engineering, or a related field
* Minimum of 5 years of related experience
* Proficiency in embedded software programming skills with C/C\+\+ language
* Experience with embedded Linux kernel and application development
* Hands\-on experience with socket\-based network programming (TCP/UDP)
* Solid understanding of multi\-threading and concurrency models on Linux
* Solid understanding of high\-performance I/O mechanisms, including: epoll, select, poll, Non\-blocking I/O, Asynchronous I/O
* Knowledge of network technology including NAT, TCP, UDP, IPv4, IPv6 etc
* Experience in analyzing crash logs, stack trace, faults by utilizing basic debugging techniques
* Experience with version control systems (e.g., Git)
* Highly motivated, positive, detail oriented and responsible
 Preferred Qualifications:
* Practical experience in high\-performance packet processing using DPDK and VPP
* In\-depth experience with DPDK internals (PMD, mempool, mbuf, lcore scheduling)
* Knowledge of package processing flow based on Linux TCP/IP stack, including Netfilter and Conntrack
 Salary: $120,000 \- $180,000
**Benefits**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 Please, no third\-party agency inquiries, and we are unable to offer visa sponsorships at this time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t>
        </is>
      </c>
    </row>
    <row r="289">
      <c r="A289" t="inlineStr">
        <is>
          <t>li-4330560865</t>
        </is>
      </c>
      <c r="B289" t="inlineStr">
        <is>
          <t>Fullstack Software Engineer (C#, Python, React).</t>
        </is>
      </c>
      <c r="C289" t="inlineStr">
        <is>
          <t>CPS, Inc.</t>
        </is>
      </c>
      <c r="D289" t="inlineStr">
        <is>
          <t>linkedin</t>
        </is>
      </c>
      <c r="E289">
        <f>HYPERLINK("https://www.linkedin.com/jobs/view/4330560865", "https://www.linkedin.com/jobs/view/4330560865")</f>
        <v/>
      </c>
      <c r="F289" t="inlineStr"/>
      <c r="G289" t="inlineStr">
        <is>
          <t>Chicago, IL</t>
        </is>
      </c>
      <c r="H289" t="inlineStr"/>
      <c r="I289" t="inlineStr">
        <is>
          <t>**Fullstack Software Developer (C\#/Python/React)**
**We are looking for talented engineers who take pride in solving the most challenging problems the fintech world can throw at you. We are seeking software engineers with a background in C\#, Python, and React who will play an integral part in the development of various parts of our core financial system that drives our firms success. You will be building systems that will provide our users detailed information on current market conditions, how our systems are performing, and other data provided to varying business units. There will be plenty of Greenfield development in this role \- we will looking for people who are creative, visionary, and confident in sharing their ideas.**</t>
        </is>
      </c>
    </row>
    <row r="290">
      <c r="A290" t="inlineStr">
        <is>
          <t>li-4351246532</t>
        </is>
      </c>
      <c r="B290" t="inlineStr">
        <is>
          <t>Software Engineer II (Full Stack, Backend-leaning)</t>
        </is>
      </c>
      <c r="C290" t="inlineStr">
        <is>
          <t>Jerry</t>
        </is>
      </c>
      <c r="D290" t="inlineStr">
        <is>
          <t>linkedin</t>
        </is>
      </c>
      <c r="E290">
        <f>HYPERLINK("https://www.linkedin.com/jobs/view/4351246532", "https://www.linkedin.com/jobs/view/4351246532")</f>
        <v/>
      </c>
      <c r="F290">
        <f>HYPERLINK("https://jobs.ashbyhq.com/Jerry.ai/c66184ba-531e-49c9-bed3-6546facdaba4?utm_source=6Vdva5VPyD&amp;urlHash=0VrH", "https://jobs.ashbyhq.com/Jerry.ai/c66184ba-531e-49c9-bed3-6546facdaba4?utm_source=6Vdva5VPyD&amp;urlHash=0VrH")</f>
        <v/>
      </c>
      <c r="G290" t="inlineStr">
        <is>
          <t>Chicago, IL</t>
        </is>
      </c>
      <c r="H290" t="inlineStr"/>
      <c r="I290"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91">
      <c r="A291" t="inlineStr">
        <is>
          <t>li-4326741860</t>
        </is>
      </c>
      <c r="B291" t="inlineStr">
        <is>
          <t>Software Engineer, Fleet Orchestration &amp; Optimization</t>
        </is>
      </c>
      <c r="C291" t="inlineStr">
        <is>
          <t>Waymo</t>
        </is>
      </c>
      <c r="D291" t="inlineStr">
        <is>
          <t>linkedin</t>
        </is>
      </c>
      <c r="E291">
        <f>HYPERLINK("https://www.linkedin.com/jobs/view/4326741860", "https://www.linkedin.com/jobs/view/4326741860")</f>
        <v/>
      </c>
      <c r="F291" t="inlineStr"/>
      <c r="G291" t="inlineStr">
        <is>
          <t>San Francisco, CA</t>
        </is>
      </c>
      <c r="H291" t="inlineStr"/>
      <c r="I29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Fleet Orchestration and Optimization is responsible for systems that aggregate information about fleet resources in order to automatically coordinate behaviors, which efficiently deliver safe and capable vehicle supply to Waymo's business use cases
**You Will**
* Help build and evolve one or more mission\-critical tools and systems.
* Collaborate with Product, UX, and other engineering teams to develop systems and processes as business needs grow and evolve.
* Solve hard, real\-world problems such as fleet optimization, field escalation handling, workshop management, efficient mileage gathering, and more.
**You Have**
* BS degree in Computer Science or equivalent practical experience.
* 5\+ years of backend or infrastructure experience.
* Experience with backend coding languages: C\+\+, Python, and Java.
**We Prefer**
* Experience with C\+\+ (or a willingness to learn)
* Passion for working in cross functional environments that include nontechnical stakeholders
* Familiarity with Google infrastructure (e.g. Flume, Borg, Protocol Buffers, OnePlatform)
* Experience with operations tooling, developer productivity, or developer tools
* Experience with optimization / OR scheduler
* Experience with Geo (pathfinder, mapfacts, walking directions)
 ((Remote jobs only \- Please note that Waymo may not be able to employ remotely in all locations. Please speak with your recruiter about your preferred location for remote work when you begin the interview process.))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92">
      <c r="A292" t="inlineStr">
        <is>
          <t>li-4330292417</t>
        </is>
      </c>
      <c r="B292" t="inlineStr">
        <is>
          <t>Senior Mobile Frontend Engineer</t>
        </is>
      </c>
      <c r="C292" t="inlineStr">
        <is>
          <t>Sequencing</t>
        </is>
      </c>
      <c r="D292" t="inlineStr">
        <is>
          <t>linkedin</t>
        </is>
      </c>
      <c r="E292">
        <f>HYPERLINK("https://www.linkedin.com/jobs/view/4330292417", "https://www.linkedin.com/jobs/view/4330292417")</f>
        <v/>
      </c>
      <c r="F292" t="inlineStr"/>
      <c r="G292" t="inlineStr"/>
      <c r="H292" t="inlineStr"/>
      <c r="I292" t="inlineStr">
        <is>
          <t>Sequencing.com is on a mission to make whole genome sequencing accessible and actionable for everyone. As a high\-growth startup at the intersection of AI, biotechnology, and consumer health, our engineering team is at the heart of everything we do \- building secure, scalable, and innovative systems that serve our growing customer base and support critical product initiatives.
**The Role** 
 We’re looking for a Senior Mobile Developer to lead frontend development for our iOS and Android applications. This role is focused on building high\-quality, production\-ready mobile experiences using React Native, with a strong emphasis on performance, UX polish, and maintainable architecture. You’ll work closely with product, design, backend engineering, and AI teams to ship features end\-to\-end, influence technical direction, and help set best practices for mobile development across the company.
**What You’ll Do** 
* Own and drive frontend development for our native iOS and Android apps using React Native
* Translate product specs and Figma designs into high\-quality, performant mobile UI
* Collaborate closely with backend engineers to integrate APIs, real\-time data, and AI\-powered features
* Ensure consistency, accessibility, and platform\-appropriate behavior across iOS and Android
* Optimize app performance, startup time, and responsiveness on modern devices
* Contribute to architectural decisions, component design, and state management patterns
* Lead code reviews and help maintain the overall quality bar for the mobile codebase
* Partner with QA to support testing, bug fixes, and release readiness
* Support App Store and Google Play release processes and ongoing maintenance
**What We’re Looking For** 
* 6\+ years of professional frontend mobile development experience
* 4\+ years of hands\-on experience building production apps with React Native
* Strong knowledge of TypeScript and modern React patterns
* Solid understanding of iOS and Android platform differences and constraints
* Experience integrating APIs
* Familiarity with mobile performance optimization and debugging
* Comfort working from product requirements and design specs without heavy oversight
* Strong communication skills and ability to collaborate across disciplines
* Experience with Expo and EAS build workflows
* Experience with animations, gestures, and rich interactive UI
* Familiarity with mobile analytics, logging, and monitoring tools
* Experience working on apps with AI\-driven or real\-time features
* Prior ownership of mobile releases in the App Store and Google Play
**About Sequencing** 
 Sequencing is powering the future of personalized health. We are the platform that transforms a person’s genome into a lifelong source of straightforward, actionable insights \- for individuals, families, and healthcare professionals. By providing the application layer to your DNA, we turn complex genetic data into recurring value throughout every stage of life.
 Our unique, clinical\-grade Whole Genome Sequencing unlocks the most complete view of your DNA, screening for almost all known health conditions, traits, and medication responses \- and translating that information into clear, actionable steps for managing health risks, optimizing wellness, and extending longevity.
 As whole genome sequencing becomes a standard part of life, Sequencing is already the trusted platform where people safely store their DNA data \- and will become the lifelong home for every genome on Earth. We’re a fully remote, global team of innovators, scientists, and builders, united by a mission to make genomics accessible, actionable, and life\-changing for everyone. Proudly named GenomeWeb’s Best Place to Work in 2024, Sequencing is venture\-backed and scaling rapidly to meet surging demand in the fast\-growing personal genomics market.
**If you’re excited to help redefine how the world thinks about health, join us in building the platform that brings every genome to life.** 
*Sequencing Inc. is an equal opportunity employer. All aspects of employment, including the decision to hire, promote, discipline, or discharge,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3">
      <c r="A293" t="inlineStr">
        <is>
          <t>li-4354642941</t>
        </is>
      </c>
      <c r="B293" t="inlineStr">
        <is>
          <t>Mid Full Stack Engineer (Boulder, CO) (4838)</t>
        </is>
      </c>
      <c r="C293" t="inlineStr">
        <is>
          <t>SMX</t>
        </is>
      </c>
      <c r="D293" t="inlineStr">
        <is>
          <t>linkedin</t>
        </is>
      </c>
      <c r="E293">
        <f>HYPERLINK("https://www.linkedin.com/jobs/view/4354642941", "https://www.linkedin.com/jobs/view/4354642941")</f>
        <v/>
      </c>
      <c r="F293" t="inlineStr"/>
      <c r="G293" t="inlineStr">
        <is>
          <t>Boulder, CO</t>
        </is>
      </c>
      <c r="H293" t="inlineStr"/>
      <c r="I293" t="inlineStr">
        <is>
          <t>Outside Analytics has recently become a proud subsidiary of SMX, marking an exciting collaboration that enhances our collective capabilities to deliver cutting\-edge digital transformation solutions. Are you interested in the next generation of Space Force Remote Sensing capabilities? At Outside Analytics we're on the ground floor of helping across the future remote sensing ecosystem across all orbital regimes (LEO, MEO, HEO, and GEO)! We build, integrate, and operationally support our customer's emerging space\-ground systems to include real\-time data processing frameworks, sensor data processing, and data visualization. We are teamed with the most passionate companies in industry, dedicated to bringing best\-of\-breed capabilities to address our customers most pressing needs. We are seeking a Full Stack UI Developer to contribute to the DoD Space Force National Security mission. This candidate ideally comes with a strong background in Java, JavaScript (JS), React, and Python to join our dynamic team. The ideal candidate will have a passion for creating user\-friendly interfaces and a deep understanding of both front\-end and back\-end development. Experience with the Department of Defense (DoD) projects and Gitlab is a plus.
**Essential Duties \&amp; Responsibilities** 
* Implement responsive design principles to ensure applications work on various devices.
* Optimize applications for maximum speed and scalability.
* Troubleshoot and debug issues to ensure optimal performance.
* Stay up\-to\-date with the latest industry trends and technologies.
* Utilize Gitlab for project management and tracking.
* Apply DoD standards and protocols to ensure compliance and security.
**Required Skills \&amp; Experience**
* Secret clearance (ability to obtain Secret clearance, i.e. U.S. Citizenship required)
* Proven experience as a Full Stack Developer with expertise in Java, JavaScript (JS), React, and/or Python.
* Strong understanding of front\-end technologies such as JavaScript/ React
* Experience with back\-end development, including Python
* Familiarity with version control systems such as Gitlab.
* Excellent problem\-solving skills and attention to detail.
* Ability to work independently and as part of a team.
* Strong communication and collaboration skills.
* Experience with DoD projects is highly desirable.
* Proficiency in using Gitlab for project management.
* A passion for learning and staying current with industry trends.
* 5\+ years' experience
**Desired Skills \&amp; Experience**
* Bachelor's degree in Computer Science, Engineering, or a related field.
* Experience with Agile development methodologies.
* Familiarity with CI/CD
* Continuous integration/continuous delivery techniques
* Familiarity with C\+\+
**Application Deadline:**
 February 23, 2026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$123,800 USD \- $206,300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294">
      <c r="A294" t="inlineStr">
        <is>
          <t>li-4351287012</t>
        </is>
      </c>
      <c r="B294" t="inlineStr">
        <is>
          <t>(USA) Software Engineer III - React/GraphQL development</t>
        </is>
      </c>
      <c r="C294" t="inlineStr">
        <is>
          <t>Walmart</t>
        </is>
      </c>
      <c r="D294" t="inlineStr">
        <is>
          <t>linkedin</t>
        </is>
      </c>
      <c r="E294">
        <f>HYPERLINK("https://www.linkedin.com/jobs/view/4351287012", "https://www.linkedin.com/jobs/view/4351287012")</f>
        <v/>
      </c>
      <c r="F294" t="inlineStr"/>
      <c r="G294" t="inlineStr">
        <is>
          <t>Sunnyvale, CA</t>
        </is>
      </c>
      <c r="H294" t="inlineStr"/>
      <c r="I294" t="inlineStr">
        <is>
          <t>Position Summary...We're looking for a Software Engineer to join International Digital Experiences team. Want to change how different countries shop online? Then keep reading!
**What You'll Do...Position Summary... What You'll Do...**
 Position Description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2\.2 million associates. To others, innovation looks like an app, service or some code, but Walmart has always been about people. People are why we innovate, and people power our innovations.
 *Being human\-led is our true disruption.* 
 We're looking for a Senior Software Engineer to join International Digital Experiences team. Want to change how different countries shop online? Then keep reading! About You You are a passionate front\-end engineer who loves to code. You love to take ideas and build great products with JavaScript, HTML, and CSS. You know JavaScript is imperfect, but you embrace its functional side and genuinely enjoy coding with it. You might like to talk about obscure computer science topics, but really, you just want to write simple code and ship new products and features to customers (or improve existing ones). You have an eye for design and user experience. You care about more than just the code. You care about the customer experience and help our customers make better decisions while shopping. You love learning new things. You love researching new tech and driving forward with the implementation details. Your focus is on frontend JavaScript code, but you can dig in wherever needed. Node.js, GraphQL, NextJS, Nx, build tools, shell scripts, you name it. If you don't already know it, you're ready to learn it. You understand performance, A/B tests, web vitals, front end optimization and can write code to bring them to life too. You love helping others. You love sharing knowledge with the rest of your team, building shared tooling for other engineers, giving back to the open\-source community, and directly helping customers. Things You will do Walmart International is a diverse and fast\-growing business unit, so you'll get experience on many different projects across the organization. That said, here are some things you'll do: \- Build reusable React components with modular CSS, manage data on the client with Redux, use react query, and GraphQL. \- Measure and resolve performance bottlenecks, using tools like Chrome DevTools, Lighthouse, WebPagetest, or custom tooling. \- Refactor or improve existing code. We constantly find ways to improve all of our JavaScript code and you are all aboard. \- Work closely with our product, design, and UX teams to create amazing and intuitive experiences that make it effortless to connect different apps together. \- Help put tools, processes, and documentation in place to improve our code quality. \- Demonstrate technical expertise in solving challenging programming and design problems \- Review code written by other team members or other teams. \- Ship to hundreds of thousands of users every day while having lots of autonomy in terms of code and feature ownership. \- Help out with our Node\-based developer platform. \- Share what you know and learn either one\-on\-one or with lightning talks to the group. \- Work boldly with a sense of urgency; embrace mistakes, learn from them, and drive the team toward success Minimum Qualifications
* 4\+ years of experience in object\-oriented design and software development
* 4\+ years of experience in building responsive, single page web applications using modern front\-end JavaScript technologies like React, Angular, Vue, etc.
* Thorough understanding of React, Node.JS and its core principles
* 4\+ years of experience in creating and/or consuming RESTful web services
* Excellent communication skills: Demonstrated ability to explain complex technical issues to both technical and non\-technical audiences
* Expertise with unit testing \&amp; Test\-Driven Development (TDD)
* BS/MS in computer science or equivalent work experience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95">
      <c r="A295" t="inlineStr">
        <is>
          <t>li-4354644371</t>
        </is>
      </c>
      <c r="B295" t="inlineStr">
        <is>
          <t>Senior Software Engineer — Data Platform</t>
        </is>
      </c>
      <c r="C295" t="inlineStr">
        <is>
          <t>Nasdaq</t>
        </is>
      </c>
      <c r="D295" t="inlineStr">
        <is>
          <t>linkedin</t>
        </is>
      </c>
      <c r="E295">
        <f>HYPERLINK("https://www.linkedin.com/jobs/view/4354644371", "https://www.linkedin.com/jobs/view/4354644371")</f>
        <v/>
      </c>
      <c r="F295">
        <f>HYPERLINK("https://nasdaq.wd1.myworkdayjobs.com/Global_External_Site/job/USA\u002d\u002d-Atlanta\u002d\u002d-Georgia/Senior-Software-Engineer\u002d\u002d-Data-Platform_R0024777-1&amp;urlHash=1j__", "https://nasdaq.wd1.myworkdayjobs.com/Global_External_Site/job/USA\u002d\u002d-Atlanta\u002d\u002d-Georgia/Senior-Software-Engineer\u002d\u002d-Data-Platform_R0024777-1&amp;urlHash=1j__")</f>
        <v/>
      </c>
      <c r="G295" t="inlineStr">
        <is>
          <t>Atlanta, GA</t>
        </is>
      </c>
      <c r="H295" t="inlineStr"/>
      <c r="I295" t="inlineStr">
        <is>
          <t>As a Software Engineer on the Data Platform team reporting to the Director of Software Engineering, you'll play a critical role in building the systems that transform complex, multi\-modal content into trusted, governed data powering decisions and AI experiences across Nasdaq.
 You'll thrive in this position if you're collaborative, passionate about data infrastructure, and bring a problem\-solving mindset to designing scalable, production\-grade systems in a fast\-paced, high\-impact environment.
 Key Responsibilities
* Design and build scalable data acquisition systems, including connectors for APIs, cloud storage, and streaming platforms with robust authentication, error handling, and monitoring.
* Develop intelligent extraction pipelines that parse documents and images, segment content for downstream use, and enrich metadata with measurable quality metrics.
* Implement entity\-resolution and data\-matching workflows with transparent logic, supporting data stewards in governance and audit processes.
* Contribute to transformation and mapping systems that help teams define, validate, and apply data standards with full version control and impact analysis.
* Assemble and maintain golden records with data quality checks, lineage tracking, and freshness monitoring to meet service\-level objectives.
**Required Qualifications**
* Bachelor's degree in Computer Science, Engineering, or related field, or equivalent practical experience.
* 4\+ years of experience in software or data engineering, with production experience building and operating data pipelines.
* Strong proficiency in Python and SQL, with working knowledge of Linux and container technologies like Docker.
* Hands\-on experience with cloud platforms (AWS services such as S3, EC2, ECS, or EKS) and CI/CD pipelines.
* Familiarity with distributed computing frameworks (such as Spark or Databricks), orchestration tools, or event\-streaming technologies.
**Preferred Qualifications**
* Experience designing multi\-agent workflows or AI\-enabled automation systems with evaluation frameworks.
* Familiarity with large language models, embeddings, vector databases, and quality evaluation for data extraction.
* Exposure to data governance platforms, lineage tracking, and catalog systems such as Unity Catalog or similar tools.
 This position will be located in Atlanta and offers the opportunity for a hybrid work environment at least 4 days a week in\-office, subject to change,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In addition to base salary, Nasdaq offers significant other compensation (annual bonus/commissions and equity),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
 **.**</t>
        </is>
      </c>
    </row>
    <row r="296">
      <c r="A296" t="inlineStr">
        <is>
          <t>li-4330380510</t>
        </is>
      </c>
      <c r="B296" t="inlineStr">
        <is>
          <t>Software Engineer - AI Inference for Science</t>
        </is>
      </c>
      <c r="C296" t="inlineStr">
        <is>
          <t>Argonne National Laboratory</t>
        </is>
      </c>
      <c r="D296" t="inlineStr">
        <is>
          <t>linkedin</t>
        </is>
      </c>
      <c r="E296">
        <f>HYPERLINK("https://www.linkedin.com/jobs/view/4330380510", "https://www.linkedin.com/jobs/view/4330380510")</f>
        <v/>
      </c>
      <c r="F296" t="inlineStr"/>
      <c r="G296" t="inlineStr">
        <is>
          <t>Lemont, IL</t>
        </is>
      </c>
      <c r="H296" t="inlineStr"/>
      <c r="I296" t="inlineStr">
        <is>
          <t>The Argonne Leadership Computing Facility’s (ALCF) mission is to accelerate major scientific discoveries and engineering breakthroughs for humanity by designing and providing world\-leading computing facilities in partnership with the computational science community. We help researchers solve some of the world’s largest and most complex problems with our unique combination of supercomputing resources and computational science expertise.
 The ALCF has an opening for a Software Engineer working in the space of enabling AI for science, specifically targeting scalable inference leveraging HPC systems and AI accelerators. The successful candidate will join the Data Services and Workflows group, which focuses on scientific workflows that combine large\-scale data, simulations, analysis, and AI. In this position, the candidate can expect to explore and engineer solutions for AI inference integrated within scientific workflows, via programmatic access using standard programming interfaces (e.g. OpenAI API), and through submission of large batches of prompts for parallel processing; both scenarios require efficient execution on underlying resources, including ALCF’s HPC systems and AI testbed machines. This position demands a good understanding of currently available AI models (LLMs and otherwise), their compute and memory requirements, and how to utilize the underlying hardware for high responsiveness. As the space of AI models evolves, we will adapt and deploy new models and functionality.
 The Data Services and Workflows group\-\-and this position\-\-involves work in a highly collaborative environment involving science application teams, academia and industry, as well as other national labs and agencies, to solve some of the world’s largest and most complex problems in science and engineering. The candidate will engage with science application teams and contribute to broader scientific initiatives.
**Required skills and qualifications:** 
* Experience with at least one AI framework is required, such as PyTorch or TensorFlow
* Comprehensive experience programming in one or more programming languages such as Python, C/C\+\+
* Ability to create, maintain, and support high\-quality software is essential
* Work with and contribute to domain\-specific software and models
* Experience with version control software such as git
* Ability to work collaboratively in a fast\-paced environment
* Effective written and oral communications skills
* Ability to model Argonne’s core values of impact, safety, respect, integrity and teamwork
**Preferred skills and qualifications:** 
* Experience designing or operating distributed inference or data services, including request routing, asynchronous execution, queueing, fault tolerance, and performance monitoring
* Experience integrating services with HPC schedulers (e.g., Slurm, PBS), including resource provisioning, job lifecycle management, and balancing latency\-sensitive and throughput\-oriented workloads
* Experience optimizing AI inference performance (e.g., batching, memory management, model parallelism, quantization, accelerator utilization) on GPU\- or accelerator\-based systems
* Familiarity with secure, multi\-user services, including authentication/authorization, API security, and operating within institutional or regulated environments
* Experience with running simulations or AI workflows on supercomputers
**This position can be hired at one of two levels (RD2 or RD3\) and the requirements for each are as follows:** 
* RD2: Bachelor’s degree and 5\+ years of experience, Master’s degree and 3\+ years of experience, or PhD, or equivalent. The expected pay range for this level is between $94,486 \- $147,399
* RD3: Bachelor’s degree and 8\+vyears of experience, Master’s degree and 5\+ years of experience, or PhD and 4\+ years of experience, or equivalent. The expected pay range for this level is $116,250 \- $181,350</t>
        </is>
      </c>
    </row>
    <row r="297">
      <c r="A297" t="inlineStr">
        <is>
          <t>li-4330481114</t>
        </is>
      </c>
      <c r="B297" t="inlineStr">
        <is>
          <t>Software Engineer II</t>
        </is>
      </c>
      <c r="C297" t="inlineStr">
        <is>
          <t>Cadence</t>
        </is>
      </c>
      <c r="D297" t="inlineStr">
        <is>
          <t>linkedin</t>
        </is>
      </c>
      <c r="E297">
        <f>HYPERLINK("https://www.linkedin.com/jobs/view/4330481114", "https://www.linkedin.com/jobs/view/4330481114")</f>
        <v/>
      </c>
      <c r="F297" t="inlineStr"/>
      <c r="G297" t="inlineStr">
        <is>
          <t>San Jose, CA</t>
        </is>
      </c>
      <c r="H297" t="inlineStr"/>
      <c r="I297" t="inlineStr">
        <is>
          <t>**At Cadence, we hire and develop leaders and innovators who want to make an impact on the world of technology.**
 We are looking for a talented engineer for our mixed signal circuit simulation platform ( Spectre AMS Designer). You will work on several possible R\&amp;D projects including development of event\-driven algorithms, analog circuit simulation algorithms, mixed signal circuit configuration, elaboration, simulation or debug. You will be responsible for advancing and creating state\-of\-the\-art mixed signal circuit simulation technologies and solutions.
**Job Qualifications/Requirements**
* Minimum BS in Computer Engineering, Computer Science, Electrical Engineering, or equivalent.
* C/C\+\+ software development experience in Linux environment.
* Strong understanding and extensive usage of data structures and algorithms.
* Highly technical engineer with excellent problem\-solving skills.
* Good communication skills and ability to work in a distributed software engineering team.
**Preferred**
* MS or PhD in Computer Engineering, Computer Science, Electrical Engineering, or equivalent
* Experience in the use of AI/ML for EDA is a strong plus.
* Experience with using Cadence Spectre, Xcelium, Virtuoso, Verisium or other EDA tools
* Knowledge of EDA physical design algorithms, timing analysis, and multi\-threading.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298">
      <c r="A298" t="inlineStr">
        <is>
          <t>li-4340949544</t>
        </is>
      </c>
      <c r="B298" t="inlineStr">
        <is>
          <t>Senior Fullstack Software Engineer (C#/SQL)</t>
        </is>
      </c>
      <c r="C298" t="inlineStr">
        <is>
          <t>Advisor360°</t>
        </is>
      </c>
      <c r="D298" t="inlineStr">
        <is>
          <t>linkedin</t>
        </is>
      </c>
      <c r="E298">
        <f>HYPERLINK("https://www.linkedin.com/jobs/view/4340949544", "https://www.linkedin.com/jobs/view/4340949544")</f>
        <v/>
      </c>
      <c r="F298" t="inlineStr"/>
      <c r="G298" t="inlineStr">
        <is>
          <t>Needham, MA</t>
        </is>
      </c>
      <c r="H298" t="inlineStr"/>
      <c r="I298" t="inlineStr">
        <is>
          <t>At Advisor360°, we build technology that transforms how wealth management firms operate, scale, and serve their clients. As a leading SaaS platform in the fintech space, we’re trusted by some of the largest independent broker\-dealers and RIAs to power the full advisor and client experience—from portfolio construction and reporting to compliance and client engagement.
 What sets us apart? It's not just the tech (though it's best\-in\-class). It's the people, the purpose, and the passion behind everything we do.
 We’re a team of builders, thinkers, and doers who believe that great companies are defined by the stories they tell and the experiences they create—internally and externally. We bring deep industry expertise, a collaborative spirit, and a commitment to innovation as we reshape what’s possible in wealth management.
 As we grow, we’re looking for teammates who are ready to roll up their sleeves, think big, and help elevate our brand in a way that reflects the bold ambitions we have for our company and the clients we serve. Join us, and be part of a company that's not only moving fast—but making it count.
****This role is hybrid, requiring three days per week onsite in our Needham, MA headquarters.****
 We are looking for a Senior Software Engineer who is super conscious of quality code and its impact on users as well as being able to lead a project.
 This role is more focused on the backend \= SQL being something you are very comfortable working with. You will be working on the trading domain area of our product, developing and supporting new trading tools. There is some legacy code (.Net Framework) but working toward multi\-tenancy.
**Here’s What You’ll Do**
* Acts as a technical leader by making significant technical contributions to the planning and implementation of mid\-to large\-scale projects from conception to completion.
* Demonstrates versatility of knowledge and applies strong technical skill base to contribute to meet strategic objectives.
* Validates requirements, performs analysis, design, programming, testing, documentation and support for assigned projects to drive application changes.
* Ensures compliance with coding standards and development procedures and suggests opportunities for improvement.
* Acquires and utilizes strong technical and application knowledge to introduce and forecast the impact of new software design patterns, code concepts, and emerging technologies.
* Shares information and expertise to improve the productivity of team and empower individuals.
* Acting as a subject matter expert within the organization while resolving complex technical issues or challenges.
* Acting as a mentor to develop and support team members.
* Leading multiple projects inside of the team and delegate tasks to team members.
**What You Bring To The Table**
* 7\+ years of software engineering experience building and releasing web services.
* Expert knowledge of .NET/C\#, SQL, Kubernetes, Azure.
* Experience with Angular or other modern front\-end libraries/frameworks.
* Experience implementing business critical database applications, micro\-services and/or long\-running backend data processing applications.
* Strong SQL experience/database technologies.
* Experience serving as technical expert throughout the full SDLC from conception, architecture definition, detailed design, scoping, planning, implementation, testing to documentation, delivery and maintenance.
* A leader in coding standards, code reviews, source control management, build processes, testing, and operations.
* Expert use with Jira, Confluence, and other related technologies.
**Why You’ll Love Working With Us**
 It’s not just about work—it’s about building a career and enjoying the ride!
**The estimated base salary range for this position is $152,000\-$173,000**
**\+ bonus \&amp; equity**
**.**
**Advisor360 provides an estimate of the compensation for roles that may be hired as required by state regulations. Compensation may vary based on factors including, but not limited to, individual candidate experience, skills, and qualifications. Additionally, Advisor360 leverages current market data to determine compensation, therefore posted compensation figures are subject to change as new market data becomes available. The salary, other forms of compensation, and benefits information is accurate as of the date of this posting. Advisor360 reserves the right to modify this information at any time, subject to applicable law.**
 We believe in recognizing and rewarding performance. Our compensation package includes competitive base salaries, annual performance\-based bonuses, and the chance to share in the equity value you and your colleagues create during your time with the company. We offer comprehensive health benefits, including dental, life, and disability insurance. We also trust our employees to manage their time effectively, which is why we offer an unlimited paid time off program to help you perform at your best every day.
 Join us on this journey. Advisor360° is an equal opportunity employer committed to a diverse workforce. We believe diversity drives innovation and are therefore building a company where people of all backgrounds are truly welcome and included. Everyone is encouraged to bring their unique, authentic selves to work each and every day. The way we see it, we are here to learn from each other.
****While we are interested in qualified applicants who are permanently eligible to work for any employer in the United States, we are unable to sponsor or transfer sponsorship for employment visas at this time.****
****To all recruitment agencies: We do not accept unsolicited agency resumes and are not responsible for any fees related to unsolicited resumes.****</t>
        </is>
      </c>
    </row>
    <row r="299">
      <c r="A299" t="inlineStr">
        <is>
          <t>li-4354397078</t>
        </is>
      </c>
      <c r="B299" t="inlineStr">
        <is>
          <t>SOFTWARE DEVELOPER - AZURE API</t>
        </is>
      </c>
      <c r="C299" t="inlineStr">
        <is>
          <t>TalentAlly</t>
        </is>
      </c>
      <c r="D299" t="inlineStr">
        <is>
          <t>linkedin</t>
        </is>
      </c>
      <c r="E299">
        <f>HYPERLINK("https://www.linkedin.com/jobs/view/4354397078", "https://www.linkedin.com/jobs/view/4354397078")</f>
        <v/>
      </c>
      <c r="F299">
        <f>HYPERLINK("https://talentally.com/job/software-developer-azure-api/redirect&amp;urlHash=7FvR", "https://talentally.com/job/software-developer-azure-api/redirect&amp;urlHash=7FvR")</f>
        <v/>
      </c>
      <c r="G299" t="inlineStr"/>
      <c r="H299" t="inlineStr"/>
      <c r="I299" t="inlineStr">
        <is>
          <t>**Job Summary** 
 The Software Developer supports the customer, by developing application interface programs (APIs), data migration workflows, and secure data transfer solutions that enable the flow of maintenance data from the data lake to the Jupiter environment.
 This role ensures data quality, security, reliability, and compliance across NIPR and SIPR environments. The developer will work within a cross\-functional team, apply strong problem\-solving techniques to diagnose issues, and support continuous improvement in data delivery and system performance.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The contractor shall perform the following tasks to support government objectives:
**Data Integration \&amp; Management** 
* Manage datasets exported from the data warehouse, including development of automation routines
* Monitor and manage end\-to\-end data load processes into Jupiter to ensure timeliness and accuracy
* Develop and maintain data migration workflows and data quality validation processes
* Respond to customer feedback and resolve issues related to data integrity, access, or delivery
**API \&amp; Application Interface Development** 
* Design, develop, test, and maintain application interface programs (APIs)
* Ensure APIs meet performance, security, and compliance requirements for both NIPR and SIPR networks
**Jupiter Environment Development \&amp; Administration** 
* Obtain and manage administrative access to the Jupiter environment
* Develop and maintain the Maintenance Jupiter environment and Maritime Jupiter cluster
* Manage enterprise databases within Jupiter environments
* Develop and manage data transmissions to Jupiter using approved transfer protocols
**Required Qualifications** 
* U.S. Citizenship Required
* Secret Clearance
* 3\-7\+ years of experience in software development, data engineering, or API development
* Experience with data warehouse environments, ETL/ELT processes, and structured/unstructured data management
* Proficiency with modern programming languages (e.g., Python, Java, C\#, Go, or similar)
* Experience building and managing APIs (REST, GraphQL, etc.)
* Familiarity with cloud architectures, clustered environments, or containerized services
* Experience working with secure networks, role\-based access, and cybersecurity compliance (e.g., DoD RMF)
* Ability to troubleshoot complex data flows and system integrations
* Ifapplicable: If you are or have been recently employed by the U.S. government, a post\-employment ethics letter will be required if employment with VSolvit is offered
**Preferred Qualifications** 
* Bachelor's degree in Computer Science, Information Systems, Engineering, or related technical field (or equivalent experience)
* Experience with Navy/DoD systems
* Experience with Azure
* Experience with Jupiter or similar data platforms
* Experience with SIPR/NIPR cross\-domain data transfer processes such as Bi\-Frost or CDS technologies
* Experience with SQL Server, PostgreSQL, or other enterprise database platforms
* Knowledge of data governance and metadata management practices
* CompTIA Security\+ or equivalent DoD 8570 certification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 
 PDN\-a091e752\-0cab\-42b2\-8963\-be4c1138585d</t>
        </is>
      </c>
    </row>
    <row r="300">
      <c r="A300" t="inlineStr">
        <is>
          <t>li-4354644842</t>
        </is>
      </c>
      <c r="B300" t="inlineStr">
        <is>
          <t>Senior Software Engineer</t>
        </is>
      </c>
      <c r="C300" t="inlineStr">
        <is>
          <t>OCLC</t>
        </is>
      </c>
      <c r="D300" t="inlineStr">
        <is>
          <t>linkedin</t>
        </is>
      </c>
      <c r="E300">
        <f>HYPERLINK("https://www.linkedin.com/jobs/view/4354644842", "https://www.linkedin.com/jobs/view/4354644842")</f>
        <v/>
      </c>
      <c r="F300" t="inlineStr"/>
      <c r="G300" t="inlineStr">
        <is>
          <t>Dublin, OH</t>
        </is>
      </c>
      <c r="H300" t="inlineStr"/>
      <c r="I300"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As a Senior Software Engineer, you will be responsible for independently designing, developing, and testing complex software programs and systems. You will collaborate with team members to solve problems, provide technical guidance, and ensure the delivery of high\-quality software solutions. You will also collaborate with product managers, designers, and other engineers to define, refine, and implement features and enhancements.
**Responsibilities**
* Lead small teams and mentor junior engineers.
* Design and implement complex features and systems.
* Provide technical guidance and expertise to the team.
* Participate in architectural discussions and decisions.
* Conduct code reviews and ensure code quality standards
**Qualifications**
* Bachelor's degree in computer science or related discipline, or equivalent work experience.
* 5\+ years of software development experience.
* Strong programming skills in one or more languages.
* Ability to lead and mentor teams.
* Strong problem\-solving and analytical skills.
* Knowledge of database systems.
* Experience with cloud platforms.
* Experience integrating AI tools, frameworks, and concepts into the software development process.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301">
      <c r="A301" t="inlineStr">
        <is>
          <t>li-4330570790</t>
        </is>
      </c>
      <c r="B301" t="inlineStr">
        <is>
          <t>Full Stack Engineer</t>
        </is>
      </c>
      <c r="C301" t="inlineStr">
        <is>
          <t>Randstad Digital Americas</t>
        </is>
      </c>
      <c r="D301" t="inlineStr">
        <is>
          <t>linkedin</t>
        </is>
      </c>
      <c r="E301">
        <f>HYPERLINK("https://www.linkedin.com/jobs/view/4330570790", "https://www.linkedin.com/jobs/view/4330570790")</f>
        <v/>
      </c>
      <c r="F301" t="inlineStr"/>
      <c r="G301" t="inlineStr">
        <is>
          <t>Merrimack, NH</t>
        </is>
      </c>
      <c r="H301" t="inlineStr"/>
      <c r="I301" t="inlineStr">
        <is>
          <t>**Job Summary**
 Able to clearly detail design options and decisions, and present these in an organized manner to technical as well as non\-technical audiences
 You are a strong contributor with a collaborative work style in building, crafting and reviewing code.
 location: Merrimack, New Hampshire
 job type: Contract
 salary: $69 \- 70 per hour
 work hours: 8am to 5pm
 education: Bachelors
**Responsibilities**
* 6\+ years' experience as a successful full stack software engineer, delivering software using agile development practices. Object Oriented development experience with Java.
* Exposure to coding in more than one programming language. Our full stack engineers work across a range of client, middle tier, messaging, caching and database technologies including Java, TypeScript, JavaScript, SQL and PL/SQL.
* 2\+ years' experience with Amazon Web Services.
* Working experience in Cloud based infrastructure and Continuous Integration \&amp; Continuous Delivery (CI/CD) practices.
* Exposure to test automation frameworks that support all types of testing (unit, component, integration, system etc.) executed through CI/CD pipelines
* Bachelor's degree (or above) in either Computer Science, Management Information Systems, Business Information Systems, Mathematics or Finance related field
**Qualifications**
 Work successfully in an environment that has a full stack engineering mentality and encourages autonomy in the work that you do.
 Hands on coding in various technologies like Java, PL/SQL, Springboot, shell scripts, REST API development
 Proven understanding of CI/CD tools such as JenkinsCore, Artifactory, and SonarQube to continuously and autonomously deliver high\-quality apps to guarantee stable and performant experiences.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302">
      <c r="A302" t="inlineStr">
        <is>
          <t>li-4339151758</t>
        </is>
      </c>
      <c r="B302" t="inlineStr">
        <is>
          <t>Software Engineer Staff</t>
        </is>
      </c>
      <c r="C302" t="inlineStr">
        <is>
          <t>Lockheed Martin</t>
        </is>
      </c>
      <c r="D302" t="inlineStr">
        <is>
          <t>linkedin</t>
        </is>
      </c>
      <c r="E302">
        <f>HYPERLINK("https://www.linkedin.com/jobs/view/4339151758", "https://www.linkedin.com/jobs/view/4339151758")</f>
        <v/>
      </c>
      <c r="F302" t="inlineStr"/>
      <c r="G302" t="inlineStr">
        <is>
          <t>Littleton, CO</t>
        </is>
      </c>
      <c r="H302" t="inlineStr"/>
      <c r="I302"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Previous experience writing and designing to software requirements
 \#LMSpaceSoftwareEng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03">
      <c r="A303" t="inlineStr">
        <is>
          <t>li-4354566658</t>
        </is>
      </c>
      <c r="B303" t="inlineStr">
        <is>
          <t>Staff Software Engineer - Full Stack</t>
        </is>
      </c>
      <c r="C303" t="inlineStr">
        <is>
          <t>Axion</t>
        </is>
      </c>
      <c r="D303" t="inlineStr">
        <is>
          <t>linkedin</t>
        </is>
      </c>
      <c r="E303">
        <f>HYPERLINK("https://www.linkedin.com/jobs/view/4354566658", "https://www.linkedin.com/jobs/view/4354566658")</f>
        <v/>
      </c>
      <c r="F303">
        <f>HYPERLINK("https://jobs.ashbyhq.com/axion/56c47436-4d21-4b6f-95ae-bc56049451ef?src=LinkedIn&amp;urlHash=xeWV", "https://jobs.ashbyhq.com/axion/56c47436-4d21-4b6f-95ae-bc56049451ef?src=LinkedIn&amp;urlHash=xeWV")</f>
        <v/>
      </c>
      <c r="G303" t="inlineStr">
        <is>
          <t>San Francisco, CA</t>
        </is>
      </c>
      <c r="H303" t="inlineStr"/>
      <c r="I303" t="inlineStr">
        <is>
          <t>**About Us**
 Founded in 2021, Axion is at the forefront of transforming product quality and customer satisfaction in manufacturing. Our cutting\-edge AI\-powered platform empowers manufacturers to swiftly identify, thoroughly investigate, and effectively resolve quality issues while simultaneously elevating customer experiences and outcomes.
 As trailblazers in end\-to\-end quality intelligence, we're setting new industry standards. Our innovative approach enables industrial, aerospace, consumer, and medtech manufacturers to harness the power of quality and post\-market data, driving down costs and boosting business performance.
 Our vision extends beyond mere problem\-solving; we're committed to reshaping the future of manufacturing. By seamlessly integrating advanced AI technology with deep industry expertise, Axion is paving the way for smarter, safer, and more efficient production processes across diverse sectors.
 Backed by leading investors, including Bessemer Venture Partners, Amplo, Boeing, and RTX Ventures, Axion is poised to lead the quality revolution in manufacturing.
**About The Role**
 We’re hiring a Staff Software Engineer to help lead our growing full stack teams. In this role, you'll build and maintain high\-quality web applications using React and TypeScript, ensuring seamless integration across the stack. You’ll collaborate cross\-functionally, contribute to agile development processes, and play a key role in optimizing performance, scalability, and code quality. We're looking for someone with 7\+ years of experience, strong front\-end and API development skills, and a passion for clean, maintainable code. If you thrive in fast\-paced environments and enjoy solving complex problems with a team\-first mindset, we’d love to meet you
**Key Responsibilities**
* Develop and maintain web applications using React and Typescript
* Collaborate with cross\-functional teams to ensure seamless integration of front\-end and back\-end functionalities
* Optimize website performance and ensure scalability
* Write clean and maintainable code that adheres to industry standards and best practices
* Troubleshoot and debug issues that arise during development and testing
* Continuously improve the quality of the codebase through code reviews and refactoring
* Participate in agile ceremonies such as sprint planning and retrospectives
* Stay up\-to\-date with emerging trends and technologies in full\-stack development
**Requirements**
* You have at least 7 years of experience in software development and are highly skilled in React, Typescript, and APIs
* You possess strong problem\-solving skills and can think critically and creatively to find solutions to complex problems
* You have excellent communication skills and can articulate technical concepts to both technical and non\-technical stakeholders
* You are detail\-oriented and take pride in writing clean, maintainable, and reusable code
* You are comfortable working in a fast\-paced environment and can adapt to changing priorities and requirements
* You are a self\-motivated individual with a passion for building high\-quality web applications
* You are a team player and enjoy collaborating with others to achieve common goals
**Who You Are**
 You’re a builder and operator who thrives in fast\-moving, high\-accountability environments. You take pride in getting things done — thoughtfully, efficiently, and without drama. You’re energized by ambiguity, skilled at bringing clarity, and comfortable flexing between strategy and execution.
 You value feedback — giving it, receiving it, and acting on it — and you see collaboration as a competitive advantage, not a burden. You’re low\-ego but high\-agency: you care about winning as a team more than being right individually. You move quickly, communicate directly, and make decisions grounded in impact and data.
 You don’t need constant direction — you create momentum. You take ownership for outcomes, and you expect the same from those around you.
**How We Operate**
 We move fast, work smart, and hold ourselves to a high bar. Axion isn’t a 9–5 — it’s a place for people who take pride in their craft and are motivated by meaningful work. We respect time off and boundaries, but we’re also realistic: hard problems sometimes require weekend pushes or late\-night thinking sessions. We support that balance — intensity with respect for recharge.
 We stay highly collaborative and connected throughout the day — much of our communication happens over Slack. We move quickly, share feedback often, and keep discussions open so decisions and context flow freely. If you value crisp communication, rapid iteration, and a steady hum of collaboration, you’ll fit right in.
**We**
* Collaborate deeply. Feedback is part of how we build — everyone has a voice, and ideas win on merit.
* Leave ego at the door. Titles don’t define value; contribution does.
* Bias toward action. We iterate fast and favor progress over perfection.
* Communicate with clarity. Direct, transparent, and always in service of the mission.
* Act like owners. Everyone is accountable for outcomes, not just tasks.
* Sustain excellence. We push hard but don’t glorify burnout — we’re in this for the long game.
 If you want to help shape a company redefining how manufacturing operates — and you thrive in a culture that rewards ownership, speed, and candor — you’ll feel at home here
**What We Offer**
* Work with cutting\-edge AI technology making a tangible impact in manufacturing
* Collaborative, mission\-driven team and supportive leadership
* Generous time off
* Competitive compensation, equity, and benefits
* Lunch stipend…. And much more
 Ready to drive the future of manufacturing with AI? Apply today to join our team and help us build the category\-defining platform for quality intelligence.
 Axion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t>
        </is>
      </c>
    </row>
    <row r="304">
      <c r="A304" t="inlineStr">
        <is>
          <t>li-4330470850</t>
        </is>
      </c>
      <c r="B304" t="inlineStr">
        <is>
          <t>Full Stack Engineer (Java, CI/CD, AWS)</t>
        </is>
      </c>
      <c r="C304" t="inlineStr">
        <is>
          <t>Randstad Digital Americas</t>
        </is>
      </c>
      <c r="D304" t="inlineStr">
        <is>
          <t>linkedin</t>
        </is>
      </c>
      <c r="E304">
        <f>HYPERLINK("https://www.linkedin.com/jobs/view/4330470850", "https://www.linkedin.com/jobs/view/4330470850")</f>
        <v/>
      </c>
      <c r="F304">
        <f>HYPERLINK("https://www.randstadusa.com/jobs/4/1320708/full-stack-engineer-java-ci-cd-aws_roanoke/&amp;urlHash=sBb0", "https://www.randstadusa.com/jobs/4/1320708/full-stack-engineer-java-ci-cd-aws_roanoke/&amp;urlHash=sBb0")</f>
        <v/>
      </c>
      <c r="G304" t="inlineStr">
        <is>
          <t>Roanoke, TX</t>
        </is>
      </c>
      <c r="H304" t="inlineStr"/>
      <c r="I304" t="inlineStr">
        <is>
          <t>**Job Summary**
 Certifications in and working experience with AWS Cloud technologies.
 Ability to provide automation solutions to support all possible data scenarios.
 Bachelor's degree in computer science, Information Technology, or equivalent.
 location: Roanoke, Texas
 job type: Contract
 salary: $71 \- 72 per hour
 work hours: 8am to 5pm
 education: Bachelors
**Responsibilities**
* 7\+ years of experience in software engineering, including 3\+ years of cloud experience.
* Proven hands\-on experience in Java, Tomcat, Spring Boot.
* Build and develop Java\-based application programming interfaces (APIs) and event\-driven applications to improve back\-end performance.
* Extensive experience with Service Oriented Architecture REST APIs using Spring Boot / Drop wizard.
* 5 to 10 years of hands\-on experience with crafting and building large scale applications.
* Solid understanding in application development with micro architectures, Docker containers.
* Knowledge of end\-to\-end DevSecOps automation with CI and CD pipelines including Unit, Component, Functional, Performance, and Security test automation.
* Knowledge of mock frameworks and service virtualization.
**Qualifications**
 Proven experience working with sql and no\-sql databases such as Oracle database and PL\-SQL, DynamoDB.
 Proven track record working with event\-driven microservice architecture.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305">
      <c r="A305" t="inlineStr">
        <is>
          <t>li-4351345625</t>
        </is>
      </c>
      <c r="B305" t="inlineStr">
        <is>
          <t>Software Engineer - iOS</t>
        </is>
      </c>
      <c r="C305" t="inlineStr">
        <is>
          <t>Mercury</t>
        </is>
      </c>
      <c r="D305" t="inlineStr">
        <is>
          <t>linkedin</t>
        </is>
      </c>
      <c r="E305">
        <f>HYPERLINK("https://www.linkedin.com/jobs/view/4351345625", "https://www.linkedin.com/jobs/view/4351345625")</f>
        <v/>
      </c>
      <c r="F305" t="inlineStr"/>
      <c r="G305" t="inlineStr"/>
      <c r="H305" t="inlineStr"/>
      <c r="I305" t="inlineStr">
        <is>
          <t>In the small town of Takefu, Japan, a centuries\-old tradition of crafting the world's finest kitchen knives lives on through the skilled hands of master artisans like Shiro Kamo. With each precise strike of the hammer and careful adjustment of the forge, Kamo\-san infuses his unwavering dedication and passion into every knife he creates. The result is a tool that not only performs flawlessly but serves as an extension of the user's own hand, expanding the possibilities of what a talented chef can achieve. At Mercury, we draw inspiration from masters like Kamo\-san as we strive to infuse the same level of skill, intuition, and beauty into our financial technology craft, particularly in our iOS app.
 Just as a chef relies on their trusted knife to bring their culinary visions to life, we believe that businesses should have access to financial tools that are not only functional but also a joy to use. As we embark on this exciting journey, we are looking for a great iOS Engineer who can help us expand the Mercury iOS app, enabling our users to have peace of mind by managing their finances in a safe, stable, and beautiful application.
*\*Mercury is a financial technology company, not a bank. Banking services provided through Choice Financial Group and Evolve Bank \&amp; Trust®; Members FDIC.*
**In this role, you will:**
* Join a small\-but\-mighty team of experienced iOS and Android engineers (and one backend dev!) – the team has been making apps for over a decade and we’re pretty darn good at it.
* Feel a strong sense of product ownership and actively seek responsibility – we often self\-organize on small/medium projects, and we want someone who’s excited to lay their own vision atop our foundation and make a big impact across the mobile team and Mercury as a whole.
* Work closely with designers to ship a beautiful app – they love to collaborate on getting the details right; plus, many of our customers are startups and appreciate our thoughtful, polished designs.
* Maintain a high quality bar – we provide banking services, so preventing crashes, errors, visual glitches, and wacky edge\-cases is a top priority for us.
**You should:**
* Have 2\-5 years of iOS experience, working in Swift.
* Have experience shipping production apps with SwiftUI, and some experience working in UIKit (we use both).
* Be interested in learning about and engaging with other parts of our stack (Android: Kotlin/Compose; Frontend: TypeScript/React; Backend: Haskell/Nix).
* Be adaptable (we often context switch between product domains), empathetic (product teams are trying to ship product, and don’t always think about mobile first), and pragmatic.
* Above all else, we’re looking for great engineers with a deep passion for iOS apps and an interest in learning – even if you don’t meet all the qualifications, we’d love to hear from you!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$140,800\- $158,400\.
* Canadian employees (any location): CAD $133,100 \- $149,700\.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306">
      <c r="A306" t="inlineStr">
        <is>
          <t>li-4354635057</t>
        </is>
      </c>
      <c r="B306" t="inlineStr">
        <is>
          <t>Staff Software Engineer</t>
        </is>
      </c>
      <c r="C306" t="inlineStr">
        <is>
          <t>Kiavi</t>
        </is>
      </c>
      <c r="D306" t="inlineStr">
        <is>
          <t>linkedin</t>
        </is>
      </c>
      <c r="E306">
        <f>HYPERLINK("https://www.linkedin.com/jobs/view/4354635057", "https://www.linkedin.com/jobs/view/4354635057")</f>
        <v/>
      </c>
      <c r="F306" t="inlineStr"/>
      <c r="G306" t="inlineStr">
        <is>
          <t>San Francisco, CA</t>
        </is>
      </c>
      <c r="H306" t="inlineStr"/>
      <c r="I306" t="inlineStr">
        <is>
          <t>**Kiavi is one of the nation’s largest private lenders to residential real estate investors (REIs). We harness the power of data \&amp; technology to offer our customers a simpler, more reliable, and faster way to access the capital they need to scale their businesses.**
 Formerly known as LendingHome, we’re committed to helping REIs revitalize the approximately $25 trillion worth of aged U.S. housing stock to provide move\-in ready homes and rental housing for millions of Americans across the country.
 Combining our technology and industry expertise, Kiavi has grown to a team of over 400 and has won many awards over the years including Forbes Fintech 50, Finovate Awards, Best Digital Mortgage Platform, Fast Company’s Most Innovative Companies, and many more.
* Loans Funded: $27 billion in loans funded
* Homes financed: 100,000\+ projects funded for our customers across the country
* Geography: 45 states \+ D.C. where we lend to REIs so they can revitalize neighborhoods
* Employees: Over 450 employees with competitive benefits and perks
**This position is based in San Francisco, CA. It is primarily remote with a preference to spend one day a week in office.**
**Your day to day**
* Engineer: Architect and own large parts of our complex loan origination platform and associated web applications.
* Maintain a high quality bar: Champion code quality through peer\-reviewed designs and code, focusing on test automation using unit, integration and end\-to\-end testing.
* Reduce Technical Debt: We allocate a certain percentage of each team’s time to tackling engineering initiatives focused on reducing tech debt. Every engineer contributes to these initiatives.
* Execute: Focus on delivering high impact initiatives that provide value to the customer on a daily basis.
* Collaborate: Work closely with our design and product teams as well as with our business stakeholders to build the right solutions for our customers.
* Customer\-first: Ensure that our customers are successful and happy.
* Define Technical Strategy: You’ll own technical strategy for broad or complex requirements and come up with insightful and forward\-looking approaches that go beyond the direct team and solve large open\-ended problems.
**Who We’re Looking For**
**We are looking for frontend, backend and full stack engineers. It all depends on where you can have the most impact. We have both functional and cross\-functional teams. The product\-oriented teams are cross\-functional and are able to work quickly without taking dependencies in order to deliver the most impact in the shortest amount of time. These cross\-functional teams operate like small independent business units with their own goals that align with the company goals.**
* Experience: You are a proficient software engineer with 5\+ years of professional experience.
* Product focused: You take pride in building high\-quality, user\-friendly products.
* Problem solver: You excel at understanding and breaking down complex problems. You pay attention to detail.
* Great communicator: You are candid and honest. You can adapt your communication style to different audiences and you can effectively communicate in writing and in person or on a video call.
* Self\-driven: You make things happen. You show a strong desire to succeed and are looking for opportunities to learn and grow.
* Productive/Impact\-oriented: You are able to get a lot done quickly. You are willing to introduce new processes and technologies to the team that will improve productivity across the whole engineering team.
* Leadership: You show the ability to grow into a company leader. You will work with other leaders across the company to build company culture and to help shape the company’s future.
**Nice to have**
* Programming Languages: Ruby, Kotlin, JavaScript and TypeScript although we are generally language agnostic. We expect that if you’ve learned more than one programming language you can learn ours.
* Frontend Frameworks: React and GraphQL
* Backend Frameworks: Rails, Node.js, Kafka
* Databases: Postgres, Redis
* Service Oriented Architecture: We are shifting from being a monolithic Rails application to a distributed set of services. Experience having done this in the past is super useful to us.
* AppSec: We handle customer’s private information and we move billions of dollars around. Having experience with application security is important to us.
**Kiavi takes a market\-based approach to pay, and pay may vary depending on your location. Work locations are categorized into one of three tiers based on cost of labor for that geographic area. These ranges may be modified in the future.**
 Region 1 (SF) \- $194,200 \- $291,200 \+ equity \+ benefits
**To find a location’s tier, please refer to https://kiavi.com/compensation. The range displayed on each job posting reflects the minimum and maximum target for new hire salaries. Within the range, the successful candidate’s starting pay will be determined based on job\-related skills, experience, qualifications, work location, and market conditions. Your recruiter can share more about the specific base pay range for your preferred location during the hiring process. Please note that the pay range listed above reflects the base salary only, and does not include the target value benefits.**
**Benefits And Perks**
* Medical, Dental, and Vision Insurance: Kiavi offers free employee\-only coverage for medical, dental, and vision plans. Dependents receive a heavily discounted premium, competitively placed in the 90th percentile for cost.
* Health Savings Account (HSA): For those enrolled in a High Deductible Health Plan (HDHP), Kiavi provides an annual employer contribution to HSAs: $1,000 for individual coverage and $2,000 for dependents.
* Disability and Life Insurance: Immediate access to short\-term and long\-term disability insurance, as well as group life and AD\&amp;D insurance, with coverage at 1x annual salary.
* Remote Work Policy: Kiavi supports working remotely for day to day activities for most roles and occasionally may ask employees to gather in person for key meetings, training, team building etc. For remote workers, Kiavi offers a one\-time office setup reimbursement of up to $500 and a monthly $85 stipend for internet and phone expenses. For in\-office workers, Kiavi offers employer contributions to commuter benefits account, either for parking or public transportation.
* Flexible Time Off: Employees are empowered to manage their own time off, with no strict limits, as long as it's approved by their manager.
* Paid Leaves: Up to 8 weeks of paid leave for medical or caregiver purposes, and 12 weeks of paid maternity/paternity leave. Short\-term disability leave is also available for birthing mothers.
* 401(k) \&amp; Company Match: A 401(k) plan managed by Fidelity, with Kiavi matching 100% of contributions up to 3% of compensation or $8,000 (whichever is less). All employer contributions are immediately vested.
**Protect yourself from recruitment scams:**
* If you are offered an interview or a role with Kiavi, this will be communicated with you through email, via an official email address ending in @kiavi.com or @lendinghome.com.
* You will never be asked for payments of any kind during the process.
* We also never communicate with candidates via Whatsapp at any point during the recruitment process.
* We won’t ask for personal information or data via text message. If you have any concerns regarding how genuine a text message is, please contact your recruiter.
* You can find our official Kiavi careers page here. We advise you to check that the page details and website addresses match if you have any concerns.
 Kiavi is an Equal Opportunity Employer
 San Francisco Fair Chance Ordinance Police Code, Article 49
 We use E\-Verify to confirm the identity and employment eligibility of all new hires.</t>
        </is>
      </c>
    </row>
    <row r="307">
      <c r="A307" t="inlineStr">
        <is>
          <t>li-4354367746</t>
        </is>
      </c>
      <c r="B307" t="inlineStr">
        <is>
          <t>Software Engineer</t>
        </is>
      </c>
      <c r="C307" t="inlineStr">
        <is>
          <t>TalentAlly</t>
        </is>
      </c>
      <c r="D307" t="inlineStr">
        <is>
          <t>linkedin</t>
        </is>
      </c>
      <c r="E307">
        <f>HYPERLINK("https://www.linkedin.com/jobs/view/4354367746", "https://www.linkedin.com/jobs/view/4354367746")</f>
        <v/>
      </c>
      <c r="F307" t="inlineStr"/>
      <c r="G307" t="inlineStr">
        <is>
          <t>Richmond, VA</t>
        </is>
      </c>
      <c r="H307" t="inlineStr"/>
      <c r="I30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
* Provide deep subject matter expertise and support the analysis, design, and implementation for hybrid on\-prem and cloud Active Directory environments and Azure Active Directory/Entra ID tenants.
* Engage and collaborate with business and technical partners to integrate systems and applications with centralized authentication such as Active Directory or Azure Active Directory/Entra ID.
* Provide deep subject matter knowledge and expertise on Active Directory, Azure Active Directory/Entra ID, and Okta Active Directory synchronization.
* Support new product comparison, vetting, and selection process to ensure technology is relevant and meets business requirements.
* Drive Active Directory and Entra ID disaster recovery drills, process improvements, and documentation efforts.
* Continually enhance authentication platforms, ensuring systems are protected from new and evolving Cyber threats and systems are operationally stable.
* Collaborate closely with global cross\-functional teams to ensure the stability, scalability, and security of the Active Directory and Azure Active Directory/Entra ID environments and Okta. Participate in discussions on all aspects of identity and access management.
* Respond to and resolve complex, high\-severity incidents.
* Lead regular reviews of deployed infrastructure, develop detailed architecture, and create and update new technical documentation and Standard Operating Procedures (SOP).
* Analyze the current authentication services platforms to identify both technical and operational opportunities for enhancements and develop continuous improvement action plans.
* Lead regular assessment of systems and process hygiene and identify and implement automation.
* Actively research and implement new innovations in IT security as well as IAM technologies and services, striving to ensure McKesson continues to deliver best practices and standards.
* Provide on\-call support as needed for operational continuity of Identity platforms. (1 week rotation for ON\-call)
**Minimum Requirements** 
 :
* Degree or equivalent and typically requires 7\+ years of relevant experience.
**Critical Experience/Skills** 
 :
* Proven experience as an Active Directory/Entra ID Engineer or similar role with a minimum of 7 years of experience.
* Proven ability to effectively prioritize and execute tasks with competing priorities; strong influencing skills to work with various service owners.
* Demonstrated experience effectively leading and managing collaborative, service management solutions across disparate functional teams.
**Preferred Experience/Skills:** 
* Advanced understanding of Active Directory, Azure Active Directory/Entra ID, Lightweight Directory Access Protocol, Active Directory Federation Services, and other centralized identity stores.
* Advanced understanding of Microsoft Azure and familiarity with IAM permissions on Management Groups, subscriptions, and resources.
* Advanced knowledge of Azure Active Directory/Entra ID capabilities such as Conditional Access Policies, Privileged Identity Manager, and Application Registrations.
*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 Advanced understanding of implementing security on Active Directory and Entra ID and hardening those platforms.
* Advanced understanding of Active Directory and Entra ID backup and restore processes and experience of performing Disaster Recovery exercises.
* Advanced understanding of Windows Server operating systems and Active Directory/Azure Active Directory/Entra ID services.
* Advanced understanding of PowerShell scripting with proven experience implementing automation, including experience utilizing APIs such as Microsoft Graph.
* Advanced understanding of Single\-Sign On and authentication protocols such as SAML \&amp; OIDC.
*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PDN\-a08428c3\-b31f\-46f2\-abd0\-8735e7b0681e</t>
        </is>
      </c>
    </row>
    <row r="308">
      <c r="A308" t="inlineStr">
        <is>
          <t>li-4354555844</t>
        </is>
      </c>
      <c r="B308" t="inlineStr">
        <is>
          <t>Lead Software Engineer (Full Stack, Remote)</t>
        </is>
      </c>
      <c r="C308" t="inlineStr">
        <is>
          <t>Auggie</t>
        </is>
      </c>
      <c r="D308" t="inlineStr">
        <is>
          <t>linkedin</t>
        </is>
      </c>
      <c r="E308">
        <f>HYPERLINK("https://www.linkedin.com/jobs/view/4354555844", "https://www.linkedin.com/jobs/view/4354555844")</f>
        <v/>
      </c>
      <c r="F308" t="inlineStr"/>
      <c r="G308" t="inlineStr">
        <is>
          <t>New York, NY</t>
        </is>
      </c>
      <c r="H308" t="inlineStr"/>
      <c r="I308" t="inlineStr">
        <is>
          <t>TO APPLY: https://auggie.fillout.com/lead\-eng\-2025
**(Applications through LinkedIn will not be reviewed.)** 
**About Auggie** 
 Auggie is a mission\-driven, venture\-backed startup dedicated to making parenting a little bit easier for new and expecting parents. Founded by serial entrepreneurs and based in Brooklyn, NY, Auggie is a trusted community for parents to learn from experts and share recommended services and products.
**The Role** 
**﻿**
 Auggie is seeking a Lead Software Engineer to shape the future of its suite of software applications spanning web, mobile, and AI products. You'll be leading development as a key member of a lean team, collaborating closely with the Chief Product Officer on architecture and driving technical decisions. This leadership role requires hands\-on engineering, balancing technical strategy with execution. We're looking for someone with a strong bias toward action who can solve problems quickly and make decisions aligned with business and product goals.
**Role:** 
  Full Time
**Location:** 
 Remote
**Salary:** 
  Location \&amp; experience dependent
**Key Responsibilities** 
* Lead the development and maintenance of Auggie’s mobile and web\-based applications.
* Collaborate closely with Auggie's Chief Product Officer to shape the product architecture, design and roadmap.
* Define and oversee core engineering processes, including CI/CD pipelines, automated testing frameworks, and environment management..
* Work cross\-functionally (with product, design, growth, etc. teams) to define, design, and ship new features.
* Ensure code quality, performance, and responsiveness of applications.
* Troubleshoot and resolve issues in production and non\-production environments.
**About You** 
* Proven experience as a Full Stack Engineer, with experience working on consumer\-facing mobile and web applications.
* Demonstrated experience collaborating with product leaders to influence product and architecture decisions.
* Proficiency with React Native and NestJS (or related frameworks)
* Expertise in building and managing GraphQL APIs for efficient data querying.
* Strong knowledge of AWS hosting services.
* Experience with PostgreSQL databases.
* Expertise in system architecture and API design for seamless integration.
* Proven experience in designing and implementing scalable backend systems.
* Experience designing and optimizing complex data models, pipelines, and integrations, with a forward\-looking approach to enabling AI\-driven features.
* Strong sense of ownership with the ability / desire to own technical roadmaps and refine ambiguous problems.
* Excellent communication and interpersonal skills, with the ability to work effectively with cross\-functional teams and work closely with product designers and product managers.
* Strong problem\-solving skills, attention to detail, and a strategic mindset.
**TO APPLY:**
**https://auggie.fillout.com/lead\-eng\-2025**
**Required Attributes for Success** 
* Ability to balance strategic, high\-level decision\-making with hands\-on development to ensure seamless execution of both short\-term goals and long\-term product vision.
* An entrepreneurial mindset towards the ownership of the software development of Auggie applications.
* Strong communication skills with the ability to articulate technical challenges and solutions to both technical and non\-technical stakeholders.
**Why Auggie?** 
 Join us in shaping a trusted platform for parents. You'll have the opportunity to work in a fast\-paced startup environment, contribute directly to product strategy, and make a tangible impact on the lives of new and expecting parents. Some of the benefits and perks:
* Opportunity to shape the future of parenting
* Competitive salary \&amp; benefits package
* Generous parental leave
* Flexible working hours and location
* Open vacation policy
* Any equipment you need to get the job done
* Regular team outings and activities
**How to Apply** 
* Fill out this form: https://auggie.fillout.com/lead\-eng\-2025
* **Applications through LinkedIn will NOT be reviewed**
* **We’re excited to hear from you!**</t>
        </is>
      </c>
    </row>
    <row r="309">
      <c r="A309" t="inlineStr">
        <is>
          <t>li-4354587353</t>
        </is>
      </c>
      <c r="B309" t="inlineStr">
        <is>
          <t>Senior Software Engineer, Verifications</t>
        </is>
      </c>
      <c r="C309" t="inlineStr">
        <is>
          <t>bet365</t>
        </is>
      </c>
      <c r="D309" t="inlineStr">
        <is>
          <t>linkedin</t>
        </is>
      </c>
      <c r="E309">
        <f>HYPERLINK("https://www.linkedin.com/jobs/view/4354587353", "https://www.linkedin.com/jobs/view/4354587353")</f>
        <v/>
      </c>
      <c r="F309" t="inlineStr"/>
      <c r="G309" t="inlineStr">
        <is>
          <t>Denver, CO</t>
        </is>
      </c>
      <c r="H309" t="inlineStr"/>
      <c r="I309" t="inlineStr">
        <is>
          <t>At bet365, we're one of the world's leading online gambling companies, revolutionising the industry since 2000\. Founded by Denise Coates CBE, we now employ over 9,000 people and serve over 100 million customers in 27 languages. Our focus on In\-Play betting has solidified our market\-leading position, offering an unmatched experience across 96 sports and 700,000 streaming events. With over 750 concurrent sporting fixtures at peak and more live sports streamed than anyone else in Europe, we handle over 6 billion HTTP requests daily and process more than 2 million bets per hour at peak.
 We empower our employees to push boundaries and explore new ideas, cultivating a culture that celebrates and rewards creativity. This offers employees a wealth of opportunities for growth, giving them the opportunity to make a real impact in the world of online gambling. As a forward\-thinking company, we’re breaking new ground in software innovation too, redefining what’s possible for our customers worldwide.
**Job Description**
 We are seeking passionate and experienced Senior Developer to join our dedicated Verification team as we embark on a ground up re\-architecture.
 In collaboration with our UK teams, you will be enhancing and supporting our business critical Verification platform; from the delivery of real time facial recognition systems utilising innovative AI technology to core operational tooling.
 Verification operates as a full stack team who are in the process of undertaking a ground up re\-architecture into Golang, react and cloud platforms. Core skills within the team are Kafka, SQL, .Net, Golang and Typescript; We are looking for candidates with solid experience in one or more of these technologies, though expertise in similar or alternative technologies are welcome.
 In collaboration with our UK teams, you will work alongside our Technical Leads to design and implement robust verification systems, while ensuring the highest quality standards for our software products, in a fast\-paced, hard working environment. Your skills as a lead developer should set the standard to a talented group of developers to innovate and excel in delivering reliable solutions, while fostering a collaborative and dynamic environment. We hire people with a broad set of technical skills who are ready to tackle some of technology’s greatest challenges.
 This role is eligible for inclusion in the Company’s hybrid working from home policy.
 The listed salary for this position is $125,000 \- $155,000 annually.
**Qualifications**
* Experience in leading development teams and delivering technical projects to successful completion.
* Experience in coaching and mentoring in technical subject areas.
* Ability to prioritize people and conversations over process.
* Excellent problem solving skills and the ability to work in a fast paced pressured environment.
* Commercial experience using Cloud Platforms.
* Knowledge of React and Typescript.
* Experience with Golang Micro services.
* Exposure to C\#, .net, MSSQL and/or WPF.
**Additional Information**
* To be an escalation for the team both in and out of office hours.
* To lead and deliver the development of scalable, maintainable and performant systems.
* Applying active governance around overall solution design, while setting the standard for code quality and delivery within the team.
* Ensuring solutions meet the needs of the business.
* Taking responsibility for work estimation, producing solution documents and ultimately ensuring accurate portrayals of effort can be obtained and subsequently delivered.
* Having or gaining an in depth understanding of the technical structure, domain and architecture of the systems the team is responsible.
* Lead a small team of developers in the design and development of a solution from start to finish.
* Owning technical solutions and their hands on delivery from development to live at low level.
* Distributing knowledge and mentoring of team members.
 bet365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310">
      <c r="A310" t="inlineStr">
        <is>
          <t>li-4354596678</t>
        </is>
      </c>
      <c r="B310" t="inlineStr">
        <is>
          <t>Sr. Software Engineer - Test Framework</t>
        </is>
      </c>
      <c r="C310" t="inlineStr">
        <is>
          <t>General Motors</t>
        </is>
      </c>
      <c r="D310" t="inlineStr">
        <is>
          <t>linkedin</t>
        </is>
      </c>
      <c r="E310">
        <f>HYPERLINK("https://www.linkedin.com/jobs/view/4354596678", "https://www.linkedin.com/jobs/view/4354596678")</f>
        <v/>
      </c>
      <c r="F310" t="inlineStr"/>
      <c r="G310" t="inlineStr">
        <is>
          <t>Mountain View, CA</t>
        </is>
      </c>
      <c r="H310" t="inlineStr"/>
      <c r="I310" t="inlineStr">
        <is>
          <t>**Job Description**
**The Role**
 As a Senior Software Engineer – Test Framework at GM, you will join the team focused on creating automation solutions that enable test automation throughout various stages of software development and integration. This role involves developing automation tools and frameworks for all systems and subsystems within the vehicle. This exciting opportunity is based in the central hub for developing automation enablers that is revolutionizing how GM develops and tests software. The Senior Software Engineer – Test Framework will gather input from various customer teams and translate their needs for automated testing into actionable solutions. This position offers the chance to collaborate with different business units across GM, providing significant opportunities for both technical and leadership growth.
**What You'll Do**
* Develop Python automation libraries as part of a global automation ecosystem that enables efficient and effective testing of software
* Own automation features and initiatives based on customer needs
* Develop CI/CD and other pipelines to expand and maintain our framework's robust quality chain
* Participate in code reviews and provide constructive feedback to team members on best practices and standards
* Work as a technical mentor to deliver the training and guidance required to develop a highly capable software development team.
* Foster and maintain a positive and collaborative work environment while driving process improvement and innovative solutions.
* Actively participate in team scrum meetings including backlog refinement, iteration planning, and retrospectives.
* Stay up to date with emerging technologies and trends in software automation
**Your Skills \&amp; Abilities (Required Qualifications)**
* 5\+ years of experience developing in multiple programming languages such as Python, Java, C\+\+, C\#, Groovy, Scala, etc.
* Bachelor of Science in Computer Science, Electrical Engineering, Computer Engineering or related.
* Hands\-on test automation development expertise with in\-depth knowledge of multiple open\-source/commercial tools for test automation.
* High level of oral and written communication skills to work independently and effectively with others.
**What Will Give You a Competitive Edge (Preferred Qualifications)**
* Understanding of Vehicle Electrical Architecture and Subsystem/Features within the vehicle
* Advanced degree in engineering or management/leadership.
* Experience with automation frameworks such as Robot and developing enablers within them
* 3 years of experience in Automotive SW Development or Test, including experience with test automation and test or software architecture.
* Previous exposure to working in a software development team practicing Agile/Scrum.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$134,000 to $241,900\.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1">
      <c r="A311" t="inlineStr">
        <is>
          <t>li-4330420370</t>
        </is>
      </c>
      <c r="B311" t="inlineStr">
        <is>
          <t>Sr. Software Engineer</t>
        </is>
      </c>
      <c r="C311" t="inlineStr">
        <is>
          <t>Piper Companies</t>
        </is>
      </c>
      <c r="D311" t="inlineStr">
        <is>
          <t>linkedin</t>
        </is>
      </c>
      <c r="E311">
        <f>HYPERLINK("https://www.linkedin.com/jobs/view/4330420370", "https://www.linkedin.com/jobs/view/4330420370")</f>
        <v/>
      </c>
      <c r="F311" t="inlineStr"/>
      <c r="G311" t="inlineStr">
        <is>
          <t>Morrisville, NC</t>
        </is>
      </c>
      <c r="H311" t="inlineStr"/>
      <c r="I311" t="inlineStr">
        <is>
          <t>**Piper Companies** 
 is hiring a
 **Senior Software Engineer** 
 for a top\-tier healthcare technology organization based in
 **Morrisville, NC** 
 . This role is ideal for a seasoned engineer with deep expertise in
 **.NET** 
 ,
 **JavaScript frameworks** 
 , and
 **cloud platforms** 
 , who can lead development efforts on a modern
 **Azure\-based microservices architecture** 
 . This is a
 **Contract\-to\-Hire** 
 position requiring
 **on\-site presence 3 days per week** 
 in
 **Raleigh, NC** 
 .
**Responsibilities of the Senior Software Engineer:**
* Lead end\-to\-end development using .NET Core, C\#, Angular, and React, delivering scalable and maintainable software solutions.
* Provide architectural direction and technical leadership on complex initiatives, driving innovation and ensuring high\-quality deliverables.
* Collaborate with cross\-functional teams to define objectives, set technical standards, and support strategic planning and execution.
* Analyze system performance and implement optimizations to enhance scalability and efficiency.
* Mentor junior developers, conduct code reviews, and promote best practices to uphold code quality standards.
**Qualifications of the Senior Software Engineer:**
* 7\+ years of hands\-on software development experience, including 3\+ years in a senior engineering role focused on .NET and JavaScript technologies.
* Demonstrated experience building cloud\-native applications on Azure or AWS, with familiarity in services like Blob Storage.
* Strong grasp of object\-oriented programming, design patterns, and system architecture, with practical experience in React, Angular, TypeScript, and ASP.NET Web Forms.
* Skilled in SQL and database technologies, including Cosmos DB, SQL Server, or Oracle.
* Experience with CI/CD pipelines, microservices, Agile methodologies, and cloud security best practices.
**Compensation of the Senior Software Engineer:**
* Salary Range: $115,000–$125,000/year
* Benefits Package: Includes Medical, Dental, Vision, sick leave (as required by law), and 401(k)
 Keywords: .NET Core, C\#, JavaScript, Angular, React, Azure, AWS, Microservices, CI/CD, SQL, Cosmos DB, OOP, TypeScript, Performance Optimization, Agile</t>
        </is>
      </c>
    </row>
    <row r="312">
      <c r="A312" t="inlineStr">
        <is>
          <t>li-4330128964</t>
        </is>
      </c>
      <c r="B312" t="inlineStr">
        <is>
          <t>Senior Software Engineer - PyTorch</t>
        </is>
      </c>
      <c r="C312" t="inlineStr">
        <is>
          <t>OpenTeams</t>
        </is>
      </c>
      <c r="D312" t="inlineStr">
        <is>
          <t>linkedin</t>
        </is>
      </c>
      <c r="E312">
        <f>HYPERLINK("https://www.linkedin.com/jobs/view/4330128964", "https://www.linkedin.com/jobs/view/4330128964")</f>
        <v/>
      </c>
      <c r="F312" t="inlineStr"/>
      <c r="G312" t="inlineStr"/>
      <c r="H312" t="inlineStr"/>
      <c r="I312" t="inlineStr">
        <is>
          <t>**Senior Software Engineer: Numerical and High Performance Computing (Python/C\+\+)** 
**Location:** 
 Remote \- U.S
**Duration:** 
 Full\-Time
*The base salary range for this role is* 
***$130,000 – $200,000 USD***
*, depending on experience, skills, role level, and geographic location. In addition to base salary, this role may be eligible for equity, bonuses, and a comprehensive benefits package* 
 We’re looking for a highly motivated Software Engineer with a strong background in numerical computing, high\-performance computing (HPC), compilers, or deep learning frameworks to join our PyTorch\-focused engineering team. If you’re passionate about building performant systems, contributing to open source, and shaping the future of the Python AI ecosystem, this role is for you.
**What You’ll Do** 
 Have you seen the explosive growth of Python in data science and machine learning? Are you excited by the impact of tools like PyTorch, NumPy, Triton, and Dask? In this role, you’ll help advance that ecosystem by building features and performance improvements used by millions.
**You will:** 
* Develop, optimize, and maintain core components of PyTorch and related open\-source libraries
* Contribute directly to projects such as PyTorch, TorchRL, TorchAO, and Triton
* Work with C\+\+ and Python
* Design and implement new features, performance enhancements, kernel optimizations, and infrastructure improvements
* Debug complex numerical, performance, and scalability issues in large, production\-level codebases
* Engage with the broader PyTorch community, including maintainers, contributors, and users
* Collaborate closely with internal engineering teams and client partners using PyTorch at scale
* Participate in code reviews, architectural discussions, and team mentoring
* Build your presence and impact within the Python and open\-source communities
**What We’re Looking For** 
 You don’t need to be an expert in every PyTorch submodule — we care about strong fundamentals and the ability to learn quickly. If you have experience with large\-scale systems and modern numerical or GPU computing, you’ll thrive here.
**Strong candidates will have experience with:** 
* C\+\+ and Python in production environments
* GPU programming
* High\-performance or numerical computing
* Working in large, complex codebases
* Debugging low\-level or performance\-critical issues
* Communicating clearly within engineering teams and open\-source communities
**Bonus experience (nice to have, not required):** 
* PyTorch, NumPy, or other scientific Python libraries
* Deep learning fundamentals or experience with training/inference systems
* MLIR, Triton, or compiler\-related tooling
 We invest heavily in helping engineers grow within both OpenTeams and the Python open\-source ecosystem. If you’re excited about advancing open\-source AI infrastructure and collaborating with world\-class maintainers, we’d love to talk.</t>
        </is>
      </c>
    </row>
    <row r="313">
      <c r="A313" t="inlineStr">
        <is>
          <t>li-4330420356</t>
        </is>
      </c>
      <c r="B313" t="inlineStr">
        <is>
          <t>Software Engineer - Hybrid</t>
        </is>
      </c>
      <c r="C313" t="inlineStr">
        <is>
          <t>Zachary Piper Solutions</t>
        </is>
      </c>
      <c r="D313" t="inlineStr">
        <is>
          <t>linkedin</t>
        </is>
      </c>
      <c r="E313">
        <f>HYPERLINK("https://www.linkedin.com/jobs/view/4330420356", "https://www.linkedin.com/jobs/view/4330420356")</f>
        <v/>
      </c>
      <c r="F313" t="inlineStr"/>
      <c r="G313" t="inlineStr">
        <is>
          <t>Arvada, CO</t>
        </is>
      </c>
      <c r="H313" t="inlineStr"/>
      <c r="I313" t="inlineStr">
        <is>
          <t>**Job Summary**
 Zachary Piper Solutions is seeking a
 **Software Engineer** 
 to join the
 **Flight \+ Plan team** 
 on a hybrid basis in
 **Arvada, CO** 
 . You will be focused on building and integrating scalable software frameworks for satellite mission planning and operations. This role involves designing and implementing high\-performance backend systems in Python and Java, collaborating with aerospace and software engineers, and ensuring robust, cloud\-native solutions for modern space operations.
**Responsibilities**
* Design, implement, and validate backend systems for satellite modeling, mission planning, and operational algorithms.
* Develop APIs and integrate backend services with cloud infrastructure for scalability, resilience, and security.
* Collaborate cross\-functionally with aerospace engineers, frontend developers, and product managers to deliver mission\-critical capabilities.
* Optimize software performance and ensure maintainability, quality, and reliability in production environments.
* Build and deploy containerized applications using Kubernetes or serverless architectures.
* Contribute to an agile, iterative engineering environment, taking technical ownership of key features and improvements.
**Qualifications**
* 3\+ years of relevant experience (or equivalent hands\-on expertise).
* Proficiency in Python and experience with Java (C\+\+ or Rust is a plus).
* Strong background in developing software for complex mathematical or physics\-based models.
* Hands\-on experience with algorithms for optimization, mission planning, orbit determination, or sensor fusion.
* Knowledge of distributed systems, API design, databases (NoSQL and relational), and event\-driven architectures.
* Experience with AWS services (Lambda, ECS/EKS, CloudWatch, S3, EC2, RDS) and CI/CD pipelines.
* Bachelor’s degree in Computer Science, Aerospace Engineering, or related field;
* Secret Level Security Clearance Mandatory
**Compensation**
* Pay Range: $120,000\-$170,000 (depending on experience)
* Comprehensive benefits including health insurance for you and your family
* Mandatory 15 days off and unlimited PTO
* Paid Holidays
* Hybrid Schedule (2\-3 days a week on\-site)</t>
        </is>
      </c>
    </row>
    <row r="314">
      <c r="A314" t="inlineStr">
        <is>
          <t>li-4351286544</t>
        </is>
      </c>
      <c r="B314" t="inlineStr">
        <is>
          <t>Senior Software Engineer (Full Stack, Backend-leaning)</t>
        </is>
      </c>
      <c r="C314" t="inlineStr">
        <is>
          <t>Jerry</t>
        </is>
      </c>
      <c r="D314" t="inlineStr">
        <is>
          <t>linkedin</t>
        </is>
      </c>
      <c r="E314">
        <f>HYPERLINK("https://www.linkedin.com/jobs/view/4351286544", "https://www.linkedin.com/jobs/view/4351286544")</f>
        <v/>
      </c>
      <c r="F314">
        <f>HYPERLINK("https://jobs.ashbyhq.com/Jerry.ai/ad55ac90-b315-44e4-b3be-645ca7332991?utm_source=6Vdva5VPyD&amp;urlHash=fM0E", "https://jobs.ashbyhq.com/Jerry.ai/ad55ac90-b315-44e4-b3be-645ca7332991?utm_source=6Vdva5VPyD&amp;urlHash=fM0E")</f>
        <v/>
      </c>
      <c r="G314" t="inlineStr">
        <is>
          <t>Palo Alto, CA</t>
        </is>
      </c>
      <c r="H314" t="inlineStr"/>
      <c r="I314"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**Senior Software Engineer**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5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15">
      <c r="A315" t="inlineStr">
        <is>
          <t>li-4330580329</t>
        </is>
      </c>
      <c r="B315" t="inlineStr">
        <is>
          <t>Sr. Software Engineer</t>
        </is>
      </c>
      <c r="C315" t="inlineStr">
        <is>
          <t>Piper Companies</t>
        </is>
      </c>
      <c r="D315" t="inlineStr">
        <is>
          <t>linkedin</t>
        </is>
      </c>
      <c r="E315">
        <f>HYPERLINK("https://www.linkedin.com/jobs/view/4330580329", "https://www.linkedin.com/jobs/view/4330580329")</f>
        <v/>
      </c>
      <c r="F315">
        <f>HYPERLINK("https://careers.pipercompanies.com/details/157111/sr_software_engineer&amp;urlHash=cWLA", "https://careers.pipercompanies.com/details/157111/sr_software_engineer&amp;urlHash=cWLA")</f>
        <v/>
      </c>
      <c r="G315" t="inlineStr">
        <is>
          <t>Raleigh, NC</t>
        </is>
      </c>
      <c r="H315" t="inlineStr"/>
      <c r="I315" t="inlineStr">
        <is>
          <t>Piper Companies is seeking a Sr. Software Engineer to join a growing team in the healthcare and human services industries. The Sr. Software Engineer will play a key role in leading and executing advanced development tasks for both frontend and backend, using .NET Core, C\#, and modern JavaScript.
 **The Sr. Software Engineer will sit 3 days onsite in the Raleigh, NC office.**
**Responsibilities of the Sr. Software Engineer** 
**include:**
* Provide Technical Leadership and solution validation on complex projects.
* Mentor associates, mid\-level developers to bring continuous improvements to the team.
* Collaborate with the team leaders and other stakeholders to execute project goals and establish technical standards.
**Qualifications for the Sr. Software Engineer** 
**include:**
* 7\+ years of professional software development experience
* Senior role experiences focused on .NET and JavaScript
* Bachelor’s degree, Microsoft AZ\-900, AZ\-204 Certification, AWS, Azure strongly preferred.
**Compensation for the Sr. Software Engineer** 
**includes:**
* $110,000 – $125,000 annually
* Comprehensive benefit: Medical, Dental, Vison, 401k, PTO, holidays, sick leave as required by law
* Raleigh, NC, Hybrid work environment, 3 days on\-site
 This job opens for applications on 1/5/2026\. Applications for this job will be accepted for at least 30 days from the posting date.
 Keywords: Senior Software Engineer, .NET, JavaScript, AWS, Azure, AZ\-900\. AZ\-204, ASP.NET, TypeScript, Cloud, CI/CD, DevOps, SQL, DB, NoSQL, Oracle, Server, Microsoft, Agile, Microservices, Deploying, Building, Managing</t>
        </is>
      </c>
    </row>
    <row r="316">
      <c r="A316" t="inlineStr">
        <is>
          <t>li-4351176945</t>
        </is>
      </c>
      <c r="B316" t="inlineStr">
        <is>
          <t>Senior Software Engineer</t>
        </is>
      </c>
      <c r="C316" t="inlineStr">
        <is>
          <t>Circle</t>
        </is>
      </c>
      <c r="D316" t="inlineStr">
        <is>
          <t>linkedin</t>
        </is>
      </c>
      <c r="E316">
        <f>HYPERLINK("https://www.linkedin.com/jobs/view/4351176945", "https://www.linkedin.com/jobs/view/4351176945")</f>
        <v/>
      </c>
      <c r="F316">
        <f>HYPERLINK("https://careers.circle.com/us/en/job/CIICIRUSJR100013EGEXTERNALENUS/Senior-Software-Engineer?utm_source=linkedin&amp;utm_medium=phenom-feeds&amp;src=LinkedIn&amp;urlHash=n2er", "https://careers.circle.com/us/en/job/CIICIRUSJR100013EGEXTERNALENUS/Senior-Software-Engineer?utm_source=linkedin&amp;utm_medium=phenom-feeds&amp;src=LinkedIn&amp;urlHash=n2er")</f>
        <v/>
      </c>
      <c r="G316" t="inlineStr"/>
      <c r="H316" t="inlineStr"/>
      <c r="I316"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Senior Software Engineer is responsible for extending Circle's in\-house blockchain systems infrastructure to support the tokenization of the world; analyzing requirements, procedures, and problems to improve existing systems and modifying systems; building and owning scalable microservices that are responsible for reliable and secure APIs that transfer value and assets across all blockchain protocols as well as traditional banking protocols; collaborating with Product and Engineering teams to design, test, and shape Circle features, including developing and documenting system design procedures, testing procedures, and quality standards; troubleshooting program and system malfunctions to restore normal functioning; building publicly accessible APIs that make it simple for developers to integrate with complex payment systems; integrating Platform Services with leading banks and financial technologies; consulting with management to ensure agreement on system principles; writing the infrastructure to deliver great payment experiences, including data sources (SQL or NoSQL), messaging systems and APIs; other duties as assigned.
**What You'll Bring To Circle**
* 6 years minimum professional software development experience in object oriented languages like Java and Go
* Bachelor's degree in Computer Science or a closely related field (or equivalent).
* Led teams (2\-4\) technically on architecture and system design.
* Experience working with payment systems like credit cards and bank transfers.
* A broad understanding of RESTful API design and development principles.
* Experience with Cloud Services (AWS, Google Cloud, Microsoft Azure, etc).
* Experience with SQL databases and designing schemas.
* Proven experience in the design \&amp; deployment of production\-quality, scalable software.
* A focus on coding standards and code quality \-\- a desire to have great test coverage to enable continuous delivery.
* Excellent communication skills, able to collaborate with remote teams, share ideas and present concepts effectively.
* Self\-starter, you enjoy moving at a fast pace, shipping software that improves the user experience and constantly improving your work with little supervision.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$152,500 \- $205,000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317">
      <c r="A317" t="inlineStr">
        <is>
          <t>li-4330227743</t>
        </is>
      </c>
      <c r="B317" t="inlineStr">
        <is>
          <t>Senior Embedded Systems Software Engineer</t>
        </is>
      </c>
      <c r="C317" t="inlineStr">
        <is>
          <t>RoboForce</t>
        </is>
      </c>
      <c r="D317" t="inlineStr">
        <is>
          <t>linkedin</t>
        </is>
      </c>
      <c r="E317">
        <f>HYPERLINK("https://www.linkedin.com/jobs/view/4330227743", "https://www.linkedin.com/jobs/view/4330227743")</f>
        <v/>
      </c>
      <c r="F317" t="inlineStr"/>
      <c r="G317" t="inlineStr">
        <is>
          <t>Milpitas, CA</t>
        </is>
      </c>
      <c r="H317" t="inlineStr"/>
      <c r="I317" t="inlineStr">
        <is>
          <t>**Why RoboForce** 
 RoboForce is an AI robotics company building Physical AI and Robo\-Labor system for dull, dirty, and dangerous work. Our flagship robot, TITAN, is a super humanoid robot designed for industrial environments. We are based in Milpitas, CA and require 5 days/week in\-office collaboration.
 We are seeking a highly skilled
 **Senior Embedded Systems Software Engineer** 
 to join our team. You will contribute to the development of cutting\-edge robotic applications, integrating sensors, actuators, motion controllers, and AI models to advance next\-generation humanoid robotic systems.
**Responsibilities** 
* Develop and maintain software in C\+\+ and Python on a Linux ROS2\-based platform
* Build and optimize Real\-Time Operating System (RTOS) platforms for robotic subsystems
* Design and implement drivers and middleware for communication protocols such as CAN, RS485, EtherCAT, and Ethernet to enable real\-time robotic control
* Develop and maintain cross\-compilation toolchains for embedded platforms
* Interface with and optimize sensor systems including LiDAR, cameras, radar, IMUs, and force\-torque sensors for real\-time perception and control
* Optimize data pipelines for perception, SLAM, and robotic intelligence
**Requirements** 
* Bachelor’s or Master’s degree in Electrical Engineering, Computer Science, or relevant domains with 5\+ years of industry experience in embedded software development, or a Ph.D. with 2\+ years of industry experience.
* **Expertise in at least three of the following areas, with a strong foundational understanding across most:**
* Actuator interfacing, control, and parameter tuning
* Perception sensor integration (e.g., cameras, LiDAR) and real\-time data processing
* Linux cross\-compilation and toolchain development
* Camera\-to\-GPU data pipeline optimization
* Production\-level PCB design and bring\-up
* DSP development for sensor applications
* Wireless communication systems, including Wi\-Fi, LTE, 5G, and IoT system design and development
* Hands\-on experience with embedded system design utilizing Real\-Time Operating Systems (RTOS).
* Familiarity with industrial microcontrollers such as STM, NXP, PIC, TI, etc.
* **Requires 5 days/week in\-office collaboration with the teams.**
**Bonus Qualifications** 
* Experience with humanoid robotics embedded systems, motor and joint controllers, and AGV system integration
* Expertise in Linux real\-time kernel development
**Benefits** 
* Competitive stock options/equity programs.
* Health, dental, and vision insurance, 401(k) plan.
* Visa sponsorship and green card support for qualified candidates.
* Lunches and dinners, a fully stocked kitchen, and regular team\-building events.</t>
        </is>
      </c>
    </row>
    <row r="318">
      <c r="A318" t="inlineStr">
        <is>
          <t>li-4351186795</t>
        </is>
      </c>
      <c r="B318" t="inlineStr">
        <is>
          <t>Staff Software Engineer (Full-Stack, Backend-leaning)</t>
        </is>
      </c>
      <c r="C318" t="inlineStr">
        <is>
          <t>Jerry</t>
        </is>
      </c>
      <c r="D318" t="inlineStr">
        <is>
          <t>linkedin</t>
        </is>
      </c>
      <c r="E318">
        <f>HYPERLINK("https://www.linkedin.com/jobs/view/4351186795", "https://www.linkedin.com/jobs/view/4351186795")</f>
        <v/>
      </c>
      <c r="F318" t="inlineStr"/>
      <c r="G318" t="inlineStr">
        <is>
          <t>Austin, TX</t>
        </is>
      </c>
      <c r="H318" t="inlineStr"/>
      <c r="I318"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19">
      <c r="A319" t="inlineStr">
        <is>
          <t>li-4354576496</t>
        </is>
      </c>
      <c r="B319" t="inlineStr">
        <is>
          <t>Propulsion Functional Safety Software Engineer</t>
        </is>
      </c>
      <c r="C319" t="inlineStr">
        <is>
          <t>Ford Motor Company</t>
        </is>
      </c>
      <c r="D319" t="inlineStr">
        <is>
          <t>linkedin</t>
        </is>
      </c>
      <c r="E319">
        <f>HYPERLINK("https://www.linkedin.com/jobs/view/4354576496", "https://www.linkedin.com/jobs/view/4354576496")</f>
        <v/>
      </c>
      <c r="F319" t="inlineStr"/>
      <c r="G319" t="inlineStr">
        <is>
          <t>Dearborn, MI</t>
        </is>
      </c>
      <c r="H319" t="inlineStr"/>
      <c r="I319" t="inlineStr">
        <is>
          <t>**Job Description**
**A Propulsion Functional Safety Software Engineer**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A Propulsion Functional Safety Software Engineer will create, implement, and validate the software algorithms that ensure our products meet Ford’s implementation of ISO26262\. The controls and software include various monitors and barriers that ensure the functional safety of the electrified powertrain torque path and prevent safety goal violations. Attention to detail is key, as a functional safety software developer must deliver clean, understandable code that is traceable to requirements and test procedures. As a member of the Propulsion functional safety software team, you will join a vibrant group of individuals who work in collaboration with a wide range of teams across departments and engage in developing simple, safe solutions to deliver Ford’s next\-generation electrified powertrain vehicles.
**Responsibilities**
**What you'll do...**
* Collaborate in a multi\-functional environment to define system\-level Technical Safety Requirements.
* Translate requirements into software design, then implement and validate the controls' algorithm in C\-code or Model\-Based Software, depending on the component.
* Complete testing of software changes in unit\-test, Software\-in\-the\-Loop (SIL), and/or Hardware\-In\-the\-Loop (HIL) testing environment.
* Maintain software description documentation, calibration guides, software safety requirements, installation guides, and release notes for each software release.
* Support and/or lead development and execution of system DV tests to complete Safety Verification and Validation.
* Leverage existing embedded software skills and an interest in control systems to deliver current and future products
**Qualifications**
**You'll have..** 
 .
* B.S. degree in computer engineering, computer science, electrical engineering, mechanical engineering, or related Degree ; or foreign equivalency degree, or a combination of equivalent experience and education.
* 1\+ years of experience in C and Software Development in Powertrain
**Even better, you may have...**
* M.S. degree in computer engineering, computer science, electrical engineering, mechanical engineering, or related Degree ; or foreign equivalency degree
* Experience with ICE/Hybrid Engine Controls
* Experience with Matlab/Simulink
* Experience with Jira, Jama, Unity/Ceedling, GitHub and/or ClearCase
* Awareness of ISO26262 Part 6, MISRA\-C
* Experience with Scaled Agile Framework (SAFe)
* 5\+ years of experience with embedded control software and design experience
 You may not check every box, or your experience may look a little different from what we've outlined, but if you think you can bring value to Ford Motor Company, we encourage you to apply!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
 This position is a range of salary grades 6\-8 .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320">
      <c r="A320" t="inlineStr">
        <is>
          <t>li-4354650619</t>
        </is>
      </c>
      <c r="B320" t="inlineStr">
        <is>
          <t>Principal Software Engineer, Level 7</t>
        </is>
      </c>
      <c r="C320" t="inlineStr">
        <is>
          <t>Snap Inc.</t>
        </is>
      </c>
      <c r="D320" t="inlineStr">
        <is>
          <t>linkedin</t>
        </is>
      </c>
      <c r="E320">
        <f>HYPERLINK("https://www.linkedin.com/jobs/view/4354650619", "https://www.linkedin.com/jobs/view/4354650619")</f>
        <v/>
      </c>
      <c r="F320" t="inlineStr"/>
      <c r="G320" t="inlineStr">
        <is>
          <t>San Francisco, CA</t>
        </is>
      </c>
      <c r="H320" t="inlineStr"/>
      <c r="I32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Software Engineer to join Snap Inc!
 What you’ll do:
* Design, implement, and scale critical engineering components and services to support Snap's most strategic initiatives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 Excellent programming and software design skills, including debugging, performance analysis, and test design
* Proven track record of operating highly\-available systems at scale
* Ability to proactively learn new concepts and technology and apply them at work
* Skilled at solving ambiguous problems
* Strong collaboration and mentorship skills
 Minimum Qualifications:
* Bachelors in technical field such as computer science, mathematics, statistics or equivalent years of experience
* 10\+ years of post\-Bachelor’s software development experience; or a Master’s degree in a technical field \+ 9\+ year of post\-grad software development experience; or a PhD in a related technical field \+ 6\+ years of post\-grad software development experience
* 2\+ years of experience with technical leadership or acting as the domain\-expert to a technical organization
* Experience in technical leadership/ownership and setting technical direction for engineering projects
* Experience architecting, designing, and developing distributed systems
 Preferred Qualifications:
* Advanced degree in a technical field such as computer science
* Experience with cross platform development
* Ability to promote product excellence and collaboration, driving a portfolio of concurrent engineering projects, from short\-term critical feature launches to long\-term research initiatives.
* Ability to create a compelling vision for the future, communicate clearly, and have a collaborative leadership approach.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$276,000\-$414,000 annually.
 Zone B:
 The base salary range for this position is $262,000\-$393,000 annually.
 Zone C:
 The base salary range for this position is $235,000\-$352,000 annually.
 This position is eligible for equity in the form of RSUs.</t>
        </is>
      </c>
    </row>
    <row r="321">
      <c r="A321" t="inlineStr">
        <is>
          <t>li-4354690854</t>
        </is>
      </c>
      <c r="B321" t="inlineStr">
        <is>
          <t>Software Developer - .Net</t>
        </is>
      </c>
      <c r="C321" t="inlineStr">
        <is>
          <t>Apex Systems</t>
        </is>
      </c>
      <c r="D321" t="inlineStr">
        <is>
          <t>linkedin</t>
        </is>
      </c>
      <c r="E321">
        <f>HYPERLINK("https://www.linkedin.com/jobs/view/4354690854", "https://www.linkedin.com/jobs/view/4354690854")</f>
        <v/>
      </c>
      <c r="F321">
        <f>HYPERLINK("https://www.apexsystems.com/job/3013924_usa/software-developer\u002d\u002d-net&amp;urlHash=x2pM", "https://www.apexsystems.com/job/3013924_usa/software-developer\u002d\u002d-net&amp;urlHash=x2pM")</f>
        <v/>
      </c>
      <c r="G321" t="inlineStr">
        <is>
          <t>Irvine, CA</t>
        </is>
      </c>
      <c r="H321" t="inlineStr"/>
      <c r="I321" t="inlineStr">
        <is>
          <t>**Job\#: 3013924**
**Job Description:**
**Role Overview**
 The Senior Technical Operations Analyst is responsible for ensuring the stability, performance, and governance of critical job scheduling and data processes across trustee systems in the UK and US. This role requires strong technical expertise in ActiveBatch job management, SQL optimization, and incident resolution, as well as excellent collaboration skills to work with cross\-functional teams.
**Key Responsibilities**
**ActiveBatch Job Management**
* Monitor, troubleshoot, and optimize scheduled jobs across UK and US trustee systems.
* Lead incident response for job failures, including Snapshot Block Auto\-Kill and SEI Loader processes.
* Collaborate with engineering and support teams to implement fixes and performance improvements.
**SQL Development \&amp; Optimization**
* Analyze stored procedures and recommend indexing strategies to improve execution time.
* Convert legacy queries to stored procedures and align with broader tech strategy for CDO Suite.
* Maintain and enhance job logic for snapshot generation, reconciliation, and data archiving.
**Incident \&amp; SLA Oversight**
* Serve as primary on\-call contact for critical job failures and SLA breaches.
* Coordinate with offshore teams and stakeholders to ensure timely resolution and communication.
* Document and escalate recurring issues for backlog prioritization and root cause analysis.
**Process Improvement \&amp; Governance**
* Participate in Tiger Team and Stability Team scrums to review incidents and propose solutions.
* Contribute to governance meetings and roadmap planning for system upgrades and releases.
* Maintain knowledge base articles and ensure support documentation is up to date.
**Collaboration \&amp; Communication**
* Interface with cross\-functional teams including product managers, offshore support, and database administrators.
* Provide technical guidance on job configuration, data retention policies, and system transitions (e.g., SEI to GP tables).
* Lead discussions on job prioritization, escalation protocols, and performance thresholds.
**Tools \&amp; Technologies**
* ActiveBatch
* SQL Server (T\-SQL, MSOLEDB)
**Qualifications**
* Proven experience in technical operations, job scheduling, and SQL development.
* Strong problem\-solving skills and ability to manage critical incidents under pressure.
* Excellent communication and collaboration skills across global teams.
* Familiarity with governance processes and system stability best practices.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22">
      <c r="A322" t="inlineStr">
        <is>
          <t>li-4304459768</t>
        </is>
      </c>
      <c r="B322" t="inlineStr">
        <is>
          <t>Sr./Staff Software Engineer (Medical Imaging)</t>
        </is>
      </c>
      <c r="C322" t="inlineStr">
        <is>
          <t>Akura Medical</t>
        </is>
      </c>
      <c r="D322" t="inlineStr">
        <is>
          <t>linkedin</t>
        </is>
      </c>
      <c r="E322">
        <f>HYPERLINK("https://www.linkedin.com/jobs/view/4304459768", "https://www.linkedin.com/jobs/view/4304459768")</f>
        <v/>
      </c>
      <c r="F322" t="inlineStr"/>
      <c r="G322" t="inlineStr">
        <is>
          <t>Los Gatos, CA</t>
        </is>
      </c>
      <c r="H322" t="inlineStr"/>
      <c r="I322" t="inlineStr">
        <is>
          <t>Akura Medical, a Shifamed Portfolio Company, is focused on a differentiated approach delivering an effective solution to address the major challenges of venous thromboembolism (VTE). Akura recently announced the first\-in\-human use of its mechanical thrombectomy platform. Each year VTE affects as many as 900,000 Americans, resulting in about 100,000 premature deaths. To learn more about Akura Medical, please visit www.akuramed.com.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Akura Medical, a Shifamed portfolio company, is seeking a highly skilled and motivated Sr. or Staff Software Engineer to contribute to the design, development, and integration of advanced medical imaging systems. In this role, you will serve as a senior technical contributor, applying your expertise to solve complex engineering problems while collaborating across multidisciplinary teams. You will play a critical role in developing innovative imaging technologies that meet regulatory standards and advance patient care. This is a full\-time, on\-site position at our Los Gatos, CA offices.
 Responsibilities, Skills \&amp; Hands\-On Experience:
* Contribute to the architecture, design, and integration of medical image processing systems, ensuring scalability, reliability, and compliance with regulatory requirements (e.g., FDA, ISO 13485\).
* Develop and implement imaging algorithms, visualization tools, and system components.
* Collaborate closely with R\&amp;D, clinical, regulatory, and manufacturing teams to align technical deliverables with program objectives.
* Perform feasibility studies, risk assessments, and trade\-off analyses to guide design decisions.
* Mentor junior engineers, sharing best practices in design, coding, and testing.
* Partner with external vendors and collaborators to support imaging\-related initiatives.
* Develop and execute testing protocols, verification, and validation processes.
* Contribute to technical documentation, including regulatory submissions.
* Stay current with industry trends and emerging technologies in medical imaging, proposing improvements and new approaches.
 Education \&amp; Work Experience:
* Bachelor’s degree in Electrical Engineering, Biomedical Engineering, Computer Science, or related field (M.S. preferred).
* 8\+ years of experience in medical imaging systems design and development.
* Strong knowledge of imaging modalities (e.g., X\-ray, MRI, ultrasound) and image processing algorithms.
* Proficiency in software development (e.g., MATLAB, Python, C\+\+), visualization, and hardware integration.
* Experience with UI frameworks such as VTK and Qt/QML.
* Experience with cloud\-based imaging applications and integration of AI/ML methods for computer vision/medical imaging.
* Solid understanding of regulatory and quality standards, including cybersecurity (e.g., ISO 13485, IEC 60601, FDA requirements).
* Track record of technical contributions, including patents, publications, or conference presentations in medical imaging.
* Strong problem\-solving, communication, and collaboration skills.
* Ability to succeed in a fast\-paced, entrepreneurial environment.
 Our salary ranges are calculated by role, level, and location. Please note that your position within that range will be determined by your job\-related knowledge, location, skills, experience, relevant education, and training/certifications. The base salary range for this full\-time position is between $160,000 \- $200,000 \+ equity \+ benefits.
 NOTICE TO CANDIDATES: Please be aware that Shifamed and its portfolio companies do not conduct interviews or extend offers through mobile web chat applications. Please report any such occurrences to hr@shifamed.com.</t>
        </is>
      </c>
    </row>
    <row r="323">
      <c r="A323" t="inlineStr">
        <is>
          <t>li-4317941717</t>
        </is>
      </c>
      <c r="B323" t="inlineStr">
        <is>
          <t>Army Vantage Software Developer (Intermediate)</t>
        </is>
      </c>
      <c r="C323" t="inlineStr">
        <is>
          <t>ASRC Federal</t>
        </is>
      </c>
      <c r="D323" t="inlineStr">
        <is>
          <t>linkedin</t>
        </is>
      </c>
      <c r="E323">
        <f>HYPERLINK("https://www.linkedin.com/jobs/view/4317941717", "https://www.linkedin.com/jobs/view/4317941717")</f>
        <v/>
      </c>
      <c r="F323" t="inlineStr"/>
      <c r="G323" t="inlineStr"/>
      <c r="H323" t="inlineStr"/>
      <c r="I323"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Agile Decision Sciences LLC is seeking a
 **Software Developer (Army Vantage)** 
 with an active Secret clearance or higher to design and maintain applications leveraging the Army’s enterprise data platform, Army Vantage. This position supports the Army’s goal of consolidating and automating analytics through secure, scalable low\-code solutions that help commanders and analysts make faster, data\-informed decisions. This position works as part of a collaborative, multi\-platform Low\-Code Center of Excellence (LCCoE) team that includes Appian, Salesforce, ServiceNow, Power Platform, and Army Vantage developers. Team members share best practices, participate in Agile sprints, and support integrated modernization projects across the Army enterprise.
 You’ll collaborate with analysts, data engineers, and system owners to develop interactive applications, automate reporting pipelines, and connect multiple Army data systems through the Vantage environment.
**Responsibilities**
* Develop Army Vantage applications and workflows.
* Integrate multiple data sources for unified dashboard views.
* Support automation of reports and readiness metrics.
* Troubleshoot and enhance existing applications.
* Collaborate on documentation, version control, and deployments.
**Minimum Qualifications**
* Bachelor’s degree in Computer Science or related field preferred or 4\+ additional years of work experience in lieu of degree.
* 2\+ years of experience in low\-code or data\-driven application development.
* Experience with SQL, APIs, and system integrations.
* Active DoD Secret clearance or higher. Candidates without a minimum of a Secret clearance will not be considered.
* Must be a U.S. Citizen
**Preferred Qualifications**
* Direct experience with Army Vantage.
* Familiarity with Power BI or Tableau embedded analytics.
* Experience supporting Army data modernization programs.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324">
      <c r="A324" t="inlineStr">
        <is>
          <t>li-4354585140</t>
        </is>
      </c>
      <c r="B324" t="inlineStr">
        <is>
          <t>NS4R Software Developer</t>
        </is>
      </c>
      <c r="C324" t="inlineStr">
        <is>
          <t>KBR, Inc.</t>
        </is>
      </c>
      <c r="D324" t="inlineStr">
        <is>
          <t>linkedin</t>
        </is>
      </c>
      <c r="E324">
        <f>HYPERLINK("https://www.linkedin.com/jobs/view/4354585140", "https://www.linkedin.com/jobs/view/4354585140")</f>
        <v/>
      </c>
      <c r="F324" t="inlineStr"/>
      <c r="G324" t="inlineStr">
        <is>
          <t>El Segundo, CA</t>
        </is>
      </c>
      <c r="H324" t="inlineStr"/>
      <c r="I324" t="inlineStr">
        <is>
          <t>**Title**
 NS4R Software Developer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KBR is seeking an NS4R Software Developer to join our team in Colorado Springs, CO or El Segundo, CA.
 This job supports SSC within the Joint Terminal Engineering Office (JTEO) as a developer on the National Security SATCOM Systems Synchronization Roadmap (NS4R) software application. The NS4R application is hosted on Defense Information Systems Agency’s (DISA) MilCloud and requires close coordination with DISA to resolve issues in a timely manner. In support of JTEO, duties include maintaining the NS4R database including security upgrades, development and implementation of enhancements to the NS4R tool, providing user held desk support, maintaining user accounts, providing NS4R database backups, maintaining configuration control and backups of the source code, support JTEO to evaluate and address security requirements and perform troubleshooting. The job requires the ability to assist Level 1 POCs with data entries and identify and correct incomplete or questionable data entries and management of the NS4R MilCloud Virtual Data Center (Memory/Storage/CPUs etc.). This also includes development and installation of patches to the Operating System and Data Base Server. As needed, you can expect to train Government and FFRDC personnel on the use and maintenance of the NS4R tool and database.
 The MILSATCOM Systems Engineering, Integration, and Test (MSEIT) effort provides leading edge Systems Engineering \&amp; Integration (SE\&amp;I) for the Air Force’s Space and Missiles System Center. We support the Air Force’s acquisition of state\-of\-the\-art Military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**Work Environment**
**Location:** 
 On\-site
**Travel Requirements:** 
 Minimal
**Working Hours:** 
 Standard
**Qualifications**
**Required:**
* Active Secret clearance required for this position
* Bachelor's degree in a STEM field
* Experience working with military or DOW civilian clients and managing professional relationships
* Strong interpersonal skills, communication (oral and written), and presentation skills
* Capable in Microsoft Office products (Word, Excel, PowerPoint)
* 2\+ years of experience across the following software suites: Angular, Java, Microservices, Docker, DISA Stratus, VMWare
**Desired**
* 5\+ years of experience across the following software suites: Angular, Java, Microservices, Docker, DISA Stratus, VMWare
* 2\+ years of experience in SATCOM
* INCOSE CSEP or ESEP certification
**Basic Compensation:** 
 $99,000\-$123,000 in California and $90,000\-$113,000 in Colorado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**R2117102**</t>
        </is>
      </c>
    </row>
    <row r="325">
      <c r="A325" t="inlineStr">
        <is>
          <t>li-4314382708</t>
        </is>
      </c>
      <c r="B325" t="inlineStr">
        <is>
          <t>Staff Software Engineer, Distributed Systems (Backend Core)</t>
        </is>
      </c>
      <c r="C325" t="inlineStr">
        <is>
          <t>Alldus</t>
        </is>
      </c>
      <c r="D325" t="inlineStr">
        <is>
          <t>linkedin</t>
        </is>
      </c>
      <c r="E325">
        <f>HYPERLINK("https://www.linkedin.com/jobs/view/4314382708", "https://www.linkedin.com/jobs/view/4314382708")</f>
        <v/>
      </c>
      <c r="F325" t="inlineStr"/>
      <c r="G325" t="inlineStr">
        <is>
          <t>New York, NY</t>
        </is>
      </c>
      <c r="H325" t="inlineStr"/>
      <c r="I325" t="inlineStr">
        <is>
          <t>**About the Company** 
 My client is a fast\-growing AI company developing advanced autonomous systems tailored for complex, high\-stakes domains like healthcare, legal, and finance. Their core focus is on building AI agents that combine deep technical rigor with human\-like decision\-making, enabling organizations to delegate sophisticated workflows with confidence. They’ve built a novel architecture that addresses core challenges around trust and reliability in AI, aiming to make intelligent agents a foundational part of the modern economy.
 The Role \-
 **Staff Software Engineer, Distributed Systems (Backend Core)** 
 We’re looking for
 **a systems\-level backend engineer** 
 who builds distributed systems from first principles — not just using frameworks, but designing and implementing the core building blocks that power reliable computation at scale.
 You’ll architect and implement the runtime foundation that executes and supervises millions of concurrent AI processes across globally distributed environments.
 What You’ll Build
* Core distributed services handling concurrency, coordination, and state management for their agent runtime.
* Custom messaging, replication, and scheduling mechanisms ensuring consistency and fault tolerance across nodes.
* Low\-latency data and metadata stores optimized for high\-throughput transactional workloads.
* Concurrency and synchronization primitives that make distributed execution predictable and safe.
* Observability and recovery mechanisms that provide deterministic replay and forensic auditing of AI decisions.
* Systems for high\-availability deployment, cluster membership, and leader election without external dependencies.
 What We’re Looking For
* 5\+ years of experience
 **building** 
 (not just using) distributed systems, databases, or runtime infrastructure.
* Deep understanding of
 **concurrency, consensus, replication, and durability** 
 — and ability to implement them in code.
* Strong background in
 **C\+\+, Rust, or Go** 
 with emphasis on memory management, performance tuning, and correctness.
* Experience designing internal systems like queues, KV stores, schedulers, caching layers, or distributed file systems.
* Comfort working close to the metal (threads, sockets, async I/O, persistence layers).
* Proven ability to reason about
 **consistency models, CAP tradeoffs, and system invariants.**
* Familiarity with observability and debugging of distributed systems in production.
* Curiosity for elegant, minimal designs and an instinct for measuring before optimizing.
 Nice to Have
* Research or open\-source contributions in distributed systems (e.g., databases, OS kernels, or storage engines).
* Experience with Raft, Paxos, gRPC internals, or custom RPC frameworks.
* Prior work on systems like Kafka, TiKV, CockroachDB, etc.
* Exposure to regulated or safety\-critical environments (finance, healthcare, aerospace).</t>
        </is>
      </c>
    </row>
    <row r="326">
      <c r="A326" t="inlineStr">
        <is>
          <t>li-4351247255</t>
        </is>
      </c>
      <c r="B326" t="inlineStr">
        <is>
          <t>Senior Software Engineer</t>
        </is>
      </c>
      <c r="C326" t="inlineStr">
        <is>
          <t>LifeStance Health</t>
        </is>
      </c>
      <c r="D326" t="inlineStr">
        <is>
          <t>linkedin</t>
        </is>
      </c>
      <c r="E326">
        <f>HYPERLINK("https://www.linkedin.com/jobs/view/4351247255", "https://www.linkedin.com/jobs/view/4351247255")</f>
        <v/>
      </c>
      <c r="F326" t="inlineStr"/>
      <c r="G326" t="inlineStr"/>
      <c r="H326" t="inlineStr"/>
      <c r="I326"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We are looking for Senior Backend Engineer to lead technical projects that result in innovative solutions. The individual will work collaboratively with QA, Product, and the Design team to build integrated solutions with other technology platforms as well as our own platform. This person builds with analytics and scalability in a dev\-ops centric culture.
**C** 
**OMPENSATION:** 
 $120,000 \- $130,000/annually in addition to a competitive bonus plan
**Responsibilities**
* Develop high\-volume, low\-latency products for mission\-critical systems, delivering high\-availability and performance
* Develop using best practices, coding standards, and documentation, and take the opportunity to share knowledge across the team
* Specify technical solutions in clear and concise written documentation
* Provide technical leadership, ensuring engineers understand our strategy and vision
* Translate product requirements and technical designs into well\-engineered, low\-defect, robust code
* Regularly collaborate with other developers, QA, product owners, and designers to complete projects
* Participate and engage in all Scrum Ceremonies
* Develop high\-quality, working code features and bug fixes
* Participate in/lead regular code reviews
* Write automated tests, including comprehensive unit and integration tests
* Collaborate with team members on key architecture decisions
* Interface with team members to troubleshoot, debug, and fix issues in production and non\-production environments
* Engage and mentor other members on the team
* Lead projects end\-to\-end as an individual contributor
**Skills \&amp; Experience**
* 5\+ years of experience Ruby on Rails
* 3\+ years of experience with Postgres
* 2\+ years of experience with React/TypeScript
* Experience with RSpec
* Experience working in an Agile environment following SDLC
* AWS Cloud Experience
* Deep understanding of API design and best practices
* Experience leveraging external API for deep integration
* Ability to lead projects across stacks and blended teams
* Must be data driven, objective, and goal oriented
* Effectively communicate and understand project requirements
* Strong understanding of system performance and scaling
* Strong sense of ownership and ability to work cross functionally
* Qualified candidates must be legally authorized to be employed in the United States
* LifeStance is an EEO/Affirmative Action Employer and does not discriminate on the basis of age, race, color, religion, gender, sexual orientation, gender identity, gender expression, national origin, protected veteran status, disability or any other legally protected status
* Demonstrates awareness, inclusivity, sensitivity, humility, and experience in working with individuals from diverse ethnic backgrounds, socioeconomic statuses, sexual orientations, gender identities, and other various aspects of culture
**Physical Requirements**
* The physical demands described here are representative of those that must be met by an employee to successfully perform the essential functions of the job. Reasonable accommodations may be made to enable individuals with disabilities to perform the essential functions.
* While performing the duties of this job, the employee is regularly required to sit, stand, bend, talk and hear. The employee is frequently required to walk. The employee must be able to lift and/or move objects up to 25 pounds. Specific vision abilities required by this job include close vision, distance vision, color vision, peripheral vision, depth perception and the ability to adjust focus.
*LifeStance provides the compensation range and benefits that it in good faith believes it might pay and/or offer for this position. LifeStance reserves the right to ultimately pay more or less than the posted range and offer additional benefits and other compensation, depending on circumstances not related to an applicant’s sex or other status protected by local, state, or federal law.*
 LifeStance is an equal opportunity employer. We celebrate diversity and are fully committed to creating an inclusive work environment for all our employees. Learn more about Diversity, Equity and Inclusion at LifeStance.</t>
        </is>
      </c>
    </row>
    <row r="327">
      <c r="A327" t="inlineStr">
        <is>
          <t>li-4354635100</t>
        </is>
      </c>
      <c r="B327" t="inlineStr">
        <is>
          <t>Software Engineering - Firmware Software Engineer IV</t>
        </is>
      </c>
      <c r="C327" t="inlineStr">
        <is>
          <t>Apex Systems</t>
        </is>
      </c>
      <c r="D327" t="inlineStr">
        <is>
          <t>linkedin</t>
        </is>
      </c>
      <c r="E327">
        <f>HYPERLINK("https://www.linkedin.com/jobs/view/4354635100", "https://www.linkedin.com/jobs/view/4354635100")</f>
        <v/>
      </c>
      <c r="F327" t="inlineStr"/>
      <c r="G327" t="inlineStr">
        <is>
          <t>Redmond, WA</t>
        </is>
      </c>
      <c r="H327" t="inlineStr"/>
      <c r="I327" t="inlineStr">
        <is>
          <t>**Job\#: 3013624**
**Job Description:**
**JOB TITLE: Firmware Software Engineer IV**
**DURATION: 12 months**
**LOCATION: Onsite in Redmond, WA**
**PAY RATE: $82 \- $92 hourly**
**Description:**
 Our team aims to define the worldwide standard for extended reality (XR) interaction with unparalleled software that accelerates research and creates novel devices.
**Responsibilities**
 You’ll partner with researchers, firmware engineers and other software engineers to define and develop Android OS implementations for research devices
 The work will include driver, system services, and integrations with firmware from additional SoCs
 Develop software stacks to provide access and control of novel sensor streams both on\- and off\-device
 Serve as a link between the team and the researchers to help accelerate research progress and to inform our strategic plans to better align with future research needs
**Minimum Qualifications**
 3\+ years work experience with C/C\+\+/C\#
 3\+ years work experience in AOSP development
 2\+ years experience with Java (or Kotlin)
 Bachelor's degree in Computer Science, Computer Engineering, relevant technical field, or equivalent practical experience
**Preferred Qualifications**
 2\+ years experience developing software for games, autonomous vehicles, robotics or other high performance real\-time environments
 Experience with high\-bandwidth communication
 Experience with camera integration
 Experience with low level firmware and RTOS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28">
      <c r="A328" t="inlineStr">
        <is>
          <t>li-4354662265</t>
        </is>
      </c>
      <c r="B328" t="inlineStr">
        <is>
          <t>Senior Software Engineer</t>
        </is>
      </c>
      <c r="C328" t="inlineStr">
        <is>
          <t>Liberty Mutual Insurance</t>
        </is>
      </c>
      <c r="D328" t="inlineStr">
        <is>
          <t>linkedin</t>
        </is>
      </c>
      <c r="E328">
        <f>HYPERLINK("https://www.linkedin.com/jobs/view/4354662265", "https://www.linkedin.com/jobs/view/4354662265")</f>
        <v/>
      </c>
      <c r="F328" t="inlineStr"/>
      <c r="G328" t="inlineStr">
        <is>
          <t>Portsmouth, NH</t>
        </is>
      </c>
      <c r="H328" t="inlineStr"/>
      <c r="I328" t="inlineStr">
        <is>
          <t>**Description**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role has a hybrid work schedule (2 days onsite) and we are considering candidates based in Portsmouth, NH, Columbus, OH, Indianapolis, IN, Plano, TX or Boston, MA.**
**Job Introduction**
 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software engineer at Liberty Mutual, you’ll apply your talents in an agile environment that has the creative energy of a start\-up \- and the full backing and comprehensive benefits of a Fortune 100 company.
 GRS Liberty Mutual Reinsurance (LMRe) at Liberty Mutual is a $700M business, and is seeking an experienced, self\-driven Software Engineer to join our GRS LMRe US Tech team, with significant
 opportunity to collaborate with our global teams. This role will join a high\-performance, lean culture, with a continuous learning mindset.
 You will have the opportunity to apply your talents in an agile environment that has the creative energy of a start\-up and the full backing and comprehensive benefits of a Fortune 100 company.
 You will be responsible for the implementation of solutions that support US technology operations and long\-term strategies.
**About The Job**
* Design, build, and maintain a portfolio of serverless and internally\-built applications using AWS Native services, Spring Boot, and Spring MVC
* Implement secure, scalable integrations across internal and external systems.
* Write clean, testable code aligned with technical specifications.
* Automate infrastructure deployments using CDK.
* Manage CI/CD pipelines (preferably GitHub Actions)
* Collaborate with Tech Lead, Solution architects, and Product Owners to understand and deliver requirements.
* Encourage Test driven approach by adopting unit tests
* You will be a Collaborative partner: Working with our team of scrum masters, product owners and fellow
* engineers, you’ll tackle technical challenges and ensure quality as we move from legacy technologies to next\-generation applications
* Comprehensive problem\-solver: As you manage the end\-to\-end development of software products,
* you’ll analyze issues at the system level and handle any complications that
* arise by implementing effective solutions
* Skilled technical engineer: You’ll document and lead the implementation of technical
* features, improvements and innovations
* Forward thinker: Simply fixing the problem isn’t enough; using your proactive mindset
* and initiative, you’ll continually look for ways to improve performance,
* quality and efficiency
**Qualifications**
* A minimum of five years of software engineering experience
* Experience with Java (Spring MVC, Spring Boot), JavaScript (NodeJS) TypeScript (Angular),Git/Github, Bootstrap, Oauth2, DynamoDB
* Extensive understanding of Agile software development concepts and processes.
* Strong understanding of cloud technologies: AWS, Azure, Lambdas
* Experience with AWS Services such as API Gateway, DynamoDB, RDS, SQS, SNS and CloudWatch.
* Familiarity with API specifications (OpenAPI/Swagger).
* Experience with CI/CD tools/techniques \&amp; Dev Ops practices
* Strong understanding of architecture patterns: serverless, microservice, event\-driven
* Strong programming discipline: unit testing, fault tolerance, data structures,
* complexity analysis, design patterns, etc.
* Extensive knowledge of IT concepts, strategies, methodologies and technical standards, cloud
* security and privacy policies
* Extensive understanding of backlog tracking, burndown metrics, and incremental delivery.
* Strong collaboration, team first mentality, prioritization, and adaptability skills
* required
* Strong oral and written communication skills; presentation skills
* Proficient in negotiation, facilitation and consensus building skills
* Openness and adaptability to respond to fast\-moving circumstances, growth mindset
* A Bachelor’s or Master’s degree in a technical or business discipline, or equivalent experience
**Highly Preferred Skills, But Not Required**
 Experience with Reinsurance
 Focus on Innovation
 Experience with Authentication, security
 Data Driven decision making mindset
 Experience with genAI for software engineering
 Experience with Jira
 Experience with Quality Assurance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29">
      <c r="A329" t="inlineStr">
        <is>
          <t>li-4354508717</t>
        </is>
      </c>
      <c r="B329" t="inlineStr">
        <is>
          <t>Software Engineering - Software Engineer IV</t>
        </is>
      </c>
      <c r="C329" t="inlineStr">
        <is>
          <t>Apex Systems</t>
        </is>
      </c>
      <c r="D329" t="inlineStr">
        <is>
          <t>linkedin</t>
        </is>
      </c>
      <c r="E329">
        <f>HYPERLINK("https://www.linkedin.com/jobs/view/4354508717", "https://www.linkedin.com/jobs/view/4354508717")</f>
        <v/>
      </c>
      <c r="F329">
        <f>HYPERLINK("https://www.apexsystems.com/job/3012298_usa/software-engineering\u002d\u002d-software-engineer-iv&amp;urlHash=6j9N", "https://www.apexsystems.com/job/3012298_usa/software-engineering\u002d\u002d-software-engineer-iv&amp;urlHash=6j9N")</f>
        <v/>
      </c>
      <c r="G329" t="inlineStr">
        <is>
          <t>Redmond, WA</t>
        </is>
      </c>
      <c r="H329" t="inlineStr"/>
      <c r="I329" t="inlineStr">
        <is>
          <t>**Job\#: 3012298**
**Job Description:**
**Job Title: Software Engineer IV**
**Duration: 12 Months**
**Location: Onsite in Redmond, WA**
**Pay Rate: $81 \- $91 Hourly**
**Job Description:**
**Summary**
 We are seeking a Research Engineer for our team that researches new wearable AI devices and interaction models. This role combines development of interactive AI experiences and research of human behavior.
 Key Responsibilities
* Implement user interfaces for internal demos and formal user studies
* Work with prototype hardware and constellations of computing devices
* Collaborate with researchers to build data processing pipelines
**Requirements**
* BS in Computer Science or a related technical field
* 1\+ years experience developing user interfaces / interactive experiences
* 2\+ years experience developing with C\+\+/C\# in a game engine (Unity, Unreal)
* 2\-3\+ years in Python for data analysis (numpy, scipy)
* Strong communication and interpersonal skills
 Preferred Qualifications:
* Familiarity with user research, behavioral experiments
* Familiarity with sensing technologies (IMU, EMG, cameras, microphones)
* Advanced degree (MS, PhD) in a related field
* Experience developing for AR/VR/wearables
* Experience using ML libraries and/or LLMs
* Experience w/ 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30">
      <c r="A330" t="inlineStr">
        <is>
          <t>li-4330530387</t>
        </is>
      </c>
      <c r="B330" t="inlineStr">
        <is>
          <t>Software engineer</t>
        </is>
      </c>
      <c r="C330" t="inlineStr">
        <is>
          <t>Jobs via Dice</t>
        </is>
      </c>
      <c r="D330" t="inlineStr">
        <is>
          <t>linkedin</t>
        </is>
      </c>
      <c r="E330">
        <f>HYPERLINK("https://www.linkedin.com/jobs/view/4330530387", "https://www.linkedin.com/jobs/view/4330530387")</f>
        <v/>
      </c>
      <c r="F330" t="inlineStr"/>
      <c r="G330" t="inlineStr">
        <is>
          <t>Pennsylvania, United States</t>
        </is>
      </c>
      <c r="H330" t="inlineStr"/>
      <c r="I330" t="inlineStr">
        <is>
          <t>job summary:
 Senior Software Engineer \- Java/Sprint Boot
 Job Responsibilities:
 Acts as the technical coach for a team or domain, being recognized and approached by team members for expertise and guidance, ensures consistent application of best practices and high standards across projects.
 Sets quality goals and development practices with the team, driving continuous improvement and excellence in software development through rigorous standards and methodologies.
 Integrates software components and third\-party libraries into existing systems, ensuring seamless functionality and interoperability with minimal disruption.
 Conducts and participates in code reviews, providing constructive feedback to peers and ensuring adherence to coding standards and best practices to maintain code quality.
 Analyzes and optimizes application performance, identifying and resolving bottlenecks to enhance user experience and system efficiency, ensuring the software meets performance benchmarks.
 Stays current with emerging technologies and industry trends, incorporating new tools and methodologies to improve development processes and product quality.
 Develops software to log and store performance data, usage, errors, etc., enabling continuous monitoring of solutions and products for improved reliability and performance.
 Collaborates with cross\-functional teams, including product managers, designers, and QA engineers, to define, design, and ship new features, ensuring alignment with project goals and user needs.
 Resolves a wide range of moderate complexity requests in creative ways, demonstrating good judgment in selecting methods and techniques for obtaining solutions.
 Key Responsibilities
 Design, develop, and maintain Java\-based microservices using Spring Boot and Java 17 23
 Lead and contribute to secure coding practices following OWASP standards and regulatory needs (HIPAA, medical device software)
 Integrate with internal and external APIs using REST and GraphQL
 Participate in Test\-Driven Development (TDD) and help expand test automation coverage
 Implement and support CI/CD pipelines using GitHub Actions and Jenkins Build and deploy services to AWS EKS; leverage AWS services such as Cognito, CloudWatch, Secrets Manager, and X\-Ray Collaborate with DevOps, QA, and Product teams using Azure DevOps for sprint planning, work tracking, and test plans
 Perform code reviews and mentor junior developers Support observability efforts using tools like Datadog, Prometheus, and Grafana
 Work within Agile teams to deliver features aligned with business objectives
 Contribute to continuous improvement, architectural decisions, and design discussions
**Minimum Qualifications**
 Bachelors degree in Computer Science, Engineering, or related field (or equivalent experience)
 5\+ years of hands\-on experience in Java (17\+) and Spring Boot application development
 Solid understanding of microservices architecture and secure RESTful API design
 Strong experience with Git, Maven, Jenkins, and GitHub Actions
 Proficiency in CI/CD and test automation
 Experience working in cloud environments, especially AWS Familiarity with containerization (Docker, EKS/Kubernetes)
 Excellent debugging, troubleshooting, and code review skills Comfortable using Azure DevOps for Boards, Test Plans, and documentation
 Minimum required Education:
 Bachelor's / Master's Degree in Computer Science, Software Engineering, Information Technology or equivalent.
 Preferred Education:
 Master's Degree in Information Technology, Computer Science, Software Engineering or equivalent.
**Preferred Skills \&amp; Tools**
 Test Automation: JUnit, TestNG, Mockito, Selenium, Cypress, Karate, Rest Assured
 API Design: Swagger/OpenAPI, SpringDoc, GraphQL, AWS API Gateway
 Messaging \&amp; Integration: RabbitMQ, Spring Cloud Stream, Feign, WebClient, Retrofit
 Monitoring \&amp; Observability: Datadog, Prometheus, Grafana, AWS CloudWatch, X\-Ray, ELK/EFK stack
 Build \&amp; Infra: Maven, Terraform, AWS CDK, Docker, Nexus or Artifactory
 Agile \&amp; SDLC: Azure DevOps Boards, Jama, Helix ALM, Confluence, Miro
 location: Malvern, Pennsylvania
 job type: Contract
 salary: $68 \- 72 per hour
 work hours: 8am to 5pm
 education: Bachelors
 responsibilities:
 Key Responsibilities
* Design, develop, and maintain Java\-based microservices using Spring Boot and Java 17 23
* Lead and contribute to secure coding practices following OWASP standards and regulatory needs (HIPAA, medical device software)
* Integrate with internal and external APIs using REST and GraphQL
* Participate in Test\-Driven Development (TDD) and help expand test automation coverage
* Implement and support CI/CD pipelines using GitHub Actions and Jenkins Build and deploy services to AWS EKS; leverage AWS services such as Cognito, CloudWatch, Secrets Manager, and X\-Ray Collaborate with DevOps, QA, and Product teams using Azure DevOps for sprint planning, work tracking, and test plans
* Perform code reviews and mentor junior developers Support observability efforts using tools like Datadog, Prometheus, and Grafana
* Work within Agile teams to deliver features aligned with business objectives
* Contribute to continuous improvement, architectural decisions, and design discussions
 qualifications:
 inimum required Education:
 Bachelor's / Master's Degree in Computer Science, Software Engineering, Information Technology or equivalent.
 Preferred Education:
 Master's Degree in Information Technology, Computer Science, Software Engineering or equivalent.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Any consideration of a background check would be an individualized assessment based on the applicant or employee's specific record and the duties and requirements of the specific job.</t>
        </is>
      </c>
    </row>
    <row r="331">
      <c r="A331" t="inlineStr">
        <is>
          <t>li-4330450519</t>
        </is>
      </c>
      <c r="B331" t="inlineStr">
        <is>
          <t>Senior FHIR Software Engineer</t>
        </is>
      </c>
      <c r="C331" t="inlineStr">
        <is>
          <t>RemoteHunter</t>
        </is>
      </c>
      <c r="D331" t="inlineStr">
        <is>
          <t>linkedin</t>
        </is>
      </c>
      <c r="E331">
        <f>HYPERLINK("https://www.linkedin.com/jobs/view/4330450519", "https://www.linkedin.com/jobs/view/4330450519")</f>
        <v/>
      </c>
      <c r="F331">
        <f>HYPERLINK("https://www.remotehunter.com/apply-with-ai/eeb75367-efbf-473e-9b7c-79c535f78797?utm_medium=job_posting&amp;utm_source=linkedin&amp;utm_campaign=software_engineer_remote&amp;utm_category=software_engineer&amp;utm_term=senior_fhir_software_engineer&amp;urlHash=8Eop", "https://www.remotehunter.com/apply-with-ai/eeb75367-efbf-473e-9b7c-79c535f78797?utm_medium=job_posting&amp;utm_source=linkedin&amp;utm_campaign=software_engineer_remote&amp;utm_category=software_engineer&amp;utm_term=senior_fhir_software_engineer&amp;urlHash=8Eop")</f>
        <v/>
      </c>
      <c r="G331" t="inlineStr"/>
      <c r="H331" t="inlineStr"/>
      <c r="I331" t="inlineStr">
        <is>
          <t>About the Opportunity:
 A dynamic team supporting hospital providers nationwide seeks a FHIR Engineer to develop a next\-generation reporting and analytics system that improves patient care and healthcare quality. The role involves building enterprise\-level backend solutions implementing the FHIR standard with JavaScript, Java, Spring Boot, and OpenAPI, leveraging AWS cloud technologies to manage large datasets and create data pipelines.
 Responsibilities:
 • Assist in development and implementation of a FHIR\-based architecture
 • Collaborate with engineers to deliver high\-quality solutions meeting business objectives
 • Perform code reviews and improve code quality processes
 • Design and build microservices and serverless cloud applications
 • Work with Product Owner and UX design to address diverse user requirements
 • Collaborate with Architects and Engineers to establish and apply development best practices
 • Coordinate with test engineering to ensure product quality
 • Participate in Agile team code and design reviews
 • Assist support teams in triaging bugs and troubleshooting production issues
 • Cooperate with back\-end developers during application development
 • Independently design, develop, and document solutions meeting architectural, coding, and security standards
 • Partner with DevOps engineers on continuous integration, continuous delivery, and infrastructure as code
 • Translate specifications into test designs and automation
 Requirements:
 • Bachelor’s degree in computer science or related field
 • 7\+ years of experience with modern design patterns and enterprise\-grade production application development
 • Experience with version control tools such as Git
 • 5\+ years of experience with CI/CD processes using Jenkins or similar tools
 • Ability to obtain and maintain a Public Trust Clearance
 • Must reside in the U.S., be authorized to work in the U.S., and perform all work within the U.S.
 • Must have lived in the U.S. for 3 full years within the last 5 years
 Preferred Qualifications:
 • Exposure to CMS quality initiatives or federal health programs
 • Experience with FHIR R4/R5, HL7, SMART on FHIR, or Collibra
 • HL7 FHIR certification or equivalent training
 • Experience in federal government contracting
 • Proven success working in dynamic Agile teams
 • Strong written and verbal communication skills
 • Prior remote full\-time work experience
 Benefits \&amp; Perks:
 • Remote work location within the USA
 • Possible annual travel for conferences or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2">
      <c r="A332" t="inlineStr">
        <is>
          <t>li-4317721515</t>
        </is>
      </c>
      <c r="B332" t="inlineStr">
        <is>
          <t>Software Developer (Computational Geometry, C++) - R51340</t>
        </is>
      </c>
      <c r="C332" t="inlineStr">
        <is>
          <t>Cadence</t>
        </is>
      </c>
      <c r="D332" t="inlineStr">
        <is>
          <t>linkedin</t>
        </is>
      </c>
      <c r="E332">
        <f>HYPERLINK("https://www.linkedin.com/jobs/view/4317721515", "https://www.linkedin.com/jobs/view/4317721515")</f>
        <v/>
      </c>
      <c r="F332">
        <f>HYPERLINK("https://cadence.wd1.myworkdayjobs.com/External_Careers/job/AUSTIN/Lead-Software-Engineer_R51340?source=Linkedin&amp;urlHash=zN0w", "https://cadence.wd1.myworkdayjobs.com/External_Careers/job/AUSTIN/Lead-Software-Engineer_R51340?source=Linkedin&amp;urlHash=zN0w")</f>
        <v/>
      </c>
      <c r="G332" t="inlineStr">
        <is>
          <t>Austin, TX</t>
        </is>
      </c>
      <c r="H332" t="inlineStr"/>
      <c r="I332" t="inlineStr">
        <is>
          <t>The Fidelity Pointwise Team is seeking to add a Software Engineer to our product development team specifically in the area of computational geometry.
**Essential Duties and Responsibilities** 
* Code, debug, test, and troubleshoot according to departmental standards, policies, and procedures throughout development.
* Document development using code comments and technical specifications.
* Analyze and review the code of others for defects, consistency, and reusability and suggest improvements.
* Report and fix defects in all areas of the code.
**Qualifications, Education and/or Experience** 
* Bachelor’s degree in Mechanical Engineering, Aerospace Engineering, Computer Science with an emphasis on Computational Math or Geometry, or a related field from an accredited institution with a minimum of 4 years of relevant experience, a Master’s degree in a related field with at least 2 years of relevant experience, or a Ph.D. in a related field.
* Experience with C\+\+ programming is required.
* Experience with computational techniques of discrete and/or analytic geometry is ideal.
* Some experience with CFD is a plus.
* Experience with Windows, Linux, and/or Mac computers.
* Strong communication and presentation skills, both written and verbal, delivering clear and concise messaging.
* Strong attention to detail with the ability to organize and prioritize.
* Positive attitude, willingness to offer and execute ideas and solutions to enhance processes within an evolving environment.
* Requires clearance under ITAR data handling.
* Must be willing to relocate to Austin, TX (if not currently located in the area).
**Responsibilities for All Employees** 
* Develop and maintain communications in a cooperative and professional manner with all staff and customers.
* Complete all tasks in a timely manner and to a high level of quality.
* Must be present at all required meetings.</t>
        </is>
      </c>
    </row>
    <row r="333">
      <c r="A333" t="inlineStr">
        <is>
          <t>li-4354652626</t>
        </is>
      </c>
      <c r="B333" t="inlineStr">
        <is>
          <t>Senior Software Engineer</t>
        </is>
      </c>
      <c r="C333" t="inlineStr">
        <is>
          <t>Liberty Mutual Insurance</t>
        </is>
      </c>
      <c r="D333" t="inlineStr">
        <is>
          <t>linkedin</t>
        </is>
      </c>
      <c r="E333">
        <f>HYPERLINK("https://www.linkedin.com/jobs/view/4354652626", "https://www.linkedin.com/jobs/view/4354652626")</f>
        <v/>
      </c>
      <c r="F333">
        <f>HYPERLINK("https://searchjobs.libertymutualgroup.com/careers/job/618514809026?microsite=libertymutual.com&amp;domain=libertymutual.com&amp;utm_source=Job+Board&amp;utm_campaign=LinkedIn+Jobs&amp;extcmp=bof-paid-text-lkin-aljb&amp;urlHash=LyHA", "https://searchjobs.libertymutualgroup.com/careers/job/618514809026?microsite=libertymutual.com&amp;domain=libertymutual.com&amp;utm_source=Job+Board&amp;utm_campaign=LinkedIn+Jobs&amp;extcmp=bof-paid-text-lkin-aljb&amp;urlHash=LyHA")</f>
        <v/>
      </c>
      <c r="G333" t="inlineStr">
        <is>
          <t>Columbus, OH</t>
        </is>
      </c>
      <c r="H333" t="inlineStr"/>
      <c r="I333" t="inlineStr">
        <is>
          <t>**Description**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role has a hybrid work schedule (2 days onsite) and we are considering candidates based in Portsmouth, NH, Columbus, OH, Indianapolis, IN, Plano, TX or Boston, MA.**
**Job Introduction**
 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software engineer at Liberty Mutual, you’ll apply your talents in an agile environment that has the creative energy of a start\-up \- and the full backing and comprehensive benefits of a Fortune 100 company.
 GRS Liberty Mutual Reinsurance (LMRe) at Liberty Mutual is a $700M business, and is seeking an experienced, self\-driven Software Engineer to join our GRS LMRe US Tech team, with significant
 opportunity to collaborate with our global teams. This role will join a high\-performance, lean culture, with a continuous learning mindset.
 You will have the opportunity to apply your talents in an agile environment that has the creative energy of a start\-up and the full backing and comprehensive benefits of a Fortune 100 company.
 You will be responsible for the implementation of solutions that support US technology operations and long\-term strategies.
**About The Job**
* Design, build, and maintain a portfolio of serverless and internally\-built applications using AWS Native services, Spring Boot, and Spring MVC
* Implement secure, scalable integrations across internal and external systems.
* Write clean, testable code aligned with technical specifications.
* Automate infrastructure deployments using CDK.
* Manage CI/CD pipelines (preferably GitHub Actions)
* Collaborate with Tech Lead, Solution architects, and Product Owners to understand and deliver requirements.
* Encourage Test driven approach by adopting unit tests
* You will be a Collaborative partner: Working with our team of scrum masters, product owners and fellow
* engineers, you’ll tackle technical challenges and ensure quality as we move from legacy technologies to next\-generation applications
* Comprehensive problem\-solver: As you manage the end\-to\-end development of software products,
* you’ll analyze issues at the system level and handle any complications that
* arise by implementing effective solutions
* Skilled technical engineer: You’ll document and lead the implementation of technical
* features, improvements and innovations
* Forward thinker: Simply fixing the problem isn’t enough; using your proactive mindset
* and initiative, you’ll continually look for ways to improve performance,
* quality and efficiency
**Qualifications**
* A minimum of five years of software engineering experience
* Experience with Java (Spring MVC, Spring Boot), JavaScript (NodeJS) TypeScript (Angular),Git/Github, Bootstrap, Oauth2, DynamoDB
* Extensive understanding of Agile software development concepts and processes.
* Strong understanding of cloud technologies: AWS, Azure, Lambdas
* Experience with AWS Services such as API Gateway, DynamoDB, RDS, SQS, SNS and CloudWatch.
* Familiarity with API specifications (OpenAPI/Swagger).
* Experience with CI/CD tools/techniques \&amp; Dev Ops practices
* Strong understanding of architecture patterns: serverless, microservice, event\-driven
* Strong programming discipline: unit testing, fault tolerance, data structures,
* complexity analysis, design patterns, etc.
* Extensive knowledge of IT concepts, strategies, methodologies and technical standards, cloud
* security and privacy policies
* Extensive understanding of backlog tracking, burndown metrics, and incremental delivery.
* Strong collaboration, team first mentality, prioritization, and adaptability skills
* required
* Strong oral and written communication skills; presentation skills
* Proficient in negotiation, facilitation and consensus building skills
* Openness and adaptability to respond to fast\-moving circumstances, growth mindset
* A Bachelor’s or Master’s degree in a technical or business discipline, or equivalent experience
**Highly Preferred Skills, But Not Required**
 Experience with Reinsurance
 Focus on Innovation
 Experience with Authentication, security
 Data Driven decision making mindset
 Experience with genAI for software engineering
 Experience with Jira
 Experience with Quality Assurance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34">
      <c r="A334" t="inlineStr">
        <is>
          <t>li-4330430424</t>
        </is>
      </c>
      <c r="B334" t="inlineStr">
        <is>
          <t>Full Stack Engineer ? Web</t>
        </is>
      </c>
      <c r="C334" t="inlineStr">
        <is>
          <t>Jobs via Dice</t>
        </is>
      </c>
      <c r="D334" t="inlineStr">
        <is>
          <t>linkedin</t>
        </is>
      </c>
      <c r="E334">
        <f>HYPERLINK("https://www.linkedin.com/jobs/view/4330430424", "https://www.linkedin.com/jobs/view/4330430424")</f>
        <v/>
      </c>
      <c r="F334">
        <f>HYPERLINK("https://click.appcast.io/t/xoSPs3v04mgZAErnWs_urrbIo5YRI-FifYjKDUxJkow=&amp;urlHash=73Su", "https://click.appcast.io/t/xoSPs3v04mgZAErnWs_urrbIo5YRI-FifYjKDUxJkow=&amp;urlHash=73Su")</f>
        <v/>
      </c>
      <c r="G334" t="inlineStr">
        <is>
          <t>Minneapolis, MN</t>
        </is>
      </c>
      <c r="H334" t="inlineStr"/>
      <c r="I334" t="inlineStr">
        <is>
          <t>Dice is the leading career destination for tech experts at every stage of their careers. Our client, Apolis, is seeking the following. Apply via Dice today!
**Role: Full Stack Engineer \- Web**
**Location: Golden Valley, Minneapolis, MN (5 Days Onsite)**
**Duration: 6 Months Contract to hire**
**Only W2**
 Full Stack Engineer \- Web
 C\#, .NET, React, SQL, ; Azure Devops is MUST to have
 The position is also considered for contract to hire after 6 months.</t>
        </is>
      </c>
    </row>
    <row r="335">
      <c r="A335" t="inlineStr">
        <is>
          <t>li-4330520433</t>
        </is>
      </c>
      <c r="B335" t="inlineStr">
        <is>
          <t>Full Stack Engineer (React+.Net) ( Only W2)</t>
        </is>
      </c>
      <c r="C335" t="inlineStr">
        <is>
          <t>Jobs via Dice</t>
        </is>
      </c>
      <c r="D335" t="inlineStr">
        <is>
          <t>linkedin</t>
        </is>
      </c>
      <c r="E335">
        <f>HYPERLINK("https://www.linkedin.com/jobs/view/4330520433", "https://www.linkedin.com/jobs/view/4330520433")</f>
        <v/>
      </c>
      <c r="F335" t="inlineStr"/>
      <c r="G335" t="inlineStr">
        <is>
          <t>Golden Valley, MN</t>
        </is>
      </c>
      <c r="H335" t="inlineStr"/>
      <c r="I335" t="inlineStr">
        <is>
          <t>Dice is the leading career destination for tech experts at every stage of their careers. Our client, Nasscomm, Inc., is seeking the following. Apply via Dice today!
**Full Stack Engineer \- Web**
**Location: Golden Valley (Minneapolis), MN (onsite)
 Contract: 6 months**
**Job Description:**
 Full Stack Engineer \- Web
 C\#, .NET, React, SQL, Azure Devops is a good to have
 The position is also considered for contract to hire after 6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2026-01-05T22:41:39Z</dcterms:created>
  <dcterms:modified xsi:type="dcterms:W3CDTF">2026-01-05T22:41:39Z</dcterms:modified>
</cp:coreProperties>
</file>