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in-2dae15a878eb8aaf</t>
        </is>
      </c>
      <c r="B2" t="inlineStr">
        <is>
          <t>Sr. Applied Scientist, AGI Foundations</t>
        </is>
      </c>
      <c r="C2" t="inlineStr">
        <is>
          <t>Amazon.com</t>
        </is>
      </c>
      <c r="D2" t="inlineStr">
        <is>
          <t>indeed</t>
        </is>
      </c>
      <c r="E2" t="inlineStr"/>
      <c r="F2" t="inlineStr"/>
      <c r="G2" t="inlineStr">
        <is>
          <t>New York, NY,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in-d3d848d700b16200</t>
        </is>
      </c>
      <c r="B3" t="inlineStr">
        <is>
          <t>Sr. Applied Scientist, AGI Foundations</t>
        </is>
      </c>
      <c r="C3" t="inlineStr">
        <is>
          <t>Amazon.com</t>
        </is>
      </c>
      <c r="D3" t="inlineStr">
        <is>
          <t>indeed</t>
        </is>
      </c>
      <c r="E3" t="inlineStr"/>
      <c r="F3" t="inlineStr"/>
      <c r="G3" t="inlineStr">
        <is>
          <t>Boston, MA,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in-c6d5f9ac19769554</t>
        </is>
      </c>
      <c r="B4" t="inlineStr">
        <is>
          <t>Sr. Applied Scientist, AGI Foundations</t>
        </is>
      </c>
      <c r="C4" t="inlineStr">
        <is>
          <t>Amazon.com</t>
        </is>
      </c>
      <c r="D4" t="inlineStr">
        <is>
          <t>indeed</t>
        </is>
      </c>
      <c r="E4" t="inlineStr"/>
      <c r="F4" t="inlineStr"/>
      <c r="G4" t="inlineStr">
        <is>
          <t>Bellevue, WA,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in-4510eb255e2ff008</t>
        </is>
      </c>
      <c r="B5" t="inlineStr">
        <is>
          <t>Applied Scientist II, Prime Video - Personalization and Discovery Science, Personalization and Discovery Science</t>
        </is>
      </c>
      <c r="C5" t="inlineStr">
        <is>
          <t>Amazon.com</t>
        </is>
      </c>
      <c r="D5" t="inlineStr">
        <is>
          <t>indeed</t>
        </is>
      </c>
      <c r="E5" t="inlineStr"/>
      <c r="F5" t="inlineStr"/>
      <c r="G5" t="inlineStr">
        <is>
          <t>New York, NY,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in-96ea60a73a4a31c0</t>
        </is>
      </c>
      <c r="B6" t="inlineStr">
        <is>
          <t>Applied Scientist II, Prime Video - Personalization and Discovery Science, Personalization and Discovery Science</t>
        </is>
      </c>
      <c r="C6" t="inlineStr">
        <is>
          <t>Amazon.com</t>
        </is>
      </c>
      <c r="D6" t="inlineStr">
        <is>
          <t>indeed</t>
        </is>
      </c>
      <c r="E6" t="inlineStr"/>
      <c r="F6" t="inlineStr"/>
      <c r="G6" t="inlineStr">
        <is>
          <t>Seattle, WA,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in-e07dca64c839bc2c</t>
        </is>
      </c>
      <c r="B7" t="inlineStr">
        <is>
          <t>Applied Scientist II, Prime Video - Personalization and Discovery Science, Personalization and Discovery Science</t>
        </is>
      </c>
      <c r="C7" t="inlineStr">
        <is>
          <t>Amazon.com</t>
        </is>
      </c>
      <c r="D7" t="inlineStr">
        <is>
          <t>indeed</t>
        </is>
      </c>
      <c r="E7" t="inlineStr"/>
      <c r="F7" t="inlineStr"/>
      <c r="G7" t="inlineStr">
        <is>
          <t>Sunnyvale, CA,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in-dcf91332fb202df9</t>
        </is>
      </c>
      <c r="B8" t="inlineStr">
        <is>
          <t>Applied Scientist II, Prime Video - Personalization and Discovery Science</t>
        </is>
      </c>
      <c r="C8" t="inlineStr">
        <is>
          <t>Amazon.com</t>
        </is>
      </c>
      <c r="D8" t="inlineStr">
        <is>
          <t>indeed</t>
        </is>
      </c>
      <c r="E8" t="inlineStr"/>
      <c r="F8" t="inlineStr"/>
      <c r="G8" t="inlineStr">
        <is>
          <t>Sunnyvale, CA,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in-0fe5e83f82343a8a</t>
        </is>
      </c>
      <c r="B9" t="inlineStr">
        <is>
          <t>Applied Scientist II, Prime Video - Personalization and Discovery Science</t>
        </is>
      </c>
      <c r="C9" t="inlineStr">
        <is>
          <t>Amazon.com</t>
        </is>
      </c>
      <c r="D9" t="inlineStr">
        <is>
          <t>indeed</t>
        </is>
      </c>
      <c r="E9" t="inlineStr"/>
      <c r="F9" t="inlineStr"/>
      <c r="G9" t="inlineStr">
        <is>
          <t>Seattle, WA,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in-49574b7b75f22168</t>
        </is>
      </c>
      <c r="B10" t="inlineStr">
        <is>
          <t>Applied Scientist II, Prime Video - Personalization and Discovery Science</t>
        </is>
      </c>
      <c r="C10" t="inlineStr">
        <is>
          <t>Amazon.com</t>
        </is>
      </c>
      <c r="D10" t="inlineStr">
        <is>
          <t>indeed</t>
        </is>
      </c>
      <c r="E10" t="inlineStr"/>
      <c r="F10" t="inlineStr"/>
      <c r="G10" t="inlineStr">
        <is>
          <t>New York, NY,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in-dc8e54103838f186</t>
        </is>
      </c>
      <c r="B11" t="inlineStr">
        <is>
          <t>Sr. Applied Scientist, Prime Video - Personalization and Discovery Science</t>
        </is>
      </c>
      <c r="C11" t="inlineStr">
        <is>
          <t>Amazon.com</t>
        </is>
      </c>
      <c r="D11" t="inlineStr">
        <is>
          <t>indeed</t>
        </is>
      </c>
      <c r="E11" t="inlineStr"/>
      <c r="F11" t="inlineStr"/>
      <c r="G11" t="inlineStr">
        <is>
          <t>Seattle, WA,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in-77b5c72d63b80556</t>
        </is>
      </c>
      <c r="B12" t="inlineStr">
        <is>
          <t>Sr. Applied Scientist, Prime Video - Personalization and Discovery Science</t>
        </is>
      </c>
      <c r="C12" t="inlineStr">
        <is>
          <t>Amazon.com</t>
        </is>
      </c>
      <c r="D12" t="inlineStr">
        <is>
          <t>indeed</t>
        </is>
      </c>
      <c r="E12" t="inlineStr"/>
      <c r="F12" t="inlineStr"/>
      <c r="G12" t="inlineStr">
        <is>
          <t>New York, NY,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in-e9c9ff848b9b57dd</t>
        </is>
      </c>
      <c r="B13" t="inlineStr">
        <is>
          <t>Sr. Applied Scientist, Prime Video - Personalization and Discovery Science</t>
        </is>
      </c>
      <c r="C13" t="inlineStr">
        <is>
          <t>Amazon.com</t>
        </is>
      </c>
      <c r="D13" t="inlineStr">
        <is>
          <t>indeed</t>
        </is>
      </c>
      <c r="E13" t="inlineStr"/>
      <c r="F13" t="inlineStr"/>
      <c r="G13" t="inlineStr">
        <is>
          <t>Sunnyvale, CA,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in-a7de1b7898d5894e</t>
        </is>
      </c>
      <c r="B14" t="inlineStr">
        <is>
          <t>Senior Applied Scientist, Artificial General Intelligence</t>
        </is>
      </c>
      <c r="C14" t="inlineStr">
        <is>
          <t>Amazon.com</t>
        </is>
      </c>
      <c r="D14" t="inlineStr">
        <is>
          <t>indeed</t>
        </is>
      </c>
      <c r="E14" t="inlineStr"/>
      <c r="F14" t="inlineStr"/>
      <c r="G14" t="inlineStr">
        <is>
          <t>Cambridge, MA, US</t>
        </is>
      </c>
      <c r="H14" s="2" t="n">
        <v>45907</v>
      </c>
      <c r="I1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in-bcbf9da01759c534</t>
        </is>
      </c>
      <c r="B15" t="inlineStr">
        <is>
          <t>Senior Applied Scientist, Artificial General Intelligence</t>
        </is>
      </c>
      <c r="C15" t="inlineStr">
        <is>
          <t>Amazon.com</t>
        </is>
      </c>
      <c r="D15" t="inlineStr">
        <is>
          <t>indeed</t>
        </is>
      </c>
      <c r="E15" t="inlineStr"/>
      <c r="F15" t="inlineStr"/>
      <c r="G15" t="inlineStr">
        <is>
          <t>New York, NY,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in-a4b1466806a6c3e2</t>
        </is>
      </c>
      <c r="B16" t="inlineStr">
        <is>
          <t>Senior Applied Scientist, Artificial General Intelligence</t>
        </is>
      </c>
      <c r="C16" t="inlineStr">
        <is>
          <t>Amazon.com</t>
        </is>
      </c>
      <c r="D16" t="inlineStr">
        <is>
          <t>indeed</t>
        </is>
      </c>
      <c r="E16" t="inlineStr"/>
      <c r="F16" t="inlineStr"/>
      <c r="G16" t="inlineStr">
        <is>
          <t>Bellevue, WA,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in-9f65cfa989f39da9</t>
        </is>
      </c>
      <c r="B17" t="inlineStr">
        <is>
          <t>Senior Applied Scientist, Artificial General Intelligence</t>
        </is>
      </c>
      <c r="C17" t="inlineStr">
        <is>
          <t>Amazon.com</t>
        </is>
      </c>
      <c r="D17" t="inlineStr">
        <is>
          <t>indeed</t>
        </is>
      </c>
      <c r="E17" t="inlineStr"/>
      <c r="F17" t="inlineStr"/>
      <c r="G17" t="inlineStr">
        <is>
          <t>Sunnyvale, CA,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in-c7087e6cc8173e8a</t>
        </is>
      </c>
      <c r="B18" t="inlineStr">
        <is>
          <t>Sr. Applied Scientist, Prime Video - Personalization and Discovery Science</t>
        </is>
      </c>
      <c r="C18" t="inlineStr">
        <is>
          <t>Amazon.com</t>
        </is>
      </c>
      <c r="D18" t="inlineStr">
        <is>
          <t>indeed</t>
        </is>
      </c>
      <c r="E18" t="inlineStr"/>
      <c r="F18" t="inlineStr"/>
      <c r="G18" t="inlineStr">
        <is>
          <t>Seattle, WA, US</t>
        </is>
      </c>
      <c r="H18" s="2"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in-0daa955061b49919</t>
        </is>
      </c>
      <c r="B19" t="inlineStr">
        <is>
          <t>Sr. Applied Scientist, Prime Video - Personalization and Discovery Science</t>
        </is>
      </c>
      <c r="C19" t="inlineStr">
        <is>
          <t>Amazon.com</t>
        </is>
      </c>
      <c r="D19" t="inlineStr">
        <is>
          <t>indeed</t>
        </is>
      </c>
      <c r="E19" t="inlineStr"/>
      <c r="F19" t="inlineStr"/>
      <c r="G19" t="inlineStr">
        <is>
          <t>New York, NY,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in-34f53126256b7c3d</t>
        </is>
      </c>
      <c r="B20" t="inlineStr">
        <is>
          <t>Sr. Applied Scientist, Prime Video - Personalization and Discovery Science</t>
        </is>
      </c>
      <c r="C20" t="inlineStr">
        <is>
          <t>Amazon.com</t>
        </is>
      </c>
      <c r="D20" t="inlineStr">
        <is>
          <t>indeed</t>
        </is>
      </c>
      <c r="E20" t="inlineStr"/>
      <c r="F20" t="inlineStr"/>
      <c r="G20" t="inlineStr">
        <is>
          <t>Sunnyvale, CA,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in-1a0abb4c94c5e80e</t>
        </is>
      </c>
      <c r="B21" t="inlineStr">
        <is>
          <t>Sr. Applied Scientist, Recommendations and Search</t>
        </is>
      </c>
      <c r="C21" t="inlineStr">
        <is>
          <t>Amazon.com</t>
        </is>
      </c>
      <c r="D21" t="inlineStr">
        <is>
          <t>indeed</t>
        </is>
      </c>
      <c r="E21" t="inlineStr"/>
      <c r="F21" t="inlineStr"/>
      <c r="G21" t="inlineStr">
        <is>
          <t>Seattle, WA, US</t>
        </is>
      </c>
      <c r="H21" s="2" t="n">
        <v>45888</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in-71cd2fbe12249545</t>
        </is>
      </c>
      <c r="B22" t="inlineStr">
        <is>
          <t>Sr. Applied Scientist, Recommendations and Search</t>
        </is>
      </c>
      <c r="C22" t="inlineStr">
        <is>
          <t>Amazon.com</t>
        </is>
      </c>
      <c r="D22" t="inlineStr">
        <is>
          <t>indeed</t>
        </is>
      </c>
      <c r="E22" t="inlineStr"/>
      <c r="F22" t="inlineStr"/>
      <c r="G22" t="inlineStr">
        <is>
          <t>Sunnyvale, CA,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in-b0f51deca383133c</t>
        </is>
      </c>
      <c r="B23" t="inlineStr">
        <is>
          <t>Sr. Applied Scientist, Recommendations and Search</t>
        </is>
      </c>
      <c r="C23" t="inlineStr">
        <is>
          <t>Amazon.com</t>
        </is>
      </c>
      <c r="D23" t="inlineStr">
        <is>
          <t>indeed</t>
        </is>
      </c>
      <c r="E23" t="inlineStr"/>
      <c r="F23" t="inlineStr"/>
      <c r="G23" t="inlineStr">
        <is>
          <t>New York, NY,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in-83b01064ebe9f67b</t>
        </is>
      </c>
      <c r="B24" t="inlineStr">
        <is>
          <t>Applied Scientist II, Prime Video - Personalization and Discovery Science, Personalization and Discovery Science</t>
        </is>
      </c>
      <c r="C24" t="inlineStr">
        <is>
          <t>Amazon.com</t>
        </is>
      </c>
      <c r="D24" t="inlineStr">
        <is>
          <t>indeed</t>
        </is>
      </c>
      <c r="E24" t="inlineStr"/>
      <c r="F24" t="inlineStr"/>
      <c r="G24" t="inlineStr">
        <is>
          <t>Seattle, WA,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in-762440bc8e4a2562</t>
        </is>
      </c>
      <c r="B25" t="inlineStr">
        <is>
          <t>Sr. Applied Scientist, Prime Video - Personalization and Discovery Science</t>
        </is>
      </c>
      <c r="C25" t="inlineStr">
        <is>
          <t>Amazon.com</t>
        </is>
      </c>
      <c r="D25" t="inlineStr">
        <is>
          <t>indeed</t>
        </is>
      </c>
      <c r="E25" t="inlineStr"/>
      <c r="F25" t="inlineStr"/>
      <c r="G25" t="inlineStr">
        <is>
          <t>Seattle, WA,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in-e4e7a9b828262f02</t>
        </is>
      </c>
      <c r="B26" t="inlineStr">
        <is>
          <t>Applied Scientist II, Prime Video - Personalization and Discovery Science, Personalization and Discovery Science</t>
        </is>
      </c>
      <c r="C26" t="inlineStr">
        <is>
          <t>Amazon.com</t>
        </is>
      </c>
      <c r="D26" t="inlineStr">
        <is>
          <t>indeed</t>
        </is>
      </c>
      <c r="E26" t="inlineStr"/>
      <c r="F26" t="inlineStr"/>
      <c r="G26" t="inlineStr">
        <is>
          <t>Sunnyvale, CA,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in-4b8002cb8065e795</t>
        </is>
      </c>
      <c r="B27" t="inlineStr">
        <is>
          <t>Sr. Applied Scientist, Prime Video - Personalization and Discovery Science</t>
        </is>
      </c>
      <c r="C27" t="inlineStr">
        <is>
          <t>Amazon.com</t>
        </is>
      </c>
      <c r="D27" t="inlineStr">
        <is>
          <t>indeed</t>
        </is>
      </c>
      <c r="E27" t="inlineStr"/>
      <c r="F27" t="inlineStr"/>
      <c r="G27" t="inlineStr">
        <is>
          <t>New York, NY,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in-ebb4c84c9f23b1b3</t>
        </is>
      </c>
      <c r="B28" t="inlineStr">
        <is>
          <t>Applied Scientist II, Prime Video - Personalization and Discovery Science, Personalization and Discovery Science</t>
        </is>
      </c>
      <c r="C28" t="inlineStr">
        <is>
          <t>Amazon.com</t>
        </is>
      </c>
      <c r="D28" t="inlineStr">
        <is>
          <t>indeed</t>
        </is>
      </c>
      <c r="E28" t="inlineStr"/>
      <c r="F28" t="inlineStr"/>
      <c r="G28" t="inlineStr">
        <is>
          <t>New York, NY,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in-82ad88c139473dc8</t>
        </is>
      </c>
      <c r="B29" t="inlineStr">
        <is>
          <t>Sr. Applied Scientist, Prime Video - Personalization and Discovery Science</t>
        </is>
      </c>
      <c r="C29" t="inlineStr">
        <is>
          <t>Amazon.com</t>
        </is>
      </c>
      <c r="D29" t="inlineStr">
        <is>
          <t>indeed</t>
        </is>
      </c>
      <c r="E29" t="inlineStr"/>
      <c r="F29" t="inlineStr"/>
      <c r="G29" t="inlineStr">
        <is>
          <t>Sunnyvale, CA,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in-ee89a448621699c6</t>
        </is>
      </c>
      <c r="B30" t="inlineStr">
        <is>
          <t>Applied Scientist II, Prime Video - Personalization and Discovery Science</t>
        </is>
      </c>
      <c r="C30" t="inlineStr">
        <is>
          <t>Amazon.com</t>
        </is>
      </c>
      <c r="D30" t="inlineStr">
        <is>
          <t>indeed</t>
        </is>
      </c>
      <c r="E30" t="inlineStr"/>
      <c r="F30" t="inlineStr"/>
      <c r="G30" t="inlineStr">
        <is>
          <t>New York, NY,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in-89dfac889213e493</t>
        </is>
      </c>
      <c r="B31" t="inlineStr">
        <is>
          <t>Sr. Applied Scientist, Prime Video - Personalization and Discovery Science</t>
        </is>
      </c>
      <c r="C31" t="inlineStr">
        <is>
          <t>Amazon.com</t>
        </is>
      </c>
      <c r="D31" t="inlineStr">
        <is>
          <t>indeed</t>
        </is>
      </c>
      <c r="E31" t="inlineStr"/>
      <c r="F31" t="inlineStr"/>
      <c r="G31" t="inlineStr">
        <is>
          <t>New York, NY,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in-c8dcf56251c62d4d</t>
        </is>
      </c>
      <c r="B32" t="inlineStr">
        <is>
          <t>Applied Scientist II, Prime Video - Personalization and Discovery Science</t>
        </is>
      </c>
      <c r="C32" t="inlineStr">
        <is>
          <t>Amazon.com</t>
        </is>
      </c>
      <c r="D32" t="inlineStr">
        <is>
          <t>indeed</t>
        </is>
      </c>
      <c r="E32" t="inlineStr"/>
      <c r="F32" t="inlineStr"/>
      <c r="G32" t="inlineStr">
        <is>
          <t>Sunnyvale, CA,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in-32e82f50ac9590a8</t>
        </is>
      </c>
      <c r="B33" t="inlineStr">
        <is>
          <t>Sr. Applied Scientist, Prime Video - Personalization and Discovery Science</t>
        </is>
      </c>
      <c r="C33" t="inlineStr">
        <is>
          <t>Amazon.com</t>
        </is>
      </c>
      <c r="D33" t="inlineStr">
        <is>
          <t>indeed</t>
        </is>
      </c>
      <c r="E33" t="inlineStr"/>
      <c r="F33" t="inlineStr"/>
      <c r="G33" t="inlineStr">
        <is>
          <t>Seattle, WA,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in-f5fc350648223bd9</t>
        </is>
      </c>
      <c r="B34" t="inlineStr">
        <is>
          <t>Sr. Applied Scientist, Prime Video - Personalization and Discovery Science</t>
        </is>
      </c>
      <c r="C34" t="inlineStr">
        <is>
          <t>Amazon.com</t>
        </is>
      </c>
      <c r="D34" t="inlineStr">
        <is>
          <t>indeed</t>
        </is>
      </c>
      <c r="E34" t="inlineStr"/>
      <c r="F34" t="inlineStr"/>
      <c r="G34" t="inlineStr">
        <is>
          <t>Sunnyvale, CA,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in-54c2957633d4b6f8</t>
        </is>
      </c>
      <c r="B35" t="inlineStr">
        <is>
          <t>Applied Scientist II, Prime Video - Personalization and Discovery Science</t>
        </is>
      </c>
      <c r="C35" t="inlineStr">
        <is>
          <t>Amazon.com</t>
        </is>
      </c>
      <c r="D35" t="inlineStr">
        <is>
          <t>indeed</t>
        </is>
      </c>
      <c r="E35" t="inlineStr"/>
      <c r="F35" t="inlineStr"/>
      <c r="G35" t="inlineStr">
        <is>
          <t>Seattle, WA,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in-6cde63c95043ea76</t>
        </is>
      </c>
      <c r="B36" t="inlineStr">
        <is>
          <t>Sr. Applied Scientist, Prime Video - Personalization and Discovery Science</t>
        </is>
      </c>
      <c r="C36" t="inlineStr">
        <is>
          <t>Amazon.com</t>
        </is>
      </c>
      <c r="D36" t="inlineStr">
        <is>
          <t>indeed</t>
        </is>
      </c>
      <c r="E36" t="inlineStr"/>
      <c r="F36" t="inlineStr"/>
      <c r="G36" t="inlineStr">
        <is>
          <t>Sunnyvale, CA,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in-8565145cdccd86d9</t>
        </is>
      </c>
      <c r="B37" t="inlineStr">
        <is>
          <t>Applied Scientist II, Prime Video - Personalization and Discovery Science</t>
        </is>
      </c>
      <c r="C37" t="inlineStr">
        <is>
          <t>Amazon.com</t>
        </is>
      </c>
      <c r="D37" t="inlineStr">
        <is>
          <t>indeed</t>
        </is>
      </c>
      <c r="E37" t="inlineStr"/>
      <c r="F37" t="inlineStr"/>
      <c r="G37" t="inlineStr">
        <is>
          <t>Sunnyvale, CA,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in-67c3778b4178d3a9</t>
        </is>
      </c>
      <c r="B38" t="inlineStr">
        <is>
          <t>Applied Scientist II, Prime Video - Personalization and Discovery Science</t>
        </is>
      </c>
      <c r="C38" t="inlineStr">
        <is>
          <t>Amazon.com</t>
        </is>
      </c>
      <c r="D38" t="inlineStr">
        <is>
          <t>indeed</t>
        </is>
      </c>
      <c r="E38" t="inlineStr"/>
      <c r="F38" t="inlineStr"/>
      <c r="G38" t="inlineStr">
        <is>
          <t>New York, NY,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in-b6620df0f917e61a</t>
        </is>
      </c>
      <c r="B39" t="inlineStr">
        <is>
          <t>Sr. Applied Scientist, Prime Video - Personalization and Discovery Science</t>
        </is>
      </c>
      <c r="C39" t="inlineStr">
        <is>
          <t>Amazon.com</t>
        </is>
      </c>
      <c r="D39" t="inlineStr">
        <is>
          <t>indeed</t>
        </is>
      </c>
      <c r="E39" t="inlineStr"/>
      <c r="F39" t="inlineStr"/>
      <c r="G39" t="inlineStr">
        <is>
          <t>Seattle, WA,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in-764818df2c80d5f9</t>
        </is>
      </c>
      <c r="B40" t="inlineStr">
        <is>
          <t>Applied Scientist II, Prime Video - Personalization and Discovery Science</t>
        </is>
      </c>
      <c r="C40" t="inlineStr">
        <is>
          <t>Amazon.com</t>
        </is>
      </c>
      <c r="D40" t="inlineStr">
        <is>
          <t>indeed</t>
        </is>
      </c>
      <c r="E40" t="inlineStr"/>
      <c r="F40" t="inlineStr"/>
      <c r="G40" t="inlineStr">
        <is>
          <t>Seattle, WA,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in-0bdfe2afd424b5a3</t>
        </is>
      </c>
      <c r="B41" t="inlineStr">
        <is>
          <t>Sr. Applied Scientist, Prime Video - Personalization and Discovery Science</t>
        </is>
      </c>
      <c r="C41" t="inlineStr">
        <is>
          <t>Amazon.com</t>
        </is>
      </c>
      <c r="D41" t="inlineStr">
        <is>
          <t>indeed</t>
        </is>
      </c>
      <c r="E41" t="inlineStr"/>
      <c r="F41" t="inlineStr"/>
      <c r="G41" t="inlineStr">
        <is>
          <t>New York, NY,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in-64e89da87ee6c1d7</t>
        </is>
      </c>
      <c r="B42" t="inlineStr">
        <is>
          <t>Applied Scientist II, Prime Video Personalization and Discovery Science</t>
        </is>
      </c>
      <c r="C42" t="inlineStr">
        <is>
          <t>Amazon.com</t>
        </is>
      </c>
      <c r="D42" t="inlineStr">
        <is>
          <t>indeed</t>
        </is>
      </c>
      <c r="E42" t="inlineStr"/>
      <c r="F42" t="inlineStr"/>
      <c r="G42" t="inlineStr">
        <is>
          <t>New York, NY,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in-14a16ca0b0c71cb3</t>
        </is>
      </c>
      <c r="B43" t="inlineStr">
        <is>
          <t>Applied Scientist II, Prime Video Personalization and Discovery Science</t>
        </is>
      </c>
      <c r="C43" t="inlineStr">
        <is>
          <t>Amazon.com</t>
        </is>
      </c>
      <c r="D43" t="inlineStr">
        <is>
          <t>indeed</t>
        </is>
      </c>
      <c r="E43" t="inlineStr"/>
      <c r="F43" t="inlineStr"/>
      <c r="G43" t="inlineStr">
        <is>
          <t>Sunnyvale, CA,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in-4c97b034a6bf79b3</t>
        </is>
      </c>
      <c r="B44" t="inlineStr">
        <is>
          <t>Applied Scientist II, Prime Video Personalization and Discovery Science</t>
        </is>
      </c>
      <c r="C44" t="inlineStr">
        <is>
          <t>Amazon.com</t>
        </is>
      </c>
      <c r="D44" t="inlineStr">
        <is>
          <t>indeed</t>
        </is>
      </c>
      <c r="E44" t="inlineStr"/>
      <c r="F44" t="inlineStr"/>
      <c r="G44" t="inlineStr">
        <is>
          <t>Seattle, WA,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in-5dcec3f9ee59e282</t>
        </is>
      </c>
      <c r="B45" t="inlineStr">
        <is>
          <t>Applied Scientist, Prime Video - Personalization and Discovery Science</t>
        </is>
      </c>
      <c r="C45" t="inlineStr">
        <is>
          <t>Amazon.com</t>
        </is>
      </c>
      <c r="D45" t="inlineStr">
        <is>
          <t>indeed</t>
        </is>
      </c>
      <c r="E45" t="inlineStr"/>
      <c r="F45" t="inlineStr"/>
      <c r="G45" t="inlineStr">
        <is>
          <t>Sunnyvale, CA,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in-ac6a5b7e0bad1c17</t>
        </is>
      </c>
      <c r="B46" t="inlineStr">
        <is>
          <t>Applied Scientist, Prime Video - Personalization and Discovery Science</t>
        </is>
      </c>
      <c r="C46" t="inlineStr">
        <is>
          <t>Amazon.com</t>
        </is>
      </c>
      <c r="D46" t="inlineStr">
        <is>
          <t>indeed</t>
        </is>
      </c>
      <c r="E46" t="inlineStr"/>
      <c r="F46" t="inlineStr"/>
      <c r="G46" t="inlineStr">
        <is>
          <t>New York, NY,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in-7661fedd30921cfc</t>
        </is>
      </c>
      <c r="B47" t="inlineStr">
        <is>
          <t>Applied Scientist, Prime Video - Personalization and Discovery Science</t>
        </is>
      </c>
      <c r="C47" t="inlineStr">
        <is>
          <t>Amazon.com</t>
        </is>
      </c>
      <c r="D47" t="inlineStr">
        <is>
          <t>indeed</t>
        </is>
      </c>
      <c r="E47" t="inlineStr"/>
      <c r="F47" t="inlineStr"/>
      <c r="G47" t="inlineStr">
        <is>
          <t>Seattle, WA,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in-8d46bf667a71daa9</t>
        </is>
      </c>
      <c r="B48" t="inlineStr">
        <is>
          <t>Sr. Applied Scientist, Prime Video - Personalization and Discovery Science</t>
        </is>
      </c>
      <c r="C48" t="inlineStr">
        <is>
          <t>Amazon.com</t>
        </is>
      </c>
      <c r="D48" t="inlineStr">
        <is>
          <t>indeed</t>
        </is>
      </c>
      <c r="E48" t="inlineStr"/>
      <c r="F48" t="inlineStr"/>
      <c r="G48" t="inlineStr">
        <is>
          <t>Sunnyvale, CA, US</t>
        </is>
      </c>
      <c r="H48" s="2" t="n">
        <v>45819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in-0130b4413f2cec21</t>
        </is>
      </c>
      <c r="B49" t="inlineStr">
        <is>
          <t>Sr. Applied Scientist, Prime Video - Personalization and Discovery Science</t>
        </is>
      </c>
      <c r="C49" t="inlineStr">
        <is>
          <t>Amazon.com</t>
        </is>
      </c>
      <c r="D49" t="inlineStr">
        <is>
          <t>indeed</t>
        </is>
      </c>
      <c r="E49" t="inlineStr"/>
      <c r="F49" t="inlineStr"/>
      <c r="G49" t="inlineStr">
        <is>
          <t>Seattle, WA, US</t>
        </is>
      </c>
      <c r="H49" s="2" t="n">
        <v>45819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in-6158850121823680</t>
        </is>
      </c>
      <c r="B50" t="inlineStr">
        <is>
          <t>Senior Applied Scientist, AGI, AGI</t>
        </is>
      </c>
      <c r="C50" t="inlineStr">
        <is>
          <t>Amazon.com</t>
        </is>
      </c>
      <c r="D50" t="inlineStr">
        <is>
          <t>indeed</t>
        </is>
      </c>
      <c r="E50" t="inlineStr"/>
      <c r="F50" t="inlineStr"/>
      <c r="G50" t="inlineStr">
        <is>
          <t>Sunnyvale, CA, US</t>
        </is>
      </c>
      <c r="H50" s="2" t="n">
        <v>45796</v>
      </c>
      <c r="I5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in-ae11fcbd44bd2e56</t>
        </is>
      </c>
      <c r="B51" t="inlineStr">
        <is>
          <t>Senior Applied Scientist, AGI, AGI</t>
        </is>
      </c>
      <c r="C51" t="inlineStr">
        <is>
          <t>Amazon.com</t>
        </is>
      </c>
      <c r="D51" t="inlineStr">
        <is>
          <t>indeed</t>
        </is>
      </c>
      <c r="E51" t="inlineStr"/>
      <c r="F51" t="inlineStr"/>
      <c r="G51" t="inlineStr">
        <is>
          <t>Boston, MA, US</t>
        </is>
      </c>
      <c r="H51" s="2" t="n">
        <v>45796</v>
      </c>
      <c r="I5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in-cd6ed2f05c336fd1</t>
        </is>
      </c>
      <c r="B52" t="inlineStr">
        <is>
          <t>Applied Scientist, Skill Builder, AWS Training and Certifications</t>
        </is>
      </c>
      <c r="C52" t="inlineStr">
        <is>
          <t>Amazon Web Services</t>
        </is>
      </c>
      <c r="D52" t="inlineStr">
        <is>
          <t>indeed</t>
        </is>
      </c>
      <c r="E52" t="inlineStr"/>
      <c r="F52" t="inlineStr"/>
      <c r="G52" t="inlineStr">
        <is>
          <t>Seattle, WA, US</t>
        </is>
      </c>
      <c r="H52" s="2" t="n">
        <v>46000</v>
      </c>
      <c r="I5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in-4c4f5e9f71724f96</t>
        </is>
      </c>
      <c r="B53" t="inlineStr">
        <is>
          <t>Applied Scientist, Skill Builder, AWS Training and Certifications</t>
        </is>
      </c>
      <c r="C53" t="inlineStr">
        <is>
          <t>Amazon Web Services</t>
        </is>
      </c>
      <c r="D53" t="inlineStr">
        <is>
          <t>indeed</t>
        </is>
      </c>
      <c r="E53" t="inlineStr"/>
      <c r="F53" t="inlineStr"/>
      <c r="G53" t="inlineStr">
        <is>
          <t>Bellevue, WA, US</t>
        </is>
      </c>
      <c r="H53" s="2" t="n">
        <v>46000</v>
      </c>
      <c r="I5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in-51c5e51e2c50c2ab</t>
        </is>
      </c>
      <c r="B54" t="inlineStr">
        <is>
          <t>Applied Scientist, Skill Builder, AWS Training and Certifications</t>
        </is>
      </c>
      <c r="C54" t="inlineStr">
        <is>
          <t>Amazon Web Services</t>
        </is>
      </c>
      <c r="D54" t="inlineStr">
        <is>
          <t>indeed</t>
        </is>
      </c>
      <c r="E54" t="inlineStr"/>
      <c r="F54" t="inlineStr"/>
      <c r="G54" t="inlineStr">
        <is>
          <t>Arlington, VA, US</t>
        </is>
      </c>
      <c r="H54" s="2" t="n">
        <v>46000</v>
      </c>
      <c r="I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in-68430e623656f60f</t>
        </is>
      </c>
      <c r="B55" t="inlineStr">
        <is>
          <t>Data Scientist</t>
        </is>
      </c>
      <c r="C55" t="inlineStr">
        <is>
          <t>US Joint Activities</t>
        </is>
      </c>
      <c r="D55" t="inlineStr">
        <is>
          <t>indeed</t>
        </is>
      </c>
      <c r="E55" t="inlineStr"/>
      <c r="F55" t="inlineStr"/>
      <c r="G55" t="inlineStr">
        <is>
          <t>Fort Meade, MD, US</t>
        </is>
      </c>
      <c r="H55" s="2" t="n">
        <v>46026</v>
      </c>
      <c r="I55" t="inlineStr">
        <is>
          <t>**Summary**
-----------
**About the Position:** This position is a DOD Cyber Excepted Service (CES) personnel system position in the Excepted Service under 10 USC 1599f. Employees occupying CES positions are in the Excepted Service and must adhere to U.S. Code, Title 10, as well as Department of Defense Instruction 1400\.25\. This position is located at the Fort Meade, MD.
**This job is open to**
-----------------------
### **The public**
U.S. Citizens, Nationals or those who owe allegiance to the U.S.
### **Clarification from the agency**
See "Who May Apply" in the "Qualifications" section for more information on who is eligible to apply for this position.
**Duties**
----------
* Contributes to subject matter experts (SMEs) in efforts to identify and critically assess advanced and emerging concepts and technologies to identify ways the DoD cyberspace program community can more extract meaning and value from datasets.
* Through analytic modeling, scripting, and/or programming, develop and implement quantitative and qualitative methods for characterizing large datasets in various states of organization, cleanliness, and structure.
* Engage with peers to share information as to operational requirements and priorities, as well as ongoing data science investigations.
* Achieve this collaboration on a peer\-to\-peer basis, as well as through membership in established inter\-agency and intergovernmental working groups.
* Uncover and explain actionable insights from data by combining scientific method, math and statistics, specialized programming, advanced analytics, artificial intelligence (AI), and storytelling.
* In particular, identify and prioritize data analytics capabilities that are critical to the achievement of JCWA operational capabilities.
* Advise on data requirements to ensure ability to achieve interoperability and engage in join operations with other DoD agencies, across the JCWA, and with foreign partners.
* Provide continuing expert advisory support and oversight to ensure data analytics capability gaps and disconnects are resolved, and that data standards are defined and effectively and consistently implemented across the program community.
* Identify the need, define standards, and lead implementation of best practices in data curation to support current and future needs of USCYBERCOM machine learning (ML) algorithms.
* Collaborate with Artificial Intelligence/ML Scientist, investigate advanced and emerging concepts and technologies, make authoritative recommendations for selection and exploitation of technical means to achieve effective data curation activities.
**Requirements**
----------------
### **Conditions of employment**
* Appointment may be subject to a suitability or fitness determination, as determined by a completed background investigation.
* Three year trial/probationary period may be required.
* The incumbent must be able to obtain and maintain a TOP SECRET SCI clearance as a condition of employment and must complete a counterintelligence scope polygraph exam.
* This is a Drug Testing Designated Position. This position is covered by the Alcohol and Drug Abuse Prevention and Control Program.
* The incumbent must meet NSA personnel security requirements outlined in NSA/CSS Policy 5\-1\.
* Temporary Duty Travel required up to 30% of the time
* See "Additional Information"
### **Qualifications**
**CYBER EXCEPTED SERVICE POSITIONS ARE NOT SUBJECT TO THE TWO\-PAGE RESUME LIMIT. YOUR FULL RESUME WILL NEED TO BE UPLOADED TO YOUR USAJOBS PROFILE USING THE DOCUMENT TYPE "OTHER DOCUMENTS".**
**Who May Apply:**  
Only applicants who meet one of the employment authority categories below are eligible to apply for this job. You will be asked to identify which category or categories you meet, and to provide documents which prove you meet the category or categories you selected. See Proof of Eligibility for an extensive list of document requirements for all employment authorities.  
Army CES positions apply Veteran's Preference to preference eligible candidates, as defined by Section 2108 of Title 5 U.S.C., in accordance with the procedures provided in DoD Instruction 1400\.25, Volume 3005, "CES Employment and Placement". If you are a veteran claiming veterans' preference, as defined by Section 2108 of Title 5 U.S.C., you must submit documents verifying your eligibility with your application package.  
In order to qualify, you must meet the education and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1560 \- Data Scientist:**  
A. Degree: Bachelor's degree (or higher degree) in in mathematics, statistics, computer science, data science or field directly related to the position.  
OR  
B. Combination of Education and Experience: Courses equivalent to a major field of study (30 semester hours) as shown in A above, plus appropriate experience or additional education.  
To qualify based on your experience, your resume must describe 1 year of specialized experience that demonstrates the possession of knowledge, skills, abilities, and competencies necessary for immediate success in the position. Such experience is typically in or directly related to the work of the position to be filled.  
**In addition to meeting the basic requirement above, to qualify for this position you must also meet the qualification requirements listed below**:  
**Specialized experience would be demonstrated by:** 1\) Implementing qualitative and quantitative methods for identifying large data sets; 2\) Advising others on the appropriate resolution for gaps in data analytic capabilities; 3\) Creating visualization tools to support mission planning activities; 4\) Recommending standard business practices regarding information technology capabilities that support the agency's mission.  
Some federal jobs allow you to substitute your education for the required experience in order to qualify. For this job, you must meet the qualification requirement using experience alone\-no substitution of education for experience is permitted.
### **Education**
**FOREIGN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https://sites.ed.gov/international/recognition\-of\-foreign\-qualifications.
### **Additional information**
* **If you are a current federal career/career\-conditional employee, you will be placed on an excepted appointment.**
* Male applicants born after December 31, 1959, must complete a Pre\-Employment Certification Statement for Selective Service Registration.
* You will be required to provide proof of U.S. Citizenship.
* Direct Deposit of Pay is required.
* Must be able to obtain and maintain a Top Secret/SCI security clearance.
* The incumbent is required to sign a DA Form 5019\-R (Condition of Employment for Certain Positions Identified as Critical Under the Drug Abuse Testing Program) and must pass urinalysis testing, as required, prior to appointment, reassignment, or transfer and periodically thereafter.
* This position requires you to submit a Confidential Financial Disclosure Report (OGE450\) upon entry, and annually thereafter.
* Selection is subject to restrictions resulting from Department of Defense referral system for displaced employees.
* If you have retired from federal service and you are interested in employment as a reemployed annuitant, see the information in the Reemployed Annuitant information sheet.
* This is a(n) Science, Engineering, \&amp; Analysis Career Field position.
* **TERM: This announcement is for a Cyber Term position. Permanent employees who apply, are selected for, and ultimately accept this position will be converted to a Cyber Term appointment. Term positions in CES may be extended up to a maximum of five years. This position may be converted to permanent without further competition after completion of three years of continuous service in this position.**
* Multiple positions may be filled from this announcement.
* Salary includes applicable locality pay or Local Market Supplement.
* When you perform a Civilian Permanent Change of Station (PCS) with the government, the Internal Revenue Service (IRS) considers the majority of your entitlements to be taxable. Visit https://www.dfas.mil/civilianemployees/civrelo/Civilian\-Moving\-Expenses\-Tax\-Deduction/ for more information.
* Permanent Change of Station (PCS) allowances may be authorized, subject to the provisions of the Joint Travel Regulations and an agency determination that a PCS move is in the Government Interest.
* Relocation, Recruitment, Advance in Leave, and/or Advance in Hire incentive MAY BE authorized.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Please follow all instructions carefully when applying, errors or omissions may affect your eligibility.  
If, after reviewing your resume and/or supporting documentation, a determination is made that you have inflated your qualifications and/or experience, you may lose consideration for this position.
**Required Documents**
----------------------
**WARNING**: DO NOT INCLUDE CLASSIFIED INFORMATION IN YOUR APPLICATION PACKET! Application packages that contain Classified information **WILL NOT** receive consideration for this position. Should you submit a resume or any other document as part of your application package and it is confirmed that any of the information is Classified, in addition to being found ineligible for consideration for this position, your Security Office will be notified to determine if any further action is warranted.  
The documents you are required to submit vary based on the authority you are using to apply (i.e., applying as a veteran, applying as a current permanent Federal employee, applying as a reinstatement, etc). Please review the following links to see which documents you need to provide to prove your eligibility to apply: Applicant Checklist for Internal/Merit Promotion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 Cyber Excepted Service positions are not subject to the two\-page resume limit. Your full resume will need to be uploaded to your USAJOBS profile using the document type **'Other Documents'**.
* Your resume may be submitted in any format and must support the specialized experience described in this announcement.
* For each relevant work experience, make sure you include the employer's name, job title, start and end dates (include month and year), for qualifications purposes, the number of hours worked per week, and a brief description that show you can perform the tasks at the required level listed in the job announcement. If your resume does not contain this information, your application may be marked as incomplete, and you may not receive consideration for this position.
* Use plain language. Avoid using acronyms and terms that are not easily understood. The hiring agency will not make assumptions about what's in your resume.
* If your resume includes a photograph or other inappropriate material or content, it will not be used to make eligibility and qualification determinations, and you may not be considered for this vacancy.
* For additional information, to include formatting tips, see: What to include in your resume.
**2\. Other supporting documents:**
* Cover Letter, optional
* Most recent Performance Appraisal, if applicable
* **Proof of Eligibility to Apply:** Your application must include the documents which **prove you are eligible to apply** for the vacancy. The Proof of Eligibility document describes authorities commonly used in merit promotion recruitment and what document(s) are required to prove you meet the requirements of the authority. You must meet the requirements of at least one of the authorities listed in the **Who May Apply** section above to receive further consideration.
* This position has an individual occupational requirement and/or allows for substitution of education for experience. If you meet this requirement based on education you MUST submit a copy of your transcript with your application package or you will be rated ineligible. See: Transcripts and Licenses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To apply for this position, you must complete the online questionnaire and submit the documentation specified in the Required Documents section above.  
The complete application package must be submitted by 11:59 PM (EST) on 01/12/2026 to receive consideration.
* To begin, click **Apply** to access the online application. You will need to be logged into your USAJOBS account to apply. If you do not have a USAJOBS account, you will need to create one before beginning the application (https://apply.usastaffing.gov/ViewQuestionnaire/12848127\).
* Follow the prompts to **select your resume and/or other supporting documents** to be included with your application package. As a reminder, your resume must be **two pages or less** and must support the specialized experience described in this announcement. Resumes exceeding two pages will be removed from consideration. For additional information, refer to the 'Required Documents' section.
*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**Your resume selected in USAJOBS will be included, but you must re\-select other documents from your USAJOBS account or your application may be incomplete.**
* It is your responsibility to verify that your application package (resume, supporting documents, and responses to the questionnaire) is complete, accurate, and submitted by the closing date. Uploaded documents may take up to one hour to clear the virus scan.
* Additional information on how to complete the online application process and submit your online application may be found on the USA Staffing Applicant Resource Center.
To verify the status of your application, log into your USAJOBS account (https://www.usajobs.gov/applicant/profile/dashboard/), all of your applications will appear on the Welcome screen. The Application Status will appear along with the date your application was last updated. For information on what each Application Status means, visit: https://help.usajobs.gov/how\-to/application/status.  
### **Agency contact information**
Army Applicant Help Desk
Website
https://portal.chra.army.mil/hr\_public?id\=app\_inq
Address
*KB\-W6HWAA US CYBER COMMAND*  
*DO NOT MAIL*  
*Fort Meade, MD 20755*  
*US*### **Next steps**
If you provided an email address, you will receive an email message acknowledging receipt of your application. Your application package will be used to determine your eligibility, qualifications, and quality ranking for this position. If you are determined to be ineligible or not qualified, your application will receive no further consideration.
**Overview**
------------
Accepting applications
Open \&amp; closing dates
01/05/2026 to 01/12/2026
Salary
$180,000 to \- $246,400 per year
Pay scale \&amp; grade
AD 00
Location
1 vacancy in the following location:
Fort Meade, MD
Remote job
No
Telework eligible
Yes—as determined by the agency policy.
Travel Required
50% or less \- You may be expected to travel up to 30% for this position.
Relocation expenses reimbursed
Yes—You may qualify for reimbursement of relocation expenses in accordance with agency policy.
Appointment type
Term \- 4 years
Work schedule
Full\-time
Service
Competitive
Promotion potential
None
Job family (Series)
* 1560 Data Science Series
Supervisory status
Yes
Security clearance
Sensitive Compartmented Information
Drug test
Yes
Position sensitivity and risk
Special\-Sensitive (SS)/High Risk
Trust determination process
* Credentialing
* Suitability/Fitness
* National security
Financial disclosure
Yes
Bargaining unit status
No
Announcement number
DAKB\-26\-12848127\-PUBLIC
Control number
853531600</t>
        </is>
      </c>
    </row>
    <row r="56">
      <c r="A56" t="inlineStr">
        <is>
          <t>in-b23332c750de9d41</t>
        </is>
      </c>
      <c r="B56" t="inlineStr">
        <is>
          <t>Data Scientist</t>
        </is>
      </c>
      <c r="C56" t="inlineStr">
        <is>
          <t>Southern Company</t>
        </is>
      </c>
      <c r="D56" t="inlineStr">
        <is>
          <t>indeed</t>
        </is>
      </c>
      <c r="E56" t="inlineStr"/>
      <c r="F56" t="inlineStr"/>
      <c r="G56" t="inlineStr">
        <is>
          <t>Atlanta, GA, US</t>
        </is>
      </c>
      <c r="H56" s="2" t="n">
        <v>46026</v>
      </c>
      <c r="I56" t="inlineStr">
        <is>
          <t>**Job Title: Data Scientist**
**Company: Georgia Power**
**Organization: Strategic Support**
**JOB SUMMARY:**
We are seeking applicants who demonstrate a combination is soft skills and technical skills. Client relationships, collaboration, communication, and effort to learn the business are essential to success. From technical perspective, we are looking for applicants who have experience with machine learning, advanced analytics, coding, cloud and on\-premise environments, and a variety of data sources.
This role focuses on supporting various departments across Customer Services, Customer Solutions, Business Development, Corporate Communications, and others. Data Scientist performs advanced and descriptive analytics that lead to better customer experience, increased operational efficiencies, and improved business profitability. This role is responsible for discovering business insights using statistics, machine learning, and visualization techniques.
Apply today and take the next step in your career with Data Science!
**JOB REQUIREMENTS:**
* A bachelor’s degree in Data Science, Data Analytics, Statistics, Computer Science, Engineering or a related field is required
* A master’s degree in Data Science, Data Analytics, Statistics, Computer Science, Engineering or a related field is preferred
* 4\+ years of hands\-on experience with data and analytics; with progressively increased level of responsibility
* Experience querying data from various data sources
* Proficient with one or more programming languages used for analytics, preferably Python and SQL
* Experience with Databricks is desired, but not required
* Working knowledge of predictive modeling techniques, such as linear regression, decision trees, clustering, neutral networks, etc. and experience using these methods to address real\-world business challenges
* Strong interest in AI and aptitude to learn how to develop AI solutions for Customer Experience organization
* Experience developing dashboards in Power BI or a comparable visualization platform
* Written communication skills and experience summarizing key insights in concise emails, executive summaries, and presentations
* Verbal communication skills and experience effectively presenting analytics insights in practical terms to non\-technical business audience
* Experience managing and prioritizing multiple projects simultaneously
* Ability to effectively collaborate in highly cross\-functional work environment, engage diverse stakeholders, ask questions to understand client needs, and partner with colleagues across different teams
* Behaviors rooted in our corporate values: Safety First, Intentional Inclusion, Act with Integrity, Superior Performance
**MAJOR JOB RESPONSIBILITIES:**
* Build relationships with internal clients to understand their goals, processes, and challenges
* Promptly respond to requests from internal clients, understand their business questions, and perform analytics to meet their business needs
* Fulfil high volume of ad\-hoc analytics requests
* Proactively suggest advanced analytics solutions to clients
* Write programs to pull data from various data sources
* Identify, gather, and prepare data for your projects
* Analyze structured (quantitative) and unstructured (text, voice recordings) data
* Develop and deploy machine learning models
* Create dashboards that automatically pull data from various data sources
* Summarize key insights from your analytics projects and provide conclusions and recommendations
* Produce analytics to enhance customer experience, improve energy affordability, and support sustainable growth
* Quantify effect of various programs and initiatives on customer energy usage, call volume, payment behaviors
* Provide insights on how our customers interact with our company across various channels in effort to improve customer service performance, optimize channels and programs
* Enable personalization and communications based on customer data
* Provide analytics to increase enrollment in energy efficiency, renewables, electric transportation, and other programs.
* Develop analytics to help grow unregulated net income
* Provide analytics to optimize operations that deliver regulated and unregulated solutions to customers
* Establish external and internal relationships to share best practices in data science, stay abreast of industry trends and emerging technologies
* Continuously learn new data sources, new platforms, and new methods.
* Demonstrate curiosity and creativity in the rapidly evolving world of data and AI.
**Georgia Power** is the largest electric subsidiary of Southern Company (NYSE: SO), America's premier energy company. Value, Reliability, Customer Service and Stewardship are the cornerstones of the Company's promise to 2\.6 million customers in all but four of Georgia's 159 counties. Committed to delivering clean, safe, reliable, and affordable energy at rates below the national average,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and Associates as an industry leader in customer satisfaction. For more information, visit www.GeogiaPower.com and connect with the Company on Facebook (Facebook.com/GeorgiaPower), Twitter (Twitter.com/GeorgiaPower) and Instagram (Instagram.com/ga\_power).
Southern Company (NYSE: SO ) is a leading energy provider serving 9 million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solutions provider with national capabilities, a fiber optics network and telecommunications services. Through an industry\-leading commitment to innovation, resilience and sustainability, we are taking action to meet customers' and communities' needs while advancing our goal of net\-zero greenhouse gas emissions by 2050\. Our uncompromising values ensure we put the needs of those we serve at the center of everything we do and are the key to our sustained success. We are transforming energy into economic, environmental and social progress for tomorrow. Our corporate culture has been recognized by a variety of organizations, earning the company awards and recognitions that reflect Our Values and dedication to service. To learn more, visit www.southerncompany.com .
Southern Company invests in the well\-being of its employees and their families through a comprehensive total rewards strategy that includes competitive base salary, annual incentive awards for eligible employees and health, welfare and retirement benefits designed to support physical, financial, and emotional/social well\-being. This position may also be eligible for additional compensation, such as an incentive program, with the amount of any bonus/awards subject to the terms and conditions of the applicable incentive plan(s). A summary of the benefits offered for this position can be found here https://seo.nlx.org/southernco/pdf/SOCO\-Benefits.pdf . Additional and specific details about total compensation and beneﬁts will also be provided during the hiring process.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16244
Job Category: Customer Service
Job Schedule: Full time
Company: Georgia Power</t>
        </is>
      </c>
    </row>
    <row r="57">
      <c r="A57" t="inlineStr">
        <is>
          <t>in-35b12c57382e65a8</t>
        </is>
      </c>
      <c r="B57" t="inlineStr">
        <is>
          <t>Principal Applied Scientist, AGI Foundations, AGI Foundations</t>
        </is>
      </c>
      <c r="C57" t="inlineStr">
        <is>
          <t>Amazon.com</t>
        </is>
      </c>
      <c r="D57" t="inlineStr">
        <is>
          <t>indeed</t>
        </is>
      </c>
      <c r="E57" t="inlineStr"/>
      <c r="F57" t="inlineStr"/>
      <c r="G57" t="inlineStr">
        <is>
          <t>Boston, MA, US</t>
        </is>
      </c>
      <c r="H57" s="2" t="n">
        <v>45978</v>
      </c>
      <c r="I5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in-489096fba6f5594d</t>
        </is>
      </c>
      <c r="B58" t="inlineStr">
        <is>
          <t>Principal Applied Scientist, AGI Foundations, AGI Foundations</t>
        </is>
      </c>
      <c r="C58" t="inlineStr">
        <is>
          <t>Amazon.com</t>
        </is>
      </c>
      <c r="D58" t="inlineStr">
        <is>
          <t>indeed</t>
        </is>
      </c>
      <c r="E58" t="inlineStr"/>
      <c r="F58" t="inlineStr"/>
      <c r="G58" t="inlineStr">
        <is>
          <t>Bellevue, WA,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in-93fe22a283ba6b75</t>
        </is>
      </c>
      <c r="B59" t="inlineStr">
        <is>
          <t>Principal Applied Scientist, AGI Foundations, AGI Foundations</t>
        </is>
      </c>
      <c r="C59" t="inlineStr">
        <is>
          <t>Amazon.com</t>
        </is>
      </c>
      <c r="D59" t="inlineStr">
        <is>
          <t>indeed</t>
        </is>
      </c>
      <c r="E59" t="inlineStr"/>
      <c r="F59" t="inlineStr"/>
      <c r="G59" t="inlineStr">
        <is>
          <t>New York, NY, US</t>
        </is>
      </c>
      <c r="H59" s="2" t="n">
        <v>45978</v>
      </c>
      <c r="I5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in-9036afcb4133b16e</t>
        </is>
      </c>
      <c r="B60" t="inlineStr">
        <is>
          <t>Principal Applied Scientist, AGI Foundations, AGI Foundations</t>
        </is>
      </c>
      <c r="C60" t="inlineStr">
        <is>
          <t>Amazon.com</t>
        </is>
      </c>
      <c r="D60" t="inlineStr">
        <is>
          <t>indeed</t>
        </is>
      </c>
      <c r="E60" t="inlineStr"/>
      <c r="F60" t="inlineStr"/>
      <c r="G60" t="inlineStr">
        <is>
          <t>Sunnyvale, CA, US</t>
        </is>
      </c>
      <c r="H60" s="2" t="n">
        <v>45978</v>
      </c>
      <c r="I6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in-3235dd14a53227d3</t>
        </is>
      </c>
      <c r="B61" t="inlineStr">
        <is>
          <t>Principal Applied Scientist, Artificial General Intelligence</t>
        </is>
      </c>
      <c r="C61" t="inlineStr">
        <is>
          <t>Amazon.com</t>
        </is>
      </c>
      <c r="D61" t="inlineStr">
        <is>
          <t>indeed</t>
        </is>
      </c>
      <c r="E61" t="inlineStr"/>
      <c r="F61" t="inlineStr"/>
      <c r="G61" t="inlineStr">
        <is>
          <t>San Francisco, CA, US</t>
        </is>
      </c>
      <c r="H61" s="2" t="n">
        <v>45978</v>
      </c>
      <c r="I6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in-29fa54a79efea6ca</t>
        </is>
      </c>
      <c r="B62" t="inlineStr">
        <is>
          <t>Principal Applied Scientist, Artificial General Intelligence</t>
        </is>
      </c>
      <c r="C62" t="inlineStr">
        <is>
          <t>Amazon.com</t>
        </is>
      </c>
      <c r="D62" t="inlineStr">
        <is>
          <t>indeed</t>
        </is>
      </c>
      <c r="E62" t="inlineStr"/>
      <c r="F62" t="inlineStr"/>
      <c r="G62" t="inlineStr">
        <is>
          <t>Seattle, WA, US</t>
        </is>
      </c>
      <c r="H62" s="2" t="n">
        <v>45978</v>
      </c>
      <c r="I6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in-7a465da19726397c</t>
        </is>
      </c>
      <c r="B63" t="inlineStr">
        <is>
          <t>Principal Applied Scientist, Artificial General Intelligence</t>
        </is>
      </c>
      <c r="C63" t="inlineStr">
        <is>
          <t>Amazon.com</t>
        </is>
      </c>
      <c r="D63" t="inlineStr">
        <is>
          <t>indeed</t>
        </is>
      </c>
      <c r="E63" t="inlineStr"/>
      <c r="F63" t="inlineStr"/>
      <c r="G63" t="inlineStr">
        <is>
          <t>Bellevue, WA, US</t>
        </is>
      </c>
      <c r="H63" s="2" t="n">
        <v>45978</v>
      </c>
      <c r="I63"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in-572aa6d1b39c498b</t>
        </is>
      </c>
      <c r="B64" t="inlineStr">
        <is>
          <t>Applied Scientist, Artificial General Intelligence</t>
        </is>
      </c>
      <c r="C64" t="inlineStr">
        <is>
          <t>Amazon.com</t>
        </is>
      </c>
      <c r="D64" t="inlineStr">
        <is>
          <t>indeed</t>
        </is>
      </c>
      <c r="E64" t="inlineStr"/>
      <c r="F64" t="inlineStr"/>
      <c r="G64" t="inlineStr">
        <is>
          <t>Seattle, WA, US</t>
        </is>
      </c>
      <c r="H64" s="2" t="n">
        <v>45974</v>
      </c>
      <c r="I6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in-15c57ae0f36d0fcc</t>
        </is>
      </c>
      <c r="B65" t="inlineStr">
        <is>
          <t>Applied Scientist, Artificial General Intelligence</t>
        </is>
      </c>
      <c r="C65" t="inlineStr">
        <is>
          <t>Amazon.com</t>
        </is>
      </c>
      <c r="D65" t="inlineStr">
        <is>
          <t>indeed</t>
        </is>
      </c>
      <c r="E65" t="inlineStr"/>
      <c r="F65" t="inlineStr"/>
      <c r="G65" t="inlineStr">
        <is>
          <t>Sunnyvale, CA, US</t>
        </is>
      </c>
      <c r="H65" s="2" t="n">
        <v>45974</v>
      </c>
      <c r="I6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in-55e9c94a3480a8fb</t>
        </is>
      </c>
      <c r="B66" t="inlineStr">
        <is>
          <t>Applied Scientist, Artificial General Intelligence</t>
        </is>
      </c>
      <c r="C66" t="inlineStr">
        <is>
          <t>Amazon.com</t>
        </is>
      </c>
      <c r="D66" t="inlineStr">
        <is>
          <t>indeed</t>
        </is>
      </c>
      <c r="E66" t="inlineStr"/>
      <c r="F66" t="inlineStr"/>
      <c r="G66" t="inlineStr">
        <is>
          <t>Boston, MA, US</t>
        </is>
      </c>
      <c r="H66" s="2" t="n">
        <v>45974</v>
      </c>
      <c r="I6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in-bf54607ee70c0c08</t>
        </is>
      </c>
      <c r="B67" t="inlineStr">
        <is>
          <t>Senior Data Scientist, AWS Professional Services</t>
        </is>
      </c>
      <c r="C67" t="inlineStr">
        <is>
          <t>Amazon Web Services</t>
        </is>
      </c>
      <c r="D67" t="inlineStr">
        <is>
          <t>indeed</t>
        </is>
      </c>
      <c r="E67" t="inlineStr"/>
      <c r="F67" t="inlineStr"/>
      <c r="G67" t="inlineStr">
        <is>
          <t>Santa Monica, CA, US</t>
        </is>
      </c>
      <c r="H67" s="2" t="n">
        <v>45972</v>
      </c>
      <c r="I6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in-d497544ad830061e</t>
        </is>
      </c>
      <c r="B68" t="inlineStr">
        <is>
          <t>Senior Data Scientist, AWS Professional Services</t>
        </is>
      </c>
      <c r="C68" t="inlineStr">
        <is>
          <t>Amazon Web Services</t>
        </is>
      </c>
      <c r="D68" t="inlineStr">
        <is>
          <t>indeed</t>
        </is>
      </c>
      <c r="E68" t="inlineStr"/>
      <c r="F68" t="inlineStr"/>
      <c r="G68" t="inlineStr">
        <is>
          <t>Dallas, TX, US</t>
        </is>
      </c>
      <c r="H68" s="2" t="n">
        <v>45972</v>
      </c>
      <c r="I6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in-c9b325b1d8d4de24</t>
        </is>
      </c>
      <c r="B69" t="inlineStr">
        <is>
          <t>Senior Data Scientist, AWS Professional Services</t>
        </is>
      </c>
      <c r="C69" t="inlineStr">
        <is>
          <t>Amazon Web Services</t>
        </is>
      </c>
      <c r="D69" t="inlineStr">
        <is>
          <t>indeed</t>
        </is>
      </c>
      <c r="E69" t="inlineStr"/>
      <c r="F69" t="inlineStr"/>
      <c r="G69" t="inlineStr">
        <is>
          <t>Atlanta, GA, US</t>
        </is>
      </c>
      <c r="H69" s="2" t="n">
        <v>45972</v>
      </c>
      <c r="I6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in-0c2b2dd10683c147</t>
        </is>
      </c>
      <c r="B70" t="inlineStr">
        <is>
          <t>Senior Data Scientist, AWS Professional Services</t>
        </is>
      </c>
      <c r="C70" t="inlineStr">
        <is>
          <t>Amazon Web Services</t>
        </is>
      </c>
      <c r="D70" t="inlineStr">
        <is>
          <t>indeed</t>
        </is>
      </c>
      <c r="E70" t="inlineStr"/>
      <c r="F70" t="inlineStr"/>
      <c r="G70" t="inlineStr">
        <is>
          <t>Seattle, WA, US</t>
        </is>
      </c>
      <c r="H70" s="2" t="n">
        <v>45972</v>
      </c>
      <c r="I70"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in-f91ed674107fd85b</t>
        </is>
      </c>
      <c r="B71" t="inlineStr">
        <is>
          <t>Senior Data Scientist, AWS Professional Services</t>
        </is>
      </c>
      <c r="C71" t="inlineStr">
        <is>
          <t>Amazon Web Services</t>
        </is>
      </c>
      <c r="D71" t="inlineStr">
        <is>
          <t>indeed</t>
        </is>
      </c>
      <c r="E71" t="inlineStr"/>
      <c r="F71" t="inlineStr"/>
      <c r="G71" t="inlineStr">
        <is>
          <t>Arlington, VA, US</t>
        </is>
      </c>
      <c r="H71" s="2" t="n">
        <v>45972</v>
      </c>
      <c r="I7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in-ce3aeb11d49f3689</t>
        </is>
      </c>
      <c r="B72" t="inlineStr">
        <is>
          <t>Senior Data Scientist, AWS Professional Services</t>
        </is>
      </c>
      <c r="C72" t="inlineStr">
        <is>
          <t>Amazon Web Services</t>
        </is>
      </c>
      <c r="D72" t="inlineStr">
        <is>
          <t>indeed</t>
        </is>
      </c>
      <c r="E72" t="inlineStr"/>
      <c r="F72" t="inlineStr"/>
      <c r="G72" t="inlineStr">
        <is>
          <t>New York, NY, US</t>
        </is>
      </c>
      <c r="H72" s="2" t="n">
        <v>45972</v>
      </c>
      <c r="I7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in-5b82fbf89f2ebc5b</t>
        </is>
      </c>
      <c r="B73" t="inlineStr">
        <is>
          <t>Senior Data Scientist, AWS Professional Services</t>
        </is>
      </c>
      <c r="C73" t="inlineStr">
        <is>
          <t>Amazon Web Services</t>
        </is>
      </c>
      <c r="D73" t="inlineStr">
        <is>
          <t>indeed</t>
        </is>
      </c>
      <c r="E73" t="inlineStr"/>
      <c r="F73" t="inlineStr"/>
      <c r="G73" t="inlineStr">
        <is>
          <t>Boston, MA, US</t>
        </is>
      </c>
      <c r="H73" s="2" t="n">
        <v>45972</v>
      </c>
      <c r="I7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in-98b00643d9743e75</t>
        </is>
      </c>
      <c r="B74" t="inlineStr">
        <is>
          <t>Senior Data Scientist, AWS Professional Services</t>
        </is>
      </c>
      <c r="C74" t="inlineStr">
        <is>
          <t>Amazon Web Services</t>
        </is>
      </c>
      <c r="D74" t="inlineStr">
        <is>
          <t>indeed</t>
        </is>
      </c>
      <c r="E74" t="inlineStr"/>
      <c r="F74" t="inlineStr"/>
      <c r="G74" t="inlineStr">
        <is>
          <t>Irvine, CA, US</t>
        </is>
      </c>
      <c r="H74" s="2" t="n">
        <v>45972</v>
      </c>
      <c r="I7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in-0a478117157e67c3</t>
        </is>
      </c>
      <c r="B75" t="inlineStr">
        <is>
          <t>Senior Data Scientist, AWS Professional Services</t>
        </is>
      </c>
      <c r="C75" t="inlineStr">
        <is>
          <t>Amazon Web Services</t>
        </is>
      </c>
      <c r="D75" t="inlineStr">
        <is>
          <t>indeed</t>
        </is>
      </c>
      <c r="E75" t="inlineStr"/>
      <c r="F75" t="inlineStr"/>
      <c r="G75" t="inlineStr">
        <is>
          <t>Chicago, IL, US</t>
        </is>
      </c>
      <c r="H75" s="2" t="n">
        <v>45972</v>
      </c>
      <c r="I7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in-2b0741c593b60f15</t>
        </is>
      </c>
      <c r="B76" t="inlineStr">
        <is>
          <t>Applied Scientist, Sponsored Products and Brands</t>
        </is>
      </c>
      <c r="C76" t="inlineStr">
        <is>
          <t>Amazon.com</t>
        </is>
      </c>
      <c r="D76" t="inlineStr">
        <is>
          <t>indeed</t>
        </is>
      </c>
      <c r="E76" t="inlineStr"/>
      <c r="F76" t="inlineStr"/>
      <c r="G76" t="inlineStr">
        <is>
          <t>New York, NY, US</t>
        </is>
      </c>
      <c r="H76" s="2" t="n">
        <v>45965</v>
      </c>
      <c r="I7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in-6dc6c83858d37c1f</t>
        </is>
      </c>
      <c r="B77" t="inlineStr">
        <is>
          <t>Applied Scientist, Sponsored Products and Brands</t>
        </is>
      </c>
      <c r="C77" t="inlineStr">
        <is>
          <t>Amazon.com</t>
        </is>
      </c>
      <c r="D77" t="inlineStr">
        <is>
          <t>indeed</t>
        </is>
      </c>
      <c r="E77" t="inlineStr"/>
      <c r="F77" t="inlineStr"/>
      <c r="G77" t="inlineStr">
        <is>
          <t>Seattle, WA, US</t>
        </is>
      </c>
      <c r="H77" s="2" t="n">
        <v>45965</v>
      </c>
      <c r="I7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in-af24e9afcfb80025</t>
        </is>
      </c>
      <c r="B78" t="inlineStr">
        <is>
          <t>Sr. Applied Scientist , AMX Science</t>
        </is>
      </c>
      <c r="C78" t="inlineStr">
        <is>
          <t>Amazon.com</t>
        </is>
      </c>
      <c r="D78" t="inlineStr">
        <is>
          <t>indeed</t>
        </is>
      </c>
      <c r="E78" t="inlineStr"/>
      <c r="F78" t="inlineStr"/>
      <c r="G78" t="inlineStr">
        <is>
          <t>Seattle, WA, US</t>
        </is>
      </c>
      <c r="H78" s="2" t="n">
        <v>45958</v>
      </c>
      <c r="I7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in-71d9e27ebf0d79d4</t>
        </is>
      </c>
      <c r="B79" t="inlineStr">
        <is>
          <t>Sr. Applied Scientist , AMX Science</t>
        </is>
      </c>
      <c r="C79" t="inlineStr">
        <is>
          <t>Amazon.com</t>
        </is>
      </c>
      <c r="D79" t="inlineStr">
        <is>
          <t>indeed</t>
        </is>
      </c>
      <c r="E79" t="inlineStr"/>
      <c r="F79" t="inlineStr"/>
      <c r="G79" t="inlineStr">
        <is>
          <t>New York, NY, US</t>
        </is>
      </c>
      <c r="H79" s="2" t="n">
        <v>45958</v>
      </c>
      <c r="I79"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in-af40ef81c79afc52</t>
        </is>
      </c>
      <c r="B80" t="inlineStr">
        <is>
          <t>Sr Data Scientist , Annapurna Labs, ML Acceleration Power Architecture</t>
        </is>
      </c>
      <c r="C80" t="inlineStr">
        <is>
          <t>Amazon Web Services</t>
        </is>
      </c>
      <c r="D80" t="inlineStr">
        <is>
          <t>indeed</t>
        </is>
      </c>
      <c r="E80" t="inlineStr"/>
      <c r="F80" t="inlineStr"/>
      <c r="G80" t="inlineStr">
        <is>
          <t>Austin, TX, US</t>
        </is>
      </c>
      <c r="H80" s="2" t="n">
        <v>45957</v>
      </c>
      <c r="I80"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in-56a1d01a64a208cb</t>
        </is>
      </c>
      <c r="B81" t="inlineStr">
        <is>
          <t>Sr Data Scientist , Annapurna Labs, ML Acceleration Power Architecture</t>
        </is>
      </c>
      <c r="C81" t="inlineStr">
        <is>
          <t>Amazon Web Services</t>
        </is>
      </c>
      <c r="D81" t="inlineStr">
        <is>
          <t>indeed</t>
        </is>
      </c>
      <c r="E81" t="inlineStr"/>
      <c r="F81" t="inlineStr"/>
      <c r="G81" t="inlineStr">
        <is>
          <t>Seattle, WA, US</t>
        </is>
      </c>
      <c r="H81" s="2" t="n">
        <v>45957</v>
      </c>
      <c r="I81"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in-b22115a2f787006e</t>
        </is>
      </c>
      <c r="B82" t="inlineStr">
        <is>
          <t>Sr Data Scientist , Annapurna Labs, ML Acceleration Power Architecture</t>
        </is>
      </c>
      <c r="C82" t="inlineStr">
        <is>
          <t>Amazon Web Services</t>
        </is>
      </c>
      <c r="D82" t="inlineStr">
        <is>
          <t>indeed</t>
        </is>
      </c>
      <c r="E82" t="inlineStr"/>
      <c r="F82" t="inlineStr"/>
      <c r="G82" t="inlineStr">
        <is>
          <t>Cupertino, CA, US</t>
        </is>
      </c>
      <c r="H82" s="2" t="n">
        <v>45957</v>
      </c>
      <c r="I82"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in-5da9fcc529086b79</t>
        </is>
      </c>
      <c r="B83" t="inlineStr">
        <is>
          <t>Applied Scientist, Prime Video - Content Understanding, Localization &amp; Enrichment Team</t>
        </is>
      </c>
      <c r="C83" t="inlineStr">
        <is>
          <t>Amazon.com</t>
        </is>
      </c>
      <c r="D83" t="inlineStr">
        <is>
          <t>indeed</t>
        </is>
      </c>
      <c r="E83" t="inlineStr"/>
      <c r="F83" t="inlineStr"/>
      <c r="G83" t="inlineStr">
        <is>
          <t>San Francisco, CA, US</t>
        </is>
      </c>
      <c r="H83" s="2" t="n">
        <v>45943</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in-6a32a8602cd3cb7b</t>
        </is>
      </c>
      <c r="B84" t="inlineStr">
        <is>
          <t>Applied Scientist, Prime Video - Content Understanding, Localization &amp; Enrichment Team</t>
        </is>
      </c>
      <c r="C84" t="inlineStr">
        <is>
          <t>Amazon.com</t>
        </is>
      </c>
      <c r="D84" t="inlineStr">
        <is>
          <t>indeed</t>
        </is>
      </c>
      <c r="E84" t="inlineStr"/>
      <c r="F84" t="inlineStr"/>
      <c r="G84" t="inlineStr">
        <is>
          <t>Seattle, WA, US</t>
        </is>
      </c>
      <c r="H84" s="2" t="n">
        <v>45943</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in-4e1112f575d9a673</t>
        </is>
      </c>
      <c r="B85" t="inlineStr">
        <is>
          <t>Principal Applied Scientist, Advertiser Growth, Amazon Sponsored Products &amp; Brands</t>
        </is>
      </c>
      <c r="C85" t="inlineStr">
        <is>
          <t>Amazon.com</t>
        </is>
      </c>
      <c r="D85" t="inlineStr">
        <is>
          <t>indeed</t>
        </is>
      </c>
      <c r="E85" t="inlineStr"/>
      <c r="F85" t="inlineStr"/>
      <c r="G85" t="inlineStr">
        <is>
          <t>Palo Alto, CA, US</t>
        </is>
      </c>
      <c r="H85" s="2" t="n">
        <v>45942</v>
      </c>
      <c r="I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in-830d91ccf71b2a09</t>
        </is>
      </c>
      <c r="B86" t="inlineStr">
        <is>
          <t>Principal Applied Scientist, Advertiser Growth, Amazon Sponsored Products &amp; Brands</t>
        </is>
      </c>
      <c r="C86" t="inlineStr">
        <is>
          <t>Amazon.com</t>
        </is>
      </c>
      <c r="D86" t="inlineStr">
        <is>
          <t>indeed</t>
        </is>
      </c>
      <c r="E86" t="inlineStr"/>
      <c r="F86" t="inlineStr"/>
      <c r="G86" t="inlineStr">
        <is>
          <t>New York, NY, US</t>
        </is>
      </c>
      <c r="H86" s="2" t="n">
        <v>45942</v>
      </c>
      <c r="I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in-cb8413babb6d500e</t>
        </is>
      </c>
      <c r="B87" t="inlineStr">
        <is>
          <t>Principal Applied Scientist, Advertiser Growth, Amazon Sponsored Products &amp; Brands</t>
        </is>
      </c>
      <c r="C87" t="inlineStr">
        <is>
          <t>Amazon.com</t>
        </is>
      </c>
      <c r="D87" t="inlineStr">
        <is>
          <t>indeed</t>
        </is>
      </c>
      <c r="E87" t="inlineStr"/>
      <c r="F87" t="inlineStr"/>
      <c r="G87" t="inlineStr">
        <is>
          <t>Seattle, WA, US</t>
        </is>
      </c>
      <c r="H87" s="2"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in-e0aa7550bed97f81</t>
        </is>
      </c>
      <c r="B88" t="inlineStr">
        <is>
          <t>Applied Scientist, Artificial General Intelligence</t>
        </is>
      </c>
      <c r="C88" t="inlineStr">
        <is>
          <t>Amazon.com</t>
        </is>
      </c>
      <c r="D88" t="inlineStr">
        <is>
          <t>indeed</t>
        </is>
      </c>
      <c r="E88" t="inlineStr"/>
      <c r="F88" t="inlineStr"/>
      <c r="G88" t="inlineStr">
        <is>
          <t>Sunnyvale, CA, US</t>
        </is>
      </c>
      <c r="H88" s="2" t="n">
        <v>45937</v>
      </c>
      <c r="I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in-75c912606b68c73e</t>
        </is>
      </c>
      <c r="B89" t="inlineStr">
        <is>
          <t>Applied Scientist, Artificial General Intelligence</t>
        </is>
      </c>
      <c r="C89" t="inlineStr">
        <is>
          <t>Amazon.com</t>
        </is>
      </c>
      <c r="D89" t="inlineStr">
        <is>
          <t>indeed</t>
        </is>
      </c>
      <c r="E89" t="inlineStr"/>
      <c r="F89" t="inlineStr"/>
      <c r="G89" t="inlineStr">
        <is>
          <t>New York, NY, US</t>
        </is>
      </c>
      <c r="H89" s="2" t="n">
        <v>45937</v>
      </c>
      <c r="I8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in-92936d0f3633be08</t>
        </is>
      </c>
      <c r="B90" t="inlineStr">
        <is>
          <t>Applied Scientist, Artificial General Intelligence</t>
        </is>
      </c>
      <c r="C90" t="inlineStr">
        <is>
          <t>Amazon.com</t>
        </is>
      </c>
      <c r="D90" t="inlineStr">
        <is>
          <t>indeed</t>
        </is>
      </c>
      <c r="E90" t="inlineStr"/>
      <c r="F90" t="inlineStr"/>
      <c r="G90" t="inlineStr">
        <is>
          <t>Seattle, WA, US</t>
        </is>
      </c>
      <c r="H90" s="2" t="n">
        <v>45937</v>
      </c>
      <c r="I9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in-8e977b4b7579a770</t>
        </is>
      </c>
      <c r="B91" t="inlineStr">
        <is>
          <t>Applied Scientist, Artificial General Intelligence</t>
        </is>
      </c>
      <c r="C91" t="inlineStr">
        <is>
          <t>Amazon.com</t>
        </is>
      </c>
      <c r="D91" t="inlineStr">
        <is>
          <t>indeed</t>
        </is>
      </c>
      <c r="E91" t="inlineStr"/>
      <c r="F91" t="inlineStr"/>
      <c r="G91" t="inlineStr">
        <is>
          <t>Bellevue, WA, US</t>
        </is>
      </c>
      <c r="H91" s="2" t="n">
        <v>45937</v>
      </c>
      <c r="I9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in-a1ef1eee04a281d1</t>
        </is>
      </c>
      <c r="B92" t="inlineStr">
        <is>
          <t>Principal Applied Scientist, AGI Foundations</t>
        </is>
      </c>
      <c r="C92" t="inlineStr">
        <is>
          <t>Amazon.com</t>
        </is>
      </c>
      <c r="D92" t="inlineStr">
        <is>
          <t>indeed</t>
        </is>
      </c>
      <c r="E92" t="inlineStr"/>
      <c r="F92" t="inlineStr"/>
      <c r="G92" t="inlineStr">
        <is>
          <t>Bellevue, WA, US</t>
        </is>
      </c>
      <c r="H92" s="2" t="n">
        <v>45929</v>
      </c>
      <c r="I9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in-e1cdad14d6571f51</t>
        </is>
      </c>
      <c r="B93" t="inlineStr">
        <is>
          <t>Principal Applied Scientist, AGI Foundations</t>
        </is>
      </c>
      <c r="C93" t="inlineStr">
        <is>
          <t>Amazon.com</t>
        </is>
      </c>
      <c r="D93" t="inlineStr">
        <is>
          <t>indeed</t>
        </is>
      </c>
      <c r="E93" t="inlineStr"/>
      <c r="F93" t="inlineStr"/>
      <c r="G93" t="inlineStr">
        <is>
          <t>Sunnyvale, CA, US</t>
        </is>
      </c>
      <c r="H93" s="2" t="n">
        <v>45929</v>
      </c>
      <c r="I9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in-5b4a71fd115f9ead</t>
        </is>
      </c>
      <c r="B94" t="inlineStr">
        <is>
          <t>Principal Applied Scientist, Artificial General Intelligence</t>
        </is>
      </c>
      <c r="C94" t="inlineStr">
        <is>
          <t>Amazon.com</t>
        </is>
      </c>
      <c r="D94" t="inlineStr">
        <is>
          <t>indeed</t>
        </is>
      </c>
      <c r="E94" t="inlineStr"/>
      <c r="F94" t="inlineStr"/>
      <c r="G94" t="inlineStr">
        <is>
          <t>Sunnyvale, CA, US</t>
        </is>
      </c>
      <c r="H94" s="2" t="n">
        <v>45923</v>
      </c>
      <c r="I9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in-bbd7cbb7d797d46d</t>
        </is>
      </c>
      <c r="B95" t="inlineStr">
        <is>
          <t>Principal Applied Scientist, Artificial General Intelligence</t>
        </is>
      </c>
      <c r="C95" t="inlineStr">
        <is>
          <t>Amazon.com</t>
        </is>
      </c>
      <c r="D95" t="inlineStr">
        <is>
          <t>indeed</t>
        </is>
      </c>
      <c r="E95" t="inlineStr"/>
      <c r="F95" t="inlineStr"/>
      <c r="G95" t="inlineStr">
        <is>
          <t>New York, NY, US</t>
        </is>
      </c>
      <c r="H95" s="2" t="n">
        <v>45923</v>
      </c>
      <c r="I9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in-5bdd332ac78e8451</t>
        </is>
      </c>
      <c r="B96" t="inlineStr">
        <is>
          <t>Principal Applied Scientist, Artificial General Intelligence</t>
        </is>
      </c>
      <c r="C96" t="inlineStr">
        <is>
          <t>Amazon.com</t>
        </is>
      </c>
      <c r="D96" t="inlineStr">
        <is>
          <t>indeed</t>
        </is>
      </c>
      <c r="E96" t="inlineStr"/>
      <c r="F96" t="inlineStr"/>
      <c r="G96" t="inlineStr">
        <is>
          <t>Bellevue, WA, US</t>
        </is>
      </c>
      <c r="H96" s="2" t="n">
        <v>45923</v>
      </c>
      <c r="I9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in-52863d55c61035c3</t>
        </is>
      </c>
      <c r="B97" t="inlineStr">
        <is>
          <t>Principal Applied Scientist, Artificial General Intelligence</t>
        </is>
      </c>
      <c r="C97" t="inlineStr">
        <is>
          <t>Amazon.com</t>
        </is>
      </c>
      <c r="D97" t="inlineStr">
        <is>
          <t>indeed</t>
        </is>
      </c>
      <c r="E97" t="inlineStr"/>
      <c r="F97" t="inlineStr"/>
      <c r="G97" t="inlineStr">
        <is>
          <t>Boston, MA, US</t>
        </is>
      </c>
      <c r="H97" s="2" t="n">
        <v>45923</v>
      </c>
      <c r="I9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in-1e28336a1f325ff0</t>
        </is>
      </c>
      <c r="B98" t="inlineStr">
        <is>
          <t>Senior Applied Scientist, Artificial General Intelligence</t>
        </is>
      </c>
      <c r="C98" t="inlineStr">
        <is>
          <t>Amazon.com</t>
        </is>
      </c>
      <c r="D98" t="inlineStr">
        <is>
          <t>indeed</t>
        </is>
      </c>
      <c r="E98" t="inlineStr"/>
      <c r="F98" t="inlineStr"/>
      <c r="G98" t="inlineStr">
        <is>
          <t>Boston, MA, US</t>
        </is>
      </c>
      <c r="H98" s="2" t="n">
        <v>45922</v>
      </c>
      <c r="I9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in-0e019c8b102c21e2</t>
        </is>
      </c>
      <c r="B99" t="inlineStr">
        <is>
          <t>Senior Applied Scientist, Artificial General Intelligence</t>
        </is>
      </c>
      <c r="C99" t="inlineStr">
        <is>
          <t>Amazon.com</t>
        </is>
      </c>
      <c r="D99" t="inlineStr">
        <is>
          <t>indeed</t>
        </is>
      </c>
      <c r="E99" t="inlineStr"/>
      <c r="F99" t="inlineStr"/>
      <c r="G99" t="inlineStr">
        <is>
          <t>Seattle, WA, US</t>
        </is>
      </c>
      <c r="H99" s="2" t="n">
        <v>45922</v>
      </c>
      <c r="I9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in-3a1cc0f76b0e2403</t>
        </is>
      </c>
      <c r="B100" t="inlineStr">
        <is>
          <t>Senior Applied Scientist, Artificial General Intelligence</t>
        </is>
      </c>
      <c r="C100" t="inlineStr">
        <is>
          <t>Amazon.com</t>
        </is>
      </c>
      <c r="D100" t="inlineStr">
        <is>
          <t>indeed</t>
        </is>
      </c>
      <c r="E100" t="inlineStr"/>
      <c r="F100" t="inlineStr"/>
      <c r="G100" t="inlineStr">
        <is>
          <t>Sunnyvale, CA, US</t>
        </is>
      </c>
      <c r="H100" s="2" t="n">
        <v>45922</v>
      </c>
      <c r="I10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in-c203f35948a37a3e</t>
        </is>
      </c>
      <c r="B101" t="inlineStr">
        <is>
          <t>Applied Scientist, Artificial General Intelligence</t>
        </is>
      </c>
      <c r="C101" t="inlineStr">
        <is>
          <t>Amazon.com</t>
        </is>
      </c>
      <c r="D101" t="inlineStr">
        <is>
          <t>indeed</t>
        </is>
      </c>
      <c r="E101" t="inlineStr"/>
      <c r="F101" t="inlineStr"/>
      <c r="G101" t="inlineStr">
        <is>
          <t>Boston, MA, US</t>
        </is>
      </c>
      <c r="H101" s="2" t="n">
        <v>45921</v>
      </c>
      <c r="I10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in-436969159f3d03ec</t>
        </is>
      </c>
      <c r="B102" t="inlineStr">
        <is>
          <t>Applied Scientist, Artificial General Intelligence</t>
        </is>
      </c>
      <c r="C102" t="inlineStr">
        <is>
          <t>Amazon.com</t>
        </is>
      </c>
      <c r="D102" t="inlineStr">
        <is>
          <t>indeed</t>
        </is>
      </c>
      <c r="E102" t="inlineStr"/>
      <c r="F102" t="inlineStr"/>
      <c r="G102" t="inlineStr">
        <is>
          <t>Bellevue, WA, US</t>
        </is>
      </c>
      <c r="H102" s="2" t="n">
        <v>45921</v>
      </c>
      <c r="I10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in-b237f945ee6e3041</t>
        </is>
      </c>
      <c r="B103" t="inlineStr">
        <is>
          <t>Applied Scientist, Artificial General Intelligence</t>
        </is>
      </c>
      <c r="C103" t="inlineStr">
        <is>
          <t>Amazon.com</t>
        </is>
      </c>
      <c r="D103" t="inlineStr">
        <is>
          <t>indeed</t>
        </is>
      </c>
      <c r="E103" t="inlineStr"/>
      <c r="F103" t="inlineStr"/>
      <c r="G103" t="inlineStr">
        <is>
          <t>Seattle, WA, US</t>
        </is>
      </c>
      <c r="H103" s="2" t="n">
        <v>45921</v>
      </c>
      <c r="I10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in-877b37c2f93f5584</t>
        </is>
      </c>
      <c r="B104" t="inlineStr">
        <is>
          <t>Applied Scientist, Artificial General Intelligence</t>
        </is>
      </c>
      <c r="C104" t="inlineStr">
        <is>
          <t>Amazon.com</t>
        </is>
      </c>
      <c r="D104" t="inlineStr">
        <is>
          <t>indeed</t>
        </is>
      </c>
      <c r="E104" t="inlineStr"/>
      <c r="F104" t="inlineStr"/>
      <c r="G104" t="inlineStr">
        <is>
          <t>New York, NY, US</t>
        </is>
      </c>
      <c r="H104" s="2" t="n">
        <v>45921</v>
      </c>
      <c r="I10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in-b7a483a21f8ee4e4</t>
        </is>
      </c>
      <c r="B105" t="inlineStr">
        <is>
          <t>Senior Applied Scientist, Model Customization, Generative AI Innovation Center</t>
        </is>
      </c>
      <c r="C105" t="inlineStr">
        <is>
          <t>Amazon Web Services</t>
        </is>
      </c>
      <c r="D105" t="inlineStr">
        <is>
          <t>indeed</t>
        </is>
      </c>
      <c r="E105" t="inlineStr"/>
      <c r="F105" t="inlineStr"/>
      <c r="G105" t="inlineStr">
        <is>
          <t>Arlington, VA, US</t>
        </is>
      </c>
      <c r="H105" s="2" t="n">
        <v>45908</v>
      </c>
      <c r="I10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in-b17b5ac3c3b0e9a7</t>
        </is>
      </c>
      <c r="B106" t="inlineStr">
        <is>
          <t>Senior Applied Scientist, Model Customization, Generative AI Innovation Center</t>
        </is>
      </c>
      <c r="C106" t="inlineStr">
        <is>
          <t>Amazon Web Services</t>
        </is>
      </c>
      <c r="D106" t="inlineStr">
        <is>
          <t>indeed</t>
        </is>
      </c>
      <c r="E106" t="inlineStr"/>
      <c r="F106" t="inlineStr"/>
      <c r="G106" t="inlineStr">
        <is>
          <t>New York, NY, US</t>
        </is>
      </c>
      <c r="H106" s="2" t="n">
        <v>45908</v>
      </c>
      <c r="I10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in-4f1afa12e1cded64</t>
        </is>
      </c>
      <c r="B107" t="inlineStr">
        <is>
          <t>Senior Applied Scientist, Model Customization, Generative AI Innovation Center</t>
        </is>
      </c>
      <c r="C107" t="inlineStr">
        <is>
          <t>Amazon Web Services</t>
        </is>
      </c>
      <c r="D107" t="inlineStr">
        <is>
          <t>indeed</t>
        </is>
      </c>
      <c r="E107" t="inlineStr"/>
      <c r="F107" t="inlineStr"/>
      <c r="G107" t="inlineStr">
        <is>
          <t>Seattle, WA, US</t>
        </is>
      </c>
      <c r="H107" s="2" t="n">
        <v>45908</v>
      </c>
      <c r="I10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in-3f710f25b378bc03</t>
        </is>
      </c>
      <c r="B108" t="inlineStr">
        <is>
          <t>Senior Applied Scientist, Model Customization, Generative AI Innovation Center</t>
        </is>
      </c>
      <c r="C108" t="inlineStr">
        <is>
          <t>Amazon Web Services</t>
        </is>
      </c>
      <c r="D108" t="inlineStr">
        <is>
          <t>indeed</t>
        </is>
      </c>
      <c r="E108" t="inlineStr"/>
      <c r="F108" t="inlineStr"/>
      <c r="G108" t="inlineStr">
        <is>
          <t>Bellevue, WA, US</t>
        </is>
      </c>
      <c r="H108" s="2" t="n">
        <v>45908</v>
      </c>
      <c r="I10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in-95813a80bfd83cc3</t>
        </is>
      </c>
      <c r="B109" t="inlineStr">
        <is>
          <t>Senior Applied Scientist, Artificial General Intelligence</t>
        </is>
      </c>
      <c r="C109" t="inlineStr">
        <is>
          <t>Amazon.com</t>
        </is>
      </c>
      <c r="D109" t="inlineStr">
        <is>
          <t>indeed</t>
        </is>
      </c>
      <c r="E109" t="inlineStr"/>
      <c r="F109" t="inlineStr"/>
      <c r="G109" t="inlineStr">
        <is>
          <t>Sunnyvale, CA, US</t>
        </is>
      </c>
      <c r="H109" s="2" t="n">
        <v>45907</v>
      </c>
      <c r="I10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in-517468d9321cc727</t>
        </is>
      </c>
      <c r="B110" t="inlineStr">
        <is>
          <t>Senior Applied Scientist, Artificial General Intelligence</t>
        </is>
      </c>
      <c r="C110" t="inlineStr">
        <is>
          <t>Amazon.com</t>
        </is>
      </c>
      <c r="D110" t="inlineStr">
        <is>
          <t>indeed</t>
        </is>
      </c>
      <c r="E110" t="inlineStr"/>
      <c r="F110" t="inlineStr"/>
      <c r="G110" t="inlineStr">
        <is>
          <t>Bellevue, WA, US</t>
        </is>
      </c>
      <c r="H110" s="2" t="n">
        <v>45907</v>
      </c>
      <c r="I11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in-3f834bee95c0a5b6</t>
        </is>
      </c>
      <c r="B111" t="inlineStr">
        <is>
          <t>Senior Applied Scientist, Artificial General Intelligence</t>
        </is>
      </c>
      <c r="C111" t="inlineStr">
        <is>
          <t>Amazon.com</t>
        </is>
      </c>
      <c r="D111" t="inlineStr">
        <is>
          <t>indeed</t>
        </is>
      </c>
      <c r="E111" t="inlineStr"/>
      <c r="F111" t="inlineStr"/>
      <c r="G111" t="inlineStr">
        <is>
          <t>Seattle, WA, US</t>
        </is>
      </c>
      <c r="H111" s="2" t="n">
        <v>45907</v>
      </c>
      <c r="I11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in-7b9f7ed7b069a2ed</t>
        </is>
      </c>
      <c r="B112" t="inlineStr">
        <is>
          <t>Senior Applied Scientist, Artificial General Intelligence</t>
        </is>
      </c>
      <c r="C112" t="inlineStr">
        <is>
          <t>Amazon.com</t>
        </is>
      </c>
      <c r="D112" t="inlineStr">
        <is>
          <t>indeed</t>
        </is>
      </c>
      <c r="E112" t="inlineStr"/>
      <c r="F112" t="inlineStr"/>
      <c r="G112" t="inlineStr">
        <is>
          <t>New York, NY, US</t>
        </is>
      </c>
      <c r="H112" s="2" t="n">
        <v>45907</v>
      </c>
      <c r="I11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in-04ee38a549ef955d</t>
        </is>
      </c>
      <c r="B113" t="inlineStr">
        <is>
          <t>Data Scientist, Data and Machine Learning, WWPS US Federal</t>
        </is>
      </c>
      <c r="C113" t="inlineStr">
        <is>
          <t>Amazon Web Services</t>
        </is>
      </c>
      <c r="D113" t="inlineStr">
        <is>
          <t>indeed</t>
        </is>
      </c>
      <c r="E113" t="inlineStr"/>
      <c r="F113" t="inlineStr"/>
      <c r="G113" t="inlineStr">
        <is>
          <t>Jessup, MD, US</t>
        </is>
      </c>
      <c r="H113" s="2" t="n">
        <v>45872</v>
      </c>
      <c r="I11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in-f689f3334cc60a28</t>
        </is>
      </c>
      <c r="B114" t="inlineStr">
        <is>
          <t>Senior Data Scientist, Data and Machine Learning, WWPS US Federal</t>
        </is>
      </c>
      <c r="C114" t="inlineStr">
        <is>
          <t>Amazon Web Services</t>
        </is>
      </c>
      <c r="D114" t="inlineStr">
        <is>
          <t>indeed</t>
        </is>
      </c>
      <c r="E114" t="inlineStr"/>
      <c r="F114" t="inlineStr"/>
      <c r="G114" t="inlineStr">
        <is>
          <t>Arlington, VA, US</t>
        </is>
      </c>
      <c r="H114" s="2" t="n">
        <v>45872</v>
      </c>
      <c r="I11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in-7caad0bc5a7925dc</t>
        </is>
      </c>
      <c r="B115" t="inlineStr">
        <is>
          <t>Senior Data Scientist, Data and Machine Learning, WWPS US Federal</t>
        </is>
      </c>
      <c r="C115" t="inlineStr">
        <is>
          <t>Amazon Web Services</t>
        </is>
      </c>
      <c r="D115" t="inlineStr">
        <is>
          <t>indeed</t>
        </is>
      </c>
      <c r="E115" t="inlineStr"/>
      <c r="F115" t="inlineStr"/>
      <c r="G115" t="inlineStr">
        <is>
          <t>Jessup, MD, US</t>
        </is>
      </c>
      <c r="H115" s="2" t="n">
        <v>45872</v>
      </c>
      <c r="I11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in-0215af62ad1d30ce</t>
        </is>
      </c>
      <c r="B116" t="inlineStr">
        <is>
          <t>Data Scientist, Data and Machine Learning, WWPS US Federal</t>
        </is>
      </c>
      <c r="C116" t="inlineStr">
        <is>
          <t>Amazon Web Services</t>
        </is>
      </c>
      <c r="D116" t="inlineStr">
        <is>
          <t>indeed</t>
        </is>
      </c>
      <c r="E116" t="inlineStr"/>
      <c r="F116" t="inlineStr"/>
      <c r="G116" t="inlineStr">
        <is>
          <t>Herndon, VA, US</t>
        </is>
      </c>
      <c r="H116" s="2" t="n">
        <v>45872</v>
      </c>
      <c r="I11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in-c892005a2bc36958</t>
        </is>
      </c>
      <c r="B117" t="inlineStr">
        <is>
          <t>Senior Data Scientist, Data and Machine Learning, WWPS US Federal</t>
        </is>
      </c>
      <c r="C117" t="inlineStr">
        <is>
          <t>Amazon Web Services</t>
        </is>
      </c>
      <c r="D117" t="inlineStr">
        <is>
          <t>indeed</t>
        </is>
      </c>
      <c r="E117" t="inlineStr"/>
      <c r="F117" t="inlineStr"/>
      <c r="G117" t="inlineStr">
        <is>
          <t>Herndon, VA, US</t>
        </is>
      </c>
      <c r="H117" s="2" t="n">
        <v>45872</v>
      </c>
      <c r="I11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in-049b12d38e3edce3</t>
        </is>
      </c>
      <c r="B118" t="inlineStr">
        <is>
          <t>Data Scientist, Data and Machine Learning, WWPS US Federal</t>
        </is>
      </c>
      <c r="C118" t="inlineStr">
        <is>
          <t>Amazon Web Services</t>
        </is>
      </c>
      <c r="D118" t="inlineStr">
        <is>
          <t>indeed</t>
        </is>
      </c>
      <c r="E118" t="inlineStr"/>
      <c r="F118" t="inlineStr"/>
      <c r="G118" t="inlineStr">
        <is>
          <t>Arlington, VA, US</t>
        </is>
      </c>
      <c r="H118" s="2" t="n">
        <v>45872</v>
      </c>
      <c r="I11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in-3096cfcdc8029c84</t>
        </is>
      </c>
      <c r="B119" t="inlineStr">
        <is>
          <t>Principal Applied Scientist, AGI Foundations, AGI Foundations</t>
        </is>
      </c>
      <c r="C119" t="inlineStr">
        <is>
          <t>Amazon.com</t>
        </is>
      </c>
      <c r="D119" t="inlineStr">
        <is>
          <t>indeed</t>
        </is>
      </c>
      <c r="E119" t="inlineStr"/>
      <c r="F119" t="inlineStr"/>
      <c r="G119" t="inlineStr">
        <is>
          <t>Bellevue, WA, US</t>
        </is>
      </c>
      <c r="H119" s="2" t="n">
        <v>45856</v>
      </c>
      <c r="I11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in-c2b345fa8662c7a7</t>
        </is>
      </c>
      <c r="B120" t="inlineStr">
        <is>
          <t>Principal Applied Scientist, AGI Foundations, AGI Foundations</t>
        </is>
      </c>
      <c r="C120" t="inlineStr">
        <is>
          <t>Amazon.com</t>
        </is>
      </c>
      <c r="D120" t="inlineStr">
        <is>
          <t>indeed</t>
        </is>
      </c>
      <c r="E120" t="inlineStr"/>
      <c r="F120" t="inlineStr"/>
      <c r="G120" t="inlineStr">
        <is>
          <t>Boston, MA, US</t>
        </is>
      </c>
      <c r="H120" s="2" t="n">
        <v>45856</v>
      </c>
      <c r="I12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in-af9dc5d5a82be3dc</t>
        </is>
      </c>
      <c r="B121" t="inlineStr">
        <is>
          <t>Principal Applied Scientist, AGI Foundations, AGI Foundations</t>
        </is>
      </c>
      <c r="C121" t="inlineStr">
        <is>
          <t>Amazon.com</t>
        </is>
      </c>
      <c r="D121" t="inlineStr">
        <is>
          <t>indeed</t>
        </is>
      </c>
      <c r="E121" t="inlineStr"/>
      <c r="F121" t="inlineStr"/>
      <c r="G121" t="inlineStr">
        <is>
          <t>Sunnyvale, CA, US</t>
        </is>
      </c>
      <c r="H121" s="2" t="n">
        <v>45856</v>
      </c>
      <c r="I12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in-75c2055bb48704e5</t>
        </is>
      </c>
      <c r="B122" t="inlineStr">
        <is>
          <t>Principal Applied Scientist, AGI Foundations, AGI Foundations</t>
        </is>
      </c>
      <c r="C122" t="inlineStr">
        <is>
          <t>Amazon.com</t>
        </is>
      </c>
      <c r="D122" t="inlineStr">
        <is>
          <t>indeed</t>
        </is>
      </c>
      <c r="E122" t="inlineStr"/>
      <c r="F122" t="inlineStr"/>
      <c r="G122" t="inlineStr">
        <is>
          <t>New York, NY, US</t>
        </is>
      </c>
      <c r="H122" s="2" t="n">
        <v>45856</v>
      </c>
      <c r="I12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in-ad1e3dc88fe53174</t>
        </is>
      </c>
      <c r="B123" t="inlineStr">
        <is>
          <t>Sr. Applied Scientist, Amazon Advertising</t>
        </is>
      </c>
      <c r="C123" t="inlineStr">
        <is>
          <t>Amazon.com</t>
        </is>
      </c>
      <c r="D123" t="inlineStr">
        <is>
          <t>indeed</t>
        </is>
      </c>
      <c r="E123" t="inlineStr"/>
      <c r="F123" t="inlineStr"/>
      <c r="G123" t="inlineStr">
        <is>
          <t>Simi Valley, CA, US</t>
        </is>
      </c>
      <c r="H123" s="2" t="n">
        <v>45851</v>
      </c>
      <c r="I1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in-a690c9b9478dd075</t>
        </is>
      </c>
      <c r="B124" t="inlineStr">
        <is>
          <t>Sr. Applied Scientist, Amazon Advertising</t>
        </is>
      </c>
      <c r="C124" t="inlineStr">
        <is>
          <t>Amazon.com</t>
        </is>
      </c>
      <c r="D124" t="inlineStr">
        <is>
          <t>indeed</t>
        </is>
      </c>
      <c r="E124" t="inlineStr"/>
      <c r="F124" t="inlineStr"/>
      <c r="G124" t="inlineStr">
        <is>
          <t>Austin, TX, US</t>
        </is>
      </c>
      <c r="H124" s="2" t="n">
        <v>45851</v>
      </c>
      <c r="I1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in-4ccff07288a6935a</t>
        </is>
      </c>
      <c r="B125" t="inlineStr">
        <is>
          <t>Sr. Applied Scientist, Amazon Advertising</t>
        </is>
      </c>
      <c r="C125" t="inlineStr">
        <is>
          <t>Amazon.com</t>
        </is>
      </c>
      <c r="D125" t="inlineStr">
        <is>
          <t>indeed</t>
        </is>
      </c>
      <c r="E125" t="inlineStr"/>
      <c r="F125" t="inlineStr"/>
      <c r="G125" t="inlineStr">
        <is>
          <t>Arlington, VA, US</t>
        </is>
      </c>
      <c r="H125" s="2" t="n">
        <v>45851</v>
      </c>
      <c r="I1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in-4870f2f3637a83a2</t>
        </is>
      </c>
      <c r="B126" t="inlineStr">
        <is>
          <t>Sr. Applied Scientist, Amazon Advertising</t>
        </is>
      </c>
      <c r="C126" t="inlineStr">
        <is>
          <t>Amazon.com</t>
        </is>
      </c>
      <c r="D126" t="inlineStr">
        <is>
          <t>indeed</t>
        </is>
      </c>
      <c r="E126" t="inlineStr"/>
      <c r="F126" t="inlineStr"/>
      <c r="G126" t="inlineStr">
        <is>
          <t>Los Angeles, CA, US</t>
        </is>
      </c>
      <c r="H126" s="2" t="n">
        <v>45851</v>
      </c>
      <c r="I12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in-eeb9b3d85e5d01c5</t>
        </is>
      </c>
      <c r="B127" t="inlineStr">
        <is>
          <t>Sr. Applied Scientist, Amazon Advertising</t>
        </is>
      </c>
      <c r="C127" t="inlineStr">
        <is>
          <t>Amazon.com</t>
        </is>
      </c>
      <c r="D127" t="inlineStr">
        <is>
          <t>indeed</t>
        </is>
      </c>
      <c r="E127" t="inlineStr"/>
      <c r="F127" t="inlineStr"/>
      <c r="G127" t="inlineStr">
        <is>
          <t>New York, NY, US</t>
        </is>
      </c>
      <c r="H127" s="2" t="n">
        <v>45851</v>
      </c>
      <c r="I1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in-fcd5a3387bb96e54</t>
        </is>
      </c>
      <c r="B128" t="inlineStr">
        <is>
          <t>Sr. Applied Scientist, Amazon Advertising</t>
        </is>
      </c>
      <c r="C128" t="inlineStr">
        <is>
          <t>Amazon.com</t>
        </is>
      </c>
      <c r="D128" t="inlineStr">
        <is>
          <t>indeed</t>
        </is>
      </c>
      <c r="E128" t="inlineStr"/>
      <c r="F128" t="inlineStr"/>
      <c r="G128" t="inlineStr">
        <is>
          <t>Palo Alto, CA, US</t>
        </is>
      </c>
      <c r="H128" s="2" t="n">
        <v>45851</v>
      </c>
      <c r="I1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in-e544941e4d5b9fa9</t>
        </is>
      </c>
      <c r="B129" t="inlineStr">
        <is>
          <t>Sr. Applied Scientist, Amazon Advertising</t>
        </is>
      </c>
      <c r="C129" t="inlineStr">
        <is>
          <t>Amazon.com</t>
        </is>
      </c>
      <c r="D129" t="inlineStr">
        <is>
          <t>indeed</t>
        </is>
      </c>
      <c r="E129" t="inlineStr"/>
      <c r="F129" t="inlineStr"/>
      <c r="G129" t="inlineStr">
        <is>
          <t>Seattle, WA, US</t>
        </is>
      </c>
      <c r="H129" s="2" t="n">
        <v>45851</v>
      </c>
      <c r="I1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in-50b99067bfe32c53</t>
        </is>
      </c>
      <c r="B130" t="inlineStr">
        <is>
          <t>Sr. Applied Scientist, Amazon Advertising</t>
        </is>
      </c>
      <c r="C130" t="inlineStr">
        <is>
          <t>Amazon.com</t>
        </is>
      </c>
      <c r="D130" t="inlineStr">
        <is>
          <t>indeed</t>
        </is>
      </c>
      <c r="E130" t="inlineStr"/>
      <c r="F130" t="inlineStr"/>
      <c r="G130" t="inlineStr">
        <is>
          <t>West Hollywood, CA, US</t>
        </is>
      </c>
      <c r="H130" s="2" t="n">
        <v>45851</v>
      </c>
      <c r="I1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in-864fd68ccd2228fe</t>
        </is>
      </c>
      <c r="B131" t="inlineStr">
        <is>
          <t>Senior Applied Scientist, Artificial General Intelligence</t>
        </is>
      </c>
      <c r="C131" t="inlineStr">
        <is>
          <t>Amazon.com</t>
        </is>
      </c>
      <c r="D131" t="inlineStr">
        <is>
          <t>indeed</t>
        </is>
      </c>
      <c r="E131" t="inlineStr"/>
      <c r="F131" t="inlineStr"/>
      <c r="G131" t="inlineStr">
        <is>
          <t>Boston, MA, US</t>
        </is>
      </c>
      <c r="H131" s="2" t="n">
        <v>45846</v>
      </c>
      <c r="I13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in-4c61767912e1ea22</t>
        </is>
      </c>
      <c r="B132" t="inlineStr">
        <is>
          <t>Senior Applied Scientist, Artificial General Intelligence</t>
        </is>
      </c>
      <c r="C132" t="inlineStr">
        <is>
          <t>Amazon.com</t>
        </is>
      </c>
      <c r="D132" t="inlineStr">
        <is>
          <t>indeed</t>
        </is>
      </c>
      <c r="E132" t="inlineStr"/>
      <c r="F132" t="inlineStr"/>
      <c r="G132" t="inlineStr">
        <is>
          <t>Sunnyvale, CA, US</t>
        </is>
      </c>
      <c r="H132" s="2" t="n">
        <v>45846</v>
      </c>
      <c r="I13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in-a7a872705944d4e4</t>
        </is>
      </c>
      <c r="B133" t="inlineStr">
        <is>
          <t>Senior Applied Scientist, Artificial General Intelligence</t>
        </is>
      </c>
      <c r="C133" t="inlineStr">
        <is>
          <t>Amazon.com</t>
        </is>
      </c>
      <c r="D133" t="inlineStr">
        <is>
          <t>indeed</t>
        </is>
      </c>
      <c r="E133" t="inlineStr"/>
      <c r="F133" t="inlineStr"/>
      <c r="G133" t="inlineStr">
        <is>
          <t>Seattle, WA, US</t>
        </is>
      </c>
      <c r="H133" s="2" t="n">
        <v>45846</v>
      </c>
      <c r="I13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in-9f038ee45cf37daa</t>
        </is>
      </c>
      <c r="B134" t="inlineStr">
        <is>
          <t>Sr. Data Scientist, Amazon Leo Global Planning, Amazon Leo</t>
        </is>
      </c>
      <c r="C134" t="inlineStr">
        <is>
          <t>Amazon.com</t>
        </is>
      </c>
      <c r="D134" t="inlineStr">
        <is>
          <t>indeed</t>
        </is>
      </c>
      <c r="E134" t="inlineStr"/>
      <c r="F134" t="inlineStr"/>
      <c r="G134" t="inlineStr">
        <is>
          <t>Bellevue, WA, US</t>
        </is>
      </c>
      <c r="H134" s="2" t="n">
        <v>45830</v>
      </c>
      <c r="I13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in-de55c6540399c9a0</t>
        </is>
      </c>
      <c r="B135" t="inlineStr">
        <is>
          <t>Sr. Data Scientist, Amazon Leo Global Planning, Amazon Leo</t>
        </is>
      </c>
      <c r="C135" t="inlineStr">
        <is>
          <t>Amazon.com</t>
        </is>
      </c>
      <c r="D135" t="inlineStr">
        <is>
          <t>indeed</t>
        </is>
      </c>
      <c r="E135" t="inlineStr"/>
      <c r="F135" t="inlineStr"/>
      <c r="G135" t="inlineStr">
        <is>
          <t>Redmond, WA, US</t>
        </is>
      </c>
      <c r="H135" s="2" t="n">
        <v>45830</v>
      </c>
      <c r="I135"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in-cea645f9ff6be319</t>
        </is>
      </c>
      <c r="B136" t="inlineStr">
        <is>
          <t>Principal Applied Scientist, FAR (Frontier AI &amp; Robotics)</t>
        </is>
      </c>
      <c r="C136" t="inlineStr">
        <is>
          <t>Amazon.com</t>
        </is>
      </c>
      <c r="D136" t="inlineStr">
        <is>
          <t>indeed</t>
        </is>
      </c>
      <c r="E136" t="inlineStr"/>
      <c r="F136" t="inlineStr"/>
      <c r="G136" t="inlineStr">
        <is>
          <t>San Francisco, CA, US</t>
        </is>
      </c>
      <c r="H136" s="2" t="n">
        <v>45740</v>
      </c>
      <c r="I13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in-8e8af19077b53b57</t>
        </is>
      </c>
      <c r="B137" t="inlineStr">
        <is>
          <t>Principal Applied Scientist, FAR (Frontier AI &amp; Robotics)</t>
        </is>
      </c>
      <c r="C137" t="inlineStr">
        <is>
          <t>Amazon.com</t>
        </is>
      </c>
      <c r="D137" t="inlineStr">
        <is>
          <t>indeed</t>
        </is>
      </c>
      <c r="E137" t="inlineStr"/>
      <c r="F137" t="inlineStr"/>
      <c r="G137" t="inlineStr">
        <is>
          <t>Seattle, WA, US</t>
        </is>
      </c>
      <c r="H137" s="2" t="n">
        <v>45740</v>
      </c>
      <c r="I13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in-0d693d5ddce77180</t>
        </is>
      </c>
      <c r="B138" t="inlineStr">
        <is>
          <t>Applied Scientist, Personalization, DTx Science</t>
        </is>
      </c>
      <c r="C138" t="inlineStr">
        <is>
          <t>Amazon.com</t>
        </is>
      </c>
      <c r="D138" t="inlineStr">
        <is>
          <t>indeed</t>
        </is>
      </c>
      <c r="E138" t="inlineStr"/>
      <c r="F138" t="inlineStr"/>
      <c r="G138" t="inlineStr">
        <is>
          <t>New York, NY, US</t>
        </is>
      </c>
      <c r="H138" s="2" t="n">
        <v>45979</v>
      </c>
      <c r="I13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in-726de0502f7837fd</t>
        </is>
      </c>
      <c r="B139" t="inlineStr">
        <is>
          <t>Applied Scientist, Personalization, DTx Science</t>
        </is>
      </c>
      <c r="C139" t="inlineStr">
        <is>
          <t>Amazon.com</t>
        </is>
      </c>
      <c r="D139" t="inlineStr">
        <is>
          <t>indeed</t>
        </is>
      </c>
      <c r="E139" t="inlineStr"/>
      <c r="F139" t="inlineStr"/>
      <c r="G139" t="inlineStr">
        <is>
          <t>Seattle, WA, US</t>
        </is>
      </c>
      <c r="H139" s="2" t="n">
        <v>45979</v>
      </c>
      <c r="I13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in-02c19c7671e91ebb</t>
        </is>
      </c>
      <c r="B140" t="inlineStr">
        <is>
          <t>Applied Scientist, Sponsored Products</t>
        </is>
      </c>
      <c r="C140" t="inlineStr">
        <is>
          <t>Amazon.com</t>
        </is>
      </c>
      <c r="D140" t="inlineStr">
        <is>
          <t>indeed</t>
        </is>
      </c>
      <c r="E140" t="inlineStr"/>
      <c r="F140" t="inlineStr"/>
      <c r="G140" t="inlineStr">
        <is>
          <t>Seattle, WA, US</t>
        </is>
      </c>
      <c r="H140" s="2" t="n">
        <v>45971</v>
      </c>
      <c r="I14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in-1193304aef10fae3</t>
        </is>
      </c>
      <c r="B141" t="inlineStr">
        <is>
          <t>Sr. Applied Scientist, Sales AI</t>
        </is>
      </c>
      <c r="C141" t="inlineStr">
        <is>
          <t>Amazon.com</t>
        </is>
      </c>
      <c r="D141" t="inlineStr">
        <is>
          <t>indeed</t>
        </is>
      </c>
      <c r="E141" t="inlineStr"/>
      <c r="F141" t="inlineStr"/>
      <c r="G141" t="inlineStr">
        <is>
          <t>New York, NY, US</t>
        </is>
      </c>
      <c r="H141" s="2" t="n">
        <v>45830</v>
      </c>
      <c r="I14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in-df9b98d59612f14e</t>
        </is>
      </c>
      <c r="B142" t="inlineStr">
        <is>
          <t>Sr. Applied Scientist, Sales AI</t>
        </is>
      </c>
      <c r="C142" t="inlineStr">
        <is>
          <t>Amazon.com</t>
        </is>
      </c>
      <c r="D142" t="inlineStr">
        <is>
          <t>indeed</t>
        </is>
      </c>
      <c r="E142" t="inlineStr"/>
      <c r="F142" t="inlineStr"/>
      <c r="G142" t="inlineStr">
        <is>
          <t>Sunnyvale, CA, US</t>
        </is>
      </c>
      <c r="H142" s="2" t="n">
        <v>45830</v>
      </c>
      <c r="I14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in-ac86a51607126cf7</t>
        </is>
      </c>
      <c r="B143" t="inlineStr">
        <is>
          <t>Sr. Applied Scientist, Sales AI</t>
        </is>
      </c>
      <c r="C143" t="inlineStr">
        <is>
          <t>Amazon.com</t>
        </is>
      </c>
      <c r="D143" t="inlineStr">
        <is>
          <t>indeed</t>
        </is>
      </c>
      <c r="E143" t="inlineStr"/>
      <c r="F143" t="inlineStr"/>
      <c r="G143" t="inlineStr">
        <is>
          <t>Seattle, WA, US</t>
        </is>
      </c>
      <c r="H143" s="2" t="n">
        <v>45830</v>
      </c>
      <c r="I14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in-e60af7d534e4bb8b</t>
        </is>
      </c>
      <c r="B144" t="inlineStr">
        <is>
          <t>Staff Data Scientist, AMER</t>
        </is>
      </c>
      <c r="C144" t="inlineStr">
        <is>
          <t>Airwallex</t>
        </is>
      </c>
      <c r="D144" t="inlineStr">
        <is>
          <t>indeed</t>
        </is>
      </c>
      <c r="E144" t="inlineStr"/>
      <c r="F144" t="inlineStr"/>
      <c r="G144" t="inlineStr">
        <is>
          <t>San Francisco, CA, US</t>
        </is>
      </c>
      <c r="H144" s="2" t="n">
        <v>46026</v>
      </c>
      <c r="I144" t="inlineStr">
        <is>
          <t>**About Airwallex**
-------------------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the team**
------------------
The Strategic Data Science team provides Airwallex’s Leadership with the data, tooling, and insights needed to amplify Airwallex’s rapid growth. We partner across the entire business, giving us an overarching view and opinion on what Airwallex should prioritize. Our expertise spans the full data stack, and we use it to tackle complex data problems that will shape the future of global fintech. The team is growing quickly, and currently based in the US, China, and Singapore.
**Learn more about the data science team in** **this blog**
**What you’ll do**
------------------
### **Responsibilities:**
* Be the go\-to data partner for the Head of AMER
* Use causal inference methods to understand how macroeconomic events impact the business.
* Leverage AI to generate insights and improve business and team efficiency.
* Lead Airwallex’s forecasting efforts by 1\) building tools that aggregate and evaluate forecasts 2\) applying advanced statistical methods to build your own forecasts.
* Scope and build data products. In some cases building MVPs, and in others, fully fleshed out solutions.
* Mentor junior team members and cultivate an environment grounded in technical excellence, clear communication, and proactive critical thinking.
**Who you are**
---------------
We're looking for people who meet the minimum qualifications for this role. The preferred qualifications are great to have, but are not mandatory.
### **Minimum qualifications:**
* 7\+ years industry experience and an advanced degree (PhD or MS) in a quantitative field (e.g. Statistics, Engineering, Sciences, Computer Science, Economics)
* Excellent communication skills, ideally with a proven track record of working directly with executive\-level stakeholders to influence strategy.
* Expertise in causal inference methods and forecasting.
* Expertise in data querying languages (e.g. SQL) and scripting languages (e.g. Python, R).
* Experience with data architecture technologies such as Airflow, Databricks, and dbt.
**Preferred qualifications:**
* Experience in technology, financial services and/or a high growth environment.
* Experience with Excel and Finance systems (e.g. Oracle).
**Applicant Safety Policy: Fraud and Third\-Party Recruiters**
--------------------------------------------------------------
*To protect you from recruitment scams, please be aware that Airwallex will not ask for bank details, sensitive ID numbers (i.e. passport), or any form of payment during the application or interview process. All official communication will come from an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$250K \- $299K</t>
        </is>
      </c>
    </row>
    <row r="145">
      <c r="A145" t="inlineStr">
        <is>
          <t>in-5186420a2075840e</t>
        </is>
      </c>
      <c r="B145" t="inlineStr">
        <is>
          <t>Data Scientist – Content</t>
        </is>
      </c>
      <c r="C145" t="inlineStr">
        <is>
          <t>theklicker</t>
        </is>
      </c>
      <c r="D145" t="inlineStr">
        <is>
          <t>indeed</t>
        </is>
      </c>
      <c r="E145" t="inlineStr"/>
      <c r="F145" t="inlineStr"/>
      <c r="G145" t="inlineStr">
        <is>
          <t>Palo Alto, CA, US</t>
        </is>
      </c>
      <c r="H145" s="2" t="n">
        <v>46026</v>
      </c>
      <c r="I145" t="inlineStr">
        <is>
          <t>**Company Description**
theklicker is an online platform specializing in electronic product price comparison, enabling users to effortlessly compare prices across multiple booking sites. Designed as a one\-stop\-shop for all electronic products, theklicker is committed to delivering a seamless and user\-friendly experience. By integrating cutting\-edge technology, theklicker helps customers make informed decisions and find the best deals efficiently.
**Role Description**
This is a full\-time on\-site role for a Data Scientist – Content, based in Palo Alto, CA. The Data Scientist will lead efforts in extracting, analyzing, and interpreting large data sets to generate actionable insights. Day\-to\-day tasks include conducting statistical analysis, developing detailed data visualizations, applying data science techniques to improve content recommendations, and collaborating with cross\-functional teams to optimize the platforms. The candidate will also support the team by identifying trends, patterns, and opportunities to enhance the user experience through data\-driven strategies.
**Qualifications**
Proficiency in Data Science, including machine learning, predictive modeling, and algorithm development
Strong foundation in Statistics and applied statistical methodologies
Expertise in Data Analytics and Data Analysis, focusing on identifying trends and solving problems
Experience with Data Visualization tools and techniques to present complex data in a user\-friendly way
Strong programming skills and familiarity with tools such as Python, R, SQL, or similar  
Excellent problem\-solving skills and the ability to handle complex datasets
Effective communication and collaboration skills to work in cross\-functional teams
Bachelor’s or Master’s degree in Data Science, Statistics, Computer Science, or related fields  
Experience in e\-commerce or price comparison platforms is a plus
**Job Category:** Engineering**Job Type:** Full Time**Job Location:** Palo Alto</t>
        </is>
      </c>
    </row>
    <row r="146">
      <c r="A146" t="inlineStr">
        <is>
          <t>in-7a9dacec10112e80</t>
        </is>
      </c>
      <c r="B146" t="inlineStr">
        <is>
          <t>Sr. Applied Scientist, AGI Foundations</t>
        </is>
      </c>
      <c r="C146" t="inlineStr">
        <is>
          <t>Amazon.com</t>
        </is>
      </c>
      <c r="D146" t="inlineStr">
        <is>
          <t>indeed</t>
        </is>
      </c>
      <c r="E146">
        <f>HYPERLINK("https://www.indeed.com/viewjob?jk=7a9dacec10112e80", "https://www.indeed.com/viewjob?jk=7a9dacec10112e80")</f>
        <v/>
      </c>
      <c r="F146">
        <f>HYPERLINK("https://www.amazon.jobs/jobs/3128807/sr-applied-scientist-agi-foundations?cmpid=DA_INAD200785B", "https://www.amazon.jobs/jobs/3128807/sr-applied-scientist-agi-foundations?cmpid=DA_INAD200785B")</f>
        <v/>
      </c>
      <c r="G146" t="inlineStr">
        <is>
          <t>Boston, MA, US</t>
        </is>
      </c>
      <c r="H146" s="3" t="n">
        <v>45978</v>
      </c>
      <c r="I14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in-8a64c4ba0cd6e344</t>
        </is>
      </c>
      <c r="B147" t="inlineStr">
        <is>
          <t>Sr. Applied Scientist, AGI Foundations</t>
        </is>
      </c>
      <c r="C147" t="inlineStr">
        <is>
          <t>Amazon.com</t>
        </is>
      </c>
      <c r="D147" t="inlineStr">
        <is>
          <t>indeed</t>
        </is>
      </c>
      <c r="E147">
        <f>HYPERLINK("https://www.indeed.com/viewjob?jk=8a64c4ba0cd6e344", "https://www.indeed.com/viewjob?jk=8a64c4ba0cd6e344")</f>
        <v/>
      </c>
      <c r="F147">
        <f>HYPERLINK("https://www.amazon.jobs/jobs/3123268/sr-applied-scientist-agi-foundations?cmpid=DA_INAD200785B", "https://www.amazon.jobs/jobs/3123268/sr-applied-scientist-agi-foundations?cmpid=DA_INAD200785B")</f>
        <v/>
      </c>
      <c r="G147" t="inlineStr">
        <is>
          <t>Boston, MA, US</t>
        </is>
      </c>
      <c r="H147" s="3" t="n">
        <v>45963</v>
      </c>
      <c r="I14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in-98123fa3d0afb708</t>
        </is>
      </c>
      <c r="B148" t="inlineStr">
        <is>
          <t>Sr. Applied Scientist, AGI Foundations</t>
        </is>
      </c>
      <c r="C148" t="inlineStr">
        <is>
          <t>Amazon.com</t>
        </is>
      </c>
      <c r="D148" t="inlineStr">
        <is>
          <t>indeed</t>
        </is>
      </c>
      <c r="E148">
        <f>HYPERLINK("https://www.indeed.com/viewjob?jk=98123fa3d0afb708", "https://www.indeed.com/viewjob?jk=98123fa3d0afb708")</f>
        <v/>
      </c>
      <c r="F148">
        <f>HYPERLINK("https://www.amazon.jobs/jobs/3123268/sr-applied-scientist-agi-foundations?cmpid=DA_INAD200785B", "https://www.amazon.jobs/jobs/3123268/sr-applied-scientist-agi-foundations?cmpid=DA_INAD200785B")</f>
        <v/>
      </c>
      <c r="G148" t="inlineStr">
        <is>
          <t>Bellevue, WA, US</t>
        </is>
      </c>
      <c r="H148" s="3" t="n">
        <v>45963</v>
      </c>
      <c r="I14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in-391f2a9a09966b39</t>
        </is>
      </c>
      <c r="B149" t="inlineStr">
        <is>
          <t>Sr. Applied Scientist, AGI Foundations</t>
        </is>
      </c>
      <c r="C149" t="inlineStr">
        <is>
          <t>Amazon.com</t>
        </is>
      </c>
      <c r="D149" t="inlineStr">
        <is>
          <t>indeed</t>
        </is>
      </c>
      <c r="E149">
        <f>HYPERLINK("https://www.indeed.com/viewjob?jk=391f2a9a09966b39", "https://www.indeed.com/viewjob?jk=391f2a9a09966b39")</f>
        <v/>
      </c>
      <c r="F149">
        <f>HYPERLINK("https://www.amazon.jobs/jobs/3123268/sr-applied-scientist-agi-foundations?cmpid=DA_INAD200785B", "https://www.amazon.jobs/jobs/3123268/sr-applied-scientist-agi-foundations?cmpid=DA_INAD200785B")</f>
        <v/>
      </c>
      <c r="G149" t="inlineStr">
        <is>
          <t>New York, NY, US</t>
        </is>
      </c>
      <c r="H149" s="3" t="n">
        <v>45963</v>
      </c>
      <c r="I14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in-2b950bce54dc0a9a</t>
        </is>
      </c>
      <c r="B150" t="inlineStr">
        <is>
          <t>Applied Scientist II, Prime Video - Personalization and Discovery Science, Personalization and Discovery Science</t>
        </is>
      </c>
      <c r="C150" t="inlineStr">
        <is>
          <t>Amazon.com</t>
        </is>
      </c>
      <c r="D150" t="inlineStr">
        <is>
          <t>indeed</t>
        </is>
      </c>
      <c r="E150">
        <f>HYPERLINK("https://www.indeed.com/viewjob?jk=2b950bce54dc0a9a", "https://www.indeed.com/viewjob?jk=2b950bce54dc0a9a")</f>
        <v/>
      </c>
      <c r="F15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0" t="inlineStr">
        <is>
          <t>Sunnyvale, CA, US</t>
        </is>
      </c>
      <c r="H150" s="3" t="n">
        <v>45930</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in-c525142a01db7643</t>
        </is>
      </c>
      <c r="B151" t="inlineStr">
        <is>
          <t>Applied Scientist II, Prime Video - Personalization and Discovery Science, Personalization and Discovery Science</t>
        </is>
      </c>
      <c r="C151" t="inlineStr">
        <is>
          <t>Amazon.com</t>
        </is>
      </c>
      <c r="D151" t="inlineStr">
        <is>
          <t>indeed</t>
        </is>
      </c>
      <c r="E151">
        <f>HYPERLINK("https://www.indeed.com/viewjob?jk=c525142a01db7643", "https://www.indeed.com/viewjob?jk=c525142a01db7643")</f>
        <v/>
      </c>
      <c r="F15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1" t="inlineStr">
        <is>
          <t>New York, NY, US</t>
        </is>
      </c>
      <c r="H151" s="3" t="n">
        <v>45930</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in-676292258ad3a9d7</t>
        </is>
      </c>
      <c r="B152" t="inlineStr">
        <is>
          <t>Applied Scientist II, Prime Video - Personalization and Discovery Science, Personalization and Discovery Science</t>
        </is>
      </c>
      <c r="C152" t="inlineStr">
        <is>
          <t>Amazon.com</t>
        </is>
      </c>
      <c r="D152" t="inlineStr">
        <is>
          <t>indeed</t>
        </is>
      </c>
      <c r="E152">
        <f>HYPERLINK("https://www.indeed.com/viewjob?jk=676292258ad3a9d7", "https://www.indeed.com/viewjob?jk=676292258ad3a9d7")</f>
        <v/>
      </c>
      <c r="F15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2" t="inlineStr">
        <is>
          <t>Seattle, WA, US</t>
        </is>
      </c>
      <c r="H152" s="3" t="n">
        <v>45930</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in-1773bbd213a0220b</t>
        </is>
      </c>
      <c r="B153" t="inlineStr">
        <is>
          <t>Applied Scientist II, Prime Video - Personalization and Discovery Science</t>
        </is>
      </c>
      <c r="C153" t="inlineStr">
        <is>
          <t>Amazon.com</t>
        </is>
      </c>
      <c r="D153" t="inlineStr">
        <is>
          <t>indeed</t>
        </is>
      </c>
      <c r="E153">
        <f>HYPERLINK("https://www.indeed.com/viewjob?jk=1773bbd213a0220b", "https://www.indeed.com/viewjob?jk=1773bbd213a0220b")</f>
        <v/>
      </c>
      <c r="F153">
        <f>HYPERLINK("https://www.amazon.jobs/jobs/3086060/applied-scientist-ii-prime-video--personalization-and-discovery-science?cmpid=DA_INAD200785B", "https://www.amazon.jobs/jobs/3086060/applied-scientist-ii-prime-video--personalization-and-discovery-science?cmpid=DA_INAD200785B")</f>
        <v/>
      </c>
      <c r="G153" t="inlineStr">
        <is>
          <t>Sunnyvale, CA, US</t>
        </is>
      </c>
      <c r="H153" s="3" t="n">
        <v>45915</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in-69b0c9af3eacfb1d</t>
        </is>
      </c>
      <c r="B154" t="inlineStr">
        <is>
          <t>Applied Scientist II, Prime Video - Personalization and Discovery Science</t>
        </is>
      </c>
      <c r="C154" t="inlineStr">
        <is>
          <t>Amazon.com</t>
        </is>
      </c>
      <c r="D154" t="inlineStr">
        <is>
          <t>indeed</t>
        </is>
      </c>
      <c r="E154">
        <f>HYPERLINK("https://www.indeed.com/viewjob?jk=69b0c9af3eacfb1d", "https://www.indeed.com/viewjob?jk=69b0c9af3eacfb1d")</f>
        <v/>
      </c>
      <c r="F154">
        <f>HYPERLINK("https://www.amazon.jobs/jobs/3086060/applied-scientist-ii-prime-video--personalization-and-discovery-science?cmpid=DA_INAD200785B", "https://www.amazon.jobs/jobs/3086060/applied-scientist-ii-prime-video--personalization-and-discovery-science?cmpid=DA_INAD200785B")</f>
        <v/>
      </c>
      <c r="G154" t="inlineStr">
        <is>
          <t>Seattle, WA, US</t>
        </is>
      </c>
      <c r="H154" s="3" t="n">
        <v>45915</v>
      </c>
      <c r="I1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in-a5d8ac82b9004773</t>
        </is>
      </c>
      <c r="B155" t="inlineStr">
        <is>
          <t>Applied Scientist II, Prime Video - Personalization and Discovery Science</t>
        </is>
      </c>
      <c r="C155" t="inlineStr">
        <is>
          <t>Amazon.com</t>
        </is>
      </c>
      <c r="D155" t="inlineStr">
        <is>
          <t>indeed</t>
        </is>
      </c>
      <c r="E155">
        <f>HYPERLINK("https://www.indeed.com/viewjob?jk=a5d8ac82b9004773", "https://www.indeed.com/viewjob?jk=a5d8ac82b9004773")</f>
        <v/>
      </c>
      <c r="F155">
        <f>HYPERLINK("https://www.amazon.jobs/jobs/3086060/applied-scientist-ii-prime-video--personalization-and-discovery-science?cmpid=DA_INAD200785B", "https://www.amazon.jobs/jobs/3086060/applied-scientist-ii-prime-video--personalization-and-discovery-science?cmpid=DA_INAD200785B")</f>
        <v/>
      </c>
      <c r="G155" t="inlineStr">
        <is>
          <t>New York, NY, US</t>
        </is>
      </c>
      <c r="H155" s="3" t="n">
        <v>45915</v>
      </c>
      <c r="I1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in-2f93ae581e9e7035</t>
        </is>
      </c>
      <c r="B156" t="inlineStr">
        <is>
          <t>Sr. Applied Scientist, Prime Video - Personalization and Discovery Science</t>
        </is>
      </c>
      <c r="C156" t="inlineStr">
        <is>
          <t>Amazon.com</t>
        </is>
      </c>
      <c r="D156" t="inlineStr">
        <is>
          <t>indeed</t>
        </is>
      </c>
      <c r="E156">
        <f>HYPERLINK("https://www.indeed.com/viewjob?jk=2f93ae581e9e7035", "https://www.indeed.com/viewjob?jk=2f93ae581e9e7035")</f>
        <v/>
      </c>
      <c r="F156">
        <f>HYPERLINK("https://www.amazon.jobs/jobs/3083564/sr-applied-scientist-prime-video--personalization-and-discovery-science?cmpid=DA_INAD200785B", "https://www.amazon.jobs/jobs/3083564/sr-applied-scientist-prime-video--personalization-and-discovery-science?cmpid=DA_INAD200785B")</f>
        <v/>
      </c>
      <c r="G156" t="inlineStr">
        <is>
          <t>New York, NY, US</t>
        </is>
      </c>
      <c r="H156" s="3" t="n">
        <v>45914</v>
      </c>
      <c r="I1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in-8b9cb2ae961f2275</t>
        </is>
      </c>
      <c r="B157" t="inlineStr">
        <is>
          <t>Sr. Applied Scientist, Prime Video - Personalization and Discovery Science</t>
        </is>
      </c>
      <c r="C157" t="inlineStr">
        <is>
          <t>Amazon.com</t>
        </is>
      </c>
      <c r="D157" t="inlineStr">
        <is>
          <t>indeed</t>
        </is>
      </c>
      <c r="E157">
        <f>HYPERLINK("https://www.indeed.com/viewjob?jk=8b9cb2ae961f2275", "https://www.indeed.com/viewjob?jk=8b9cb2ae961f2275")</f>
        <v/>
      </c>
      <c r="F157">
        <f>HYPERLINK("https://www.amazon.jobs/jobs/3083564/sr-applied-scientist-prime-video--personalization-and-discovery-science?cmpid=DA_INAD200785B", "https://www.amazon.jobs/jobs/3083564/sr-applied-scientist-prime-video--personalization-and-discovery-science?cmpid=DA_INAD200785B")</f>
        <v/>
      </c>
      <c r="G157" t="inlineStr">
        <is>
          <t>Sunnyvale, CA, US</t>
        </is>
      </c>
      <c r="H157" s="3" t="n">
        <v>45914</v>
      </c>
      <c r="I1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in-c1f21c2d47b2920f</t>
        </is>
      </c>
      <c r="B158" t="inlineStr">
        <is>
          <t>Sr. Applied Scientist, Prime Video - Personalization and Discovery Science</t>
        </is>
      </c>
      <c r="C158" t="inlineStr">
        <is>
          <t>Amazon.com</t>
        </is>
      </c>
      <c r="D158" t="inlineStr">
        <is>
          <t>indeed</t>
        </is>
      </c>
      <c r="E158">
        <f>HYPERLINK("https://www.indeed.com/viewjob?jk=c1f21c2d47b2920f", "https://www.indeed.com/viewjob?jk=c1f21c2d47b2920f")</f>
        <v/>
      </c>
      <c r="F158">
        <f>HYPERLINK("https://www.amazon.jobs/jobs/3083564/sr-applied-scientist-prime-video--personalization-and-discovery-science?cmpid=DA_INAD200785B", "https://www.amazon.jobs/jobs/3083564/sr-applied-scientist-prime-video--personalization-and-discovery-science?cmpid=DA_INAD200785B")</f>
        <v/>
      </c>
      <c r="G158" t="inlineStr">
        <is>
          <t>Seattle, WA, US</t>
        </is>
      </c>
      <c r="H158" s="3" t="n">
        <v>45914</v>
      </c>
      <c r="I1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in-9a7d65aa0c1a6bd7</t>
        </is>
      </c>
      <c r="B159" t="inlineStr">
        <is>
          <t>Senior Applied Scientist, Artificial General Intelligence</t>
        </is>
      </c>
      <c r="C159" t="inlineStr">
        <is>
          <t>Amazon.com</t>
        </is>
      </c>
      <c r="D159" t="inlineStr">
        <is>
          <t>indeed</t>
        </is>
      </c>
      <c r="E159">
        <f>HYPERLINK("https://www.indeed.com/viewjob?jk=9a7d65aa0c1a6bd7", "https://www.indeed.com/viewjob?jk=9a7d65aa0c1a6bd7")</f>
        <v/>
      </c>
      <c r="F159">
        <f>HYPERLINK("https://www.amazon.jobs/jobs/3078137/senior-applied-scientist-artificial-general-intelligence?cmpid=DA_INAD200785B", "https://www.amazon.jobs/jobs/3078137/senior-applied-scientist-artificial-general-intelligence?cmpid=DA_INAD200785B")</f>
        <v/>
      </c>
      <c r="G159" t="inlineStr">
        <is>
          <t>Sunnyvale, CA, US</t>
        </is>
      </c>
      <c r="H159" s="3" t="n">
        <v>45907</v>
      </c>
      <c r="I15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in-9b8d2a01edb1d23c</t>
        </is>
      </c>
      <c r="B160" t="inlineStr">
        <is>
          <t>Senior Applied Scientist, Artificial General Intelligence</t>
        </is>
      </c>
      <c r="C160" t="inlineStr">
        <is>
          <t>Amazon.com</t>
        </is>
      </c>
      <c r="D160" t="inlineStr">
        <is>
          <t>indeed</t>
        </is>
      </c>
      <c r="E160">
        <f>HYPERLINK("https://www.indeed.com/viewjob?jk=9b8d2a01edb1d23c", "https://www.indeed.com/viewjob?jk=9b8d2a01edb1d23c")</f>
        <v/>
      </c>
      <c r="F160">
        <f>HYPERLINK("https://www.amazon.jobs/jobs/3078137/senior-applied-scientist-artificial-general-intelligence?cmpid=DA_INAD200785B", "https://www.amazon.jobs/jobs/3078137/senior-applied-scientist-artificial-general-intelligence?cmpid=DA_INAD200785B")</f>
        <v/>
      </c>
      <c r="G160" t="inlineStr">
        <is>
          <t>Cambridge, MA, US</t>
        </is>
      </c>
      <c r="H160" s="3" t="n">
        <v>45907</v>
      </c>
      <c r="I16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in-d0135e3b4276a3dc</t>
        </is>
      </c>
      <c r="B161" t="inlineStr">
        <is>
          <t>Senior Applied Scientist, Artificial General Intelligence</t>
        </is>
      </c>
      <c r="C161" t="inlineStr">
        <is>
          <t>Amazon.com</t>
        </is>
      </c>
      <c r="D161" t="inlineStr">
        <is>
          <t>indeed</t>
        </is>
      </c>
      <c r="E161">
        <f>HYPERLINK("https://www.indeed.com/viewjob?jk=d0135e3b4276a3dc", "https://www.indeed.com/viewjob?jk=d0135e3b4276a3dc")</f>
        <v/>
      </c>
      <c r="F161">
        <f>HYPERLINK("https://www.amazon.jobs/jobs/3078137/senior-applied-scientist-artificial-general-intelligence?cmpid=DA_INAD200785B", "https://www.amazon.jobs/jobs/3078137/senior-applied-scientist-artificial-general-intelligence?cmpid=DA_INAD200785B")</f>
        <v/>
      </c>
      <c r="G161" t="inlineStr">
        <is>
          <t>Bellevue, WA, US</t>
        </is>
      </c>
      <c r="H161" s="3" t="n">
        <v>45907</v>
      </c>
      <c r="I16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in-03dd55dce6865154</t>
        </is>
      </c>
      <c r="B162" t="inlineStr">
        <is>
          <t>Senior Applied Scientist, Artificial General Intelligence</t>
        </is>
      </c>
      <c r="C162" t="inlineStr">
        <is>
          <t>Amazon.com</t>
        </is>
      </c>
      <c r="D162" t="inlineStr">
        <is>
          <t>indeed</t>
        </is>
      </c>
      <c r="E162">
        <f>HYPERLINK("https://www.indeed.com/viewjob?jk=03dd55dce6865154", "https://www.indeed.com/viewjob?jk=03dd55dce6865154")</f>
        <v/>
      </c>
      <c r="F162">
        <f>HYPERLINK("https://www.amazon.jobs/jobs/3078137/senior-applied-scientist-artificial-general-intelligence?cmpid=DA_INAD200785B", "https://www.amazon.jobs/jobs/3078137/senior-applied-scientist-artificial-general-intelligence?cmpid=DA_INAD200785B")</f>
        <v/>
      </c>
      <c r="G162" t="inlineStr">
        <is>
          <t>New York, NY, US</t>
        </is>
      </c>
      <c r="H162" s="3" t="n">
        <v>45907</v>
      </c>
      <c r="I16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in-77c80b8b5b3806da</t>
        </is>
      </c>
      <c r="B163" t="inlineStr">
        <is>
          <t>Sr. Applied Scientist, Prime Video - Personalization and Discovery Science</t>
        </is>
      </c>
      <c r="C163" t="inlineStr">
        <is>
          <t>Amazon.com</t>
        </is>
      </c>
      <c r="D163" t="inlineStr">
        <is>
          <t>indeed</t>
        </is>
      </c>
      <c r="E163">
        <f>HYPERLINK("https://www.indeed.com/viewjob?jk=77c80b8b5b3806da", "https://www.indeed.com/viewjob?jk=77c80b8b5b3806da")</f>
        <v/>
      </c>
      <c r="F163">
        <f>HYPERLINK("https://www.amazon.jobs/jobs/3084479/sr-applied-scientist-prime-video--personalization-and-discovery-science?cmpid=DA_INAD200785B", "https://www.amazon.jobs/jobs/3084479/sr-applied-scientist-prime-video--personalization-and-discovery-science?cmpid=DA_INAD200785B")</f>
        <v/>
      </c>
      <c r="G163" t="inlineStr">
        <is>
          <t>New York, NY, US</t>
        </is>
      </c>
      <c r="H163" s="3" t="n">
        <v>45896</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in-7694287d321f0936</t>
        </is>
      </c>
      <c r="B164" t="inlineStr">
        <is>
          <t>Sr. Applied Scientist, Prime Video - Personalization and Discovery Science</t>
        </is>
      </c>
      <c r="C164" t="inlineStr">
        <is>
          <t>Amazon.com</t>
        </is>
      </c>
      <c r="D164" t="inlineStr">
        <is>
          <t>indeed</t>
        </is>
      </c>
      <c r="E164">
        <f>HYPERLINK("https://www.indeed.com/viewjob?jk=7694287d321f0936", "https://www.indeed.com/viewjob?jk=7694287d321f0936")</f>
        <v/>
      </c>
      <c r="F164">
        <f>HYPERLINK("https://www.amazon.jobs/jobs/3084479/sr-applied-scientist-prime-video--personalization-and-discovery-science?cmpid=DA_INAD200785B", "https://www.amazon.jobs/jobs/3084479/sr-applied-scientist-prime-video--personalization-and-discovery-science?cmpid=DA_INAD200785B")</f>
        <v/>
      </c>
      <c r="G164" t="inlineStr">
        <is>
          <t>Sunnyvale, CA, US</t>
        </is>
      </c>
      <c r="H164" s="3" t="n">
        <v>45896</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in-020ed09b8ad7dbfd</t>
        </is>
      </c>
      <c r="B165" t="inlineStr">
        <is>
          <t>Sr. Applied Scientist, Prime Video - Personalization and Discovery Science</t>
        </is>
      </c>
      <c r="C165" t="inlineStr">
        <is>
          <t>Amazon.com</t>
        </is>
      </c>
      <c r="D165" t="inlineStr">
        <is>
          <t>indeed</t>
        </is>
      </c>
      <c r="E165">
        <f>HYPERLINK("https://www.indeed.com/viewjob?jk=020ed09b8ad7dbfd", "https://www.indeed.com/viewjob?jk=020ed09b8ad7dbfd")</f>
        <v/>
      </c>
      <c r="F165">
        <f>HYPERLINK("https://www.amazon.jobs/jobs/3084479/sr-applied-scientist-prime-video--personalization-and-discovery-science?cmpid=DA_INAD200785B", "https://www.amazon.jobs/jobs/3084479/sr-applied-scientist-prime-video--personalization-and-discovery-science?cmpid=DA_INAD200785B")</f>
        <v/>
      </c>
      <c r="G165" t="inlineStr">
        <is>
          <t>Seattle, WA, US</t>
        </is>
      </c>
      <c r="H165" s="3" t="n">
        <v>45896</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in-fed2e3896ae91a74</t>
        </is>
      </c>
      <c r="B166" t="inlineStr">
        <is>
          <t>Sr. Applied Scientist, Recommendations and Search</t>
        </is>
      </c>
      <c r="C166" t="inlineStr">
        <is>
          <t>Amazon.com</t>
        </is>
      </c>
      <c r="D166" t="inlineStr">
        <is>
          <t>indeed</t>
        </is>
      </c>
      <c r="E166">
        <f>HYPERLINK("https://www.indeed.com/viewjob?jk=fed2e3896ae91a74", "https://www.indeed.com/viewjob?jk=fed2e3896ae91a74")</f>
        <v/>
      </c>
      <c r="F166">
        <f>HYPERLINK("https://www.amazon.jobs/jobs/3062562/sr-applied-scientist-recommendations-and-search?cmpid=DA_INAD200785B", "https://www.amazon.jobs/jobs/3062562/sr-applied-scientist-recommendations-and-search?cmpid=DA_INAD200785B")</f>
        <v/>
      </c>
      <c r="G166" t="inlineStr">
        <is>
          <t>Sunnyvale, CA, US</t>
        </is>
      </c>
      <c r="H166" s="3" t="n">
        <v>45888</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in-bb1c56a54a81caea</t>
        </is>
      </c>
      <c r="B167" t="inlineStr">
        <is>
          <t>Sr. Applied Scientist, Recommendations and Search</t>
        </is>
      </c>
      <c r="C167" t="inlineStr">
        <is>
          <t>Amazon.com</t>
        </is>
      </c>
      <c r="D167" t="inlineStr">
        <is>
          <t>indeed</t>
        </is>
      </c>
      <c r="E167">
        <f>HYPERLINK("https://www.indeed.com/viewjob?jk=bb1c56a54a81caea", "https://www.indeed.com/viewjob?jk=bb1c56a54a81caea")</f>
        <v/>
      </c>
      <c r="F167">
        <f>HYPERLINK("https://www.amazon.jobs/jobs/3062562/sr-applied-scientist-recommendations-and-search?cmpid=DA_INAD200785B", "https://www.amazon.jobs/jobs/3062562/sr-applied-scientist-recommendations-and-search?cmpid=DA_INAD200785B")</f>
        <v/>
      </c>
      <c r="G167" t="inlineStr">
        <is>
          <t>Seattle, WA, US</t>
        </is>
      </c>
      <c r="H167" s="3" t="n">
        <v>45888</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in-9ad3688779349497</t>
        </is>
      </c>
      <c r="B168" t="inlineStr">
        <is>
          <t>Sr. Applied Scientist, Recommendations and Search</t>
        </is>
      </c>
      <c r="C168" t="inlineStr">
        <is>
          <t>Amazon.com</t>
        </is>
      </c>
      <c r="D168" t="inlineStr">
        <is>
          <t>indeed</t>
        </is>
      </c>
      <c r="E168">
        <f>HYPERLINK("https://www.indeed.com/viewjob?jk=9ad3688779349497", "https://www.indeed.com/viewjob?jk=9ad3688779349497")</f>
        <v/>
      </c>
      <c r="F168">
        <f>HYPERLINK("https://www.amazon.jobs/jobs/3062562/sr-applied-scientist-recommendations-and-search?cmpid=DA_INAD200785B", "https://www.amazon.jobs/jobs/3062562/sr-applied-scientist-recommendations-and-search?cmpid=DA_INAD200785B")</f>
        <v/>
      </c>
      <c r="G168" t="inlineStr">
        <is>
          <t>New York, NY, US</t>
        </is>
      </c>
      <c r="H168" s="3" t="n">
        <v>45888</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in-93622354345edb60</t>
        </is>
      </c>
      <c r="B169" t="inlineStr">
        <is>
          <t>Applied Scientist II, Prime Video - Personalization and Discovery Science, Personalization and Discovery Science</t>
        </is>
      </c>
      <c r="C169" t="inlineStr">
        <is>
          <t>Amazon.com</t>
        </is>
      </c>
      <c r="D169" t="inlineStr">
        <is>
          <t>indeed</t>
        </is>
      </c>
      <c r="E169">
        <f>HYPERLINK("https://www.indeed.com/viewjob?jk=93622354345edb60", "https://www.indeed.com/viewjob?jk=93622354345edb60")</f>
        <v/>
      </c>
      <c r="F169">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69" t="inlineStr">
        <is>
          <t>New York, NY, US</t>
        </is>
      </c>
      <c r="H169" s="3" t="n">
        <v>45886</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in-1119558a2a5f25c4</t>
        </is>
      </c>
      <c r="B170" t="inlineStr">
        <is>
          <t>Applied Scientist II, Prime Video - Personalization and Discovery Science, Personalization and Discovery Science</t>
        </is>
      </c>
      <c r="C170" t="inlineStr">
        <is>
          <t>Amazon.com</t>
        </is>
      </c>
      <c r="D170" t="inlineStr">
        <is>
          <t>indeed</t>
        </is>
      </c>
      <c r="E170">
        <f>HYPERLINK("https://www.indeed.com/viewjob?jk=1119558a2a5f25c4", "https://www.indeed.com/viewjob?jk=1119558a2a5f25c4")</f>
        <v/>
      </c>
      <c r="F170">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70" t="inlineStr">
        <is>
          <t>Seattle, WA, US</t>
        </is>
      </c>
      <c r="H170" s="3" t="n">
        <v>45886</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in-a9303af58ba5c280</t>
        </is>
      </c>
      <c r="B171" t="inlineStr">
        <is>
          <t>Sr. Applied Scientist, Prime Video - Personalization and Discovery Science</t>
        </is>
      </c>
      <c r="C171" t="inlineStr">
        <is>
          <t>Amazon.com</t>
        </is>
      </c>
      <c r="D171" t="inlineStr">
        <is>
          <t>indeed</t>
        </is>
      </c>
      <c r="E171">
        <f>HYPERLINK("https://www.indeed.com/viewjob?jk=a9303af58ba5c280", "https://www.indeed.com/viewjob?jk=a9303af58ba5c280")</f>
        <v/>
      </c>
      <c r="F171">
        <f>HYPERLINK("https://www.amazon.jobs/jobs/3061266/sr-applied-scientist-prime-video--personalization-and-discovery-science?cmpid=DA_INAD200785B", "https://www.amazon.jobs/jobs/3061266/sr-applied-scientist-prime-video--personalization-and-discovery-science?cmpid=DA_INAD200785B")</f>
        <v/>
      </c>
      <c r="G171" t="inlineStr">
        <is>
          <t>New York, NY, US</t>
        </is>
      </c>
      <c r="H171" s="3" t="n">
        <v>45886</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in-5ed36e9c1b48e57e</t>
        </is>
      </c>
      <c r="B172" t="inlineStr">
        <is>
          <t>Applied Scientist II, Prime Video - Personalization and Discovery Science, Personalization and Discovery Science</t>
        </is>
      </c>
      <c r="C172" t="inlineStr">
        <is>
          <t>Amazon.com</t>
        </is>
      </c>
      <c r="D172" t="inlineStr">
        <is>
          <t>indeed</t>
        </is>
      </c>
      <c r="E172">
        <f>HYPERLINK("https://www.indeed.com/viewjob?jk=5ed36e9c1b48e57e", "https://www.indeed.com/viewjob?jk=5ed36e9c1b48e57e")</f>
        <v/>
      </c>
      <c r="F172">
        <f>HYPERLINK("https://www.amazon.jobs/jobs/3061303/applied-scientist-ii-prime-video--personalization-and-discovery-science-personalization-and-discovery-science?cmpid=DA_INAD200785B", "https://www.amazon.jobs/jobs/3061303/applied-scientist-ii-prime-video--personalization-and-discovery-science-personalization-and-discovery-science?cmpid=DA_INAD200785B")</f>
        <v/>
      </c>
      <c r="G172" t="inlineStr">
        <is>
          <t>Sunnyvale, CA, US</t>
        </is>
      </c>
      <c r="H172" s="3" t="n">
        <v>45886</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in-75902046517a6764</t>
        </is>
      </c>
      <c r="B173" t="inlineStr">
        <is>
          <t>Sr. Applied Scientist, Prime Video - Personalization and Discovery Science</t>
        </is>
      </c>
      <c r="C173" t="inlineStr">
        <is>
          <t>Amazon.com</t>
        </is>
      </c>
      <c r="D173" t="inlineStr">
        <is>
          <t>indeed</t>
        </is>
      </c>
      <c r="E173">
        <f>HYPERLINK("https://www.indeed.com/viewjob?jk=75902046517a6764", "https://www.indeed.com/viewjob?jk=75902046517a6764")</f>
        <v/>
      </c>
      <c r="F173">
        <f>HYPERLINK("https://www.amazon.jobs/jobs/3061266/sr-applied-scientist-prime-video--personalization-and-discovery-science?cmpid=DA_INAD200785B", "https://www.amazon.jobs/jobs/3061266/sr-applied-scientist-prime-video--personalization-and-discovery-science?cmpid=DA_INAD200785B")</f>
        <v/>
      </c>
      <c r="G173" t="inlineStr">
        <is>
          <t>Seattle, WA, US</t>
        </is>
      </c>
      <c r="H173" s="3" t="n">
        <v>45886</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in-d2a2b2ba159cb63c</t>
        </is>
      </c>
      <c r="B174" t="inlineStr">
        <is>
          <t>Sr. Applied Scientist, Prime Video - Personalization and Discovery Science</t>
        </is>
      </c>
      <c r="C174" t="inlineStr">
        <is>
          <t>Amazon.com</t>
        </is>
      </c>
      <c r="D174" t="inlineStr">
        <is>
          <t>indeed</t>
        </is>
      </c>
      <c r="E174">
        <f>HYPERLINK("https://www.indeed.com/viewjob?jk=d2a2b2ba159cb63c", "https://www.indeed.com/viewjob?jk=d2a2b2ba159cb63c")</f>
        <v/>
      </c>
      <c r="F174">
        <f>HYPERLINK("https://www.amazon.jobs/jobs/3061266/sr-applied-scientist-prime-video--personalization-and-discovery-science?cmpid=DA_INAD200785B", "https://www.amazon.jobs/jobs/3061266/sr-applied-scientist-prime-video--personalization-and-discovery-science?cmpid=DA_INAD200785B")</f>
        <v/>
      </c>
      <c r="G174" t="inlineStr">
        <is>
          <t>Sunnyvale, CA, US</t>
        </is>
      </c>
      <c r="H174" s="3" t="n">
        <v>45886</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in-168ff16c82eae8df</t>
        </is>
      </c>
      <c r="B175" t="inlineStr">
        <is>
          <t>Sr. Applied Scientist, Prime Video - Personalization and Discovery Science</t>
        </is>
      </c>
      <c r="C175" t="inlineStr">
        <is>
          <t>Amazon.com</t>
        </is>
      </c>
      <c r="D175" t="inlineStr">
        <is>
          <t>indeed</t>
        </is>
      </c>
      <c r="E175">
        <f>HYPERLINK("https://www.indeed.com/viewjob?jk=168ff16c82eae8df", "https://www.indeed.com/viewjob?jk=168ff16c82eae8df")</f>
        <v/>
      </c>
      <c r="F175">
        <f>HYPERLINK("https://www.amazon.jobs/jobs/3060419/sr-applied-scientist-prime-video--personalization-and-discovery-science?cmpid=DA_INAD200785B", "https://www.amazon.jobs/jobs/3060419/sr-applied-scientist-prime-video--personalization-and-discovery-science?cmpid=DA_INAD200785B")</f>
        <v/>
      </c>
      <c r="G175" t="inlineStr">
        <is>
          <t>Sunnyvale, CA, US</t>
        </is>
      </c>
      <c r="H175" s="3" t="n">
        <v>45883</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in-133143722de7d406</t>
        </is>
      </c>
      <c r="B176" t="inlineStr">
        <is>
          <t>Applied Scientist II, Prime Video - Personalization and Discovery Science</t>
        </is>
      </c>
      <c r="C176" t="inlineStr">
        <is>
          <t>Amazon.com</t>
        </is>
      </c>
      <c r="D176" t="inlineStr">
        <is>
          <t>indeed</t>
        </is>
      </c>
      <c r="E176">
        <f>HYPERLINK("https://www.indeed.com/viewjob?jk=133143722de7d406", "https://www.indeed.com/viewjob?jk=133143722de7d406")</f>
        <v/>
      </c>
      <c r="F176">
        <f>HYPERLINK("https://www.amazon.jobs/jobs/3060415/applied-scientist-ii-prime-video--personalization-and-discovery-science?cmpid=DA_INAD200785B", "https://www.amazon.jobs/jobs/3060415/applied-scientist-ii-prime-video--personalization-and-discovery-science?cmpid=DA_INAD200785B")</f>
        <v/>
      </c>
      <c r="G176" t="inlineStr">
        <is>
          <t>Seattle, WA, US</t>
        </is>
      </c>
      <c r="H176" s="3" t="n">
        <v>45883</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in-00d7b8f6288f08fa</t>
        </is>
      </c>
      <c r="B177" t="inlineStr">
        <is>
          <t>Sr. Applied Scientist, Prime Video - Personalization and Discovery Science</t>
        </is>
      </c>
      <c r="C177" t="inlineStr">
        <is>
          <t>Amazon.com</t>
        </is>
      </c>
      <c r="D177" t="inlineStr">
        <is>
          <t>indeed</t>
        </is>
      </c>
      <c r="E177">
        <f>HYPERLINK("https://www.indeed.com/viewjob?jk=00d7b8f6288f08fa", "https://www.indeed.com/viewjob?jk=00d7b8f6288f08fa")</f>
        <v/>
      </c>
      <c r="F177">
        <f>HYPERLINK("https://www.amazon.jobs/jobs/3060419/sr-applied-scientist-prime-video--personalization-and-discovery-science?cmpid=DA_INAD200785B", "https://www.amazon.jobs/jobs/3060419/sr-applied-scientist-prime-video--personalization-and-discovery-science?cmpid=DA_INAD200785B")</f>
        <v/>
      </c>
      <c r="G177" t="inlineStr">
        <is>
          <t>New York, NY, US</t>
        </is>
      </c>
      <c r="H177" s="3" t="n">
        <v>45883</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in-964e494960c49c57</t>
        </is>
      </c>
      <c r="B178" t="inlineStr">
        <is>
          <t>Applied Scientist II, Prime Video - Personalization and Discovery Science</t>
        </is>
      </c>
      <c r="C178" t="inlineStr">
        <is>
          <t>Amazon.com</t>
        </is>
      </c>
      <c r="D178" t="inlineStr">
        <is>
          <t>indeed</t>
        </is>
      </c>
      <c r="E178">
        <f>HYPERLINK("https://www.indeed.com/viewjob?jk=964e494960c49c57", "https://www.indeed.com/viewjob?jk=964e494960c49c57")</f>
        <v/>
      </c>
      <c r="F178">
        <f>HYPERLINK("https://www.amazon.jobs/jobs/3060415/applied-scientist-ii-prime-video--personalization-and-discovery-science?cmpid=DA_INAD200785B", "https://www.amazon.jobs/jobs/3060415/applied-scientist-ii-prime-video--personalization-and-discovery-science?cmpid=DA_INAD200785B")</f>
        <v/>
      </c>
      <c r="G178" t="inlineStr">
        <is>
          <t>New York, NY, US</t>
        </is>
      </c>
      <c r="H178" s="3" t="n">
        <v>45883</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in-da94c2897ac064d2</t>
        </is>
      </c>
      <c r="B179" t="inlineStr">
        <is>
          <t>Applied Scientist II, Prime Video - Personalization and Discovery Science</t>
        </is>
      </c>
      <c r="C179" t="inlineStr">
        <is>
          <t>Amazon.com</t>
        </is>
      </c>
      <c r="D179" t="inlineStr">
        <is>
          <t>indeed</t>
        </is>
      </c>
      <c r="E179">
        <f>HYPERLINK("https://www.indeed.com/viewjob?jk=da94c2897ac064d2", "https://www.indeed.com/viewjob?jk=da94c2897ac064d2")</f>
        <v/>
      </c>
      <c r="F179">
        <f>HYPERLINK("https://www.amazon.jobs/jobs/3060415/applied-scientist-ii-prime-video--personalization-and-discovery-science?cmpid=DA_INAD200785B", "https://www.amazon.jobs/jobs/3060415/applied-scientist-ii-prime-video--personalization-and-discovery-science?cmpid=DA_INAD200785B")</f>
        <v/>
      </c>
      <c r="G179" t="inlineStr">
        <is>
          <t>Sunnyvale, CA, US</t>
        </is>
      </c>
      <c r="H179" s="3" t="n">
        <v>45883</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in-6a3b740d6b86ea81</t>
        </is>
      </c>
      <c r="B180" t="inlineStr">
        <is>
          <t>Sr. Applied Scientist, Prime Video - Personalization and Discovery Science</t>
        </is>
      </c>
      <c r="C180" t="inlineStr">
        <is>
          <t>Amazon.com</t>
        </is>
      </c>
      <c r="D180" t="inlineStr">
        <is>
          <t>indeed</t>
        </is>
      </c>
      <c r="E180">
        <f>HYPERLINK("https://www.indeed.com/viewjob?jk=6a3b740d6b86ea81", "https://www.indeed.com/viewjob?jk=6a3b740d6b86ea81")</f>
        <v/>
      </c>
      <c r="F180">
        <f>HYPERLINK("https://www.amazon.jobs/jobs/3060419/sr-applied-scientist-prime-video--personalization-and-discovery-science?cmpid=DA_INAD200785B", "https://www.amazon.jobs/jobs/3060419/sr-applied-scientist-prime-video--personalization-and-discovery-science?cmpid=DA_INAD200785B")</f>
        <v/>
      </c>
      <c r="G180" t="inlineStr">
        <is>
          <t>Seattle, WA, US</t>
        </is>
      </c>
      <c r="H180" s="3" t="n">
        <v>45883</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in-1a0b066ce6cae65a</t>
        </is>
      </c>
      <c r="B181" t="inlineStr">
        <is>
          <t>Applied Scientist II, Prime Video - Personalization and Discovery Science</t>
        </is>
      </c>
      <c r="C181" t="inlineStr">
        <is>
          <t>Amazon.com</t>
        </is>
      </c>
      <c r="D181" t="inlineStr">
        <is>
          <t>indeed</t>
        </is>
      </c>
      <c r="E181">
        <f>HYPERLINK("https://www.indeed.com/viewjob?jk=1a0b066ce6cae65a", "https://www.indeed.com/viewjob?jk=1a0b066ce6cae65a")</f>
        <v/>
      </c>
      <c r="F181">
        <f>HYPERLINK("https://www.amazon.jobs/jobs/3059253/applied-scientist-ii-prime-video--personalization-and-discovery-science?cmpid=DA_INAD200785B", "https://www.amazon.jobs/jobs/3059253/applied-scientist-ii-prime-video--personalization-and-discovery-science?cmpid=DA_INAD200785B")</f>
        <v/>
      </c>
      <c r="G181" t="inlineStr">
        <is>
          <t>New York, NY, US</t>
        </is>
      </c>
      <c r="H181" s="3" t="n">
        <v>45881</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in-77588ae274bb1c37</t>
        </is>
      </c>
      <c r="B182" t="inlineStr">
        <is>
          <t>Sr. Applied Scientist, Prime Video - Personalization and Discovery Science</t>
        </is>
      </c>
      <c r="C182" t="inlineStr">
        <is>
          <t>Amazon.com</t>
        </is>
      </c>
      <c r="D182" t="inlineStr">
        <is>
          <t>indeed</t>
        </is>
      </c>
      <c r="E182">
        <f>HYPERLINK("https://www.indeed.com/viewjob?jk=77588ae274bb1c37", "https://www.indeed.com/viewjob?jk=77588ae274bb1c37")</f>
        <v/>
      </c>
      <c r="F182">
        <f>HYPERLINK("https://www.amazon.jobs/jobs/3059256/sr-applied-scientist-prime-video--personalization-and-discovery-science?cmpid=DA_INAD200785B", "https://www.amazon.jobs/jobs/3059256/sr-applied-scientist-prime-video--personalization-and-discovery-science?cmpid=DA_INAD200785B")</f>
        <v/>
      </c>
      <c r="G182" t="inlineStr">
        <is>
          <t>Sunnyvale, CA, US</t>
        </is>
      </c>
      <c r="H182" s="3" t="n">
        <v>45881</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in-3089b8b46a8aceaa</t>
        </is>
      </c>
      <c r="B183" t="inlineStr">
        <is>
          <t>Sr. Applied Scientist, Prime Video - Personalization and Discovery Science</t>
        </is>
      </c>
      <c r="C183" t="inlineStr">
        <is>
          <t>Amazon.com</t>
        </is>
      </c>
      <c r="D183" t="inlineStr">
        <is>
          <t>indeed</t>
        </is>
      </c>
      <c r="E183">
        <f>HYPERLINK("https://www.indeed.com/viewjob?jk=3089b8b46a8aceaa", "https://www.indeed.com/viewjob?jk=3089b8b46a8aceaa")</f>
        <v/>
      </c>
      <c r="F183">
        <f>HYPERLINK("https://www.amazon.jobs/jobs/3059256/sr-applied-scientist-prime-video--personalization-and-discovery-science?cmpid=DA_INAD200785B", "https://www.amazon.jobs/jobs/3059256/sr-applied-scientist-prime-video--personalization-and-discovery-science?cmpid=DA_INAD200785B")</f>
        <v/>
      </c>
      <c r="G183" t="inlineStr">
        <is>
          <t>New York, NY, US</t>
        </is>
      </c>
      <c r="H183" s="3" t="n">
        <v>45881</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in-41da3c70398d0030</t>
        </is>
      </c>
      <c r="B184" t="inlineStr">
        <is>
          <t>Applied Scientist II, Prime Video - Personalization and Discovery Science</t>
        </is>
      </c>
      <c r="C184" t="inlineStr">
        <is>
          <t>Amazon.com</t>
        </is>
      </c>
      <c r="D184" t="inlineStr">
        <is>
          <t>indeed</t>
        </is>
      </c>
      <c r="E184">
        <f>HYPERLINK("https://www.indeed.com/viewjob?jk=41da3c70398d0030", "https://www.indeed.com/viewjob?jk=41da3c70398d0030")</f>
        <v/>
      </c>
      <c r="F184">
        <f>HYPERLINK("https://www.amazon.jobs/jobs/3059253/applied-scientist-ii-prime-video--personalization-and-discovery-science?cmpid=DA_INAD200785B", "https://www.amazon.jobs/jobs/3059253/applied-scientist-ii-prime-video--personalization-and-discovery-science?cmpid=DA_INAD200785B")</f>
        <v/>
      </c>
      <c r="G184" t="inlineStr">
        <is>
          <t>Seattle, WA, US</t>
        </is>
      </c>
      <c r="H184" s="3" t="n">
        <v>45881</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in-73c6a9525b892c5d</t>
        </is>
      </c>
      <c r="B185" t="inlineStr">
        <is>
          <t>Sr. Applied Scientist, Prime Video - Personalization and Discovery Science</t>
        </is>
      </c>
      <c r="C185" t="inlineStr">
        <is>
          <t>Amazon.com</t>
        </is>
      </c>
      <c r="D185" t="inlineStr">
        <is>
          <t>indeed</t>
        </is>
      </c>
      <c r="E185">
        <f>HYPERLINK("https://www.indeed.com/viewjob?jk=73c6a9525b892c5d", "https://www.indeed.com/viewjob?jk=73c6a9525b892c5d")</f>
        <v/>
      </c>
      <c r="F185">
        <f>HYPERLINK("https://www.amazon.jobs/jobs/3059256/sr-applied-scientist-prime-video--personalization-and-discovery-science?cmpid=DA_INAD200785B", "https://www.amazon.jobs/jobs/3059256/sr-applied-scientist-prime-video--personalization-and-discovery-science?cmpid=DA_INAD200785B")</f>
        <v/>
      </c>
      <c r="G185" t="inlineStr">
        <is>
          <t>Seattle, WA, US</t>
        </is>
      </c>
      <c r="H185" s="3" t="n">
        <v>45881</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in-f2407255f24dac0b</t>
        </is>
      </c>
      <c r="B186" t="inlineStr">
        <is>
          <t>Applied Scientist II, Prime Video - Personalization and Discovery Science</t>
        </is>
      </c>
      <c r="C186" t="inlineStr">
        <is>
          <t>Amazon.com</t>
        </is>
      </c>
      <c r="D186" t="inlineStr">
        <is>
          <t>indeed</t>
        </is>
      </c>
      <c r="E186">
        <f>HYPERLINK("https://www.indeed.com/viewjob?jk=f2407255f24dac0b", "https://www.indeed.com/viewjob?jk=f2407255f24dac0b")</f>
        <v/>
      </c>
      <c r="F186">
        <f>HYPERLINK("https://www.amazon.jobs/jobs/3059253/applied-scientist-ii-prime-video--personalization-and-discovery-science?cmpid=DA_INAD200785B", "https://www.amazon.jobs/jobs/3059253/applied-scientist-ii-prime-video--personalization-and-discovery-science?cmpid=DA_INAD200785B")</f>
        <v/>
      </c>
      <c r="G186" t="inlineStr">
        <is>
          <t>Sunnyvale, CA, US</t>
        </is>
      </c>
      <c r="H186" s="3" t="n">
        <v>45881</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in-50a0d00b858ecf19</t>
        </is>
      </c>
      <c r="B187" t="inlineStr">
        <is>
          <t>Applied Scientist II, Prime Video Personalization and Discovery Science</t>
        </is>
      </c>
      <c r="C187" t="inlineStr">
        <is>
          <t>Amazon.com</t>
        </is>
      </c>
      <c r="D187" t="inlineStr">
        <is>
          <t>indeed</t>
        </is>
      </c>
      <c r="E187">
        <f>HYPERLINK("https://www.indeed.com/viewjob?jk=50a0d00b858ecf19", "https://www.indeed.com/viewjob?jk=50a0d00b858ecf19")</f>
        <v/>
      </c>
      <c r="F187">
        <f>HYPERLINK("https://www.amazon.jobs/jobs/3046662/applied-scientist-ii-prime-video-personalization-and-discovery-science?cmpid=DA_INAD200785B", "https://www.amazon.jobs/jobs/3046662/applied-scientist-ii-prime-video-personalization-and-discovery-science?cmpid=DA_INAD200785B")</f>
        <v/>
      </c>
      <c r="G187" t="inlineStr">
        <is>
          <t>Seattle, WA, US</t>
        </is>
      </c>
      <c r="H187" s="3" t="n">
        <v>45859</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in-471be505d16964ec</t>
        </is>
      </c>
      <c r="B188" t="inlineStr">
        <is>
          <t>Applied Scientist II, Prime Video Personalization and Discovery Science</t>
        </is>
      </c>
      <c r="C188" t="inlineStr">
        <is>
          <t>Amazon.com</t>
        </is>
      </c>
      <c r="D188" t="inlineStr">
        <is>
          <t>indeed</t>
        </is>
      </c>
      <c r="E188">
        <f>HYPERLINK("https://www.indeed.com/viewjob?jk=471be505d16964ec", "https://www.indeed.com/viewjob?jk=471be505d16964ec")</f>
        <v/>
      </c>
      <c r="F188">
        <f>HYPERLINK("https://www.amazon.jobs/jobs/3046662/applied-scientist-ii-prime-video-personalization-and-discovery-science?cmpid=DA_INAD200785B", "https://www.amazon.jobs/jobs/3046662/applied-scientist-ii-prime-video-personalization-and-discovery-science?cmpid=DA_INAD200785B")</f>
        <v/>
      </c>
      <c r="G188" t="inlineStr">
        <is>
          <t>New York, NY, US</t>
        </is>
      </c>
      <c r="H188" s="3" t="n">
        <v>45859</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in-3ce85498ee378f61</t>
        </is>
      </c>
      <c r="B189" t="inlineStr">
        <is>
          <t>Applied Scientist II, Prime Video Personalization and Discovery Science</t>
        </is>
      </c>
      <c r="C189" t="inlineStr">
        <is>
          <t>Amazon.com</t>
        </is>
      </c>
      <c r="D189" t="inlineStr">
        <is>
          <t>indeed</t>
        </is>
      </c>
      <c r="E189">
        <f>HYPERLINK("https://www.indeed.com/viewjob?jk=3ce85498ee378f61", "https://www.indeed.com/viewjob?jk=3ce85498ee378f61")</f>
        <v/>
      </c>
      <c r="F189">
        <f>HYPERLINK("https://www.amazon.jobs/jobs/3046662/applied-scientist-ii-prime-video-personalization-and-discovery-science?cmpid=DA_INAD200785B", "https://www.amazon.jobs/jobs/3046662/applied-scientist-ii-prime-video-personalization-and-discovery-science?cmpid=DA_INAD200785B")</f>
        <v/>
      </c>
      <c r="G189" t="inlineStr">
        <is>
          <t>Sunnyvale, CA, US</t>
        </is>
      </c>
      <c r="H189" s="3" t="n">
        <v>45859</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in-9f54b6b4b80a9f05</t>
        </is>
      </c>
      <c r="B190" t="inlineStr">
        <is>
          <t>Applied Scientist, Prime Video - Personalization and Discovery Science</t>
        </is>
      </c>
      <c r="C190" t="inlineStr">
        <is>
          <t>Amazon.com</t>
        </is>
      </c>
      <c r="D190" t="inlineStr">
        <is>
          <t>indeed</t>
        </is>
      </c>
      <c r="E190">
        <f>HYPERLINK("https://www.indeed.com/viewjob?jk=9f54b6b4b80a9f05", "https://www.indeed.com/viewjob?jk=9f54b6b4b80a9f05")</f>
        <v/>
      </c>
      <c r="F190">
        <f>HYPERLINK("https://www.amazon.jobs/jobs/3033050/applied-scientist-prime-video--personalization-and-discovery-science?cmpid=DA_INAD200785B", "https://www.amazon.jobs/jobs/3033050/applied-scientist-prime-video--personalization-and-discovery-science?cmpid=DA_INAD200785B")</f>
        <v/>
      </c>
      <c r="G190" t="inlineStr">
        <is>
          <t>New York, NY, US</t>
        </is>
      </c>
      <c r="H190" s="3" t="n">
        <v>45845</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in-e03fa51f795589bd</t>
        </is>
      </c>
      <c r="B191" t="inlineStr">
        <is>
          <t>Applied Scientist, Prime Video - Personalization and Discovery Science</t>
        </is>
      </c>
      <c r="C191" t="inlineStr">
        <is>
          <t>Amazon.com</t>
        </is>
      </c>
      <c r="D191" t="inlineStr">
        <is>
          <t>indeed</t>
        </is>
      </c>
      <c r="E191">
        <f>HYPERLINK("https://www.indeed.com/viewjob?jk=e03fa51f795589bd", "https://www.indeed.com/viewjob?jk=e03fa51f795589bd")</f>
        <v/>
      </c>
      <c r="F191">
        <f>HYPERLINK("https://www.amazon.jobs/jobs/3033050/applied-scientist-prime-video--personalization-and-discovery-science?cmpid=DA_INAD200785B", "https://www.amazon.jobs/jobs/3033050/applied-scientist-prime-video--personalization-and-discovery-science?cmpid=DA_INAD200785B")</f>
        <v/>
      </c>
      <c r="G191" t="inlineStr">
        <is>
          <t>Seattle, WA, US</t>
        </is>
      </c>
      <c r="H191" s="3" t="n">
        <v>45845</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in-969f2e92b9a40fb9</t>
        </is>
      </c>
      <c r="B192" t="inlineStr">
        <is>
          <t>Applied Scientist, Prime Video - Personalization and Discovery Science</t>
        </is>
      </c>
      <c r="C192" t="inlineStr">
        <is>
          <t>Amazon.com</t>
        </is>
      </c>
      <c r="D192" t="inlineStr">
        <is>
          <t>indeed</t>
        </is>
      </c>
      <c r="E192">
        <f>HYPERLINK("https://www.indeed.com/viewjob?jk=969f2e92b9a40fb9", "https://www.indeed.com/viewjob?jk=969f2e92b9a40fb9")</f>
        <v/>
      </c>
      <c r="F192">
        <f>HYPERLINK("https://www.amazon.jobs/jobs/3033050/applied-scientist-prime-video--personalization-and-discovery-science?cmpid=DA_INAD200785B", "https://www.amazon.jobs/jobs/3033050/applied-scientist-prime-video--personalization-and-discovery-science?cmpid=DA_INAD200785B")</f>
        <v/>
      </c>
      <c r="G192" t="inlineStr">
        <is>
          <t>Sunnyvale, CA, US</t>
        </is>
      </c>
      <c r="H192" s="3" t="n">
        <v>45845</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in-ba3fff20d45818de</t>
        </is>
      </c>
      <c r="B193" t="inlineStr">
        <is>
          <t>Sr. Data Scientist, Amazon Leo Global Planning, Amazon Leo</t>
        </is>
      </c>
      <c r="C193" t="inlineStr">
        <is>
          <t>Amazon.com</t>
        </is>
      </c>
      <c r="D193" t="inlineStr">
        <is>
          <t>indeed</t>
        </is>
      </c>
      <c r="E193">
        <f>HYPERLINK("https://www.indeed.com/viewjob?jk=ba3fff20d45818de", "https://www.indeed.com/viewjob?jk=ba3fff20d45818de")</f>
        <v/>
      </c>
      <c r="F193">
        <f>HYPERLINK("https://www.amazon.jobs/jobs/3016062/sr-data-scientist-amazon-leo-global-planning-amazon-leo?cmpid=DA_INAD200785B", "https://www.amazon.jobs/jobs/3016062/sr-data-scientist-amazon-leo-global-planning-amazon-leo?cmpid=DA_INAD200785B")</f>
        <v/>
      </c>
      <c r="G193" t="inlineStr">
        <is>
          <t>Redmond, WA, US</t>
        </is>
      </c>
      <c r="H193" s="3" t="n">
        <v>45830</v>
      </c>
      <c r="I19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in-f05d59cc3d2ae17c</t>
        </is>
      </c>
      <c r="B194" t="inlineStr">
        <is>
          <t>Sr. Data Scientist, Amazon Leo Global Planning, Amazon Leo</t>
        </is>
      </c>
      <c r="C194" t="inlineStr">
        <is>
          <t>Amazon.com</t>
        </is>
      </c>
      <c r="D194" t="inlineStr">
        <is>
          <t>indeed</t>
        </is>
      </c>
      <c r="E194">
        <f>HYPERLINK("https://www.indeed.com/viewjob?jk=f05d59cc3d2ae17c", "https://www.indeed.com/viewjob?jk=f05d59cc3d2ae17c")</f>
        <v/>
      </c>
      <c r="F194">
        <f>HYPERLINK("https://www.amazon.jobs/jobs/3016062/sr-data-scientist-amazon-leo-global-planning-amazon-leo?cmpid=DA_INAD200785B", "https://www.amazon.jobs/jobs/3016062/sr-data-scientist-amazon-leo-global-planning-amazon-leo?cmpid=DA_INAD200785B")</f>
        <v/>
      </c>
      <c r="G194" t="inlineStr">
        <is>
          <t>Bellevue, WA, US</t>
        </is>
      </c>
      <c r="H194" s="3" t="n">
        <v>45830</v>
      </c>
      <c r="I19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increasing forecast accuracy over time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in-19d064a8675ddb33</t>
        </is>
      </c>
      <c r="B195" t="inlineStr">
        <is>
          <t>Sr. Applied Scientist, Prime Video - Personalization and Discovery Science</t>
        </is>
      </c>
      <c r="C195" t="inlineStr">
        <is>
          <t>Amazon.com</t>
        </is>
      </c>
      <c r="D195" t="inlineStr">
        <is>
          <t>indeed</t>
        </is>
      </c>
      <c r="E195">
        <f>HYPERLINK("https://www.indeed.com/viewjob?jk=19d064a8675ddb33", "https://www.indeed.com/viewjob?jk=19d064a8675ddb33")</f>
        <v/>
      </c>
      <c r="F195">
        <f>HYPERLINK("https://www.amazon.jobs/jobs/3011754/sr-applied-scientist-prime-video--personalization-and-discovery-science?cmpid=DA_INAD200785B", "https://www.amazon.jobs/jobs/3011754/sr-applied-scientist-prime-video--personalization-and-discovery-science?cmpid=DA_INAD200785B")</f>
        <v/>
      </c>
      <c r="G195" t="inlineStr">
        <is>
          <t>Sunnyvale, CA, US</t>
        </is>
      </c>
      <c r="H195" s="3" t="n">
        <v>45819</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in-819b94197e9316db</t>
        </is>
      </c>
      <c r="B196" t="inlineStr">
        <is>
          <t>Sr. Applied Scientist, Prime Video - Personalization and Discovery Science</t>
        </is>
      </c>
      <c r="C196" t="inlineStr">
        <is>
          <t>Amazon.com</t>
        </is>
      </c>
      <c r="D196" t="inlineStr">
        <is>
          <t>indeed</t>
        </is>
      </c>
      <c r="E196">
        <f>HYPERLINK("https://www.indeed.com/viewjob?jk=819b94197e9316db", "https://www.indeed.com/viewjob?jk=819b94197e9316db")</f>
        <v/>
      </c>
      <c r="F196">
        <f>HYPERLINK("https://www.amazon.jobs/jobs/3011754/sr-applied-scientist-prime-video--personalization-and-discovery-science?cmpid=DA_INAD200785B", "https://www.amazon.jobs/jobs/3011754/sr-applied-scientist-prime-video--personalization-and-discovery-science?cmpid=DA_INAD200785B")</f>
        <v/>
      </c>
      <c r="G196" t="inlineStr">
        <is>
          <t>Seattle, WA, US</t>
        </is>
      </c>
      <c r="H196" s="3" t="n">
        <v>45819</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in-a920eecf8b32ca18</t>
        </is>
      </c>
      <c r="B197" t="inlineStr">
        <is>
          <t>Senior Applied Scientist, AGI, AGI</t>
        </is>
      </c>
      <c r="C197" t="inlineStr">
        <is>
          <t>Amazon.com</t>
        </is>
      </c>
      <c r="D197" t="inlineStr">
        <is>
          <t>indeed</t>
        </is>
      </c>
      <c r="E197">
        <f>HYPERLINK("https://www.indeed.com/viewjob?jk=a920eecf8b32ca18", "https://www.indeed.com/viewjob?jk=a920eecf8b32ca18")</f>
        <v/>
      </c>
      <c r="F197">
        <f>HYPERLINK("https://www.amazon.jobs/jobs/2987811/senior-applied-scientist-agi-agi?cmpid=DA_INAD200785B", "https://www.amazon.jobs/jobs/2987811/senior-applied-scientist-agi-agi?cmpid=DA_INAD200785B")</f>
        <v/>
      </c>
      <c r="G197" t="inlineStr">
        <is>
          <t>Boston, MA, US</t>
        </is>
      </c>
      <c r="H197" s="3" t="n">
        <v>45796</v>
      </c>
      <c r="I19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in-4639a7fa3ec0b159</t>
        </is>
      </c>
      <c r="B198" t="inlineStr">
        <is>
          <t>Senior Applied Scientist, AGI, AGI</t>
        </is>
      </c>
      <c r="C198" t="inlineStr">
        <is>
          <t>Amazon.com</t>
        </is>
      </c>
      <c r="D198" t="inlineStr">
        <is>
          <t>indeed</t>
        </is>
      </c>
      <c r="E198">
        <f>HYPERLINK("https://www.indeed.com/viewjob?jk=4639a7fa3ec0b159", "https://www.indeed.com/viewjob?jk=4639a7fa3ec0b159")</f>
        <v/>
      </c>
      <c r="F198">
        <f>HYPERLINK("https://www.amazon.jobs/jobs/2987811/senior-applied-scientist-agi-agi?cmpid=DA_INAD200785B", "https://www.amazon.jobs/jobs/2987811/senior-applied-scientist-agi-agi?cmpid=DA_INAD200785B")</f>
        <v/>
      </c>
      <c r="G198" t="inlineStr">
        <is>
          <t>Sunnyvale, CA, US</t>
        </is>
      </c>
      <c r="H198" s="3" t="n">
        <v>45796</v>
      </c>
      <c r="I19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in-f0f76fc8ab5a4263</t>
        </is>
      </c>
      <c r="B199" t="inlineStr">
        <is>
          <t>Sr. Data Scientist - Visa Commercial Solutions</t>
        </is>
      </c>
      <c r="C199" t="inlineStr">
        <is>
          <t>Visa</t>
        </is>
      </c>
      <c r="D199" t="inlineStr">
        <is>
          <t>indeed</t>
        </is>
      </c>
      <c r="E199">
        <f>HYPERLINK("https://www.indeed.com/viewjob?jk=f0f76fc8ab5a4263", "https://www.indeed.com/viewjob?jk=f0f76fc8ab5a4263")</f>
        <v/>
      </c>
      <c r="F199">
        <f>HYPERLINK("https://jobs.smartrecruiters.com/Visa/744000101714454-sr-data-scientist-visa-commercial-solutions", "https://jobs.smartrecruiters.com/Visa/744000101714454-sr-data-scientist-visa-commercial-solutions")</f>
        <v/>
      </c>
      <c r="G199" t="inlineStr">
        <is>
          <t>Atlanta, GA, US</t>
        </is>
      </c>
      <c r="H199" s="3" t="n">
        <v>46027</v>
      </c>
      <c r="I199"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cards play a crucial role in allowing our commercial solutions partners to pay and be paid. From large enterprises to small businesses, companies depend on Visa to allow their employees ease of operation in the digital payments ecosystem and to provide them with services that can help them gain valuable insights into their customers spending as well as their own spending. The Global Data Science group supports these commercial partners by using our outstandingly rich data set that spans more than 3 billion cards globally and collects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hiring Data Scientists who are equally passionate about the opportunity to use Visa’s rich data to solve meaningful business problems.
Essential Functions
* Brainstorm innovative ways to use our unique data to answer business problems
* Use LLM\-based systems for natural language processing, data quality evaluation, and performance evaluation
* Connect with internal clients to understand the challenges they face and convince them with data
* Extract and understand data to form an opinion on how to best help our clients and derive relevant insights
* Develop visualizations to make your sophisticated analyses accessible to a broad audience
* Identify and create key metrics and dashboards to track program success
* Find opportunities to craft products out of analyses that are suitable for multiple clients
* Mine and analyze data from company databases to drive optimization and improvement of product, marketing techniques and business strategies for Visa and its clients
* Work collaboratively with Data Scientists, Data Engineers and other cross\-functional partners to tailor analyses and solutions to the needs of the business
* Assess the efficiency and accuracy of new data sources and data gathering techniques
* Develop custom data models and algorithms to apply to data sets
* Use predictive modeling to increase and optimize customer experiences, revenue generation, data insights, and other business outcomes
* Synthesize ideas/proposals in writing and engage in productive discussions with external or internal partners
This is a hybrid position. Expectation of days in the office will be confirmed by your Hiring Manager.
 **Qualifications**  
Basic Qualifications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4\+ years’ experience in data\-based decision\-making or quantitative analysis
* Master’s degree in Statistics, Operations Research, Applied Mathematics, Economics, Data Science, Business Analytics, Computer Science, or a related technical field
* Extracting and aggregating data from large data sets using SQL/Hive or Spark
* Analyzing large data sets using programming languages such as Python, R, SQL and/or Spark
* Generating and visualizing data\-based insights in software such as Tableau
* Advanced knowledge and experience of AI/ML model development and implementation
* Experienced with building AI/ML model pipelines and creating robust and scalable AI/ML solutions.
* Experience working with LLMs in a production environment
* Track record of creating robust and scalable AI/ML/Data Science solutions and products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137,200 to 199,100 USD per year.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00">
      <c r="A200" t="inlineStr">
        <is>
          <t>in-9298129f37551aec</t>
        </is>
      </c>
      <c r="B200" t="inlineStr">
        <is>
          <t>Sr. Data Scientist - Visa Commercial Solutions</t>
        </is>
      </c>
      <c r="C200" t="inlineStr">
        <is>
          <t>Visa</t>
        </is>
      </c>
      <c r="D200" t="inlineStr">
        <is>
          <t>indeed</t>
        </is>
      </c>
      <c r="E200">
        <f>HYPERLINK("https://www.indeed.com/viewjob?jk=9298129f37551aec", "https://www.indeed.com/viewjob?jk=9298129f37551aec")</f>
        <v/>
      </c>
      <c r="F200">
        <f>HYPERLINK("https://jobs.smartrecruiters.com/Visa/744000101711760-sr-data-scientist-visa-commercial-solutions", "https://jobs.smartrecruiters.com/Visa/744000101711760-sr-data-scientist-visa-commercial-solutions")</f>
        <v/>
      </c>
      <c r="G200" t="inlineStr">
        <is>
          <t>Foster City, CA, US</t>
        </is>
      </c>
      <c r="H200" s="3" t="n">
        <v>46027</v>
      </c>
      <c r="I200"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cards play a crucial role in allowing our commercial solutions partners to pay and be paid. From large enterprises to small businesses, companies depend on Visa to allow their employees ease of operation in the digital payments ecosystem and to provide them with services that can help them gain valuable insights into their customers spending as well as their own spending. The Global Data Science group supports these commercial partners by using our outstandingly rich data set that spans more than 3 billion cards globally and collects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hiring Data Scientists who are equally passionate about the opportunity to use Visa’s rich data to solve meaningful business problems.
Essential Functions
* Brainstorm innovative ways to use our unique data to answer business problems
* Use LLM\-based systems for natural language processing, data quality evaluation, and performance evaluation
* Connect with internal clients to understand the challenges they face and convince them with data
* Extract and understand data to form an opinion on how to best help our clients and derive relevant insights
* Develop visualizations to make your sophisticated analyses accessible to a broad audience
* Identify and create key metrics and dashboards to track program success
* Find opportunities to craft products out of analyses that are suitable for multiple clients
* Mine and analyze data from company databases to drive optimization and improvement of product, marketing techniques and business strategies for Visa and its clients
* Work collaboratively with Data Scientists, Data Engineers and other cross\-functional partners to tailor analyses and solutions to the needs of the business
* Assess the efficiency and accuracy of new data sources and data gathering techniques
* Develop custom data models and algorithms to apply to data sets
* Use predictive modeling to increase and optimize customer experiences, revenue generation, data insights, and other business outcomes
* Synthesize ideas/proposals in writing and engage in productive discussions with external or internal partners
This is a hybrid position. Expectation of days in the office will be confirmed by your Hiring Manager.
 **Qualifications**  
Basic Qualifications  
5 or more years of relevant work experience with a Bachelors Degree or at least 2 years of work experience with an Advanced degree (e.g. Masters, MBA, JD, MD) or 0 years of work experience with a PhD  
Preferred Qualifications
* 6 or more years of work experience with a Bachelors Degree or 4 or more years of relevant experience with an Advanced Degree (e.g. Masters, MBA, JD, MD) or up to 3 years of relevant experience with a PhD
* 4\+ years’ experience in data\-based decision\-making or quantitative analysis
* Master’s degree in Statistics, Operations Research, Applied Mathematics, Economics, Data Science, Business Analytics, Computer Science, or a related technical field
* Extracting and aggregating data from large data sets using SQL/Hive or Spark
* Analyzing large data sets using programming languages such as Python, R, SQL and/or Spark
* Generating and visualizing data\-based insights in software such as Tableau
* Advanced knowledge and experience of AI/ML model development and implementation
* Experienced with building AI/ML model pipelines and creating robust and scalable AI/ML solutions.
* Experience working with LLMs in a production environment
* Track record of creating robust and scalable AI/ML/Data Science solutions and products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161,400 to 234,250 USD per year.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01">
      <c r="A201" t="inlineStr">
        <is>
          <t>in-2ad457d3f004b6f4</t>
        </is>
      </c>
      <c r="B201" t="inlineStr">
        <is>
          <t>Staff Data Scientist, Core Data &amp; Analytics</t>
        </is>
      </c>
      <c r="C201" t="inlineStr">
        <is>
          <t>Ibotta</t>
        </is>
      </c>
      <c r="D201" t="inlineStr">
        <is>
          <t>indeed</t>
        </is>
      </c>
      <c r="E201">
        <f>HYPERLINK("https://www.indeed.com/viewjob?jk=2ad457d3f004b6f4", "https://www.indeed.com/viewjob?jk=2ad457d3f004b6f4")</f>
        <v/>
      </c>
      <c r="F201">
        <f>HYPERLINK("https://ibotta.wd1.myworkdayjobs.com/en-US/Ibotta/job/Denver-CO/Staff-Data-Scientist_R-102261", "https://ibotta.wd1.myworkdayjobs.com/en-US/Ibotta/job/Denver-CO/Staff-Data-Scientist_R-102261")</f>
        <v/>
      </c>
      <c r="G201" t="inlineStr">
        <is>
          <t>Denver, CO, US</t>
        </is>
      </c>
      <c r="H201" s="3" t="n">
        <v>46026</v>
      </c>
      <c r="I201" t="inlineStr">
        <is>
          <t>Ibotta is seeking a Staff Data Scientist, Core Data \&amp; Analytics to join our innovative team and contribute to our mission to Make Every Purchase Rewarding. Our growing Core Data \&amp; Analytics Data Science Team provides high\-quality, on\-time data science\-related products and services across all business areas and teams within Ibotta. We do this by providing thought leadership, subject matter expertise, evangelism and governance of business\-critical data science initiatives. This role will be primarily focused on building data assets and analytics solutions for the revenue organization.
As a Staff Data Scientist, you’ll have the unique, challenging, and rewarding opportunity to be responsible for using the latest developments in statistics and machine learning. Using these skills, you will identify and build strategic opportunities to grow the business, support initiatives, and drive value. In addition, you will be expected to build accurate and reliable Machine Learning models for use throughout the organization. You’ll be able to create and own greenfield opportunities to make big positive impacts on the revenue organization. You’ll have the chance to own the data science technology of one or more critical initiatives core business domains, from collaborating with stakeholders, through the full model development lifecycle.
This position is located in Denver, Colorado as a hybrid position requiring 3 days in office (Tuesday, Wednesday, and Thursday). Candidates must live in the United States.
What you will be doing:* Provide subject matter expertise and ownership of one or more foundational models involving measurement, forecasting, or optimization of our content
* Establish and lead best practices, setting the example for the team
* Initiate and drive collaboration with stakeholders, architects, and data engineers to discover, define, cleanse, and refine the data needed for analysis and modeling
* Analyze large and novel datasets to extract actionable insights to inform model development and understand consumer behavior
* Provide customized views of large and complex datasets to support data analysis and business decision\-making
* Inform experimental design to formulate solutions addressing major business challenges and innovation opportunities
* Build models using a variety of statistical and machine learning techniques, from selecting the best type of model for the problem to using advanced techniques to measure and optimize model performance
* Harden data pipelines and models for production deployment and monitoring of performance over time as required
* Become an expert of the Ibotta Data Ecosystem and how various teams leverage Ibotta’s suite of data to answer domain specific business questions through advanced analytic techniques
* Provide mentoring and education to this team and other teams across the company
* Embrace and uphold Ibotta’s Core Values of *Integrity, Boldness, Ownership, Teamwork, Transparency, \&amp; A good idea can come from anywhere*
What we are looking for:* 7\+ years of experience making significant positive impacts in a professional data science or machine learning role
* Bachelor’s degree in Computer Science, Engineering, Analytics or a related field required
* A history of and passion for driving important decisions using data and data storytelling
* A love of learning and continuous development, including staying at the forefront of the latest advances in data science and machine learning. Broad\-scale community contributions to the fields of data science and machine learning in the way of conference presentations, professional publications, and/or recognized internet presence are a strong plus
* Expert\-level knowledge, skills, and abilities in creating, developing, and applying a variety of new or existing machine learning and statistical algorithms
* Expert\-level Python knowledge, skills, and abilities. Spark/PySpark and MLOps experience is a strong plus
* Excellent statistical analysis skills, with a solid understanding of experimental design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This position is located in Denver, CO and includes competitive pay, flexible time off, benefits package (including medical, dental, vision), Lifestyle Spending Account, Employee Stock Purchase Program, and 401k match. Denver office perks include paid parking, snacks, and occasional meals.
* Base compensation range: $152,000 \- $175,000\. Total compensation for this role also includes a variable component in addition to base salary.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\#LI\-Hybrid
\#BI\-Hybrid</t>
        </is>
      </c>
    </row>
    <row r="202">
      <c r="A202" t="inlineStr">
        <is>
          <t>in-dfaf860df44fd589</t>
        </is>
      </c>
      <c r="B202" t="inlineStr">
        <is>
          <t>Senior Data Scientist II</t>
        </is>
      </c>
      <c r="C202" t="inlineStr">
        <is>
          <t>Travelport</t>
        </is>
      </c>
      <c r="D202" t="inlineStr">
        <is>
          <t>indeed</t>
        </is>
      </c>
      <c r="E202">
        <f>HYPERLINK("https://www.indeed.com/viewjob?jk=dfaf860df44fd589", "https://www.indeed.com/viewjob?jk=dfaf860df44fd589")</f>
        <v/>
      </c>
      <c r="F202">
        <f>HYPERLINK("https://ejzg.fa.us6.oraclecloud.com/hcmUI/CandidateExperience/en/sites/CX_1/requisitions/preview/2581", "https://ejzg.fa.us6.oraclecloud.com/hcmUI/CandidateExperience/en/sites/CX_1/requisitions/preview/2581")</f>
        <v/>
      </c>
      <c r="G202" t="inlineStr">
        <is>
          <t>US</t>
        </is>
      </c>
      <c r="H202" s="3" t="n">
        <v>46026</v>
      </c>
      <c r="I202" t="inlineStr">
        <is>
          <t>**Travelport is a place of opportunity. It’s our incredible team that makes our company great – our people drive our winning culture.**
**What’s Travelport?**
Travelport is a worldwide travel retail platform. Our next\-generation marketplace connects buyers and sellers that share our passion for delivering exceptional travel experiences. Unconflicted and independent, we are reinventing a simpler future for travel’s complex ecosystem.
**Senior Data Scientist do?**
-----------------------------
The Senior Data Scientist will lead the development of predictive models and machine learning solutions for Travelport products, collaborating with cross\-functional teams to address complex business challenges.  
**Key Responsibilities:**
* Develop and implement machine learning models and statistical analyses for business applications.
* Partner with data engineers to deploy scalable algorithms in production environments.
* Design and evaluate A/B tests for new and existing algorithms.
* Conduct data mining and exploratory analysis on large datasets.
* Prepare and present analytical findings to stakeholders using effective data visualizations.
* Apply agile methodologies in model development and deployment.
**What We’re Looking For:**
* Advanced degree (MS or PhD) in Data Science, Computer Science, Statistics, Mathematics, or related field.
* 2–5 years of experience in data science roles.
* Proficiency in programming languages such as Python, R, Scala, and SQL.
* Experience with big data platforms (e.g., Hadoop, Spark) and cloud environments (AWS, Azure, GCP).
* Strong foundation in mathematics, statistics, and quantitative modeling.
* Demonstrated ability to process and analyze large\-scale data.
* Expertise in machine learning algorithms (e.g., regression, boosting, clustering, ensembles).
* Experience in A/B testing, causal inference, and multivariate analysis.
* Skilled in data visualization and presenting complex findings to non\-technical audiences.
* Ability to manage ambiguity, prioritize tasks, and deliver results in dynamic environments.
**Preferred Attributes:**
* + Passion for statistics and research.
* + Commitment to continuous learning and adoption of new technologies.
* + Business\-oriented mindset with sensitivity to organizational needs.
**These are just a few of our employee’s favorite benefits/perks**
* Competitive Salary and Bonus plans.
* Strong focus on the future with 401K and Employee Savings Plans.
* Competitive Healthcare Benefits; including medical, dental, vision and disability.
* Exceptional PTO package.
* Dynamic Diversity \&amp; Inclusion as well as Community Commitment Programs.
**Interested? We’d love for you to get in touch!**
*We are an equal opportunities employer and will consider all qualified applicants purely on their skills and abilities.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if needed.*</t>
        </is>
      </c>
    </row>
    <row r="203">
      <c r="A203" t="inlineStr">
        <is>
          <t>in-36ce980ad4f405ff</t>
        </is>
      </c>
      <c r="B203" t="inlineStr">
        <is>
          <t>Senior Data Scientist</t>
        </is>
      </c>
      <c r="C203" t="inlineStr">
        <is>
          <t>ECS</t>
        </is>
      </c>
      <c r="D203" t="inlineStr">
        <is>
          <t>indeed</t>
        </is>
      </c>
      <c r="E203">
        <f>HYPERLINK("https://www.indeed.com/viewjob?jk=36ce980ad4f405ff", "https://www.indeed.com/viewjob?jk=36ce980ad4f405ff")</f>
        <v/>
      </c>
      <c r="F203">
        <f>HYPERLINK("https://recruiting.adp.com/srccsh/public/RTI.home?r=5001171433506&amp;c=2201039&amp;d=ExternalCareerSite&amp;rb=INDEED&amp;idUnique=5001171433506", "https://recruiting.adp.com/srccsh/public/RTI.home?r=5001171433506&amp;c=2201039&amp;d=ExternalCareerSite&amp;rb=INDEED&amp;idUnique=5001171433506")</f>
        <v/>
      </c>
      <c r="G203" t="inlineStr">
        <is>
          <t>Joint Base Lewis McChord, WA, US</t>
        </is>
      </c>
      <c r="H203" s="3" t="n">
        <v>46026</v>
      </c>
      <c r="I203" t="inlineStr">
        <is>
          <t>ECS is searching for an exceptional ***Senior Data Scientist***to join our mission\-critical team supporting our government customer at ***Joint Base Lewis\-McChord, WA*** or ***St. Louis, MO***. This isn't just another data science role—it's an opportunity to transform raw data into actionable insights that directly impact national security operations and warfighter support.
* Requires final acceptance by the Prime contractor and government customer.
\*\* Validation of required clearances upon acceptance and approval from a cognizant government contracting officer. After customer indoctrination, the candidate will be submitted for a Counterintelligence Polygraph.
In an era where geospatial intelligence drives critical decisions, you'll architect innovative data solutions that help analysts see patterns others miss, anticipate threats before they materialize, and deliver the GEOINT advantage our nation depends on. Your work will directly enable our customers mission to provide timely, relevant, and accurate data in support of military and national security objectives.
**Value Proposition:**
* **Immediate Impact**: Your solutions go into production, supporting real\-world intelligence operations—not trapped in endless development cycles.
* **Technical Freedom**: Lead the architectural direction. We trust senior talent to identify the right tools, frameworks, and approaches without bureaucratic constraints.
* **Innovation Culture**: We invest in emerging technologies—AI/ML, automation, advanced analytics—and empower our team to implement them where they add mission value.
* **Elite Collaboration**: Work alongside some of the most talented geospatial analysts, data engineers, and intelligence professionals in the community.
As a Senior Data Scientist, you'll serve as a technical leader and trusted advisor, bridging the gap between complex requirements and elegant technical solutions:
**Core Responsibilities:**
* **Architect Solutions, Not Just Code**  
Design and implement end\-to\-end data science architectures that process multi\-INT data streams at scale. You'll build automated pipelines that transform terabytes of structured and unstructured data into mission\-critical intelligence products.
* **Lead Through Expertise**  
Serve as the Subject Matter Expert for advanced analytics, mentoring team members while maintaining hands\-on technical contributions. Your insights will shape program direction and capability roadmaps.
* **Innovate Continuously**  
Research, prototype, and deploy cutting\-edge analytical methodologies. Apply machine learning, network analytics, and advanced statistical techniques to solve intelligence problems that have never been solved before.
* **Deliver Clarity from Complexity**  
Create sophisticated data visualizations and analytics dashboards that enable analysts to explore massive datasets intuitively, revealing patterns and relationships that drive intelligence assessments.
* **Drive Mission Success**  
Partner directly with customer stakeholders, understanding their intelligence questions and translating them into technical requirements. Your solutions will directly support critical intelligence operations.
* **Technical Focus Areas**
	+ **Geospatial Analytics**: Advanced spatial analysis, pattern detection, and predictive modeling using GEOINT datasets
	+ **Multi\-INT Fusion**: Integrate and analyze data across GEOINT, SIGINT, OSINT, and other intelligence disciplines
	+ **Automation \&amp; Scale**: Build production\-grade Python solutions that handle massive data volumes with efficiency and reliability
	+ **Visual Intelligence**: Develop interactive dashboards and network analytics that transform complex data into actionable insights
	+ **AI/ML Applications**: Implement machine learning models for classification, clustering, anomaly detection, and predictive analytics. The candidate must have previous experience in ABI tradecraft as well and the ability to produce finished products that adhere to NGA and DNI standards.
*Salary Range: $100,000 \- $150,000*
*General Description of Benefits*
Requirements:
* ***US Citizen.***
* ***Active TS/SCI security clearance required to apply; must be able to pass a CounterIntelligence (CI) polygraph following customer indoctrination.***
* **High School Diploma and 10\+ years of relevant experience; alternatively, a Bachelors / Masters degree in a related field of study or a combination of military (10\+ years), experience, training or certifications.**
* Proven track record supporting Intelligence Community missions in operational environments.
* Senior\-level proficiency in Python for data science, automation, and analytics pipeline development.
* Experience architecting solutions for large\-scale structured and unstructured datasets.
* Hands\-on experience with COTS platforms (Tableau, MATLAB, MapLarge) and GOTS capabilities for advanced statistical analysis.
* Demonstrated experience building, maintaining, and querying complex databases.
* Deep understanding of intelligence analysis workflows and how data science enables mission success.
* Experience conducting multi\-INT research and analysis to support operational requirements.
* Ability to identify capability gaps and architect innovative technical solutions.
* Proven ability to lead technical teams and mentor data scientists.
* Exceptional communication skills—translating complex technical concepts for non\-technical stakeholders.
* Independent operator comfortable working in ambiguous, fast paced environments.
Req Benefits:
https://ecstech.com/careers/benefits/"\&gt;https://ecstech.com/careers/benefits/</t>
        </is>
      </c>
    </row>
    <row r="204">
      <c r="A204" t="inlineStr">
        <is>
          <t>in-a6fcba570b139d55</t>
        </is>
      </c>
      <c r="B204" t="inlineStr">
        <is>
          <t>Data Scientist, AI Studio</t>
        </is>
      </c>
      <c r="C204" t="inlineStr">
        <is>
          <t>Guardian Life</t>
        </is>
      </c>
      <c r="D204" t="inlineStr">
        <is>
          <t>indeed</t>
        </is>
      </c>
      <c r="E204">
        <f>HYPERLINK("https://www.indeed.com/viewjob?jk=a6fcba570b139d55", "https://www.indeed.com/viewjob?jk=a6fcba570b139d55")</f>
        <v/>
      </c>
      <c r="F204">
        <f>HYPERLINK("https://guardianlife.wd5.myworkdayjobs.com/en-US/Guardian-Life-Careers/job/New-York/Data-Scientist--AI-Studio_R000108319", "https://guardianlife.wd5.myworkdayjobs.com/en-US/Guardian-Life-Careers/job/New-York/Data-Scientist--AI-Studio_R000108319")</f>
        <v/>
      </c>
      <c r="G204" t="inlineStr">
        <is>
          <t>New York, NY, US</t>
        </is>
      </c>
      <c r="H204" s="3" t="n">
        <v>46026</v>
      </c>
      <c r="I20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are seeking a Data Scientist, 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You Will:
Key Responsibilities* Design and implement machine learning solutions that automate business workflows, improve decision\-making, and enhance customer and employee experiences.
* Apply ML techniques (e.g., regression, classification, clustering, ensemble methods such as Random Forest and XGBoost) to structured and semi\-structured data such as claims, underwriting notes, and customer records.
* Develop robust, scalable, and production\-ready ML models that integrate with Guardian’s platforms to deliver measurable business outcomes.
* Collaborate with data engineers and MLOps teams to ensure models are scalable, robust, and production\-ready.
* Translate research in machine learning and statistical modeling into practical applications for underwriting, claims automation, customer servicing, and risk assessment.
* Work closely with product owners, engineers, and business stakeholders to define use cases, design solutions, and measure impact.
* Contribute to building reusable components and frameworks for developing and deploying ML solutions.
* Adhere to model governance, documentation, testing, and other best practices in partnership with key stakeholders.
You are:* Passionate about applying machine learning to solve real\-world business challenges.
* Curious about new ML techniques and their practical applications in industry.
* A hands\-on builder who enjoys moving solutions from prototype to deployment.
* Comfortable collaborating in cross\-functional teams and aligning technical solutions with business goals.
* An effective communicator, able to present complex ideas and trade\-offs to both technical and non\-technical stakeholders.
You have:* PhD with 0–1 years of experience, Master’s degree with 2\+ years, or Bachelor’s degree with 4\+ years in Statistics, Computer Science, Engineering, Applied Mathematics, or related field.
* 2\+ years of hands\-on experience in ML modeling and development.
* Solid understanding of probability, statistics, and machine learning fundamentals.
* Strong programming skills in Python and familiarity with frameworks like scikit\-learn, pandas, and numpy.
* Experience with a variety of machine learning techniques (regression, classification, clustering, ensemble methods, etc.) and their real\-world advantages/drawbacks.
* Excellent problem\-solving and analytical skills with attention to detail.
* Strong communication skills and ability to collaborate effectively with product and engineering teams.
* Working knowledge of core software engineering concepts (version control with Git/GitHub, testing, logging, ...).
* Experience in insurance, financial services, or related industries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205">
      <c r="A205" t="inlineStr">
        <is>
          <t>in-d5d58b75ea8fa88a</t>
        </is>
      </c>
      <c r="B205" t="inlineStr">
        <is>
          <t>Applied Scientist, Skill Builder, AWS Training and Certifications</t>
        </is>
      </c>
      <c r="C205" t="inlineStr">
        <is>
          <t>Amazon Web Services</t>
        </is>
      </c>
      <c r="D205" t="inlineStr">
        <is>
          <t>indeed</t>
        </is>
      </c>
      <c r="E205">
        <f>HYPERLINK("https://www.indeed.com/viewjob?jk=d5d58b75ea8fa88a", "https://www.indeed.com/viewjob?jk=d5d58b75ea8fa88a")</f>
        <v/>
      </c>
      <c r="F205">
        <f>HYPERLINK("https://www.amazon.jobs/jobs/3140583/applied-scientist-skill-builder-aws-training-and-certifications?cmpid=DA_INAD200785B", "https://www.amazon.jobs/jobs/3140583/applied-scientist-skill-builder-aws-training-and-certifications?cmpid=DA_INAD200785B")</f>
        <v/>
      </c>
      <c r="G205" t="inlineStr">
        <is>
          <t>Bellevue, WA, US</t>
        </is>
      </c>
      <c r="H205" s="3" t="n">
        <v>46000</v>
      </c>
      <c r="I20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in-a8fd7b9a5c2ab49c</t>
        </is>
      </c>
      <c r="B206" t="inlineStr">
        <is>
          <t>Applied Scientist, Skill Builder, AWS Training and Certifications</t>
        </is>
      </c>
      <c r="C206" t="inlineStr">
        <is>
          <t>Amazon Web Services</t>
        </is>
      </c>
      <c r="D206" t="inlineStr">
        <is>
          <t>indeed</t>
        </is>
      </c>
      <c r="E206">
        <f>HYPERLINK("https://www.indeed.com/viewjob?jk=a8fd7b9a5c2ab49c", "https://www.indeed.com/viewjob?jk=a8fd7b9a5c2ab49c")</f>
        <v/>
      </c>
      <c r="F206">
        <f>HYPERLINK("https://www.amazon.jobs/jobs/3140583/applied-scientist-skill-builder-aws-training-and-certifications?cmpid=DA_INAD200785B", "https://www.amazon.jobs/jobs/3140583/applied-scientist-skill-builder-aws-training-and-certifications?cmpid=DA_INAD200785B")</f>
        <v/>
      </c>
      <c r="G206" t="inlineStr">
        <is>
          <t>Arlington, VA, US</t>
        </is>
      </c>
      <c r="H206" s="3" t="n">
        <v>46000</v>
      </c>
      <c r="I20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in-b284d0a1b9678079</t>
        </is>
      </c>
      <c r="B207" t="inlineStr">
        <is>
          <t>Applied Scientist, Skill Builder, AWS Training and Certifications</t>
        </is>
      </c>
      <c r="C207" t="inlineStr">
        <is>
          <t>Amazon Web Services</t>
        </is>
      </c>
      <c r="D207" t="inlineStr">
        <is>
          <t>indeed</t>
        </is>
      </c>
      <c r="E207">
        <f>HYPERLINK("https://www.indeed.com/viewjob?jk=b284d0a1b9678079", "https://www.indeed.com/viewjob?jk=b284d0a1b9678079")</f>
        <v/>
      </c>
      <c r="F207">
        <f>HYPERLINK("https://www.amazon.jobs/jobs/3140583/applied-scientist-skill-builder-aws-training-and-certifications?cmpid=DA_INAD200785B", "https://www.amazon.jobs/jobs/3140583/applied-scientist-skill-builder-aws-training-and-certifications?cmpid=DA_INAD200785B")</f>
        <v/>
      </c>
      <c r="G207" t="inlineStr">
        <is>
          <t>Seattle, WA, US</t>
        </is>
      </c>
      <c r="H207" s="3" t="n">
        <v>46000</v>
      </c>
      <c r="I20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in-70aca92753359dba</t>
        </is>
      </c>
      <c r="B208" t="inlineStr">
        <is>
          <t>Senior Data Scientist, Ads - USDS</t>
        </is>
      </c>
      <c r="C208" t="inlineStr">
        <is>
          <t>TikTok</t>
        </is>
      </c>
      <c r="D208" t="inlineStr">
        <is>
          <t>indeed</t>
        </is>
      </c>
      <c r="E208">
        <f>HYPERLINK("https://www.indeed.com/viewjob?jk=70aca92753359dba", "https://www.indeed.com/viewjob?jk=70aca92753359dba")</f>
        <v/>
      </c>
      <c r="F208">
        <f>HYPERLINK("https://lifeattiktok.com/search/7580642628170303749", "https://lifeattiktok.com/search/7580642628170303749")</f>
        <v/>
      </c>
      <c r="G208" t="inlineStr">
        <is>
          <t>Seattle, WA, US</t>
        </is>
      </c>
      <c r="H208" s="3" t="n">
        <v>46026</v>
      </c>
      <c r="I208" t="inlineStr">
        <is>
          <t>Technology
Senior Data Scientist, Ads \- USDS
Location
:
Seattle
Employment Type
:
Regular
Job Code
:
A132574
Responsibilities
About the team
We're the TikTok Monetization Products Data Science Team, who enables and champions data driven decision making. Our Vision is to become the world class data science team, where data is used rigorously to drive all decision making. Our Mission is to drive monetization and sustainable revenue growth for TikTok through data science.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Work with large, complex data sets. Solve difficult, non\-routine analysis problems, applying advanced analytical methods as needed. Conduct analysis that includes data gathering and requirements specification, processing, analysis, ongoing deliverables, and presentations.
* Build and prototype analysis pipelines iteratively to provide insights at
scale.
* Develop comprehensive knowledge of TikTok data structures and metrics, advocating for changes where needed for product development.
* Interact cross\-functionally, making business recommendations (e.g., cost\-benefit, forecasting, experiment analysis) with effective presentations of findings at multiple levels of stakeholders through visual displays of quantitative information.
* Research and develop analysis, forecasting, and optimization methods to improve the quality of TikTok ads products.
Qualifications
**Minimum Qualifications:**  
* BA, Master's degree or PhD in a quantitative discipline (e.g., Statistics, Operations Research, Economics, Computer Science, Mathematics, Physics) or equivalent practical experience.
* 2\+ years of relevant work experience, including expertise with statistical data analysis such as linear models, multivariate analysis, stochastic models, sampling methods.
* Experience with statistical software (e.g. R, Python, MATLAB) and database languages (e.g. SQL)
**Preferred Qualifications:**  
* Experience with Ads, Recommendation, E\-Comm, Search etc. is a plus
* Demonstrated leadership and self\-direction. Willingness to both teach others and learn new techniques.
* Demonstrated skills in selecting the right statistical tools given a data analysis problem.
* Effective written and verbal communication skills.
Job Information
【For Pay Transparency】Compensation Description (Annually)
The base salary range for this position in the selected city is $167538 \- $312867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
​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
Diversity \&amp; Inclusion
​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t>
        </is>
      </c>
    </row>
    <row r="209">
      <c r="A209" t="inlineStr">
        <is>
          <t>in-6e701dfd4bdc8ea3</t>
        </is>
      </c>
      <c r="B209" t="inlineStr">
        <is>
          <t>Senior Data Scientist (L5) - Ads Supply &amp; Decisioning</t>
        </is>
      </c>
      <c r="C209" t="inlineStr">
        <is>
          <t>Netflix</t>
        </is>
      </c>
      <c r="D209" t="inlineStr">
        <is>
          <t>indeed</t>
        </is>
      </c>
      <c r="E209">
        <f>HYPERLINK("https://www.indeed.com/viewjob?jk=6e701dfd4bdc8ea3", "https://www.indeed.com/viewjob?jk=6e701dfd4bdc8ea3")</f>
        <v/>
      </c>
      <c r="F209">
        <f>HYPERLINK("https://explore.jobs.netflix.net/careers/job/790313501467", "https://explore.jobs.netflix.net/careers/job/790313501467")</f>
        <v/>
      </c>
      <c r="G209" t="inlineStr">
        <is>
          <t>Remote, US</t>
        </is>
      </c>
      <c r="H209" s="3" t="n">
        <v>46026</v>
      </c>
      <c r="I209"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In April 2022, we announced that we are creating a new lower\-priced, ad\-supported tier for our customers. We are now working toward our goal of providing more choice for consumers and a premium, better\-than\-linear TV brand experience for advertisers. That said, we are looking for the founding members of this new business area for Netflix!
The Ads Data Science and Engineering team at Netflix’s mission is to help build the foundation of the ads business at Netflix. We conduct analyses and develop analytic tools, build predictive models and algorithms using machine learning, all with the goal of creating more choices and joy for our members. You’ll work closely with partner teams to build workflows, provide recommendations, and drive success on end\-to\-end analytics initiatives in this 0 \-1 space.
We are seeking Sr Data Scientists to work on various exciting projects across ad optimization, including audience \&amp; identity, forecasting, core ad ranking, auction/marketplace design, pricing, and yield optimization.
As a Data Scientist, you will partner with a diverse range of cross\-functional business partners to uncover new opportunities, design, execute, and analyze experiments, and deliver solutions that have a significant business impact and implications for our users. You will help drive innovations through effective identification and application of analytics, causal inference, experimentation, and machine learning. This is a high\-impact role in which you will have direct influence on how product decisions are made.
**In this role, you will:**
* Apply statistical modeling, machine learning, and optimization techniques to business problems at the intersection of product and data science
* Autonomously identify and pursue research with significant business impact, and make compelling cases for prioritization and resource allocation
* Proactively perform data exploration on engagement behaviors to discover future opportunities
* Collaborate with cross\-functional stakeholders from product, engineering, operations, design, consumer research, etc., to develop and deploy models at scale
* Deliver well\-documented datasets, tools, and reports to key technical and business partners
* Identify, compute, and validate the appropriate metrics to measure success in a product area
* Cultivate strong partnerships with cross\-functional stakeholders from product, engineering, operations, design, consumer research, etc.
* Present your research and insights to all levels of the company
**We are looking for:**
* Advanced degree in Statistics, Machine Learning, Economics, Operations Research, Mathematics, Physics, or related quantitative field
* 5\+ years of relevant experience with large\-scale data
* Strong statistical knowledge and intuition \- ideally utilized in experimentation or other product analytics settings
* Strong product knowledge and intuition \- ideally utilized in consumer/user interface settings or internally serving technical audiences such as engineers.
* Demonstrated ability to communicate and drive product change across a variety of stakeholders
* Strong SQL skills
* Strong Quantitative Programming skills in Python or R
* Ability to work independently and drive your own projects
* Ability to communicate technical and statistical concepts clearly and concisely among audiences at many different levels.
* Embodies the Netflix values while bringing a new perspective to continue improving our culture
* Plus: Experience in building real\-world machine learning models with demonstrated impact
* Plus: Experience creating data products and dashboards, such as Tableau
* Plus: Experience in building causal inference solutions
* Plus: Familiarity with software engineering practice and working with APIs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10">
      <c r="A210" t="inlineStr">
        <is>
          <t>in-9399179871fa236d</t>
        </is>
      </c>
      <c r="B210" t="inlineStr">
        <is>
          <t>Principal Applied Scientist, AGI Foundations, AGI Foundations</t>
        </is>
      </c>
      <c r="C210" t="inlineStr">
        <is>
          <t>Amazon.com</t>
        </is>
      </c>
      <c r="D210" t="inlineStr">
        <is>
          <t>indeed</t>
        </is>
      </c>
      <c r="E210">
        <f>HYPERLINK("https://www.indeed.com/viewjob?jk=9399179871fa236d", "https://www.indeed.com/viewjob?jk=9399179871fa236d")</f>
        <v/>
      </c>
      <c r="F210">
        <f>HYPERLINK("https://www.amazon.jobs/jobs/3127969/principal-applied-scientist-agi-foundations-agi-foundations?cmpid=DA_INAD200785B", "https://www.amazon.jobs/jobs/3127969/principal-applied-scientist-agi-foundations-agi-foundations?cmpid=DA_INAD200785B")</f>
        <v/>
      </c>
      <c r="G210" t="inlineStr">
        <is>
          <t>Bellevue, WA, US</t>
        </is>
      </c>
      <c r="H210" s="3" t="n">
        <v>45978</v>
      </c>
      <c r="I21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in-13351ac28da1938b</t>
        </is>
      </c>
      <c r="B211" t="inlineStr">
        <is>
          <t>Principal Applied Scientist, AGI Foundations, AGI Foundations</t>
        </is>
      </c>
      <c r="C211" t="inlineStr">
        <is>
          <t>Amazon.com</t>
        </is>
      </c>
      <c r="D211" t="inlineStr">
        <is>
          <t>indeed</t>
        </is>
      </c>
      <c r="E211">
        <f>HYPERLINK("https://www.indeed.com/viewjob?jk=13351ac28da1938b", "https://www.indeed.com/viewjob?jk=13351ac28da1938b")</f>
        <v/>
      </c>
      <c r="F211">
        <f>HYPERLINK("https://www.amazon.jobs/jobs/3127969/principal-applied-scientist-agi-foundations-agi-foundations?cmpid=DA_INAD200785B", "https://www.amazon.jobs/jobs/3127969/principal-applied-scientist-agi-foundations-agi-foundations?cmpid=DA_INAD200785B")</f>
        <v/>
      </c>
      <c r="G211" t="inlineStr">
        <is>
          <t>Sunnyvale, CA, US</t>
        </is>
      </c>
      <c r="H211" s="3" t="n">
        <v>45978</v>
      </c>
      <c r="I21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in-113c5f7cea38524c</t>
        </is>
      </c>
      <c r="B212" t="inlineStr">
        <is>
          <t>Principal Applied Scientist, AGI Foundations, AGI Foundations</t>
        </is>
      </c>
      <c r="C212" t="inlineStr">
        <is>
          <t>Amazon.com</t>
        </is>
      </c>
      <c r="D212" t="inlineStr">
        <is>
          <t>indeed</t>
        </is>
      </c>
      <c r="E212">
        <f>HYPERLINK("https://www.indeed.com/viewjob?jk=113c5f7cea38524c", "https://www.indeed.com/viewjob?jk=113c5f7cea38524c")</f>
        <v/>
      </c>
      <c r="F212">
        <f>HYPERLINK("https://www.amazon.jobs/jobs/3127969/principal-applied-scientist-agi-foundations-agi-foundations?cmpid=DA_INAD200785B", "https://www.amazon.jobs/jobs/3127969/principal-applied-scientist-agi-foundations-agi-foundations?cmpid=DA_INAD200785B")</f>
        <v/>
      </c>
      <c r="G212" t="inlineStr">
        <is>
          <t>Boston, MA, US</t>
        </is>
      </c>
      <c r="H212" s="3" t="n">
        <v>45978</v>
      </c>
      <c r="I21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in-3b3626b3fa7e923b</t>
        </is>
      </c>
      <c r="B213" t="inlineStr">
        <is>
          <t>Principal Applied Scientist, AGI Foundations, AGI Foundations</t>
        </is>
      </c>
      <c r="C213" t="inlineStr">
        <is>
          <t>Amazon.com</t>
        </is>
      </c>
      <c r="D213" t="inlineStr">
        <is>
          <t>indeed</t>
        </is>
      </c>
      <c r="E213">
        <f>HYPERLINK("https://www.indeed.com/viewjob?jk=3b3626b3fa7e923b", "https://www.indeed.com/viewjob?jk=3b3626b3fa7e923b")</f>
        <v/>
      </c>
      <c r="F213">
        <f>HYPERLINK("https://www.amazon.jobs/jobs/3127969/principal-applied-scientist-agi-foundations-agi-foundations?cmpid=DA_INAD200785B", "https://www.amazon.jobs/jobs/3127969/principal-applied-scientist-agi-foundations-agi-foundations?cmpid=DA_INAD200785B")</f>
        <v/>
      </c>
      <c r="G213" t="inlineStr">
        <is>
          <t>New York, NY, US</t>
        </is>
      </c>
      <c r="H213" s="3" t="n">
        <v>45978</v>
      </c>
      <c r="I21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in-9ccd79d602e42f12</t>
        </is>
      </c>
      <c r="B214" t="inlineStr">
        <is>
          <t>Principal Applied Scientist, Artificial General Intelligence</t>
        </is>
      </c>
      <c r="C214" t="inlineStr">
        <is>
          <t>Amazon.com</t>
        </is>
      </c>
      <c r="D214" t="inlineStr">
        <is>
          <t>indeed</t>
        </is>
      </c>
      <c r="E214">
        <f>HYPERLINK("https://www.indeed.com/viewjob?jk=9ccd79d602e42f12", "https://www.indeed.com/viewjob?jk=9ccd79d602e42f12")</f>
        <v/>
      </c>
      <c r="F214">
        <f>HYPERLINK("https://www.amazon.jobs/jobs/3128477/principal-applied-scientist--artificial-general-intelligence?cmpid=DA_INAD200785B", "https://www.amazon.jobs/jobs/3128477/principal-applied-scientist--artificial-general-intelligence?cmpid=DA_INAD200785B")</f>
        <v/>
      </c>
      <c r="G214" t="inlineStr">
        <is>
          <t>Sunnyvale, CA, US</t>
        </is>
      </c>
      <c r="H214" s="3" t="n">
        <v>45978</v>
      </c>
      <c r="I214"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in-70655134e8372d46</t>
        </is>
      </c>
      <c r="B215" t="inlineStr">
        <is>
          <t>Principal Applied Scientist, Artificial General Intelligence</t>
        </is>
      </c>
      <c r="C215" t="inlineStr">
        <is>
          <t>Amazon.com</t>
        </is>
      </c>
      <c r="D215" t="inlineStr">
        <is>
          <t>indeed</t>
        </is>
      </c>
      <c r="E215">
        <f>HYPERLINK("https://www.indeed.com/viewjob?jk=70655134e8372d46", "https://www.indeed.com/viewjob?jk=70655134e8372d46")</f>
        <v/>
      </c>
      <c r="F215">
        <f>HYPERLINK("https://www.amazon.jobs/jobs/3128477/principal-applied-scientist--artificial-general-intelligence?cmpid=DA_INAD200785B", "https://www.amazon.jobs/jobs/3128477/principal-applied-scientist--artificial-general-intelligence?cmpid=DA_INAD200785B")</f>
        <v/>
      </c>
      <c r="G215" t="inlineStr">
        <is>
          <t>Seattle, WA, US</t>
        </is>
      </c>
      <c r="H215" s="3" t="n">
        <v>45978</v>
      </c>
      <c r="I215"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in-3f3c4d74d7ee7e4d</t>
        </is>
      </c>
      <c r="B216" t="inlineStr">
        <is>
          <t>Principal Applied Scientist, Artificial General Intelligence</t>
        </is>
      </c>
      <c r="C216" t="inlineStr">
        <is>
          <t>Amazon.com</t>
        </is>
      </c>
      <c r="D216" t="inlineStr">
        <is>
          <t>indeed</t>
        </is>
      </c>
      <c r="E216">
        <f>HYPERLINK("https://www.indeed.com/viewjob?jk=3f3c4d74d7ee7e4d", "https://www.indeed.com/viewjob?jk=3f3c4d74d7ee7e4d")</f>
        <v/>
      </c>
      <c r="F216">
        <f>HYPERLINK("https://www.amazon.jobs/jobs/3128477/principal-applied-scientist--artificial-general-intelligence?cmpid=DA_INAD200785B", "https://www.amazon.jobs/jobs/3128477/principal-applied-scientist--artificial-general-intelligence?cmpid=DA_INAD200785B")</f>
        <v/>
      </c>
      <c r="G216" t="inlineStr">
        <is>
          <t>San Francisco, CA, US</t>
        </is>
      </c>
      <c r="H216" s="3" t="n">
        <v>45978</v>
      </c>
      <c r="I216"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in-9eb2460b022c2057</t>
        </is>
      </c>
      <c r="B217" t="inlineStr">
        <is>
          <t>Principal Applied Scientist, Artificial General Intelligence</t>
        </is>
      </c>
      <c r="C217" t="inlineStr">
        <is>
          <t>Amazon.com</t>
        </is>
      </c>
      <c r="D217" t="inlineStr">
        <is>
          <t>indeed</t>
        </is>
      </c>
      <c r="E217">
        <f>HYPERLINK("https://www.indeed.com/viewjob?jk=9eb2460b022c2057", "https://www.indeed.com/viewjob?jk=9eb2460b022c2057")</f>
        <v/>
      </c>
      <c r="F217">
        <f>HYPERLINK("https://www.amazon.jobs/jobs/3128477/principal-applied-scientist--artificial-general-intelligence?cmpid=DA_INAD200785B", "https://www.amazon.jobs/jobs/3128477/principal-applied-scientist--artificial-general-intelligence?cmpid=DA_INAD200785B")</f>
        <v/>
      </c>
      <c r="G217" t="inlineStr">
        <is>
          <t>Bellevue, WA, US</t>
        </is>
      </c>
      <c r="H217" s="3" t="n">
        <v>45978</v>
      </c>
      <c r="I217"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in-6cf1edb5cac1174d</t>
        </is>
      </c>
      <c r="B218" t="inlineStr">
        <is>
          <t>Applied Scientist, Artificial General Intelligence</t>
        </is>
      </c>
      <c r="C218" t="inlineStr">
        <is>
          <t>Amazon.com</t>
        </is>
      </c>
      <c r="D218" t="inlineStr">
        <is>
          <t>indeed</t>
        </is>
      </c>
      <c r="E218">
        <f>HYPERLINK("https://www.indeed.com/viewjob?jk=6cf1edb5cac1174d", "https://www.indeed.com/viewjob?jk=6cf1edb5cac1174d")</f>
        <v/>
      </c>
      <c r="F218">
        <f>HYPERLINK("https://www.amazon.jobs/jobs/3127075/applied-scientist-artificial-general-intelligence?cmpid=DA_INAD200785B", "https://www.amazon.jobs/jobs/3127075/applied-scientist-artificial-general-intelligence?cmpid=DA_INAD200785B")</f>
        <v/>
      </c>
      <c r="G218" t="inlineStr">
        <is>
          <t>Seattle, WA, US</t>
        </is>
      </c>
      <c r="H218" s="3" t="n">
        <v>45974</v>
      </c>
      <c r="I21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in-88b479a96651d436</t>
        </is>
      </c>
      <c r="B219" t="inlineStr">
        <is>
          <t>Applied Scientist, Artificial General Intelligence</t>
        </is>
      </c>
      <c r="C219" t="inlineStr">
        <is>
          <t>Amazon.com</t>
        </is>
      </c>
      <c r="D219" t="inlineStr">
        <is>
          <t>indeed</t>
        </is>
      </c>
      <c r="E219">
        <f>HYPERLINK("https://www.indeed.com/viewjob?jk=88b479a96651d436", "https://www.indeed.com/viewjob?jk=88b479a96651d436")</f>
        <v/>
      </c>
      <c r="F219">
        <f>HYPERLINK("https://www.amazon.jobs/jobs/3127075/applied-scientist-artificial-general-intelligence?cmpid=DA_INAD200785B", "https://www.amazon.jobs/jobs/3127075/applied-scientist-artificial-general-intelligence?cmpid=DA_INAD200785B")</f>
        <v/>
      </c>
      <c r="G219" t="inlineStr">
        <is>
          <t>Sunnyvale, CA, US</t>
        </is>
      </c>
      <c r="H219" s="3" t="n">
        <v>45974</v>
      </c>
      <c r="I21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in-78b67d6061b2f36e</t>
        </is>
      </c>
      <c r="B220" t="inlineStr">
        <is>
          <t>Applied Scientist, Artificial General Intelligence</t>
        </is>
      </c>
      <c r="C220" t="inlineStr">
        <is>
          <t>Amazon.com</t>
        </is>
      </c>
      <c r="D220" t="inlineStr">
        <is>
          <t>indeed</t>
        </is>
      </c>
      <c r="E220">
        <f>HYPERLINK("https://www.indeed.com/viewjob?jk=78b67d6061b2f36e", "https://www.indeed.com/viewjob?jk=78b67d6061b2f36e")</f>
        <v/>
      </c>
      <c r="F220">
        <f>HYPERLINK("https://www.amazon.jobs/jobs/3127075/applied-scientist-artificial-general-intelligence?cmpid=DA_INAD200785B", "https://www.amazon.jobs/jobs/3127075/applied-scientist-artificial-general-intelligence?cmpid=DA_INAD200785B")</f>
        <v/>
      </c>
      <c r="G220" t="inlineStr">
        <is>
          <t>Boston, MA, US</t>
        </is>
      </c>
      <c r="H220" s="3" t="n">
        <v>45974</v>
      </c>
      <c r="I22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in-d0fd28a4d1113b59</t>
        </is>
      </c>
      <c r="B221" t="inlineStr">
        <is>
          <t>Senior Data Scientist, AWS Professional Services</t>
        </is>
      </c>
      <c r="C221" t="inlineStr">
        <is>
          <t>Amazon Web Services</t>
        </is>
      </c>
      <c r="D221" t="inlineStr">
        <is>
          <t>indeed</t>
        </is>
      </c>
      <c r="E221">
        <f>HYPERLINK("https://www.indeed.com/viewjob?jk=d0fd28a4d1113b59", "https://www.indeed.com/viewjob?jk=d0fd28a4d1113b59")</f>
        <v/>
      </c>
      <c r="F221">
        <f>HYPERLINK("https://www.amazon.jobs/jobs/3127431/senior-data-scientist-aws-professional-services?cmpid=DA_INAD200785B", "https://www.amazon.jobs/jobs/3127431/senior-data-scientist-aws-professional-services?cmpid=DA_INAD200785B")</f>
        <v/>
      </c>
      <c r="G221" t="inlineStr">
        <is>
          <t>Dallas, TX, US</t>
        </is>
      </c>
      <c r="H221" s="3" t="n">
        <v>45972</v>
      </c>
      <c r="I221"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in-1a63b5aebaee4a0e</t>
        </is>
      </c>
      <c r="B222" t="inlineStr">
        <is>
          <t>Senior Data Scientist, AWS Professional Services</t>
        </is>
      </c>
      <c r="C222" t="inlineStr">
        <is>
          <t>Amazon Web Services</t>
        </is>
      </c>
      <c r="D222" t="inlineStr">
        <is>
          <t>indeed</t>
        </is>
      </c>
      <c r="E222">
        <f>HYPERLINK("https://www.indeed.com/viewjob?jk=1a63b5aebaee4a0e", "https://www.indeed.com/viewjob?jk=1a63b5aebaee4a0e")</f>
        <v/>
      </c>
      <c r="F222">
        <f>HYPERLINK("https://www.amazon.jobs/jobs/3127431/senior-data-scientist-aws-professional-services?cmpid=DA_INAD200785B", "https://www.amazon.jobs/jobs/3127431/senior-data-scientist-aws-professional-services?cmpid=DA_INAD200785B")</f>
        <v/>
      </c>
      <c r="G222" t="inlineStr">
        <is>
          <t>New York, NY, US</t>
        </is>
      </c>
      <c r="H222" s="3" t="n">
        <v>45972</v>
      </c>
      <c r="I222"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in-d16cf6cd1de3cd6e</t>
        </is>
      </c>
      <c r="B223" t="inlineStr">
        <is>
          <t>Senior Data Scientist, AWS Professional Services</t>
        </is>
      </c>
      <c r="C223" t="inlineStr">
        <is>
          <t>Amazon Web Services</t>
        </is>
      </c>
      <c r="D223" t="inlineStr">
        <is>
          <t>indeed</t>
        </is>
      </c>
      <c r="E223">
        <f>HYPERLINK("https://www.indeed.com/viewjob?jk=d16cf6cd1de3cd6e", "https://www.indeed.com/viewjob?jk=d16cf6cd1de3cd6e")</f>
        <v/>
      </c>
      <c r="F223">
        <f>HYPERLINK("https://www.amazon.jobs/jobs/3127431/senior-data-scientist-aws-professional-services?cmpid=DA_INAD200785B", "https://www.amazon.jobs/jobs/3127431/senior-data-scientist-aws-professional-services?cmpid=DA_INAD200785B")</f>
        <v/>
      </c>
      <c r="G223" t="inlineStr">
        <is>
          <t>Seattle, WA, US</t>
        </is>
      </c>
      <c r="H223" s="3" t="n">
        <v>45972</v>
      </c>
      <c r="I223"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in-bfd85094f00f11d8</t>
        </is>
      </c>
      <c r="B224" t="inlineStr">
        <is>
          <t>Senior Data Scientist, AWS Professional Services</t>
        </is>
      </c>
      <c r="C224" t="inlineStr">
        <is>
          <t>Amazon Web Services</t>
        </is>
      </c>
      <c r="D224" t="inlineStr">
        <is>
          <t>indeed</t>
        </is>
      </c>
      <c r="E224">
        <f>HYPERLINK("https://www.indeed.com/viewjob?jk=bfd85094f00f11d8", "https://www.indeed.com/viewjob?jk=bfd85094f00f11d8")</f>
        <v/>
      </c>
      <c r="F224">
        <f>HYPERLINK("https://www.amazon.jobs/jobs/3127431/senior-data-scientist-aws-professional-services?cmpid=DA_INAD200785B", "https://www.amazon.jobs/jobs/3127431/senior-data-scientist-aws-professional-services?cmpid=DA_INAD200785B")</f>
        <v/>
      </c>
      <c r="G224" t="inlineStr">
        <is>
          <t>Santa Monica, CA, US</t>
        </is>
      </c>
      <c r="H224" s="3" t="n">
        <v>45972</v>
      </c>
      <c r="I224"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in-0c21e38850efd500</t>
        </is>
      </c>
      <c r="B225" t="inlineStr">
        <is>
          <t>Senior Data Scientist, AWS Professional Services</t>
        </is>
      </c>
      <c r="C225" t="inlineStr">
        <is>
          <t>Amazon Web Services</t>
        </is>
      </c>
      <c r="D225" t="inlineStr">
        <is>
          <t>indeed</t>
        </is>
      </c>
      <c r="E225">
        <f>HYPERLINK("https://www.indeed.com/viewjob?jk=0c21e38850efd500", "https://www.indeed.com/viewjob?jk=0c21e38850efd500")</f>
        <v/>
      </c>
      <c r="F225">
        <f>HYPERLINK("https://www.amazon.jobs/jobs/3127431/senior-data-scientist-aws-professional-services?cmpid=DA_INAD200785B", "https://www.amazon.jobs/jobs/3127431/senior-data-scientist-aws-professional-services?cmpid=DA_INAD200785B")</f>
        <v/>
      </c>
      <c r="G225" t="inlineStr">
        <is>
          <t>Chicago, IL, US</t>
        </is>
      </c>
      <c r="H225" s="3" t="n">
        <v>45972</v>
      </c>
      <c r="I225"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in-31d55b5a21bc7e59</t>
        </is>
      </c>
      <c r="B226" t="inlineStr">
        <is>
          <t>Senior Data Scientist, AWS Professional Services</t>
        </is>
      </c>
      <c r="C226" t="inlineStr">
        <is>
          <t>Amazon Web Services</t>
        </is>
      </c>
      <c r="D226" t="inlineStr">
        <is>
          <t>indeed</t>
        </is>
      </c>
      <c r="E226">
        <f>HYPERLINK("https://www.indeed.com/viewjob?jk=31d55b5a21bc7e59", "https://www.indeed.com/viewjob?jk=31d55b5a21bc7e59")</f>
        <v/>
      </c>
      <c r="F226">
        <f>HYPERLINK("https://www.amazon.jobs/jobs/3127431/senior-data-scientist-aws-professional-services?cmpid=DA_INAD200785B", "https://www.amazon.jobs/jobs/3127431/senior-data-scientist-aws-professional-services?cmpid=DA_INAD200785B")</f>
        <v/>
      </c>
      <c r="G226" t="inlineStr">
        <is>
          <t>Atlanta, GA, US</t>
        </is>
      </c>
      <c r="H226" s="3" t="n">
        <v>45972</v>
      </c>
      <c r="I226"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in-19c28f3c25bf8801</t>
        </is>
      </c>
      <c r="B227" t="inlineStr">
        <is>
          <t>Senior Data Scientist, AWS Professional Services</t>
        </is>
      </c>
      <c r="C227" t="inlineStr">
        <is>
          <t>Amazon Web Services</t>
        </is>
      </c>
      <c r="D227" t="inlineStr">
        <is>
          <t>indeed</t>
        </is>
      </c>
      <c r="E227">
        <f>HYPERLINK("https://www.indeed.com/viewjob?jk=19c28f3c25bf8801", "https://www.indeed.com/viewjob?jk=19c28f3c25bf8801")</f>
        <v/>
      </c>
      <c r="F227">
        <f>HYPERLINK("https://www.amazon.jobs/jobs/3127431/senior-data-scientist-aws-professional-services?cmpid=DA_INAD200785B", "https://www.amazon.jobs/jobs/3127431/senior-data-scientist-aws-professional-services?cmpid=DA_INAD200785B")</f>
        <v/>
      </c>
      <c r="G227" t="inlineStr">
        <is>
          <t>Irvine, CA, US</t>
        </is>
      </c>
      <c r="H227" s="3" t="n">
        <v>45972</v>
      </c>
      <c r="I227"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in-f53a3553f092093b</t>
        </is>
      </c>
      <c r="B228" t="inlineStr">
        <is>
          <t>Senior Data Scientist, AWS Professional Services</t>
        </is>
      </c>
      <c r="C228" t="inlineStr">
        <is>
          <t>Amazon Web Services</t>
        </is>
      </c>
      <c r="D228" t="inlineStr">
        <is>
          <t>indeed</t>
        </is>
      </c>
      <c r="E228">
        <f>HYPERLINK("https://www.indeed.com/viewjob?jk=f53a3553f092093b", "https://www.indeed.com/viewjob?jk=f53a3553f092093b")</f>
        <v/>
      </c>
      <c r="F228">
        <f>HYPERLINK("https://www.amazon.jobs/jobs/3127431/senior-data-scientist-aws-professional-services?cmpid=DA_INAD200785B", "https://www.amazon.jobs/jobs/3127431/senior-data-scientist-aws-professional-services?cmpid=DA_INAD200785B")</f>
        <v/>
      </c>
      <c r="G228" t="inlineStr">
        <is>
          <t>Arlington, VA, US</t>
        </is>
      </c>
      <c r="H228" s="3" t="n">
        <v>45972</v>
      </c>
      <c r="I228"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in-e9a0b76b9b20d2ae</t>
        </is>
      </c>
      <c r="B229" t="inlineStr">
        <is>
          <t>Senior Data Scientist, AWS Professional Services</t>
        </is>
      </c>
      <c r="C229" t="inlineStr">
        <is>
          <t>Amazon Web Services</t>
        </is>
      </c>
      <c r="D229" t="inlineStr">
        <is>
          <t>indeed</t>
        </is>
      </c>
      <c r="E229">
        <f>HYPERLINK("https://www.indeed.com/viewjob?jk=e9a0b76b9b20d2ae", "https://www.indeed.com/viewjob?jk=e9a0b76b9b20d2ae")</f>
        <v/>
      </c>
      <c r="F229">
        <f>HYPERLINK("https://www.amazon.jobs/jobs/3127431/senior-data-scientist-aws-professional-services?cmpid=DA_INAD200785B", "https://www.amazon.jobs/jobs/3127431/senior-data-scientist-aws-professional-services?cmpid=DA_INAD200785B")</f>
        <v/>
      </c>
      <c r="G229" t="inlineStr">
        <is>
          <t>Boston, MA, US</t>
        </is>
      </c>
      <c r="H229" s="3" t="n">
        <v>45972</v>
      </c>
      <c r="I229" t="inlineStr">
        <is>
          <t>**DESCRIPTION**
---------------
Are you looking to work at the forefront of Machine Learning (ML) and Artificial Intelligence (AI)? Would you be excited to apply AI algorithms to solve real world problems with significant impact? The Amazon Web Services Professional Services (ProServe) team is seeking a skilled Senior Data Scientist to help customers implement AI/ML solutions and realize transformational business opportunities.
This is a team of scientists, engineers, and architects working step\-by\-step with customers to build bespoke solutions that harness the power of AI. The team helps customers imagine and scope the use cases that will create the greatest value for their businesses, select and train and fine\-tune the right models, define paths to navigate technical or business challenges, develop scalable solutions and applications, and launch them in production. The team provides guidance and implements best practices for applying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Senior Data Scientists capable of using AI/ML and other techniques to design, evangelize, and implement state\-of\-the\-art solutions for never\-before\-solved problems.
Key job responsibilities  
As an experienced Senior Data Scientist, you will be responsible for:
1\. Lead end\-to\-end AI/ML and GenAI projects, from understanding business needs to data preparation, model development, solution deployment, and post\-production monitoring  
2\. Collaborate with AI/ML scientists, engineers, and architects to research, design, develop, and evaluate AI algorithms and build ML systems and operations (MLOps) using AWS services to address real\-world challenges  
3\. Interact with customers directly to understand the business challenges, deliver briefing and deep dive sessions to customers and guide them on adoption patterns and paths to production  
4\. Create and deliver best practice recommendations, tutorials, blog posts, publications, sample code, and presentations tailored to technical, business, and executive stakeholders  
5\. Provide customer and market feedback to product and engineering teams to help define product direction  
This is a customer\-facing role with potential travel to customer sites as needed.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in-8f322d9a3370b6d6</t>
        </is>
      </c>
      <c r="B230" t="inlineStr">
        <is>
          <t>Applied Scientist, Sponsored Products and Brands</t>
        </is>
      </c>
      <c r="C230" t="inlineStr">
        <is>
          <t>Amazon.com</t>
        </is>
      </c>
      <c r="D230" t="inlineStr">
        <is>
          <t>indeed</t>
        </is>
      </c>
      <c r="E230">
        <f>HYPERLINK("https://www.indeed.com/viewjob?jk=8f322d9a3370b6d6", "https://www.indeed.com/viewjob?jk=8f322d9a3370b6d6")</f>
        <v/>
      </c>
      <c r="F230">
        <f>HYPERLINK("https://www.amazon.jobs/jobs/3122617/applied-scientist-sponsored-products-and-brands?cmpid=DA_INAD200785B", "https://www.amazon.jobs/jobs/3122617/applied-scientist-sponsored-products-and-brands?cmpid=DA_INAD200785B")</f>
        <v/>
      </c>
      <c r="G230" t="inlineStr">
        <is>
          <t>New York, NY, US</t>
        </is>
      </c>
      <c r="H230" s="3" t="n">
        <v>45965</v>
      </c>
      <c r="I23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in-63a704f5374e8714</t>
        </is>
      </c>
      <c r="B231" t="inlineStr">
        <is>
          <t>Applied Scientist, Sponsored Products and Brands</t>
        </is>
      </c>
      <c r="C231" t="inlineStr">
        <is>
          <t>Amazon.com</t>
        </is>
      </c>
      <c r="D231" t="inlineStr">
        <is>
          <t>indeed</t>
        </is>
      </c>
      <c r="E231">
        <f>HYPERLINK("https://www.indeed.com/viewjob?jk=63a704f5374e8714", "https://www.indeed.com/viewjob?jk=63a704f5374e8714")</f>
        <v/>
      </c>
      <c r="F231">
        <f>HYPERLINK("https://www.amazon.jobs/jobs/3122617/applied-scientist-sponsored-products-and-brands?cmpid=DA_INAD200785B", "https://www.amazon.jobs/jobs/3122617/applied-scientist-sponsored-products-and-brands?cmpid=DA_INAD200785B")</f>
        <v/>
      </c>
      <c r="G231" t="inlineStr">
        <is>
          <t>Seattle, WA, US</t>
        </is>
      </c>
      <c r="H231" s="3" t="n">
        <v>45965</v>
      </c>
      <c r="I23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in-b101105bada6fc7b</t>
        </is>
      </c>
      <c r="B232" t="inlineStr">
        <is>
          <t>Principal Applied Scientist, Amazon AGI</t>
        </is>
      </c>
      <c r="C232" t="inlineStr">
        <is>
          <t>Amazon.com</t>
        </is>
      </c>
      <c r="D232" t="inlineStr">
        <is>
          <t>indeed</t>
        </is>
      </c>
      <c r="E232">
        <f>HYPERLINK("https://www.indeed.com/viewjob?jk=b101105bada6fc7b", "https://www.indeed.com/viewjob?jk=b101105bada6fc7b")</f>
        <v/>
      </c>
      <c r="F232">
        <f>HYPERLINK("https://www.amazon.jobs/jobs/3128808/principal-applied-scientist-amazon-agi?cmpid=DA_INAD200785B", "https://www.amazon.jobs/jobs/3128808/principal-applied-scientist-amazon-agi?cmpid=DA_INAD200785B")</f>
        <v/>
      </c>
      <c r="G232" t="inlineStr">
        <is>
          <t>Boston, MA, US</t>
        </is>
      </c>
      <c r="H232" s="3" t="n">
        <v>45964</v>
      </c>
      <c r="I23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in-451d54e4e0b7b6e2</t>
        </is>
      </c>
      <c r="B233" t="inlineStr">
        <is>
          <t>Sr. Applied Scientist , AMX Science</t>
        </is>
      </c>
      <c r="C233" t="inlineStr">
        <is>
          <t>Amazon.com</t>
        </is>
      </c>
      <c r="D233" t="inlineStr">
        <is>
          <t>indeed</t>
        </is>
      </c>
      <c r="E233">
        <f>HYPERLINK("https://www.indeed.com/viewjob?jk=451d54e4e0b7b6e2", "https://www.indeed.com/viewjob?jk=451d54e4e0b7b6e2")</f>
        <v/>
      </c>
      <c r="F233">
        <f>HYPERLINK("https://www.amazon.jobs/jobs/3122208/sr-applied-scientist--amx-science?cmpid=DA_INAD200785B", "https://www.amazon.jobs/jobs/3122208/sr-applied-scientist--amx-science?cmpid=DA_INAD200785B")</f>
        <v/>
      </c>
      <c r="G233" t="inlineStr">
        <is>
          <t>New York, NY, US</t>
        </is>
      </c>
      <c r="H233" s="3" t="n">
        <v>45958</v>
      </c>
      <c r="I233"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in-d725b873202be72e</t>
        </is>
      </c>
      <c r="B234" t="inlineStr">
        <is>
          <t>Sr. Applied Scientist , AMX Science</t>
        </is>
      </c>
      <c r="C234" t="inlineStr">
        <is>
          <t>Amazon.com</t>
        </is>
      </c>
      <c r="D234" t="inlineStr">
        <is>
          <t>indeed</t>
        </is>
      </c>
      <c r="E234">
        <f>HYPERLINK("https://www.indeed.com/viewjob?jk=d725b873202be72e", "https://www.indeed.com/viewjob?jk=d725b873202be72e")</f>
        <v/>
      </c>
      <c r="F234">
        <f>HYPERLINK("https://www.amazon.jobs/jobs/3122208/sr-applied-scientist--amx-science?cmpid=DA_INAD200785B", "https://www.amazon.jobs/jobs/3122208/sr-applied-scientist--amx-science?cmpid=DA_INAD200785B")</f>
        <v/>
      </c>
      <c r="G234" t="inlineStr">
        <is>
          <t>Seattle, WA, US</t>
        </is>
      </c>
      <c r="H234" s="3" t="n">
        <v>45958</v>
      </c>
      <c r="I23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in-5e129d6a2cc0866a</t>
        </is>
      </c>
      <c r="B235" t="inlineStr">
        <is>
          <t>Sr Data Scientist , Annapurna Labs, ML Acceleration Power Architecture</t>
        </is>
      </c>
      <c r="C235" t="inlineStr">
        <is>
          <t>Amazon Web Services</t>
        </is>
      </c>
      <c r="D235" t="inlineStr">
        <is>
          <t>indeed</t>
        </is>
      </c>
      <c r="E235">
        <f>HYPERLINK("https://www.indeed.com/viewjob?jk=5e129d6a2cc0866a", "https://www.indeed.com/viewjob?jk=5e129d6a2cc0866a")</f>
        <v/>
      </c>
      <c r="F235">
        <f>HYPERLINK("https://www.amazon.jobs/jobs/3117528/sr-data-scientist--annapurna-labs-ml-acceleration-power-architecture?cmpid=DA_INAD200785B", "https://www.amazon.jobs/jobs/3117528/sr-data-scientist--annapurna-labs-ml-acceleration-power-architecture?cmpid=DA_INAD200785B")</f>
        <v/>
      </c>
      <c r="G235" t="inlineStr">
        <is>
          <t>Austin, TX, US</t>
        </is>
      </c>
      <c r="H235" s="3" t="n">
        <v>45957</v>
      </c>
      <c r="I235"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in-93ce3274defdb038</t>
        </is>
      </c>
      <c r="B236" t="inlineStr">
        <is>
          <t>Sr Data Scientist , Annapurna Labs, ML Acceleration Power Architecture</t>
        </is>
      </c>
      <c r="C236" t="inlineStr">
        <is>
          <t>Amazon Web Services</t>
        </is>
      </c>
      <c r="D236" t="inlineStr">
        <is>
          <t>indeed</t>
        </is>
      </c>
      <c r="E236">
        <f>HYPERLINK("https://www.indeed.com/viewjob?jk=93ce3274defdb038", "https://www.indeed.com/viewjob?jk=93ce3274defdb038")</f>
        <v/>
      </c>
      <c r="F236">
        <f>HYPERLINK("https://www.amazon.jobs/jobs/3117528/sr-data-scientist--annapurna-labs-ml-acceleration-power-architecture?cmpid=DA_INAD200785B", "https://www.amazon.jobs/jobs/3117528/sr-data-scientist--annapurna-labs-ml-acceleration-power-architecture?cmpid=DA_INAD200785B")</f>
        <v/>
      </c>
      <c r="G236" t="inlineStr">
        <is>
          <t>Cupertino, CA, US</t>
        </is>
      </c>
      <c r="H236" s="3" t="n">
        <v>45957</v>
      </c>
      <c r="I236"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in-7722e6c6d45f2c10</t>
        </is>
      </c>
      <c r="B237" t="inlineStr">
        <is>
          <t>Sr Data Scientist , Annapurna Labs, ML Acceleration Power Architecture</t>
        </is>
      </c>
      <c r="C237" t="inlineStr">
        <is>
          <t>Amazon Web Services</t>
        </is>
      </c>
      <c r="D237" t="inlineStr">
        <is>
          <t>indeed</t>
        </is>
      </c>
      <c r="E237">
        <f>HYPERLINK("https://www.indeed.com/viewjob?jk=7722e6c6d45f2c10", "https://www.indeed.com/viewjob?jk=7722e6c6d45f2c10")</f>
        <v/>
      </c>
      <c r="F237">
        <f>HYPERLINK("https://www.amazon.jobs/jobs/3117528/sr-data-scientist--annapurna-labs-ml-acceleration-power-architecture?cmpid=DA_INAD200785B", "https://www.amazon.jobs/jobs/3117528/sr-data-scientist--annapurna-labs-ml-acceleration-power-architecture?cmpid=DA_INAD200785B")</f>
        <v/>
      </c>
      <c r="G237" t="inlineStr">
        <is>
          <t>Seattle, WA, US</t>
        </is>
      </c>
      <c r="H237" s="3" t="n">
        <v>45957</v>
      </c>
      <c r="I237"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in-e4718e91bf15602a</t>
        </is>
      </c>
      <c r="B238" t="inlineStr">
        <is>
          <t>Applied Scientist, Prime Video - Content Understanding, Localization &amp; Enrichment Team</t>
        </is>
      </c>
      <c r="C238" t="inlineStr">
        <is>
          <t>Amazon.com</t>
        </is>
      </c>
      <c r="D238" t="inlineStr">
        <is>
          <t>indeed</t>
        </is>
      </c>
      <c r="E238">
        <f>HYPERLINK("https://www.indeed.com/viewjob?jk=e4718e91bf15602a", "https://www.indeed.com/viewjob?jk=e4718e91bf15602a")</f>
        <v/>
      </c>
      <c r="F238">
        <f>HYPERLINK("https://www.amazon.jobs/jobs/3111928/applied-scientist-prime-video--content-understanding-localization--enrichment-team?cmpid=DA_INAD200785B", "https://www.amazon.jobs/jobs/3111928/applied-scientist-prime-video--content-understanding-localization--enrichment-team?cmpid=DA_INAD200785B")</f>
        <v/>
      </c>
      <c r="G238" t="inlineStr">
        <is>
          <t>San Francisco, CA, US</t>
        </is>
      </c>
      <c r="H238" s="3" t="n">
        <v>45943</v>
      </c>
      <c r="I2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in-27551ab77c5b52d2</t>
        </is>
      </c>
      <c r="B239" t="inlineStr">
        <is>
          <t>Applied Scientist, Prime Video - Content Understanding, Localization &amp; Enrichment Team</t>
        </is>
      </c>
      <c r="C239" t="inlineStr">
        <is>
          <t>Amazon.com</t>
        </is>
      </c>
      <c r="D239" t="inlineStr">
        <is>
          <t>indeed</t>
        </is>
      </c>
      <c r="E239">
        <f>HYPERLINK("https://www.indeed.com/viewjob?jk=27551ab77c5b52d2", "https://www.indeed.com/viewjob?jk=27551ab77c5b52d2")</f>
        <v/>
      </c>
      <c r="F239">
        <f>HYPERLINK("https://www.amazon.jobs/jobs/3111928/applied-scientist-prime-video--content-understanding-localization--enrichment-team?cmpid=DA_INAD200785B", "https://www.amazon.jobs/jobs/3111928/applied-scientist-prime-video--content-understanding-localization--enrichment-team?cmpid=DA_INAD200785B")</f>
        <v/>
      </c>
      <c r="G239" t="inlineStr">
        <is>
          <t>Seattle, WA, US</t>
        </is>
      </c>
      <c r="H239" s="3" t="n">
        <v>45943</v>
      </c>
      <c r="I2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in-f6e570a7aa272b2c</t>
        </is>
      </c>
      <c r="B240" t="inlineStr">
        <is>
          <t>Principal Applied Scientist, Advertiser Growth, Amazon Sponsored Products &amp; Brands</t>
        </is>
      </c>
      <c r="C240" t="inlineStr">
        <is>
          <t>Amazon.com</t>
        </is>
      </c>
      <c r="D240" t="inlineStr">
        <is>
          <t>indeed</t>
        </is>
      </c>
      <c r="E240">
        <f>HYPERLINK("https://www.indeed.com/viewjob?jk=f6e570a7aa272b2c", "https://www.indeed.com/viewjob?jk=f6e570a7aa272b2c")</f>
        <v/>
      </c>
      <c r="F240">
        <f>HYPERLINK("https://www.amazon.jobs/jobs/3115279/principal-applied-scientist-advertiser-growth-amazon-sponsored-products--brands?cmpid=DA_INAD200785B", "https://www.amazon.jobs/jobs/3115279/principal-applied-scientist-advertiser-growth-amazon-sponsored-products--brands?cmpid=DA_INAD200785B")</f>
        <v/>
      </c>
      <c r="G240" t="inlineStr">
        <is>
          <t>Palo Alto, CA, US</t>
        </is>
      </c>
      <c r="H240" s="3" t="n">
        <v>45942</v>
      </c>
      <c r="I24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in-6a9f0a7a7699ea84</t>
        </is>
      </c>
      <c r="B241" t="inlineStr">
        <is>
          <t>Principal Applied Scientist, Advertiser Growth, Amazon Sponsored Products &amp; Brands</t>
        </is>
      </c>
      <c r="C241" t="inlineStr">
        <is>
          <t>Amazon.com</t>
        </is>
      </c>
      <c r="D241" t="inlineStr">
        <is>
          <t>indeed</t>
        </is>
      </c>
      <c r="E241">
        <f>HYPERLINK("https://www.indeed.com/viewjob?jk=6a9f0a7a7699ea84", "https://www.indeed.com/viewjob?jk=6a9f0a7a7699ea84")</f>
        <v/>
      </c>
      <c r="F241">
        <f>HYPERLINK("https://www.amazon.jobs/jobs/3115279/principal-applied-scientist-advertiser-growth-amazon-sponsored-products--brands?cmpid=DA_INAD200785B", "https://www.amazon.jobs/jobs/3115279/principal-applied-scientist-advertiser-growth-amazon-sponsored-products--brands?cmpid=DA_INAD200785B")</f>
        <v/>
      </c>
      <c r="G241" t="inlineStr">
        <is>
          <t>Seattle, WA, US</t>
        </is>
      </c>
      <c r="H241" s="3" t="n">
        <v>45942</v>
      </c>
      <c r="I24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in-a5688c1acdbb0b4e</t>
        </is>
      </c>
      <c r="B242" t="inlineStr">
        <is>
          <t>Principal Applied Scientist, Advertiser Growth, Amazon Sponsored Products &amp; Brands</t>
        </is>
      </c>
      <c r="C242" t="inlineStr">
        <is>
          <t>Amazon.com</t>
        </is>
      </c>
      <c r="D242" t="inlineStr">
        <is>
          <t>indeed</t>
        </is>
      </c>
      <c r="E242">
        <f>HYPERLINK("https://www.indeed.com/viewjob?jk=a5688c1acdbb0b4e", "https://www.indeed.com/viewjob?jk=a5688c1acdbb0b4e")</f>
        <v/>
      </c>
      <c r="F242">
        <f>HYPERLINK("https://www.amazon.jobs/jobs/3115279/principal-applied-scientist-advertiser-growth-amazon-sponsored-products--brands?cmpid=DA_INAD200785B", "https://www.amazon.jobs/jobs/3115279/principal-applied-scientist-advertiser-growth-amazon-sponsored-products--brands?cmpid=DA_INAD200785B")</f>
        <v/>
      </c>
      <c r="G242" t="inlineStr">
        <is>
          <t>New York, NY, US</t>
        </is>
      </c>
      <c r="H242" s="3" t="n">
        <v>45942</v>
      </c>
      <c r="I24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in-8350c0783222afa3</t>
        </is>
      </c>
      <c r="B243" t="inlineStr">
        <is>
          <t>Applied Scientist, Artificial General Intelligence</t>
        </is>
      </c>
      <c r="C243" t="inlineStr">
        <is>
          <t>Amazon.com</t>
        </is>
      </c>
      <c r="D243" t="inlineStr">
        <is>
          <t>indeed</t>
        </is>
      </c>
      <c r="E243">
        <f>HYPERLINK("https://www.indeed.com/viewjob?jk=8350c0783222afa3", "https://www.indeed.com/viewjob?jk=8350c0783222afa3")</f>
        <v/>
      </c>
      <c r="F243">
        <f>HYPERLINK("https://www.amazon.jobs/jobs/3104517/applied-scientist-artificial-general-intelligence?cmpid=DA_INAD200785B", "https://www.amazon.jobs/jobs/3104517/applied-scientist-artificial-general-intelligence?cmpid=DA_INAD200785B")</f>
        <v/>
      </c>
      <c r="G243" t="inlineStr">
        <is>
          <t>New York, NY, US</t>
        </is>
      </c>
      <c r="H243" s="3" t="n">
        <v>45937</v>
      </c>
      <c r="I24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in-14e1ce6a977b1899</t>
        </is>
      </c>
      <c r="B244" t="inlineStr">
        <is>
          <t>Applied Scientist, Artificial General Intelligence</t>
        </is>
      </c>
      <c r="C244" t="inlineStr">
        <is>
          <t>Amazon.com</t>
        </is>
      </c>
      <c r="D244" t="inlineStr">
        <is>
          <t>indeed</t>
        </is>
      </c>
      <c r="E244">
        <f>HYPERLINK("https://www.indeed.com/viewjob?jk=14e1ce6a977b1899", "https://www.indeed.com/viewjob?jk=14e1ce6a977b1899")</f>
        <v/>
      </c>
      <c r="F244">
        <f>HYPERLINK("https://www.amazon.jobs/jobs/3104517/applied-scientist-artificial-general-intelligence?cmpid=DA_INAD200785B", "https://www.amazon.jobs/jobs/3104517/applied-scientist-artificial-general-intelligence?cmpid=DA_INAD200785B")</f>
        <v/>
      </c>
      <c r="G244" t="inlineStr">
        <is>
          <t>Bellevue, WA, US</t>
        </is>
      </c>
      <c r="H244" s="3" t="n">
        <v>45937</v>
      </c>
      <c r="I24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in-42dcb72eafc57792</t>
        </is>
      </c>
      <c r="B245" t="inlineStr">
        <is>
          <t>Applied Scientist, Artificial General Intelligence</t>
        </is>
      </c>
      <c r="C245" t="inlineStr">
        <is>
          <t>Amazon.com</t>
        </is>
      </c>
      <c r="D245" t="inlineStr">
        <is>
          <t>indeed</t>
        </is>
      </c>
      <c r="E245">
        <f>HYPERLINK("https://www.indeed.com/viewjob?jk=42dcb72eafc57792", "https://www.indeed.com/viewjob?jk=42dcb72eafc57792")</f>
        <v/>
      </c>
      <c r="F245">
        <f>HYPERLINK("https://www.amazon.jobs/jobs/3104517/applied-scientist-artificial-general-intelligence?cmpid=DA_INAD200785B", "https://www.amazon.jobs/jobs/3104517/applied-scientist-artificial-general-intelligence?cmpid=DA_INAD200785B")</f>
        <v/>
      </c>
      <c r="G245" t="inlineStr">
        <is>
          <t>Sunnyvale, CA, US</t>
        </is>
      </c>
      <c r="H245" s="3" t="n">
        <v>45937</v>
      </c>
      <c r="I24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in-066f6078f06143c7</t>
        </is>
      </c>
      <c r="B246" t="inlineStr">
        <is>
          <t>Applied Scientist, Artificial General Intelligence</t>
        </is>
      </c>
      <c r="C246" t="inlineStr">
        <is>
          <t>Amazon.com</t>
        </is>
      </c>
      <c r="D246" t="inlineStr">
        <is>
          <t>indeed</t>
        </is>
      </c>
      <c r="E246">
        <f>HYPERLINK("https://www.indeed.com/viewjob?jk=066f6078f06143c7", "https://www.indeed.com/viewjob?jk=066f6078f06143c7")</f>
        <v/>
      </c>
      <c r="F246">
        <f>HYPERLINK("https://www.amazon.jobs/jobs/3104517/applied-scientist-artificial-general-intelligence?cmpid=DA_INAD200785B", "https://www.amazon.jobs/jobs/3104517/applied-scientist-artificial-general-intelligence?cmpid=DA_INAD200785B")</f>
        <v/>
      </c>
      <c r="G246" t="inlineStr">
        <is>
          <t>Seattle, WA, US</t>
        </is>
      </c>
      <c r="H246" s="3" t="n">
        <v>45937</v>
      </c>
      <c r="I24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in-aa1b34a07db6bdce</t>
        </is>
      </c>
      <c r="B247" t="inlineStr">
        <is>
          <t>Principal Applied Scientist, AGI Foundations</t>
        </is>
      </c>
      <c r="C247" t="inlineStr">
        <is>
          <t>Amazon.com</t>
        </is>
      </c>
      <c r="D247" t="inlineStr">
        <is>
          <t>indeed</t>
        </is>
      </c>
      <c r="E247">
        <f>HYPERLINK("https://www.indeed.com/viewjob?jk=aa1b34a07db6bdce", "https://www.indeed.com/viewjob?jk=aa1b34a07db6bdce")</f>
        <v/>
      </c>
      <c r="F247">
        <f>HYPERLINK("https://www.amazon.jobs/jobs/3098241/principal-applied-scientist-agi-foundations?cmpid=DA_INAD200785B", "https://www.amazon.jobs/jobs/3098241/principal-applied-scientist-agi-foundations?cmpid=DA_INAD200785B")</f>
        <v/>
      </c>
      <c r="G247" t="inlineStr">
        <is>
          <t>Bellevue, WA, US</t>
        </is>
      </c>
      <c r="H247" s="3" t="n">
        <v>45929</v>
      </c>
      <c r="I24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in-563106d572efdd42</t>
        </is>
      </c>
      <c r="B248" t="inlineStr">
        <is>
          <t>Principal Applied Scientist, AGI Foundations</t>
        </is>
      </c>
      <c r="C248" t="inlineStr">
        <is>
          <t>Amazon.com</t>
        </is>
      </c>
      <c r="D248" t="inlineStr">
        <is>
          <t>indeed</t>
        </is>
      </c>
      <c r="E248">
        <f>HYPERLINK("https://www.indeed.com/viewjob?jk=563106d572efdd42", "https://www.indeed.com/viewjob?jk=563106d572efdd42")</f>
        <v/>
      </c>
      <c r="F248">
        <f>HYPERLINK("https://www.amazon.jobs/jobs/3098241/principal-applied-scientist-agi-foundations?cmpid=DA_INAD200785B", "https://www.amazon.jobs/jobs/3098241/principal-applied-scientist-agi-foundations?cmpid=DA_INAD200785B")</f>
        <v/>
      </c>
      <c r="G248" t="inlineStr">
        <is>
          <t>Sunnyvale, CA, US</t>
        </is>
      </c>
      <c r="H248" s="3" t="n">
        <v>45929</v>
      </c>
      <c r="I24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in-13974042cd8df087</t>
        </is>
      </c>
      <c r="B249" t="inlineStr">
        <is>
          <t>Principal Applied Scientist, Artificial General Intelligence</t>
        </is>
      </c>
      <c r="C249" t="inlineStr">
        <is>
          <t>Amazon.com</t>
        </is>
      </c>
      <c r="D249" t="inlineStr">
        <is>
          <t>indeed</t>
        </is>
      </c>
      <c r="E249">
        <f>HYPERLINK("https://www.indeed.com/viewjob?jk=13974042cd8df087", "https://www.indeed.com/viewjob?jk=13974042cd8df087")</f>
        <v/>
      </c>
      <c r="F249">
        <f>HYPERLINK("https://www.amazon.jobs/jobs/3092462/principal-applied-scientist-artificial-general-intelligence?cmpid=DA_INAD200785B", "https://www.amazon.jobs/jobs/3092462/principal-applied-scientist-artificial-general-intelligence?cmpid=DA_INAD200785B")</f>
        <v/>
      </c>
      <c r="G249" t="inlineStr">
        <is>
          <t>New York, NY, US</t>
        </is>
      </c>
      <c r="H249" s="3" t="n">
        <v>45923</v>
      </c>
      <c r="I24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in-683ec40cb308d60f</t>
        </is>
      </c>
      <c r="B250" t="inlineStr">
        <is>
          <t>Principal Applied Scientist, Artificial General Intelligence</t>
        </is>
      </c>
      <c r="C250" t="inlineStr">
        <is>
          <t>Amazon.com</t>
        </is>
      </c>
      <c r="D250" t="inlineStr">
        <is>
          <t>indeed</t>
        </is>
      </c>
      <c r="E250">
        <f>HYPERLINK("https://www.indeed.com/viewjob?jk=683ec40cb308d60f", "https://www.indeed.com/viewjob?jk=683ec40cb308d60f")</f>
        <v/>
      </c>
      <c r="F250">
        <f>HYPERLINK("https://www.amazon.jobs/jobs/3092462/principal-applied-scientist-artificial-general-intelligence?cmpid=DA_INAD200785B", "https://www.amazon.jobs/jobs/3092462/principal-applied-scientist-artificial-general-intelligence?cmpid=DA_INAD200785B")</f>
        <v/>
      </c>
      <c r="G250" t="inlineStr">
        <is>
          <t>Sunnyvale, CA, US</t>
        </is>
      </c>
      <c r="H250" s="3" t="n">
        <v>45923</v>
      </c>
      <c r="I25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in-eb321d7d4537cd89</t>
        </is>
      </c>
      <c r="B251" t="inlineStr">
        <is>
          <t>Principal Applied Scientist, Artificial General Intelligence</t>
        </is>
      </c>
      <c r="C251" t="inlineStr">
        <is>
          <t>Amazon.com</t>
        </is>
      </c>
      <c r="D251" t="inlineStr">
        <is>
          <t>indeed</t>
        </is>
      </c>
      <c r="E251">
        <f>HYPERLINK("https://www.indeed.com/viewjob?jk=eb321d7d4537cd89", "https://www.indeed.com/viewjob?jk=eb321d7d4537cd89")</f>
        <v/>
      </c>
      <c r="F251">
        <f>HYPERLINK("https://www.amazon.jobs/jobs/3092462/principal-applied-scientist-artificial-general-intelligence?cmpid=DA_INAD200785B", "https://www.amazon.jobs/jobs/3092462/principal-applied-scientist-artificial-general-intelligence?cmpid=DA_INAD200785B")</f>
        <v/>
      </c>
      <c r="G251" t="inlineStr">
        <is>
          <t>Boston, MA, US</t>
        </is>
      </c>
      <c r="H251" s="3" t="n">
        <v>45923</v>
      </c>
      <c r="I25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in-a8ef75bb6e873144</t>
        </is>
      </c>
      <c r="B252" t="inlineStr">
        <is>
          <t>Principal Applied Scientist, Artificial General Intelligence</t>
        </is>
      </c>
      <c r="C252" t="inlineStr">
        <is>
          <t>Amazon.com</t>
        </is>
      </c>
      <c r="D252" t="inlineStr">
        <is>
          <t>indeed</t>
        </is>
      </c>
      <c r="E252">
        <f>HYPERLINK("https://www.indeed.com/viewjob?jk=a8ef75bb6e873144", "https://www.indeed.com/viewjob?jk=a8ef75bb6e873144")</f>
        <v/>
      </c>
      <c r="F252">
        <f>HYPERLINK("https://www.amazon.jobs/jobs/3092462/principal-applied-scientist-artificial-general-intelligence?cmpid=DA_INAD200785B", "https://www.amazon.jobs/jobs/3092462/principal-applied-scientist-artificial-general-intelligence?cmpid=DA_INAD200785B")</f>
        <v/>
      </c>
      <c r="G252" t="inlineStr">
        <is>
          <t>Bellevue, WA, US</t>
        </is>
      </c>
      <c r="H252" s="3" t="n">
        <v>45923</v>
      </c>
      <c r="I25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in-760e46a73502e1fb</t>
        </is>
      </c>
      <c r="B253" t="inlineStr">
        <is>
          <t>Senior Applied Scientist, Artificial General Intelligence</t>
        </is>
      </c>
      <c r="C253" t="inlineStr">
        <is>
          <t>Amazon.com</t>
        </is>
      </c>
      <c r="D253" t="inlineStr">
        <is>
          <t>indeed</t>
        </is>
      </c>
      <c r="E253">
        <f>HYPERLINK("https://www.indeed.com/viewjob?jk=760e46a73502e1fb", "https://www.indeed.com/viewjob?jk=760e46a73502e1fb")</f>
        <v/>
      </c>
      <c r="F253">
        <f>HYPERLINK("https://www.amazon.jobs/jobs/3091494/senior-applied-scientist-artificial-general-intelligence?cmpid=DA_INAD200785B", "https://www.amazon.jobs/jobs/3091494/senior-applied-scientist-artificial-general-intelligence?cmpid=DA_INAD200785B")</f>
        <v/>
      </c>
      <c r="G253" t="inlineStr">
        <is>
          <t>Sunnyvale, CA, US</t>
        </is>
      </c>
      <c r="H253" s="3" t="n">
        <v>45922</v>
      </c>
      <c r="I2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in-0a284cb82d41ba86</t>
        </is>
      </c>
      <c r="B254" t="inlineStr">
        <is>
          <t>Senior Applied Scientist, Artificial General Intelligence</t>
        </is>
      </c>
      <c r="C254" t="inlineStr">
        <is>
          <t>Amazon.com</t>
        </is>
      </c>
      <c r="D254" t="inlineStr">
        <is>
          <t>indeed</t>
        </is>
      </c>
      <c r="E254">
        <f>HYPERLINK("https://www.indeed.com/viewjob?jk=0a284cb82d41ba86", "https://www.indeed.com/viewjob?jk=0a284cb82d41ba86")</f>
        <v/>
      </c>
      <c r="F254">
        <f>HYPERLINK("https://www.amazon.jobs/jobs/3091494/senior-applied-scientist-artificial-general-intelligence?cmpid=DA_INAD200785B", "https://www.amazon.jobs/jobs/3091494/senior-applied-scientist-artificial-general-intelligence?cmpid=DA_INAD200785B")</f>
        <v/>
      </c>
      <c r="G254" t="inlineStr">
        <is>
          <t>Boston, MA, US</t>
        </is>
      </c>
      <c r="H254" s="3" t="n">
        <v>45922</v>
      </c>
      <c r="I25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in-b222f7823e334954</t>
        </is>
      </c>
      <c r="B255" t="inlineStr">
        <is>
          <t>Senior Applied Scientist, Artificial General Intelligence</t>
        </is>
      </c>
      <c r="C255" t="inlineStr">
        <is>
          <t>Amazon.com</t>
        </is>
      </c>
      <c r="D255" t="inlineStr">
        <is>
          <t>indeed</t>
        </is>
      </c>
      <c r="E255">
        <f>HYPERLINK("https://www.indeed.com/viewjob?jk=b222f7823e334954", "https://www.indeed.com/viewjob?jk=b222f7823e334954")</f>
        <v/>
      </c>
      <c r="F255">
        <f>HYPERLINK("https://www.amazon.jobs/jobs/3091494/senior-applied-scientist-artificial-general-intelligence?cmpid=DA_INAD200785B", "https://www.amazon.jobs/jobs/3091494/senior-applied-scientist-artificial-general-intelligence?cmpid=DA_INAD200785B")</f>
        <v/>
      </c>
      <c r="G255" t="inlineStr">
        <is>
          <t>Seattle, WA, US</t>
        </is>
      </c>
      <c r="H255" s="3" t="n">
        <v>45922</v>
      </c>
      <c r="I25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in-5ee0c4911bbe8d09</t>
        </is>
      </c>
      <c r="B256" t="inlineStr">
        <is>
          <t>Applied Scientist, Artificial General Intelligence</t>
        </is>
      </c>
      <c r="C256" t="inlineStr">
        <is>
          <t>Amazon.com</t>
        </is>
      </c>
      <c r="D256" t="inlineStr">
        <is>
          <t>indeed</t>
        </is>
      </c>
      <c r="E256">
        <f>HYPERLINK("https://www.indeed.com/viewjob?jk=5ee0c4911bbe8d09", "https://www.indeed.com/viewjob?jk=5ee0c4911bbe8d09")</f>
        <v/>
      </c>
      <c r="F256">
        <f>HYPERLINK("https://www.amazon.jobs/jobs/3090846/applied-scientist-artificial-general-intelligence?cmpid=DA_INAD200785B", "https://www.amazon.jobs/jobs/3090846/applied-scientist-artificial-general-intelligence?cmpid=DA_INAD200785B")</f>
        <v/>
      </c>
      <c r="G256" t="inlineStr">
        <is>
          <t>Seattle, WA, US</t>
        </is>
      </c>
      <c r="H256" s="3" t="n">
        <v>45921</v>
      </c>
      <c r="I25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in-9db0642391a6ddcf</t>
        </is>
      </c>
      <c r="B257" t="inlineStr">
        <is>
          <t>Applied Scientist, Artificial General Intelligence</t>
        </is>
      </c>
      <c r="C257" t="inlineStr">
        <is>
          <t>Amazon.com</t>
        </is>
      </c>
      <c r="D257" t="inlineStr">
        <is>
          <t>indeed</t>
        </is>
      </c>
      <c r="E257">
        <f>HYPERLINK("https://www.indeed.com/viewjob?jk=9db0642391a6ddcf", "https://www.indeed.com/viewjob?jk=9db0642391a6ddcf")</f>
        <v/>
      </c>
      <c r="F257">
        <f>HYPERLINK("https://www.amazon.jobs/jobs/3090846/applied-scientist-artificial-general-intelligence?cmpid=DA_INAD200785B", "https://www.amazon.jobs/jobs/3090846/applied-scientist-artificial-general-intelligence?cmpid=DA_INAD200785B")</f>
        <v/>
      </c>
      <c r="G257" t="inlineStr">
        <is>
          <t>New York, NY, US</t>
        </is>
      </c>
      <c r="H257" s="3" t="n">
        <v>45921</v>
      </c>
      <c r="I25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in-36eaef92d89007fa</t>
        </is>
      </c>
      <c r="B258" t="inlineStr">
        <is>
          <t>Applied Scientist, Artificial General Intelligence</t>
        </is>
      </c>
      <c r="C258" t="inlineStr">
        <is>
          <t>Amazon.com</t>
        </is>
      </c>
      <c r="D258" t="inlineStr">
        <is>
          <t>indeed</t>
        </is>
      </c>
      <c r="E258">
        <f>HYPERLINK("https://www.indeed.com/viewjob?jk=36eaef92d89007fa", "https://www.indeed.com/viewjob?jk=36eaef92d89007fa")</f>
        <v/>
      </c>
      <c r="F258">
        <f>HYPERLINK("https://www.amazon.jobs/jobs/3090846/applied-scientist-artificial-general-intelligence?cmpid=DA_INAD200785B", "https://www.amazon.jobs/jobs/3090846/applied-scientist-artificial-general-intelligence?cmpid=DA_INAD200785B")</f>
        <v/>
      </c>
      <c r="G258" t="inlineStr">
        <is>
          <t>Bellevue, WA, US</t>
        </is>
      </c>
      <c r="H258" s="3" t="n">
        <v>45921</v>
      </c>
      <c r="I25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in-19473dfc2ee40c20</t>
        </is>
      </c>
      <c r="B259" t="inlineStr">
        <is>
          <t>Applied Scientist, Artificial General Intelligence</t>
        </is>
      </c>
      <c r="C259" t="inlineStr">
        <is>
          <t>Amazon.com</t>
        </is>
      </c>
      <c r="D259" t="inlineStr">
        <is>
          <t>indeed</t>
        </is>
      </c>
      <c r="E259">
        <f>HYPERLINK("https://www.indeed.com/viewjob?jk=19473dfc2ee40c20", "https://www.indeed.com/viewjob?jk=19473dfc2ee40c20")</f>
        <v/>
      </c>
      <c r="F259">
        <f>HYPERLINK("https://www.amazon.jobs/jobs/3090846/applied-scientist-artificial-general-intelligence?cmpid=DA_INAD200785B", "https://www.amazon.jobs/jobs/3090846/applied-scientist-artificial-general-intelligence?cmpid=DA_INAD200785B")</f>
        <v/>
      </c>
      <c r="G259" t="inlineStr">
        <is>
          <t>Boston, MA, US</t>
        </is>
      </c>
      <c r="H259" s="3" t="n">
        <v>45921</v>
      </c>
      <c r="I25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in-3e1c5da461ead329</t>
        </is>
      </c>
      <c r="B260" t="inlineStr">
        <is>
          <t>Senior Applied Scientist, Model Customization, Generative AI Innovation Center</t>
        </is>
      </c>
      <c r="C260" t="inlineStr">
        <is>
          <t>Amazon Web Services</t>
        </is>
      </c>
      <c r="D260" t="inlineStr">
        <is>
          <t>indeed</t>
        </is>
      </c>
      <c r="E260">
        <f>HYPERLINK("https://www.indeed.com/viewjob?jk=3e1c5da461ead329", "https://www.indeed.com/viewjob?jk=3e1c5da461ead329")</f>
        <v/>
      </c>
      <c r="F260">
        <f>HYPERLINK("https://www.amazon.jobs/jobs/3088254/senior-applied-scientist-model-customization-generative-ai-innovation-center?cmpid=DA_INAD200785B", "https://www.amazon.jobs/jobs/3088254/senior-applied-scientist-model-customization-generative-ai-innovation-center?cmpid=DA_INAD200785B")</f>
        <v/>
      </c>
      <c r="G260" t="inlineStr">
        <is>
          <t>Seattle, WA, US</t>
        </is>
      </c>
      <c r="H260" s="3" t="n">
        <v>45908</v>
      </c>
      <c r="I26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in-04cd0486da80529a</t>
        </is>
      </c>
      <c r="B261" t="inlineStr">
        <is>
          <t>Senior Applied Scientist, Model Customization, Generative AI Innovation Center</t>
        </is>
      </c>
      <c r="C261" t="inlineStr">
        <is>
          <t>Amazon Web Services</t>
        </is>
      </c>
      <c r="D261" t="inlineStr">
        <is>
          <t>indeed</t>
        </is>
      </c>
      <c r="E261">
        <f>HYPERLINK("https://www.indeed.com/viewjob?jk=04cd0486da80529a", "https://www.indeed.com/viewjob?jk=04cd0486da80529a")</f>
        <v/>
      </c>
      <c r="F261">
        <f>HYPERLINK("https://www.amazon.jobs/jobs/3088254/senior-applied-scientist-model-customization-generative-ai-innovation-center?cmpid=DA_INAD200785B", "https://www.amazon.jobs/jobs/3088254/senior-applied-scientist-model-customization-generative-ai-innovation-center?cmpid=DA_INAD200785B")</f>
        <v/>
      </c>
      <c r="G261" t="inlineStr">
        <is>
          <t>Arlington, VA, US</t>
        </is>
      </c>
      <c r="H261" s="3" t="n">
        <v>45908</v>
      </c>
      <c r="I26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in-3bf0e3a2aa544c07</t>
        </is>
      </c>
      <c r="B262" t="inlineStr">
        <is>
          <t>Senior Applied Scientist, Model Customization, Generative AI Innovation Center</t>
        </is>
      </c>
      <c r="C262" t="inlineStr">
        <is>
          <t>Amazon Web Services</t>
        </is>
      </c>
      <c r="D262" t="inlineStr">
        <is>
          <t>indeed</t>
        </is>
      </c>
      <c r="E262">
        <f>HYPERLINK("https://www.indeed.com/viewjob?jk=3bf0e3a2aa544c07", "https://www.indeed.com/viewjob?jk=3bf0e3a2aa544c07")</f>
        <v/>
      </c>
      <c r="F262">
        <f>HYPERLINK("https://www.amazon.jobs/jobs/3088254/senior-applied-scientist-model-customization-generative-ai-innovation-center?cmpid=DA_INAD200785B", "https://www.amazon.jobs/jobs/3088254/senior-applied-scientist-model-customization-generative-ai-innovation-center?cmpid=DA_INAD200785B")</f>
        <v/>
      </c>
      <c r="G262" t="inlineStr">
        <is>
          <t>Bellevue, WA, US</t>
        </is>
      </c>
      <c r="H262" s="3" t="n">
        <v>45908</v>
      </c>
      <c r="I26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in-44210f866aed91f4</t>
        </is>
      </c>
      <c r="B263" t="inlineStr">
        <is>
          <t>Senior Applied Scientist, Model Customization, Generative AI Innovation Center</t>
        </is>
      </c>
      <c r="C263" t="inlineStr">
        <is>
          <t>Amazon Web Services</t>
        </is>
      </c>
      <c r="D263" t="inlineStr">
        <is>
          <t>indeed</t>
        </is>
      </c>
      <c r="E263">
        <f>HYPERLINK("https://www.indeed.com/viewjob?jk=44210f866aed91f4", "https://www.indeed.com/viewjob?jk=44210f866aed91f4")</f>
        <v/>
      </c>
      <c r="F263">
        <f>HYPERLINK("https://www.amazon.jobs/jobs/3088254/senior-applied-scientist-model-customization-generative-ai-innovation-center?cmpid=DA_INAD200785B", "https://www.amazon.jobs/jobs/3088254/senior-applied-scientist-model-customization-generative-ai-innovation-center?cmpid=DA_INAD200785B")</f>
        <v/>
      </c>
      <c r="G263" t="inlineStr">
        <is>
          <t>New York, NY, US</t>
        </is>
      </c>
      <c r="H263" s="3" t="n">
        <v>45908</v>
      </c>
      <c r="I26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in-c25fadeb5ff049a3</t>
        </is>
      </c>
      <c r="B264" t="inlineStr">
        <is>
          <t>Senior Applied Scientist, Artificial General Intelligence</t>
        </is>
      </c>
      <c r="C264" t="inlineStr">
        <is>
          <t>Amazon.com</t>
        </is>
      </c>
      <c r="D264" t="inlineStr">
        <is>
          <t>indeed</t>
        </is>
      </c>
      <c r="E264">
        <f>HYPERLINK("https://www.indeed.com/viewjob?jk=c25fadeb5ff049a3", "https://www.indeed.com/viewjob?jk=c25fadeb5ff049a3")</f>
        <v/>
      </c>
      <c r="F264">
        <f>HYPERLINK("https://www.amazon.jobs/jobs/3078169/senior-applied-scientist-artificial-general-intelligence?cmpid=DA_INAD200785B", "https://www.amazon.jobs/jobs/3078169/senior-applied-scientist-artificial-general-intelligence?cmpid=DA_INAD200785B")</f>
        <v/>
      </c>
      <c r="G264" t="inlineStr">
        <is>
          <t>New York, NY, US</t>
        </is>
      </c>
      <c r="H264" s="3" t="n">
        <v>45907</v>
      </c>
      <c r="I26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in-0e7d8f0a2406fd12</t>
        </is>
      </c>
      <c r="B265" t="inlineStr">
        <is>
          <t>Senior Applied Scientist, Artificial General Intelligence</t>
        </is>
      </c>
      <c r="C265" t="inlineStr">
        <is>
          <t>Amazon.com</t>
        </is>
      </c>
      <c r="D265" t="inlineStr">
        <is>
          <t>indeed</t>
        </is>
      </c>
      <c r="E265">
        <f>HYPERLINK("https://www.indeed.com/viewjob?jk=0e7d8f0a2406fd12", "https://www.indeed.com/viewjob?jk=0e7d8f0a2406fd12")</f>
        <v/>
      </c>
      <c r="F265">
        <f>HYPERLINK("https://www.amazon.jobs/jobs/3078169/senior-applied-scientist-artificial-general-intelligence?cmpid=DA_INAD200785B", "https://www.amazon.jobs/jobs/3078169/senior-applied-scientist-artificial-general-intelligence?cmpid=DA_INAD200785B")</f>
        <v/>
      </c>
      <c r="G265" t="inlineStr">
        <is>
          <t>Bellevue, WA, US</t>
        </is>
      </c>
      <c r="H265" s="3" t="n">
        <v>45907</v>
      </c>
      <c r="I26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in-a6551b8dd6eb2272</t>
        </is>
      </c>
      <c r="B266" t="inlineStr">
        <is>
          <t>Senior Applied Scientist, Artificial General Intelligence</t>
        </is>
      </c>
      <c r="C266" t="inlineStr">
        <is>
          <t>Amazon.com</t>
        </is>
      </c>
      <c r="D266" t="inlineStr">
        <is>
          <t>indeed</t>
        </is>
      </c>
      <c r="E266">
        <f>HYPERLINK("https://www.indeed.com/viewjob?jk=a6551b8dd6eb2272", "https://www.indeed.com/viewjob?jk=a6551b8dd6eb2272")</f>
        <v/>
      </c>
      <c r="F266">
        <f>HYPERLINK("https://www.amazon.jobs/jobs/3078169/senior-applied-scientist-artificial-general-intelligence?cmpid=DA_INAD200785B", "https://www.amazon.jobs/jobs/3078169/senior-applied-scientist-artificial-general-intelligence?cmpid=DA_INAD200785B")</f>
        <v/>
      </c>
      <c r="G266" t="inlineStr">
        <is>
          <t>Seattle, WA, US</t>
        </is>
      </c>
      <c r="H266" s="3" t="n">
        <v>45907</v>
      </c>
      <c r="I26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in-a003ca0c2b55653b</t>
        </is>
      </c>
      <c r="B267" t="inlineStr">
        <is>
          <t>Senior Applied Scientist, Artificial General Intelligence</t>
        </is>
      </c>
      <c r="C267" t="inlineStr">
        <is>
          <t>Amazon.com</t>
        </is>
      </c>
      <c r="D267" t="inlineStr">
        <is>
          <t>indeed</t>
        </is>
      </c>
      <c r="E267">
        <f>HYPERLINK("https://www.indeed.com/viewjob?jk=a003ca0c2b55653b", "https://www.indeed.com/viewjob?jk=a003ca0c2b55653b")</f>
        <v/>
      </c>
      <c r="F267">
        <f>HYPERLINK("https://www.amazon.jobs/jobs/3078169/senior-applied-scientist-artificial-general-intelligence?cmpid=DA_INAD200785B", "https://www.amazon.jobs/jobs/3078169/senior-applied-scientist-artificial-general-intelligence?cmpid=DA_INAD200785B")</f>
        <v/>
      </c>
      <c r="G267" t="inlineStr">
        <is>
          <t>Sunnyvale, CA, US</t>
        </is>
      </c>
      <c r="H267" s="3" t="n">
        <v>45907</v>
      </c>
      <c r="I26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in-f466e7d50c5252cc</t>
        </is>
      </c>
      <c r="B268" t="inlineStr">
        <is>
          <t>Senior Data Scientist, Data and Machine Learning, WWPS US Federal</t>
        </is>
      </c>
      <c r="C268" t="inlineStr">
        <is>
          <t>Amazon Web Services</t>
        </is>
      </c>
      <c r="D268" t="inlineStr">
        <is>
          <t>indeed</t>
        </is>
      </c>
      <c r="E268">
        <f>HYPERLINK("https://www.indeed.com/viewjob?jk=f466e7d50c5252cc", "https://www.indeed.com/viewjob?jk=f466e7d50c5252cc")</f>
        <v/>
      </c>
      <c r="F268">
        <f>HYPERLINK("https://www.amazon.jobs/jobs/3054883/senior-data-scientist-data-and-machine-learning-wwps-us-federal?cmpid=DA_INAD200785B", "https://www.amazon.jobs/jobs/3054883/senior-data-scientist-data-and-machine-learning-wwps-us-federal?cmpid=DA_INAD200785B")</f>
        <v/>
      </c>
      <c r="G268" t="inlineStr">
        <is>
          <t>Jessup, MD, US</t>
        </is>
      </c>
      <c r="H268" s="3" t="n">
        <v>45872</v>
      </c>
      <c r="I26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in-7241fe8b852baf04</t>
        </is>
      </c>
      <c r="B269" t="inlineStr">
        <is>
          <t>Senior Data Scientist, Data and Machine Learning, WWPS US Federal</t>
        </is>
      </c>
      <c r="C269" t="inlineStr">
        <is>
          <t>Amazon Web Services</t>
        </is>
      </c>
      <c r="D269" t="inlineStr">
        <is>
          <t>indeed</t>
        </is>
      </c>
      <c r="E269">
        <f>HYPERLINK("https://www.indeed.com/viewjob?jk=7241fe8b852baf04", "https://www.indeed.com/viewjob?jk=7241fe8b852baf04")</f>
        <v/>
      </c>
      <c r="F269">
        <f>HYPERLINK("https://www.amazon.jobs/jobs/3054883/senior-data-scientist-data-and-machine-learning-wwps-us-federal?cmpid=DA_INAD200785B", "https://www.amazon.jobs/jobs/3054883/senior-data-scientist-data-and-machine-learning-wwps-us-federal?cmpid=DA_INAD200785B")</f>
        <v/>
      </c>
      <c r="G269" t="inlineStr">
        <is>
          <t>Arlington, VA, US</t>
        </is>
      </c>
      <c r="H269" s="3" t="n">
        <v>45872</v>
      </c>
      <c r="I269"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in-abb11522c7531c21</t>
        </is>
      </c>
      <c r="B270" t="inlineStr">
        <is>
          <t>Senior Data Scientist, Data and Machine Learning, WWPS US Federal</t>
        </is>
      </c>
      <c r="C270" t="inlineStr">
        <is>
          <t>Amazon Web Services</t>
        </is>
      </c>
      <c r="D270" t="inlineStr">
        <is>
          <t>indeed</t>
        </is>
      </c>
      <c r="E270">
        <f>HYPERLINK("https://www.indeed.com/viewjob?jk=abb11522c7531c21", "https://www.indeed.com/viewjob?jk=abb11522c7531c21")</f>
        <v/>
      </c>
      <c r="F270">
        <f>HYPERLINK("https://www.amazon.jobs/jobs/3054883/senior-data-scientist-data-and-machine-learning-wwps-us-federal?cmpid=DA_INAD200785B", "https://www.amazon.jobs/jobs/3054883/senior-data-scientist-data-and-machine-learning-wwps-us-federal?cmpid=DA_INAD200785B")</f>
        <v/>
      </c>
      <c r="G270" t="inlineStr">
        <is>
          <t>Herndon, VA, US</t>
        </is>
      </c>
      <c r="H270" s="3" t="n">
        <v>45872</v>
      </c>
      <c r="I270"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in-c41c607d4171f2b4</t>
        </is>
      </c>
      <c r="B271" t="inlineStr">
        <is>
          <t>Principal Applied Scientist, AGI Foundations, AGI Foundations</t>
        </is>
      </c>
      <c r="C271" t="inlineStr">
        <is>
          <t>Amazon.com</t>
        </is>
      </c>
      <c r="D271" t="inlineStr">
        <is>
          <t>indeed</t>
        </is>
      </c>
      <c r="E271">
        <f>HYPERLINK("https://www.indeed.com/viewjob?jk=c41c607d4171f2b4", "https://www.indeed.com/viewjob?jk=c41c607d4171f2b4")</f>
        <v/>
      </c>
      <c r="F271">
        <f>HYPERLINK("https://www.amazon.jobs/jobs/3047563/principal-applied-scientist-agi-foundations-agi-foundations?cmpid=DA_INAD200785B", "https://www.amazon.jobs/jobs/3047563/principal-applied-scientist-agi-foundations-agi-foundations?cmpid=DA_INAD200785B")</f>
        <v/>
      </c>
      <c r="G271" t="inlineStr">
        <is>
          <t>Bellevue, WA, US</t>
        </is>
      </c>
      <c r="H271" s="3" t="n">
        <v>45856</v>
      </c>
      <c r="I27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in-82d9ff9e610b8972</t>
        </is>
      </c>
      <c r="B272" t="inlineStr">
        <is>
          <t>Principal Applied Scientist, AGI Foundations, AGI Foundations</t>
        </is>
      </c>
      <c r="C272" t="inlineStr">
        <is>
          <t>Amazon.com</t>
        </is>
      </c>
      <c r="D272" t="inlineStr">
        <is>
          <t>indeed</t>
        </is>
      </c>
      <c r="E272">
        <f>HYPERLINK("https://www.indeed.com/viewjob?jk=82d9ff9e610b8972", "https://www.indeed.com/viewjob?jk=82d9ff9e610b8972")</f>
        <v/>
      </c>
      <c r="F272">
        <f>HYPERLINK("https://www.amazon.jobs/jobs/3047563/principal-applied-scientist-agi-foundations-agi-foundations?cmpid=DA_INAD200785B", "https://www.amazon.jobs/jobs/3047563/principal-applied-scientist-agi-foundations-agi-foundations?cmpid=DA_INAD200785B")</f>
        <v/>
      </c>
      <c r="G272" t="inlineStr">
        <is>
          <t>Boston, MA, US</t>
        </is>
      </c>
      <c r="H272" s="3" t="n">
        <v>45856</v>
      </c>
      <c r="I27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in-d2bb3554e457e262</t>
        </is>
      </c>
      <c r="B273" t="inlineStr">
        <is>
          <t>Principal Applied Scientist, AGI Foundations, AGI Foundations</t>
        </is>
      </c>
      <c r="C273" t="inlineStr">
        <is>
          <t>Amazon.com</t>
        </is>
      </c>
      <c r="D273" t="inlineStr">
        <is>
          <t>indeed</t>
        </is>
      </c>
      <c r="E273">
        <f>HYPERLINK("https://www.indeed.com/viewjob?jk=d2bb3554e457e262", "https://www.indeed.com/viewjob?jk=d2bb3554e457e262")</f>
        <v/>
      </c>
      <c r="F273">
        <f>HYPERLINK("https://www.amazon.jobs/jobs/3047563/principal-applied-scientist-agi-foundations-agi-foundations?cmpid=DA_INAD200785B", "https://www.amazon.jobs/jobs/3047563/principal-applied-scientist-agi-foundations-agi-foundations?cmpid=DA_INAD200785B")</f>
        <v/>
      </c>
      <c r="G273" t="inlineStr">
        <is>
          <t>Sunnyvale, CA, US</t>
        </is>
      </c>
      <c r="H273" s="3" t="n">
        <v>45856</v>
      </c>
      <c r="I27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in-518e3851d3a07745</t>
        </is>
      </c>
      <c r="B274" t="inlineStr">
        <is>
          <t>Principal Applied Scientist, AGI Foundations, AGI Foundations</t>
        </is>
      </c>
      <c r="C274" t="inlineStr">
        <is>
          <t>Amazon.com</t>
        </is>
      </c>
      <c r="D274" t="inlineStr">
        <is>
          <t>indeed</t>
        </is>
      </c>
      <c r="E274">
        <f>HYPERLINK("https://www.indeed.com/viewjob?jk=518e3851d3a07745", "https://www.indeed.com/viewjob?jk=518e3851d3a07745")</f>
        <v/>
      </c>
      <c r="F274">
        <f>HYPERLINK("https://www.amazon.jobs/jobs/3047563/principal-applied-scientist-agi-foundations-agi-foundations?cmpid=DA_INAD200785B", "https://www.amazon.jobs/jobs/3047563/principal-applied-scientist-agi-foundations-agi-foundations?cmpid=DA_INAD200785B")</f>
        <v/>
      </c>
      <c r="G274" t="inlineStr">
        <is>
          <t>New York, NY, US</t>
        </is>
      </c>
      <c r="H274" s="3" t="n">
        <v>45856</v>
      </c>
      <c r="I27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in-a3451f40597a720f</t>
        </is>
      </c>
      <c r="B275" t="inlineStr">
        <is>
          <t>Sr. Applied Scientist, Amazon Advertising</t>
        </is>
      </c>
      <c r="C275" t="inlineStr">
        <is>
          <t>Amazon.com</t>
        </is>
      </c>
      <c r="D275" t="inlineStr">
        <is>
          <t>indeed</t>
        </is>
      </c>
      <c r="E275">
        <f>HYPERLINK("https://www.indeed.com/viewjob?jk=a3451f40597a720f", "https://www.indeed.com/viewjob?jk=a3451f40597a720f")</f>
        <v/>
      </c>
      <c r="F275">
        <f>HYPERLINK("https://www.amazon.jobs/jobs/3035686/sr-applied-scientist-amazon-advertising?cmpid=DA_INAD200785B", "https://www.amazon.jobs/jobs/3035686/sr-applied-scientist-amazon-advertising?cmpid=DA_INAD200785B")</f>
        <v/>
      </c>
      <c r="G275" t="inlineStr">
        <is>
          <t>Seattle, WA, US</t>
        </is>
      </c>
      <c r="H275" s="3" t="n">
        <v>45851</v>
      </c>
      <c r="I2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in-6dd2db32de86c218</t>
        </is>
      </c>
      <c r="B276" t="inlineStr">
        <is>
          <t>Sr. Applied Scientist, Amazon Advertising</t>
        </is>
      </c>
      <c r="C276" t="inlineStr">
        <is>
          <t>Amazon.com</t>
        </is>
      </c>
      <c r="D276" t="inlineStr">
        <is>
          <t>indeed</t>
        </is>
      </c>
      <c r="E276">
        <f>HYPERLINK("https://www.indeed.com/viewjob?jk=6dd2db32de86c218", "https://www.indeed.com/viewjob?jk=6dd2db32de86c218")</f>
        <v/>
      </c>
      <c r="F276">
        <f>HYPERLINK("https://www.amazon.jobs/jobs/3035686/sr-applied-scientist-amazon-advertising?cmpid=DA_INAD200785B", "https://www.amazon.jobs/jobs/3035686/sr-applied-scientist-amazon-advertising?cmpid=DA_INAD200785B")</f>
        <v/>
      </c>
      <c r="G276" t="inlineStr">
        <is>
          <t>Los Angeles, CA, US</t>
        </is>
      </c>
      <c r="H276" s="3" t="n">
        <v>45851</v>
      </c>
      <c r="I27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in-0431223f2ea50173</t>
        </is>
      </c>
      <c r="B277" t="inlineStr">
        <is>
          <t>Sr. Applied Scientist, Amazon Advertising</t>
        </is>
      </c>
      <c r="C277" t="inlineStr">
        <is>
          <t>Amazon.com</t>
        </is>
      </c>
      <c r="D277" t="inlineStr">
        <is>
          <t>indeed</t>
        </is>
      </c>
      <c r="E277">
        <f>HYPERLINK("https://www.indeed.com/viewjob?jk=0431223f2ea50173", "https://www.indeed.com/viewjob?jk=0431223f2ea50173")</f>
        <v/>
      </c>
      <c r="F277">
        <f>HYPERLINK("https://www.amazon.jobs/jobs/3035686/sr-applied-scientist-amazon-advertising?cmpid=DA_INAD200785B", "https://www.amazon.jobs/jobs/3035686/sr-applied-scientist-amazon-advertising?cmpid=DA_INAD200785B")</f>
        <v/>
      </c>
      <c r="G277" t="inlineStr">
        <is>
          <t>Austin, TX, US</t>
        </is>
      </c>
      <c r="H277" s="3" t="n">
        <v>45851</v>
      </c>
      <c r="I2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in-b92531eca7f30436</t>
        </is>
      </c>
      <c r="B278" t="inlineStr">
        <is>
          <t>Sr. Applied Scientist, Amazon Advertising</t>
        </is>
      </c>
      <c r="C278" t="inlineStr">
        <is>
          <t>Amazon.com</t>
        </is>
      </c>
      <c r="D278" t="inlineStr">
        <is>
          <t>indeed</t>
        </is>
      </c>
      <c r="E278">
        <f>HYPERLINK("https://www.indeed.com/viewjob?jk=b92531eca7f30436", "https://www.indeed.com/viewjob?jk=b92531eca7f30436")</f>
        <v/>
      </c>
      <c r="F278">
        <f>HYPERLINK("https://www.amazon.jobs/jobs/3035686/sr-applied-scientist-amazon-advertising?cmpid=DA_INAD200785B", "https://www.amazon.jobs/jobs/3035686/sr-applied-scientist-amazon-advertising?cmpid=DA_INAD200785B")</f>
        <v/>
      </c>
      <c r="G278" t="inlineStr">
        <is>
          <t>New York, NY, US</t>
        </is>
      </c>
      <c r="H278" s="3" t="n">
        <v>45851</v>
      </c>
      <c r="I2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in-160c17f3cd06148c</t>
        </is>
      </c>
      <c r="B279" t="inlineStr">
        <is>
          <t>Sr. Applied Scientist, Amazon Advertising</t>
        </is>
      </c>
      <c r="C279" t="inlineStr">
        <is>
          <t>Amazon.com</t>
        </is>
      </c>
      <c r="D279" t="inlineStr">
        <is>
          <t>indeed</t>
        </is>
      </c>
      <c r="E279">
        <f>HYPERLINK("https://www.indeed.com/viewjob?jk=160c17f3cd06148c", "https://www.indeed.com/viewjob?jk=160c17f3cd06148c")</f>
        <v/>
      </c>
      <c r="F279">
        <f>HYPERLINK("https://www.amazon.jobs/jobs/3035686/sr-applied-scientist-amazon-advertising?cmpid=DA_INAD200785B", "https://www.amazon.jobs/jobs/3035686/sr-applied-scientist-amazon-advertising?cmpid=DA_INAD200785B")</f>
        <v/>
      </c>
      <c r="G279" t="inlineStr">
        <is>
          <t>Simi Valley, CA, US</t>
        </is>
      </c>
      <c r="H279" s="3" t="n">
        <v>45851</v>
      </c>
      <c r="I2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in-729950f21138f902</t>
        </is>
      </c>
      <c r="B280" t="inlineStr">
        <is>
          <t>Sr. Applied Scientist, Amazon Advertising</t>
        </is>
      </c>
      <c r="C280" t="inlineStr">
        <is>
          <t>Amazon.com</t>
        </is>
      </c>
      <c r="D280" t="inlineStr">
        <is>
          <t>indeed</t>
        </is>
      </c>
      <c r="E280">
        <f>HYPERLINK("https://www.indeed.com/viewjob?jk=729950f21138f902", "https://www.indeed.com/viewjob?jk=729950f21138f902")</f>
        <v/>
      </c>
      <c r="F280">
        <f>HYPERLINK("https://www.amazon.jobs/jobs/3035686/sr-applied-scientist-amazon-advertising?cmpid=DA_INAD200785B", "https://www.amazon.jobs/jobs/3035686/sr-applied-scientist-amazon-advertising?cmpid=DA_INAD200785B")</f>
        <v/>
      </c>
      <c r="G280" t="inlineStr">
        <is>
          <t>West Hollywood, CA, US</t>
        </is>
      </c>
      <c r="H280" s="3" t="n">
        <v>45851</v>
      </c>
      <c r="I2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in-ff96f68a145d9609</t>
        </is>
      </c>
      <c r="B281" t="inlineStr">
        <is>
          <t>Sr. Applied Scientist, Amazon Advertising</t>
        </is>
      </c>
      <c r="C281" t="inlineStr">
        <is>
          <t>Amazon.com</t>
        </is>
      </c>
      <c r="D281" t="inlineStr">
        <is>
          <t>indeed</t>
        </is>
      </c>
      <c r="E281">
        <f>HYPERLINK("https://www.indeed.com/viewjob?jk=ff96f68a145d9609", "https://www.indeed.com/viewjob?jk=ff96f68a145d9609")</f>
        <v/>
      </c>
      <c r="F281">
        <f>HYPERLINK("https://www.amazon.jobs/jobs/3035686/sr-applied-scientist-amazon-advertising?cmpid=DA_INAD200785B", "https://www.amazon.jobs/jobs/3035686/sr-applied-scientist-amazon-advertising?cmpid=DA_INAD200785B")</f>
        <v/>
      </c>
      <c r="G281" t="inlineStr">
        <is>
          <t>Arlington, VA, US</t>
        </is>
      </c>
      <c r="H281" s="3" t="n">
        <v>45851</v>
      </c>
      <c r="I2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in-e6d75fddfe5aa2ad</t>
        </is>
      </c>
      <c r="B282" t="inlineStr">
        <is>
          <t>Sr. Applied Scientist, Amazon Advertising</t>
        </is>
      </c>
      <c r="C282" t="inlineStr">
        <is>
          <t>Amazon.com</t>
        </is>
      </c>
      <c r="D282" t="inlineStr">
        <is>
          <t>indeed</t>
        </is>
      </c>
      <c r="E282">
        <f>HYPERLINK("https://www.indeed.com/viewjob?jk=e6d75fddfe5aa2ad", "https://www.indeed.com/viewjob?jk=e6d75fddfe5aa2ad")</f>
        <v/>
      </c>
      <c r="F282">
        <f>HYPERLINK("https://www.amazon.jobs/jobs/3035686/sr-applied-scientist-amazon-advertising?cmpid=DA_INAD200785B", "https://www.amazon.jobs/jobs/3035686/sr-applied-scientist-amazon-advertising?cmpid=DA_INAD200785B")</f>
        <v/>
      </c>
      <c r="G282" t="inlineStr">
        <is>
          <t>Palo Alto, CA, US</t>
        </is>
      </c>
      <c r="H282" s="3" t="n">
        <v>45851</v>
      </c>
      <c r="I2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in-f78a1255339bb710</t>
        </is>
      </c>
      <c r="B283" t="inlineStr">
        <is>
          <t>Senior Applied Scientist, Artificial General Intelligence</t>
        </is>
      </c>
      <c r="C283" t="inlineStr">
        <is>
          <t>Amazon.com</t>
        </is>
      </c>
      <c r="D283" t="inlineStr">
        <is>
          <t>indeed</t>
        </is>
      </c>
      <c r="E283">
        <f>HYPERLINK("https://www.indeed.com/viewjob?jk=f78a1255339bb710", "https://www.indeed.com/viewjob?jk=f78a1255339bb710")</f>
        <v/>
      </c>
      <c r="F283">
        <f>HYPERLINK("https://www.amazon.jobs/jobs/3029958/senior-applied-scientist-artificial-general-intelligence?cmpid=DA_INAD200785B", "https://www.amazon.jobs/jobs/3029958/senior-applied-scientist-artificial-general-intelligence?cmpid=DA_INAD200785B")</f>
        <v/>
      </c>
      <c r="G283" t="inlineStr">
        <is>
          <t>Boston, MA, US</t>
        </is>
      </c>
      <c r="H283" s="3" t="n">
        <v>45846</v>
      </c>
      <c r="I28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in-95afa8eadccdc2db</t>
        </is>
      </c>
      <c r="B284" t="inlineStr">
        <is>
          <t>Senior Applied Scientist, Artificial General Intelligence</t>
        </is>
      </c>
      <c r="C284" t="inlineStr">
        <is>
          <t>Amazon.com</t>
        </is>
      </c>
      <c r="D284" t="inlineStr">
        <is>
          <t>indeed</t>
        </is>
      </c>
      <c r="E284">
        <f>HYPERLINK("https://www.indeed.com/viewjob?jk=95afa8eadccdc2db", "https://www.indeed.com/viewjob?jk=95afa8eadccdc2db")</f>
        <v/>
      </c>
      <c r="F284">
        <f>HYPERLINK("https://www.amazon.jobs/jobs/3029958/senior-applied-scientist-artificial-general-intelligence?cmpid=DA_INAD200785B", "https://www.amazon.jobs/jobs/3029958/senior-applied-scientist-artificial-general-intelligence?cmpid=DA_INAD200785B")</f>
        <v/>
      </c>
      <c r="G284" t="inlineStr">
        <is>
          <t>Seattle, WA, US</t>
        </is>
      </c>
      <c r="H284" s="3" t="n">
        <v>45846</v>
      </c>
      <c r="I28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in-9e481528ed92503c</t>
        </is>
      </c>
      <c r="B285" t="inlineStr">
        <is>
          <t>Senior Applied Scientist, Artificial General Intelligence</t>
        </is>
      </c>
      <c r="C285" t="inlineStr">
        <is>
          <t>Amazon.com</t>
        </is>
      </c>
      <c r="D285" t="inlineStr">
        <is>
          <t>indeed</t>
        </is>
      </c>
      <c r="E285">
        <f>HYPERLINK("https://www.indeed.com/viewjob?jk=9e481528ed92503c", "https://www.indeed.com/viewjob?jk=9e481528ed92503c")</f>
        <v/>
      </c>
      <c r="F285">
        <f>HYPERLINK("https://www.amazon.jobs/jobs/3029958/senior-applied-scientist-artificial-general-intelligence?cmpid=DA_INAD200785B", "https://www.amazon.jobs/jobs/3029958/senior-applied-scientist-artificial-general-intelligence?cmpid=DA_INAD200785B")</f>
        <v/>
      </c>
      <c r="G285" t="inlineStr">
        <is>
          <t>Sunnyvale, CA, US</t>
        </is>
      </c>
      <c r="H285" s="3" t="n">
        <v>45846</v>
      </c>
      <c r="I28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in-374e1d76426b6b78</t>
        </is>
      </c>
      <c r="B286" t="inlineStr">
        <is>
          <t>Principal Applied Scientist, FAR (Frontier AI &amp; Robotics)</t>
        </is>
      </c>
      <c r="C286" t="inlineStr">
        <is>
          <t>Amazon.com</t>
        </is>
      </c>
      <c r="D286" t="inlineStr">
        <is>
          <t>indeed</t>
        </is>
      </c>
      <c r="E286">
        <f>HYPERLINK("https://www.indeed.com/viewjob?jk=374e1d76426b6b78", "https://www.indeed.com/viewjob?jk=374e1d76426b6b78")</f>
        <v/>
      </c>
      <c r="F286">
        <f>HYPERLINK("https://www.amazon.jobs/jobs/2938625/principal-applied-scientist-far-frontier-ai--robotics?cmpid=DA_INAD200785B", "https://www.amazon.jobs/jobs/2938625/principal-applied-scientist-far-frontier-ai--robotics?cmpid=DA_INAD200785B")</f>
        <v/>
      </c>
      <c r="G286" t="inlineStr">
        <is>
          <t>San Francisco, CA, US</t>
        </is>
      </c>
      <c r="H286" s="3" t="n">
        <v>45740</v>
      </c>
      <c r="I28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in-310c1dbc31d2f228</t>
        </is>
      </c>
      <c r="B287" t="inlineStr">
        <is>
          <t>Principal Applied Scientist, FAR (Frontier AI &amp; Robotics)</t>
        </is>
      </c>
      <c r="C287" t="inlineStr">
        <is>
          <t>Amazon.com</t>
        </is>
      </c>
      <c r="D287" t="inlineStr">
        <is>
          <t>indeed</t>
        </is>
      </c>
      <c r="E287">
        <f>HYPERLINK("https://www.indeed.com/viewjob?jk=310c1dbc31d2f228", "https://www.indeed.com/viewjob?jk=310c1dbc31d2f228")</f>
        <v/>
      </c>
      <c r="F287">
        <f>HYPERLINK("https://www.amazon.jobs/jobs/2938625/principal-applied-scientist-far-frontier-ai--robotics?cmpid=DA_INAD200785B", "https://www.amazon.jobs/jobs/2938625/principal-applied-scientist-far-frontier-ai--robotics?cmpid=DA_INAD200785B")</f>
        <v/>
      </c>
      <c r="G287" t="inlineStr">
        <is>
          <t>Seattle, WA, US</t>
        </is>
      </c>
      <c r="H287" s="3" t="n">
        <v>45740</v>
      </c>
      <c r="I28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in-ff27b787c697152e</t>
        </is>
      </c>
      <c r="B288" t="inlineStr">
        <is>
          <t>Applied Scientist, Personalization, DTx Science</t>
        </is>
      </c>
      <c r="C288" t="inlineStr">
        <is>
          <t>Amazon.com</t>
        </is>
      </c>
      <c r="D288" t="inlineStr">
        <is>
          <t>indeed</t>
        </is>
      </c>
      <c r="E288">
        <f>HYPERLINK("https://www.indeed.com/viewjob?jk=ff27b787c697152e", "https://www.indeed.com/viewjob?jk=ff27b787c697152e")</f>
        <v/>
      </c>
      <c r="F288">
        <f>HYPERLINK("https://www.amazon.jobs/jobs/3136853/applied-scientist-personalization-dtx-science?cmpid=DA_INAD200785B", "https://www.amazon.jobs/jobs/3136853/applied-scientist-personalization-dtx-science?cmpid=DA_INAD200785B")</f>
        <v/>
      </c>
      <c r="G288" t="inlineStr">
        <is>
          <t>Seattle, WA, US</t>
        </is>
      </c>
      <c r="H288" s="3" t="n">
        <v>45979</v>
      </c>
      <c r="I288"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in-49d6c76d396fc4d0</t>
        </is>
      </c>
      <c r="B289" t="inlineStr">
        <is>
          <t>Applied Scientist, Personalization, DTx Science</t>
        </is>
      </c>
      <c r="C289" t="inlineStr">
        <is>
          <t>Amazon.com</t>
        </is>
      </c>
      <c r="D289" t="inlineStr">
        <is>
          <t>indeed</t>
        </is>
      </c>
      <c r="E289">
        <f>HYPERLINK("https://www.indeed.com/viewjob?jk=49d6c76d396fc4d0", "https://www.indeed.com/viewjob?jk=49d6c76d396fc4d0")</f>
        <v/>
      </c>
      <c r="F289">
        <f>HYPERLINK("https://www.amazon.jobs/jobs/3136853/applied-scientist-personalization-dtx-science?cmpid=DA_INAD200785B", "https://www.amazon.jobs/jobs/3136853/applied-scientist-personalization-dtx-science?cmpid=DA_INAD200785B")</f>
        <v/>
      </c>
      <c r="G289" t="inlineStr">
        <is>
          <t>New York, NY, US</t>
        </is>
      </c>
      <c r="H289" s="3" t="n">
        <v>45979</v>
      </c>
      <c r="I28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in-3847daaffdbf700e</t>
        </is>
      </c>
      <c r="B290" t="inlineStr">
        <is>
          <t>Applied Scientist, Sponsored Products</t>
        </is>
      </c>
      <c r="C290" t="inlineStr">
        <is>
          <t>Amazon.com</t>
        </is>
      </c>
      <c r="D290" t="inlineStr">
        <is>
          <t>indeed</t>
        </is>
      </c>
      <c r="E290">
        <f>HYPERLINK("https://www.indeed.com/viewjob?jk=3847daaffdbf700e", "https://www.indeed.com/viewjob?jk=3847daaffdbf700e")</f>
        <v/>
      </c>
      <c r="F290">
        <f>HYPERLINK("https://www.amazon.jobs/jobs/3140511/applied-scientist-sponsored-products?cmpid=DA_INAD200785B", "https://www.amazon.jobs/jobs/3140511/applied-scientist-sponsored-products?cmpid=DA_INAD200785B")</f>
        <v/>
      </c>
      <c r="G290" t="inlineStr">
        <is>
          <t>Arlington, VA, US</t>
        </is>
      </c>
      <c r="H290" s="3" t="n">
        <v>45971</v>
      </c>
      <c r="I29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in-a9934a63472f9bf0</t>
        </is>
      </c>
      <c r="B291" t="inlineStr">
        <is>
          <t>Applied Scientist, Sponsored Products</t>
        </is>
      </c>
      <c r="C291" t="inlineStr">
        <is>
          <t>Amazon.com</t>
        </is>
      </c>
      <c r="D291" t="inlineStr">
        <is>
          <t>indeed</t>
        </is>
      </c>
      <c r="E291">
        <f>HYPERLINK("https://www.indeed.com/viewjob?jk=a9934a63472f9bf0", "https://www.indeed.com/viewjob?jk=a9934a63472f9bf0")</f>
        <v/>
      </c>
      <c r="F291">
        <f>HYPERLINK("https://www.amazon.jobs/jobs/3140511/applied-scientist-sponsored-products?cmpid=DA_INAD200785B", "https://www.amazon.jobs/jobs/3140511/applied-scientist-sponsored-products?cmpid=DA_INAD200785B")</f>
        <v/>
      </c>
      <c r="G291" t="inlineStr">
        <is>
          <t>Seattle, WA, US</t>
        </is>
      </c>
      <c r="H291" s="3" t="n">
        <v>45971</v>
      </c>
      <c r="I29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in-3f20b3b9010352f0</t>
        </is>
      </c>
      <c r="B292" t="inlineStr">
        <is>
          <t>Applied Scientist, AWS Agentic AI</t>
        </is>
      </c>
      <c r="C292" t="inlineStr">
        <is>
          <t>Amazon Web Services</t>
        </is>
      </c>
      <c r="D292" t="inlineStr">
        <is>
          <t>indeed</t>
        </is>
      </c>
      <c r="E292">
        <f>HYPERLINK("https://www.indeed.com/viewjob?jk=3f20b3b9010352f0", "https://www.indeed.com/viewjob?jk=3f20b3b9010352f0")</f>
        <v/>
      </c>
      <c r="F292">
        <f>HYPERLINK("https://www.amazon.jobs/jobs/3141517/applied-scientist-aws-agentic-ai-?cmpid=DA_INAD200785B", "https://www.amazon.jobs/jobs/3141517/applied-scientist-aws-agentic-ai-?cmpid=DA_INAD200785B")</f>
        <v/>
      </c>
      <c r="G292" t="inlineStr">
        <is>
          <t>Santa Clara, CA, US</t>
        </is>
      </c>
      <c r="H292" s="3" t="n">
        <v>45962</v>
      </c>
      <c r="I29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in-36b5c1cac5e7b69c</t>
        </is>
      </c>
      <c r="B293" t="inlineStr">
        <is>
          <t>Applied Scientist, AWS Agentic AI</t>
        </is>
      </c>
      <c r="C293" t="inlineStr">
        <is>
          <t>Amazon Web Services</t>
        </is>
      </c>
      <c r="D293" t="inlineStr">
        <is>
          <t>indeed</t>
        </is>
      </c>
      <c r="E293">
        <f>HYPERLINK("https://www.indeed.com/viewjob?jk=36b5c1cac5e7b69c", "https://www.indeed.com/viewjob?jk=36b5c1cac5e7b69c")</f>
        <v/>
      </c>
      <c r="F293">
        <f>HYPERLINK("https://www.amazon.jobs/jobs/3141517/applied-scientist-aws-agentic-ai-?cmpid=DA_INAD200785B", "https://www.amazon.jobs/jobs/3141517/applied-scientist-aws-agentic-ai-?cmpid=DA_INAD200785B")</f>
        <v/>
      </c>
      <c r="G293" t="inlineStr">
        <is>
          <t>New York, NY, US</t>
        </is>
      </c>
      <c r="H293" s="3" t="n">
        <v>45962</v>
      </c>
      <c r="I29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in-213390106aefa5ea</t>
        </is>
      </c>
      <c r="B294" t="inlineStr">
        <is>
          <t>Applied Scientist, AWS Agentic AI</t>
        </is>
      </c>
      <c r="C294" t="inlineStr">
        <is>
          <t>Amazon Web Services</t>
        </is>
      </c>
      <c r="D294" t="inlineStr">
        <is>
          <t>indeed</t>
        </is>
      </c>
      <c r="E294">
        <f>HYPERLINK("https://www.indeed.com/viewjob?jk=213390106aefa5ea", "https://www.indeed.com/viewjob?jk=213390106aefa5ea")</f>
        <v/>
      </c>
      <c r="F294">
        <f>HYPERLINK("https://www.amazon.jobs/jobs/3141517/applied-scientist-aws-agentic-ai-?cmpid=DA_INAD200785B", "https://www.amazon.jobs/jobs/3141517/applied-scientist-aws-agentic-ai-?cmpid=DA_INAD200785B")</f>
        <v/>
      </c>
      <c r="G294" t="inlineStr">
        <is>
          <t>Seattle, WA, US</t>
        </is>
      </c>
      <c r="H294" s="3" t="n">
        <v>45962</v>
      </c>
      <c r="I29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in-2630501e6f1b7276</t>
        </is>
      </c>
      <c r="B295" t="inlineStr">
        <is>
          <t>Sr. Applied Scientist, Sales AI</t>
        </is>
      </c>
      <c r="C295" t="inlineStr">
        <is>
          <t>Amazon.com</t>
        </is>
      </c>
      <c r="D295" t="inlineStr">
        <is>
          <t>indeed</t>
        </is>
      </c>
      <c r="E295">
        <f>HYPERLINK("https://www.indeed.com/viewjob?jk=2630501e6f1b7276", "https://www.indeed.com/viewjob?jk=2630501e6f1b7276")</f>
        <v/>
      </c>
      <c r="F295">
        <f>HYPERLINK("https://www.amazon.jobs/jobs/3020528/sr-applied-scientist-sales-ai?cmpid=DA_INAD200785B", "https://www.amazon.jobs/jobs/3020528/sr-applied-scientist-sales-ai?cmpid=DA_INAD200785B")</f>
        <v/>
      </c>
      <c r="G295" t="inlineStr">
        <is>
          <t>New York, NY, US</t>
        </is>
      </c>
      <c r="H295" s="3" t="n">
        <v>45830</v>
      </c>
      <c r="I29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in-47a98ee9344a7f7b</t>
        </is>
      </c>
      <c r="B296" t="inlineStr">
        <is>
          <t>Sr. Applied Scientist, Sales AI</t>
        </is>
      </c>
      <c r="C296" t="inlineStr">
        <is>
          <t>Amazon.com</t>
        </is>
      </c>
      <c r="D296" t="inlineStr">
        <is>
          <t>indeed</t>
        </is>
      </c>
      <c r="E296">
        <f>HYPERLINK("https://www.indeed.com/viewjob?jk=47a98ee9344a7f7b", "https://www.indeed.com/viewjob?jk=47a98ee9344a7f7b")</f>
        <v/>
      </c>
      <c r="F296">
        <f>HYPERLINK("https://www.amazon.jobs/jobs/3020528/sr-applied-scientist-sales-ai?cmpid=DA_INAD200785B", "https://www.amazon.jobs/jobs/3020528/sr-applied-scientist-sales-ai?cmpid=DA_INAD200785B")</f>
        <v/>
      </c>
      <c r="G296" t="inlineStr">
        <is>
          <t>Seattle, WA, US</t>
        </is>
      </c>
      <c r="H296" s="3" t="n">
        <v>45830</v>
      </c>
      <c r="I29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in-376e63e8abcf4535</t>
        </is>
      </c>
      <c r="B297" t="inlineStr">
        <is>
          <t>Sr. Applied Scientist, Sales AI</t>
        </is>
      </c>
      <c r="C297" t="inlineStr">
        <is>
          <t>Amazon.com</t>
        </is>
      </c>
      <c r="D297" t="inlineStr">
        <is>
          <t>indeed</t>
        </is>
      </c>
      <c r="E297">
        <f>HYPERLINK("https://www.indeed.com/viewjob?jk=376e63e8abcf4535", "https://www.indeed.com/viewjob?jk=376e63e8abcf4535")</f>
        <v/>
      </c>
      <c r="F297">
        <f>HYPERLINK("https://www.amazon.jobs/jobs/3020528/sr-applied-scientist-sales-ai?cmpid=DA_INAD200785B", "https://www.amazon.jobs/jobs/3020528/sr-applied-scientist-sales-ai?cmpid=DA_INAD200785B")</f>
        <v/>
      </c>
      <c r="G297" t="inlineStr">
        <is>
          <t>Sunnyvale, CA, US</t>
        </is>
      </c>
      <c r="H297" s="3" t="n">
        <v>45830</v>
      </c>
      <c r="I29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li-4209153448</t>
        </is>
      </c>
      <c r="B2" t="inlineStr">
        <is>
          <t>Data Scientist</t>
        </is>
      </c>
      <c r="C2" t="inlineStr">
        <is>
          <t>Two Sigma</t>
        </is>
      </c>
      <c r="D2" t="inlineStr">
        <is>
          <t>linkedin</t>
        </is>
      </c>
      <c r="E2" t="inlineStr"/>
      <c r="F2" t="inlineStr"/>
      <c r="G2" t="inlineStr">
        <is>
          <t>New York, United States</t>
        </is>
      </c>
      <c r="H2" t="inlineStr"/>
      <c r="I2" t="inlineStr">
        <is>
          <t>Position Summary
 Two Sigma is a financial sciences company, combining data analysis, invention, and rigorous inquiry to help solve the toughest challenges in investment management, securities, private equity, and venture capital.
 Our team of scientists, technologists, and academics looks beyond the traditional to develop creative solutions to some of the world’s most complex economic problems.
 When you work with us, you tackle tough problems alongside other scientists and engineers. People who will challenge your ideas. Who you can really learn from, and collaborate with. And you’ll be doing work that matters to a lot of people, too. Our investors include some of the world’s largest retirement funds, research institutions, educational endowments, healthcare systems and foundations. We admire what they do, and we’re proud to serve these organizations.
**You Will Take On The Following Responsibilities**
* Independently research and develop hypotheses based on diverse and unique real\-world datasets.
* Conduct literature reviews to develop and apply cutting\-edge methodologies for extracting meaningful signals from our vast data holdings.
* Partner with our engineers and business stakeholders to rigorously explore and test your theories.
* All the while, you’ll remain engaged in the academic community. As examples, you can:
* Join our reading circles to stay up to date on the latest research papers in your fields
* Attend academic seminars to learn from thought leaders from top universities
**You Should Possess The Following Qualifications**
* 1\-5\+ years of experience in applied data analysis \&amp; prediction, preferably in an industry setting
* Degree in a technical or quantitative disciplines, like statistics, mathematics, physics, electrical engineering, or computer science
* Proficient in Python and SQL
* Performed an in\-depth research project, examining real\-world data
* Are an independent thinker who can creatively approach data analysis and communicate complex ideas clearly
* You don’t need a background in finance. It’s nice to have, but more than half of Two Sigma’s employees come from outside the finance industry. If you’ve got the research skills, we can teach you the financial aspects of the job.
**You Will Enjoy The Following Benefits**
* Core Benefits: Fully paid medical and dental insurance premiums for employees and dependents, competitive 401k match, employer\-paid life \&amp; disability insurance
* Perks: Onsite gyms with laundry service, wellness activities, casual dress, snacks, game rooms
* Learning: Tuition reimbursement, conference and training sponsorship
* Time Off: Generous vacation and unlimited sick days, competitive paid caregiver leaves
* Hybrid Work Policy: Flexible in\-office days with budget for home office setup
 The base pay for this role will be between $165,000 and $300,000\. This role may also be eligible for other forms of compensation and benefits, such as a discretionary bonus, health, dental and other wellness plans and 401(k) contributions. Discretionary bonus can be a significant portion of total compensation. Actual compensation for successful candidates will be carefully determined based on a number of factors, including their skills, qualifications and experience.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
 Two Sigma is committed to providing reasonable accommodations to qualified individuals in accordance with applicable federal, state, and local laws.
 If you believe you need an accommodation, please visit our website for additional information.</t>
        </is>
      </c>
    </row>
    <row r="3">
      <c r="A3" t="inlineStr">
        <is>
          <t>li-4280988296</t>
        </is>
      </c>
      <c r="B3" t="inlineStr">
        <is>
          <t>Data Scientist – AI &amp; Agentic Applications &amp; Benchmarking</t>
        </is>
      </c>
      <c r="C3" t="inlineStr">
        <is>
          <t>CloudBees</t>
        </is>
      </c>
      <c r="D3" t="inlineStr">
        <is>
          <t>linkedin</t>
        </is>
      </c>
      <c r="E3" t="inlineStr"/>
      <c r="F3" t="inlineStr"/>
      <c r="G3" t="inlineStr"/>
      <c r="H3" t="inlineStr"/>
      <c r="I3" t="inlineStr">
        <is>
          <t>**Description**
**Job Title:** 
 Data Scientist – AI \&amp; Agentic Applications \&amp; Benchmarking
****Job Type** 
 :** 
 Full\-time
**Location:** 
 Remote \- United States
**About CloudBees**
 CloudBees enables enterprises to deliver scalable, compliant, and secure software, empowering developers to do their best work.
 Seamlessly integrating into any hybrid and heterogeneous environment, CloudBees is more than a tool—it's a strategic partner in your cloud transformation journey, ensuring security, compliance, and operational efficiency while enhancing the developer experience across your entire software development lifecycle. It allows developers to bring and execute their code anywhere, providing greater flexibility and freedom through fast, self\-serve, and secure workflows.
 CloudBees supports organizations at every step of their DevSecOps journey, whether using Jenkins on\-premise or transitioning software delivery to the cloud. We’re helping customers build the future, today. Now, we’re bringing
 **agentic intelligence** 
 into our platform to supercharge developer workflows—and we need a data scientist who can both drive insights and tell the story behind the metrics.
**About The Role**
 CloudBees is seeking a startup\-savvy
 **Data Scientist** 
 to help define, measure, and evangelize the impact of
 **Agentic Applications** 
 across our platform. You’ll work closely with engineers and product teams to
 **prototype and measure AI and Agentic experiences, using evals, telemetry, and AI benchmarks** 
 to help the company drive the conversation in the market and with customers. Translating performance into clear, compelling narratives to our customers and internal teams.
 As a founding member of the team, you will lead the charge as equal parts
 **builder, evaluator, and communicator** 
 —with the technical depth to prototype in Python notebooks, Claude Code, and other tools to drive clarity to write about what matters.
**Key Responsibilities**
* Partner with our platform team to develop and prototype telemetry, eval frameworks, and benchmarks for emerging agentic systems.
* Partner with product and engineering teams to measure AI outcomes and usage across customers and teams.
* Help define KPIs and success metrics for AI and LLM\-driven features and workflows.
* Use Python notebooks to explore data, visualize insights, and test hypotheses rapidly and share insights.
* Tell the story behind the numbers: Write internal documentation, performance summaries, and thought leadership around outcomes.
* Enable engineering teams to instrument, log, and evaluate agent performance effectively.
* Stay up to date with evolving metrics and evaluation techniques in the LLM and agentic AI ecosystem.
**Qualifications**
**Required:**
* 3\+ years of experience in data science or ML analytics roles, ideally in startup or high\-growth environments.
* Proficiency in Python, including building and sharing analysis via Jupyter notebooks.
* Experience working with evals, telemetry, A/B testing, and evaluating user\-facing ML systems.
* Experience with AI/ML tools such as MLFlow, Hugging Face, or other Model / LLM tools.
* Ability to partner with technical teams to define meaningful metrics and benchmarks.
* Clear communication skills—capable of writing about outcomes, sharing learnings, and influencing stakeholders.
* Comfort working in fast\-paced, ambiguous environments where speed and clarity matter.
**Preferred (not required):**
* Experience with agentic or LLM\-based applications (e.g., evaluating AI copilots, autonomous workflows).
* Familiarity with tools like LangSmith, OpenInference, or custom eval stacks.
* Background in developer tools, DevOps, or platform engineering environments.
**Compensation \&amp; Benefits**
* Base Pay Range: \[$166,000 – $180,000 annually] In accordance with applicable law, this represents a reasonable estimated compensation range for this role. Actual compensation will be determined based on skills, experience, and geographic location and may be more or less than the amount shown above. Outside of base compensation, CloudBees also offer stock options and variable bonuses.
* What CloudBees Offers:
+ Health Insurance
+ Dental Insurance
+ Vision Insurance
+ Short \&amp; Long Term Disability
+ Life Insurance
+ HSA/FSA
+ Remote Work Environment
+ Flexible Time Off
+ Paid Company Holidays
+ Parental Leave
+ Variable Bonus Plan dependent on your role
+ Stock grant opportunities dependent on your role
+ 401(k) with Company Match
**EEO Statement**
 CloudBees is an Equal Opportunity Employer. We celebrate diversity and are committed to creating an inclusive environment for all employees. All employment decisions are made based on qualifications, merit, and business need, without regard to race, color, religion, sex, sexual orientation, gender identity, age, national origin, disability, veteran status, or any other protected characteristic as outlined by federal, state, or local laws.
**Disclaimer**
 This job description is intended to describe the general nature and level of work being performed. It is not an exhaustive list of all duties, responsibilities, and qualifications required of employees assigned to this position. Duties, responsibilities, and activities may change at any time with or without notice.</t>
        </is>
      </c>
    </row>
    <row r="4">
      <c r="A4" t="inlineStr">
        <is>
          <t>li-4291194062</t>
        </is>
      </c>
      <c r="B4" t="inlineStr">
        <is>
          <t>Data Scientist, Integrity</t>
        </is>
      </c>
      <c r="C4" t="inlineStr">
        <is>
          <t>OpenAI</t>
        </is>
      </c>
      <c r="D4" t="inlineStr">
        <is>
          <t>linkedin</t>
        </is>
      </c>
      <c r="E4" t="inlineStr"/>
      <c r="F4" t="inlineStr"/>
      <c r="G4" t="inlineStr">
        <is>
          <t>San Francisco, CA</t>
        </is>
      </c>
      <c r="H4" t="inlineStr"/>
      <c r="I4" t="inlineStr">
        <is>
          <t>**About The Team**
 The Applied team safely brings OpenAI's technology to the world. We released ChatGPT; Plugins; DALL·E; and the APIs for GPT\-4, GPT\-3, embeddings, and fine\-tuning. We also operate inference infrastructure at scale. There's a lot more on the immediate horizon.
 Our customers build fast\-growing businesses around our APIs, which power product features that were never before possible. ChatGPT is a prime example of what is currently possible. We simultaneously ensure that our powerful tools are used responsibly. Safe deployment is more important to us than unfettered growth.
 The Scaled Abuse team works within our Applied Engineering organization identifying and responding to fraudsters on our platform. We are looking for a data scientist with anti fraud \&amp; abuse experience to help architect and build our next\-generation anti\-abuse systems.
**About The Role**
 The Platform Abuse team protects OpenAI’s products from abuse. In the data scientist role, you will be responsible for discovering and mitigating new types of misuse, and scaling our detection techniques and processes. Platform Abuse is an especially exciting area since we believe most of the ways our technologies will be abused haven’t even been invented yet.
 This role is based in our San Francisco HQ. We offer relocation assistance to new employees.
**In This Role, You Will**
* Design and build systems for fraud detection and remediation while balancing fraud loss, cost of implementation, and customer experience
* Work closely with finance, security, product, research, and trust \&amp; safety operations to holistically combat fraudulent and abusive actors on our system
* Stay abreast of the latest techniques and tools to stay several steps ahead of determined and well resourced adversaries
* Utilize GPT\-5 and future models to more effectively combat fraud and abuse
**You Might Thrive In This Role If You**
* Have experience on a highly technical trust and safety team and/or have worked closely with policy, content moderation, or security teams
* Can use coding languages (Python preferred) to programmatically explore large datasets and generate actionable insights to solve problems
* Proven ability to propose, design, and run rigorous experiments (A/B tests, quasi\-experiments, simulations) with clear insights and actionable product recommendations, leveraging SQL and Python.
* Excellent communication skills with a track record of influencing cross\-functional partners, including product managers, engineers, policy leads, and executives.
* Bonus if you have experience with deploying scaled detection solutions using large language models, embeddings, or fine tuning
* 5\+ years of quantitative experience in ambiguous environments, ideally as a data scientist at a hyper\-growth company or research org, with exposure to fraud, abuse, or security problems.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5">
      <c r="A5" t="inlineStr">
        <is>
          <t>li-4197395220</t>
        </is>
      </c>
      <c r="B5" t="inlineStr">
        <is>
          <t>Data Scientist</t>
        </is>
      </c>
      <c r="C5" t="inlineStr">
        <is>
          <t>6sense</t>
        </is>
      </c>
      <c r="D5" t="inlineStr">
        <is>
          <t>linkedin</t>
        </is>
      </c>
      <c r="E5" t="inlineStr"/>
      <c r="F5" t="inlineStr"/>
      <c r="G5" t="inlineStr">
        <is>
          <t>San Francisco, CA</t>
        </is>
      </c>
      <c r="H5" t="inlineStr"/>
      <c r="I5" t="inlineStr">
        <is>
          <t>**Our Mission:**
 6sense is on a mission to revolutionize how B2B organizations create revenue by predicting customers most likely to buy and recommending the best course of action to engage anonymous buying teams. 6sense Revenue AI is the only sales and marketing platform to unlock the ability to create, manage and convert high\-quality pipeline to revenue.
**Our People:**
 People are the heart and soul of 6sense. We serve with passion and purpose. We live by our Being 6sense values of Accountability, Growth Mindset, Integrity, Fun and One Team. Every 6sensor plays a part in deﬁning the future of our industry\-leading technology. 6sense is a place where difference\-makers roll up their sleeves, take risks, act with integrity, and measure success by the value we create for our customers.
 We want 6sense to be the best chapter of your career.
**Purpose of the Job**
 Data Scientist leads and drives advanced AI initiatives within the organization. By leveraging advanced statistical methods, machine learning, and programming, the Data Scientist is responsible for designing and implementing complex AI solutions. This role involves innovatively solving business problems, optimizing algorithms, and deploying AI models to provide data\-driven insights that align with the organization's strategic goals. Additionally, the Data Scientist ensures efficient workflows, automates processes, and effectively communicates insights to stakeholders, aiming to enhance productivity, strategic decision\-making, and overall business success.
**Job Description**
**Responsibilities \&amp; Accountabilities**
* Lead the design and development of complex AI solutions, employing advanced techniques to optimize algorithms and data sets for superior performance.
* Design and implement experiments to rigorously evaluate AI solution performance and provide valuable insights for refinement.
* Develop detailed AI solution requirements and effectively manage the development process, adapting to changing circumstances and requirements.
* Collaborate effectively with cross\-functional teams and stakeholders, ensuring successful delivery while adapting to evolving needs and circumstances.
* Stay updated with the latest trends and advancements in AI technology, incorporating newfound knowledge into solution design and development.
* Apply mastery of statistical methods, machine learning algorithms, and programming languages to analyze unstructured data and derive actionable insights.
* Develop novel modeling techniques and algorithms, utilizing advanced methodologies like Bayesian inference, reinforcement learning, and causal inference.
* Create scalable models capable of handling large volumes of real \-time data, ensuring transparency and explainability in the model's functioning.
* Develop models that inform strategic decision\-making at the highest organizational levels, leveraging advanced machine learning techniques.
* Align business objectives with innovative data science solutions, proactively identifying opportunities for data\-driven insights and product innovations.
* Develop and implement advanced AI models, utilizing techniques like transfer learning, ensemble methods, and neural networks for complex problem \-solving.
* Design and implement efficient workflows, automate data \-related tasks, and lead process improvement initiatives to enhance productivity and data accuracy.
* Lead product development efforts, demonstrating an understanding of the business model and leveraging data for product decision\-making and roadmap planning. Ethical Product Development: Understand and consider the ethical and legal implications of data\-driven products and solutions, ensuring responsible and compliant development practices.
**Performance Measurement**
* AI Solution Effectiveness: Measure the effectiveness of AI solutions developed by assessing their impact on solving complex business problems.
* Model Performance and Optimization: Evaluate and optimize machine learning models to ensure they meet predefined performance metrics and business objectives.
* Innovative Solutions Impact: Assess the impact of innovative data science solutions on driving insights, product offerings, and business growth.
* Efficiency and Productivity: Evaluate the efficiency and productivity improvements achieved through process automation and optimization.
* Stakeholder Communication: Assess the effectiveness of communication and collaboration with stakeholders in delivering successful AI solutions.
* Adaptability and Learning: Measure adaptability to changing requirements and the ability to quickly learn and apply new technologies and methodologies.
* Product Alignment and User Impact: Evaluate the alignment of data \-driven products with business goals and their impact on improving user experiences and satisfaction.
* Ethical and Legal Compliance: Monitor compliance with ethical and legal standards in the development of data\-driven products and solutions.
**Educational And Experience Requirements**
* Ph.D. or Master's in Computer Science, Data Science, or related field.
* 5\+ years in data science, machine learning, and AI, with progressive tech leadership roles.
* Strong Python, R, SQL, and advanced statistical and ML techniques.
* Designing tailored ML models, optimizing algorithms, and AI solution deployment.
* Designing efficient workflows, automation, and process improvements.
* Exceptional communication and leadership skills, managing data science teams.
* Driving innovation, staying updated with emerging tech, and ensuring ethical compliance.
* Effective collaboration, adaptability to changing requirements and circumstances.
**Competencies and Behaviors**
* Strong advanced statistical methods, machine learning, and programming languages (Python, R, SQL).
* Innovative Problem\-Solving: Proactive in identifying innovative data \-driven insights, leveraging cutting\-edge technologies, and challenging existing approaches.
* Expertise in designing and deploying complex AI solutions, optimizing algorithms, and integrating models effectively.
* Proficient in automating workflows, improving processes, and enhancing efficiency in data collection, cleaning, analysis, and reporting.
* Strong communication skills to convey complex insights to stakeholders and effective leadership in managing data science teams.
* Willingness to stay updated with emerging trends, methodologies, and technologies, and adapt to changing requirements in the field.
* Understanding and adherence to ethical and legal implications related to data \-driven products and solutions.
* Effective collaboration with cross\-functional teams and stakeholders, ensuring successful project delivery through teamwork.
* Demonstrated contributions through research publications and thought leadership in the data science domain.
* Ability to align data science goals with broader business objectives, leveraging insights for strategic decision\-making.
* Understanding and integrating user needs and experiences into product development, using data to drive user\-centric decisions.
* Ability to adapt to changing requirements and circumstances, ensuring the successful delivery of AI solutions in dynamic environments.
* Efficiently manage time and prioritize tasks to meet project deadlines and organizational goals.
* Commitment to maintaining high\-quality standards, adhering to compliance requirements, and ensuring data accuracy and validity.
 Base Salary Range: $133,687\.50 \- $178,250\.00\. The base salary range represents the anticipated low and high end of the base salary range for this position. Actual salaries may vary and may be above or below the range based on various factors, including but not limited to work location and experience. The base salary is one component of 6sense’s total compensation package for this position. Other compensation may include a bonus program or commission plan, and stock options if approved by 6sense’s board. In addition, 6sense provides a variety of benefits, including generous health insurance coverage, life, and disability insurance, a 401K employer matching program, paid holidays, self\-care days, and paid time off (PTO).
 Notice of Collection and Use of Personal Information for California Residents: California Recruitment Privacy Notice and Policy
**Our Benefits:**
 Full\-time employees can take advantage of health coverage, paid parental leave, generous paid time\-off and holidays, quarterly self\-care days off, and stock options. We’ll make sure you have the equipment and support you need to work and connect with your teams, at home or in one of our oﬃces.
 We have a growth mindset culture that is represented in all that we do, from onboarding through to numerous learning and development initiatives including access to our LinkedIn Learning platform. Employee well\-being is also top of mind for us. We host quarterly wellness education sessions to encourage self care and personal growth. From wellness days to ERG\-hosted events, we celebrate and energize all 6sense employees and their backgrounds.
**Equal Opportunity Employer:**
 6sense is an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If you require reasonable accommodation in completing this application, interviewing, completing any pre\-employment testing, or otherwise participating in the employee selection process, please direct your inquiries to jobs@6sense.com.
*We are aware of recruiting impersonation attempts that are not affiliated with 6sense in any way. All email communications from 6sense will originate from the @6sense.com domain. We will not initially contact you via text message and will never request payments. If you are uncertain whether you have been contacted by an official 6sense employee, reach out to jobs@6sense.com*</t>
        </is>
      </c>
    </row>
    <row r="6">
      <c r="A6" t="inlineStr">
        <is>
          <t>li-4297166673</t>
        </is>
      </c>
      <c r="B6" t="inlineStr">
        <is>
          <t>Data Scientist</t>
        </is>
      </c>
      <c r="C6" t="inlineStr">
        <is>
          <t>Parker's Kitchen</t>
        </is>
      </c>
      <c r="D6" t="inlineStr">
        <is>
          <t>linkedin</t>
        </is>
      </c>
      <c r="E6" t="inlineStr"/>
      <c r="F6" t="inlineStr"/>
      <c r="G6" t="inlineStr">
        <is>
          <t>Savannah, GA</t>
        </is>
      </c>
      <c r="H6" t="inlineStr"/>
      <c r="I6" t="inlineStr">
        <is>
          <t>We are looking for a Data Scientist with expertise in optimization and forecasting to help improve how we manage labor, staffing, and operational resources across our retail locations. This role is critical in building models and decision\-support tools that ensure the right people, in the right place, at the right time — balancing customer service, efficiency, and cost. You will work closely with Operations, Finance, and Store Leadership teams to deliver practical solutions that improve labor planning, scheduling, and demand forecasting. The right candidate will be confident, resourceful, and excited to own both the technical and business\-facing aspects of applying data science in a fast\-paced retail environment.
**Responsibilities** 
* Build and maintain forecasting models (time\-series, machine learning, and statistical) for sales and transactions.
* Develop and deploy optimization models (linear/mixed\-integer programming, heuristics, simulation) to improve workforce scheduling and labor allocation.
* Partner with operations and finance to translate forecasts into actionable staffing and labor plans that reduce costs while maintaining service levels.
* Build dashboards and automated tools to track forecast accuracy, labor KPIs, and staffing effectiveness.
* Provide insights and “what\-if” scenario modeling to support strategic workforce and budget planning.
**Knowledge, Skills, And Abilities** 
* Strong foundation in forecasting techniques (time\-series models, regression, machine learning) and optimization methods (linear/mixed\-integer programming, heuristics, simulation).
* Proficiency in Python or R for modeling and analysis, along with strong SQL skills for working with large\-scale datasets.
* Knowledge of statistics, probability, and applied mathematics to support predictive and prescriptive modeling.
* Experience building and deploying predictive models, optimization tools, and decision\-support solutions that drive measurable business outcomes.
* Strong data storytelling and visualization skills using tools such as Power BI, Tableau, or Looker.
* Ability to translate analytical outputs into clear, actionable recommendations for non\-technical stakeholders.
* Strong collaboration skills with the ability to partner cross\-functionally with Operations, Finance, and Store Leadership to drive adoption of data\-driven approaches.
* Ability to work independently and resourcefully, combining technical depth with practical problem\-solving to deliver results in a fast\-paced environment.
**Education And Requirements** 
**Required:** 
* Bachelor’s or Master’s degree in Data Science, Statistics, Applied Mathematics, Industrial Engineering, Operations Research, or related field.
* Minimum 2\-3 years of professional experience in Data Science or a related area.
* Strong skills in time\-series forecasting (e.g., ARIMA, Prophet, ML\-based approaches).
* Proficiency in optimization techniques (linear programming, integer programming).
* Strong Python or R programming skills.
* SQL expertise for large, complex datasets.
* Strong communication skills with the ability to partner with business stakeholders.
**Preferred** 
* Experience in Retail, Restaurant, and/or Convenience Stores a plus.
* Experience with cloud platforms (Snowflake, AWS, GCP, Azure).
* Knowledge of BI tools (Tableau, Power BI, Looker).
**Physical Requirements** 
* Prolonged periods sitting/standing at a desk and working on a computer
* Must be able to lift up to 50 pounds
*Parker’s is an equal opportunity employer committed to hiring a diverse workforce and sustaining an inclusive culture. Parker’s does not discriminate on the basis of disability, veteran status or any other basis protected under federal, state, or local laws.*</t>
        </is>
      </c>
    </row>
    <row r="7">
      <c r="A7" t="inlineStr">
        <is>
          <t>li-4351164768</t>
        </is>
      </c>
      <c r="B7" t="inlineStr">
        <is>
          <t>Data Scientist</t>
        </is>
      </c>
      <c r="C7" t="inlineStr">
        <is>
          <t>SoTalent</t>
        </is>
      </c>
      <c r="D7" t="inlineStr">
        <is>
          <t>linkedin</t>
        </is>
      </c>
      <c r="E7" t="inlineStr"/>
      <c r="F7" t="inlineStr"/>
      <c r="G7" t="inlineStr">
        <is>
          <t>Richmond, VA</t>
        </is>
      </c>
      <c r="H7" t="inlineStr"/>
      <c r="I7" t="inlineStr">
        <is>
          <t>**Job Title: Principal Associate – Data Scientist** 
**Location: Richmond, Virginia, United States** 
**Type: Full Time** 
 Our Client is seeking a Principal Associate – Data Scientist with a strong background in AI Software Engineering to help build intelligent, scalable solutions that make a real business impact. In this role, you’ll collaborate with talented data scientists, software engineers, and product teams to transform complex data into actionable insights that drive innovation.
**Key Responsibilities:** 
* Partner with cross‑functional teams to design, train, and deploy AI and machine learning models that solve real‑world challenges.
* Utilize cutting‑edge technologies such as Python, AWS, Spark, H2O, and other open‑source tools to extract insights from large, complex datasets.
* Contribute across the full lifecycle of machine learning development—from concept and design to validation and implementation.
* Communicate technical findings in a clear, impactful way to support business initiatives and decision‑making.
* Stay current with emerging AI and data science research, tools, and frameworks, continuously applying innovative ideas to improve performance and scalability.
**What You Bring:** 
* Bachelor’s, Master’s, or PhD in a quantitative or STEM‑related field (Statistics, Economics, Mathematics, Engineering, Computer Science, etc.).
* 3–5\+ years of professional experience in data analytics, machine learning, or AI engineering.
* Experience developing cloud‑based AI solutions, ideally on AWS or other major platforms.
* Knowledge of model customization techniques such as fine‑tuning, LoRA/QLoRA, reinforcement learning, or preference optimization.
* Strong analytical, problem‑solving, and communication skills, with a passion for turning data into meaningful outcomes.
* Contributions to AI/ML research or open‑source projects are a plus.</t>
        </is>
      </c>
    </row>
    <row r="8">
      <c r="A8" t="inlineStr">
        <is>
          <t>li-4354375659</t>
        </is>
      </c>
      <c r="B8" t="inlineStr">
        <is>
          <t>Data Scientist</t>
        </is>
      </c>
      <c r="C8" t="inlineStr">
        <is>
          <t>Hirenza</t>
        </is>
      </c>
      <c r="D8" t="inlineStr">
        <is>
          <t>linkedin</t>
        </is>
      </c>
      <c r="E8" t="inlineStr"/>
      <c r="F8" t="inlineStr"/>
      <c r="G8" t="inlineStr"/>
      <c r="H8" t="inlineStr"/>
      <c r="I8" t="inlineStr">
        <is>
          <t>**About The Company**
 Capital One is a leading financial services company renowned for its innovative approach to banking and credit solutions. Established as a startup in the late 1980s, the company revolutionized the credit card industry by personalizing offers through advanced statistical modeling and relational databases. Over the years, Capital One's commitment to leveraging data\-driven decision\-making has propelled it to become a Fortune 200 enterprise, recognized globally for its technological advancements and customer\-centric solutions. The company's core mission is to help customers succeed financially by providing innovative products, exceptional service, and cutting\-edge financial technology.
**About The Role**
 The Principal Associate, Data Scientist \- AI Software Engineering at Capital One plays a pivotal role in advancing the company's AI and machine learning capabilities. This position involves designing and implementing scalable AI architectures that transform software development processes and enhance product offerings. As part of the AI Foundations \- AI Software Engineering Data Science team, you will collaborate closely with cross\-functional teams including product managers, software engineers, and data scientists to develop innovative solutions that leverage the latest in AI technology. Your expertise will contribute to building state\-of\-the\-art models and systems that analyze vast amounts of customer data, uncover insights, and drive strategic decision\-making. This role offers an exciting opportunity to work at the forefront of AI innovation, impacting millions of customers by creating smarter, more personalized financial products and services.
**Qualifications**
 The ideal candidate will possess a strong educational background in a quantitative field such as Statistics, Mathematics, Computer Science, or related disciplines, complemented by relevant professional experience. Candidates should currently hold or be in the process of obtaining a Bachelor's, Master's, or PhD degree in a STEM field, with a proven track record in data analytics and machine learning. Experience with cloud platforms such as AWS, proficiency in open\-source programming languages like Python, and familiarity with big data tools such as Spark are essential. Additionally, candidates should demonstrate expertise in advanced model customization techniques, including fine\-tuning, reinforcement learning, and preference optimization. Prior research publications or experience working with AI/ML conferences are considered a plus. Strong problem\-solving skills, creativity, and the ability to communicate complex technical concepts to non\-technical stakeholders are also highly valued.
**Responsibilities**
* Partner with interdisciplinary teams to develop and deploy innovative AI solutions that address complex business challenges and enhance customer experiences.
* Utilize a broad technology stack—including Python, Conda, AWS, H2O, Spark—to analyze and interpret large\-scale numeric and textual data, revealing actionable insights.
* Design, train, evaluate, and validate machine learning models across all development phases, ensuring robustness and scalability.
* Translate technical findings into clear business strategies and communicate insights effectively to stakeholders at all levels.
* Stay current with emerging AI/ML technologies and research, continuously evaluating their potential application within the company's ecosystem.
* Contribute to building and maintaining production\-grade AI platforms, including agent\-based systems, RAG, graph\-augmented systems, and integration of MCP or tool\-calling functionalities.
* Engage in model fine\-tuning, parameter\-efficient tuning, and reinforcement learning to optimize model performance and relevance.
* Document processes, methodologies, and models to ensure transparency, reproducibility, and compliance with industry standards.
**Benefits**
 Capital One offers a comprehensive suite of benefits designed to support the well\-being and professional growth of its employees. These include competitive salaries, performance\-based incentives, health insurance plans, retirement savings options, and wellness programs. The company fosters an inclusive and collaborative work environment that encourages innovation and continuous learning. Employees have access to professional development resources, training programs, and opportunities for career advancement. Capital One also emphasizes work\-life balance through flexible work arrangements and supportive policies. Additional perks may include tuition reimbursement, employee discounts, and access to various health and wellness services, all aimed at promoting a healthy and productive workforce.
 Equal Opportunity
 Capital One is committed to fostering an inclusive workplace that values diversity and equal opportunity. The company provides equal employment opportunities to all qualified applicants without regard to race, color, religion, sex, national origin, age, disability, veteran status, or any other protected characteristic in accordance with applicable laws. Capital One also promotes a drug\-free workplace and will consider qualified applicants with criminal histories in a manner consistent with legal requirements. The company encourages applicants from diverse backgrounds to apply and strives to create a welcoming environment where everyone can thrive and contribute to the company's success.</t>
        </is>
      </c>
    </row>
    <row r="9">
      <c r="A9" t="inlineStr">
        <is>
          <t>li-4322640030</t>
        </is>
      </c>
      <c r="B9" t="inlineStr">
        <is>
          <t>Data Scientist, Marketing</t>
        </is>
      </c>
      <c r="C9" t="inlineStr">
        <is>
          <t>Anthropic</t>
        </is>
      </c>
      <c r="D9" t="inlineStr">
        <is>
          <t>linkedin</t>
        </is>
      </c>
      <c r="E9" t="inlineStr"/>
      <c r="F9" t="inlineStr"/>
      <c r="G9" t="inlineStr">
        <is>
          <t>San Francisco, CA</t>
        </is>
      </c>
      <c r="H9" t="inlineStr"/>
      <c r="I9"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**Job Description**
 As an early member of our Data Science team, you will play an instrumental role in our company's mission of building safe and beneficial artificial intelligence by driving marketing effectiveness through data\-driven insights and analytics. In this unique company, technology, and moment in history, your work will be critical to informing our marketing strategy and optimizing our go\-to\-market approach as we deploy safe, frontier AI at scale to the world.
 You will work closely with marketing, product, and commercial teams to define and measure key marketing success metrics, analyze customer acquisition and retention, and build a culture of developing and testing hypotheses through experimentation. You've worked in cultures of excellence in the past, and are eager to apply that experience to building robust and scalable marketing analytics systems and processes as our company goes through a phase of rapid growth.
**Responsibilities**
* Deep dive into marketing performance data to provide insights to marketing leaders and influence the company's marketing strategy
* Define core marketing metrics that measure the team's success. Set goals, monitor performance, and develop actionable reporting for campaigns and channels
* Identify and size opportunities to improve marketing effectiveness, influencing marketing roadmap through your insights and recommendations on audience targeting, channel optimization, and messaging effectiveness
* Develop hypotheses on marketing initiatives, design experiments or causal inference studies, analyze the results, and make recommendations based on impact to key metrics
* Build a data\-driven marketing culture from the ground up by establishing foundational marketing analytics best practices and making marketing data more accessible across the company
**You Might Be a Good Fit If You Have**
* 6\+ years of experience in data science or analytics roles, preferably in a marketing or customer acquisition context
* 3\+ years of experience deeply embedded in Marketing teams, turning marketing data into concise and insightful analysis that drives business outcomes
* Experienced in measuring different types of marketing activities, have a holistic view of how different programs are supporting each other (e.g. brand \&amp; growth, consumer \&amp; enterprise)
* Solid technical skills in experimentation and causal inference to measure the incrementality of the spend;
* Experience in building user segmentation to inform marketing strategies
* A passion for the company's mission of building helpful, honest, and harmless AI
* Expertise in Python, SQL, and marketing analytics platforms and visualization tools
* Familiarity with both B2C and B2B/Enterprise marketing analytics
* A bias for action and urgency, not letting perfect be the enemy of the effective
* A strong disposition to thrive in ambiguity, taking initiative to create clarity and forward progress
* A deep curiosity and energy for pulling the thread on hard questions about customer behavior and marketing performance
* Highly effective written communication and presentation skills, with ability to translate complex analyses into actionable marketing insights
 The expected base compensation for this position is below. Our total compensation package for full\-time employees includes equity, benefits, and may include incentive compensation.
**Annual Salary**
 $275,000—$370,000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0">
      <c r="A10" t="inlineStr">
        <is>
          <t>li-4354631117</t>
        </is>
      </c>
      <c r="B10" t="inlineStr">
        <is>
          <t>Data Scientist</t>
        </is>
      </c>
      <c r="C10" t="inlineStr">
        <is>
          <t>Best Job Tool</t>
        </is>
      </c>
      <c r="D10" t="inlineStr">
        <is>
          <t>linkedin</t>
        </is>
      </c>
      <c r="E10" t="inlineStr"/>
      <c r="F10" t="inlineStr"/>
      <c r="G10" t="inlineStr"/>
      <c r="H10" t="inlineStr"/>
      <c r="I10" t="inlineStr">
        <is>
          <t>**About The Company**
 CarMax is a leading retailer of used vehicles in the United States, renowned for its customer\-centric approach and extensive inventory. Established with a mission to provide a transparent, stress\-free car buying experience, CarMax has built a reputation for integrity, innovation, and excellence in the automotive industry. With a nationwide network of stores and a robust online platform, the company leverages cutting\-edge technology and a dedicated team to meet the diverse needs of its customers. CarMax’s commitment to sustainability and community engagement further underscores its position as a responsible corporate citizen.
**About The Role**
 The role at CarMax offers an exciting opportunity for dynamic professionals to contribute to a thriving organization committed to excellence in customer service and operational efficiency. As a key member of our team, you will be responsible for supporting various functions within the company, ensuring seamless processes and delivering exceptional experiences to our customers. This position requires a proactive individual with strong communication skills, attention to detail, and a passion for the automotive industry. You will work closely with cross\-functional teams to implement strategies that drive growth, improve service delivery, and uphold CarMax’s reputation as a leader in the used vehicle marketplace.
**Qualifications**
 Successful candidates will possess a combination of education, experience, and skills aligned with the demands of the role. A high school diploma or equivalent is required, with a preference for candidates holding a bachelor’s degree in business, automotive management, or related fields. Prior experience in retail, automotive sales, customer service, or operations is highly desirable. Strong interpersonal and communication skills are essential, along with the ability to adapt to a fast\-paced environment. Proficiency in Microsoft Office Suite and familiarity with CRM or inventory management software will be advantageous. Candidates should demonstrate a proactive attitude, problem\-solving capabilities, and a commitment to delivering outstanding customer service.
**Responsibilities**
 The primary responsibilities of this role include managing customer inquiries and providing expert guidance throughout the vehicle purchasing process. You will assist in maintaining accurate inventory records, coordinating vehicle inspections, and supporting sales teams to meet monthly targets. Ensuring compliance with company policies, vehicle financing procedures, and safety standards is crucial. Additionally, you will be responsible for processing documentation, facilitating test drives, and delivering a positive customer experience from initial contact to post\-sale follow\-up. Collaboration with team members to enhance operational workflows, participate in training sessions, and contribute to a culture of continuous improvement are also key aspects of this role.
**Benefits**
 CarMax offers a comprehensive benefits package designed to support the well\-being and professional growth of its employees. Benefits include competitive salary packages, health insurance (medical, dental, vision), and retirement plans. The company also provides paid time off, employee discounts, and opportunities for career advancement through ongoing training and development programs. Additionally, CarMax fosters a positive work environment that encourages teamwork, innovation, and work\-life balance. Employees have access to resources that promote personal and professional growth, including mentorship programs and leadership development initiatives.
 Equal Opportunity
 CarMax is an equal opportunity employer committed to fostering an inclusive environment for all employees. We celebrate diversity and are dedicated to creating a workplace where everyone feels valued, respected, and empowered to contribute their best. We do not discriminate based on race, color, religion, gender, sexual orientation, gender identity or expression, age, national origin, disability, or any other protected characteristic. Our hiring practices are designed to ensure fairness and equal opportunity for all qualified applicants, and we actively promote diversity and inclusion within our organization.</t>
        </is>
      </c>
    </row>
    <row r="11">
      <c r="A11" t="inlineStr">
        <is>
          <t>li-4322560109</t>
        </is>
      </c>
      <c r="B11" t="inlineStr">
        <is>
          <t>Data Scientist, Marketing</t>
        </is>
      </c>
      <c r="C11" t="inlineStr">
        <is>
          <t>Anthropic</t>
        </is>
      </c>
      <c r="D11" t="inlineStr">
        <is>
          <t>linkedin</t>
        </is>
      </c>
      <c r="E11" t="inlineStr"/>
      <c r="F11" t="inlineStr"/>
      <c r="G11" t="inlineStr">
        <is>
          <t>New York, NY</t>
        </is>
      </c>
      <c r="H11" t="inlineStr"/>
      <c r="I1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**Job Description**
 As an early member of our Data Science team, you will play an instrumental role in our company's mission of building safe and beneficial artificial intelligence by driving marketing effectiveness through data\-driven insights and analytics. In this unique company, technology, and moment in history, your work will be critical to informing our marketing strategy and optimizing our go\-to\-market approach as we deploy safe, frontier AI at scale to the world.
 You will work closely with marketing, product, and commercial teams to define and measure key marketing success metrics, analyze customer acquisition and retention, and build a culture of developing and testing hypotheses through experimentation. You've worked in cultures of excellence in the past, and are eager to apply that experience to building robust and scalable marketing analytics systems and processes as our company goes through a phase of rapid growth.
**Responsibilities**
* Deep dive into marketing performance data to provide insights to marketing leaders and influence the company's marketing strategy
* Define core marketing metrics that measure the team's success. Set goals, monitor performance, and develop actionable reporting for campaigns and channels
* Identify and size opportunities to improve marketing effectiveness, influencing marketing roadmap through your insights and recommendations on audience targeting, channel optimization, and messaging effectiveness
* Develop hypotheses on marketing initiatives, design experiments or causal inference studies, analyze the results, and make recommendations based on impact to key metrics
* Build a data\-driven marketing culture from the ground up by establishing foundational marketing analytics best practices and making marketing data more accessible across the company
**You Might Be a Good Fit If You Have**
* 6\+ years of experience in data science or analytics roles, preferably in a marketing or customer acquisition context
* 3\+ years of experience deeply embedded in Marketing teams, turning marketing data into concise and insightful analysis that drives business outcomes
* Experienced in measuring different types of marketing activities, have a holistic view of how different programs are supporting each other (e.g. brand \&amp; growth, consumer \&amp; enterprise)
* Solid technical skills in experimentation and causal inference to measure the incrementality of the spend;
* Experience in building user segmentation to inform marketing strategies
* A passion for the company's mission of building helpful, honest, and harmless AI
* Expertise in Python, SQL, and marketing analytics platforms and visualization tools
* Familiarity with both B2C and B2B/Enterprise marketing analytics
* A bias for action and urgency, not letting perfect be the enemy of the effective
* A strong disposition to thrive in ambiguity, taking initiative to create clarity and forward progress
* A deep curiosity and energy for pulling the thread on hard questions about customer behavior and marketing performance
* Highly effective written communication and presentation skills, with ability to translate complex analyses into actionable marketing insights
 The expected base compensation for this position is below. Our total compensation package for full\-time employees includes equity, benefits, and may include incentive compensation.
**Annual Salary**
 $275,000—$370,000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2">
      <c r="A12" t="inlineStr">
        <is>
          <t>li-4304416616</t>
        </is>
      </c>
      <c r="B12" t="inlineStr">
        <is>
          <t>Forward Deployed Data Scientist</t>
        </is>
      </c>
      <c r="C12" t="inlineStr">
        <is>
          <t>Qventus, Inc</t>
        </is>
      </c>
      <c r="D12" t="inlineStr">
        <is>
          <t>linkedin</t>
        </is>
      </c>
      <c r="E12" t="inlineStr"/>
      <c r="F12" t="inlineStr"/>
      <c r="G12" t="inlineStr"/>
      <c r="H12" t="inlineStr"/>
      <c r="I12"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**The Role**
 Forward Deployed Data Scientists at Qventus partner with clients to identify their most critical challenges and design data\-driven solutions that deliver operational impact. Our customers rely on Qventus’ analytics and machine learning capabilities for high\-stakes decisions, and projects often begin with open\-ended questions like, “How can we predict surgical case overruns?” or “What’s the most effective way to improve patient discharge planning?” As a Data Scientist, you’ll merge analytical rigor, statistical and ML expertise, and cross\-functional collaboration to help organizations transform complex data into actionable insights.
 You’ll work in small, agile teams with a high degree of independence, driving projects from concept to deployed solution. A given day might involve building predictive models, refining LLM\-based information retrieval systems, working directly with clinical leaders to interpret results, developing scalable data pipelines, or translating findings into operational strategies.
**Key Responsibilities**
* Build and refine statistical and machine learning models, including NLP and explainable AI approaches.
* Develop, tune, and deploy LLM systems, with strong preference for RAG\-based solutions.
* Perform hands\-on data engineering: cleaning, transforming, and building pipelines (SQL, Python).
* Collaborate with cross\-functional teams to translate data insights into deployed products.
* Communicate findings clearly to both technical and non\-technical audiences.
**What We’re Looking For**
* 3\+ years of applied research in ML or statistical modeling.
* 2\+ years developing and maintaining ML systems in production.
* 1\+ years working with LLM\-based applications.
* Strong coding skills in Python and SQL.
* Experience designing maintainable, high\-quality codebases.
**Bonus Points**
* Experience mentoring and building collaborative data science teams.
* Exposure to agent\-based generative AI frameworks.
* Background in healthcare data or hospital operations.
* Experience with Databricks, AWS, Snowflake, DBT, or similar platforms.
* Master’s degree or equivalent professional experience.
 Compensation for this role is based on market data and takes into account a variety of factors, including location, skills, qualifications, and prior relevant experience. Salary is just one part of the total rewards package at Qventus. We also offer a range of benefits and perks, including Open Paid Time Off, paid parental leave, professional development, wellness and technology stipends, a generous employee referral bonus, and employee stock option awards.
 Salary Range: $150,000 USD \- $220,000 USD
 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
 Qventus participates in the E\-Verify program as required by law and is committed to providing reasonable accommodations to individuals with disabilities in compliance with Americans with Disabilities Act (ADA). In compliance with the California Consumer Privacy Act (CCPA), Qventus provides transparency into how applicant data is processed during the application process. Candidate information will be treated in accordance with our candidate privacy notice.
* Benefits and perks are subject to plan documents and may change at the company's discretion.
* Employment is contingent upon the satisfactory completion of our pre\-employment background investigation and drug test.</t>
        </is>
      </c>
    </row>
    <row r="13">
      <c r="A13" t="inlineStr">
        <is>
          <t>li-4333209675</t>
        </is>
      </c>
      <c r="B13" t="inlineStr">
        <is>
          <t>Senior Data Scientist, Square Financial Services, Credit Policy</t>
        </is>
      </c>
      <c r="C13" t="inlineStr">
        <is>
          <t>Block</t>
        </is>
      </c>
      <c r="D13" t="inlineStr">
        <is>
          <t>linkedin</t>
        </is>
      </c>
      <c r="E13" t="inlineStr"/>
      <c r="F13" t="inlineStr"/>
      <c r="G13" t="inlineStr"/>
      <c r="H13" t="inlineStr"/>
      <c r="I13"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As a Data Scientist within the Credit Policy team of Square Financial Services (SFS), you will work across both commercial (Square) and consumer (Cash App) banking \&amp; lending products. While core model development sits with our adjacent ML teams, the Credit Policy team provides crucial oversight and strategic direction for our underwriting processes. This includes monitoring existing products and their performance to maintain efficient underwriting, analyzing and shaping new product initiatives for growth, and ensuring regulatory compliance through documentation and process.
 You'll collaborate closely with a broad range of functions including ML, product, software engineering, operations, and capital markets teams to drive impact across our portfolio.
 Work from anywhere: This role can be performed from any location in the US with the flexibility to work from home
**You Will**
* Analyze large datasets using SQL and Python to surface actionable insights that directly inform our product and credit strategy that drive business decisions
* Approach problems from first principles, using a variety of statistical and mathematical modeling techniques to research and understand customer behavior and loan performance
* Partner closely with ML engineers throughout the modeling lifecycle to develop, deploy, evaluate, and monitor models and credit policies
* Maintain and improve our systems for simulating the impacts of model/policy changes and the decision engine that implements those rules in production
* Develop KPIs and measurement systems focused on credit resiliency and product performance monitoring.
* Build, visualize and report on metrics that drive strategy and facilitate decision making for key business initiatives
* Effectively communicate your work with team leads and cross\-functional stakeholders on a regular basis
**You Have**
* Minimum of 8 years of related experience with a Bachelor's degree; or 6 years and a Master's degree; or a PhD with 3 years experience; or equivalent experience.
* A background in Statistics, Mathematics, Biostatistics, Economics or related quantitative field
* Advanced proficiency with SQL and Python for data analysis
* Advanced proficiency building product metrics in data visualization tools (e.g. Mode, Looker)
* Direct experience in credit, lending, risk management, or financial services.
* Ability to turn unstructured business problems into concrete analyses that yield actionable insights and recommendations
* Working understanding of core ML concepts, with a focus on usage in decision making.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4">
      <c r="A14" t="inlineStr">
        <is>
          <t>li-4330236624</t>
        </is>
      </c>
      <c r="B14" t="inlineStr">
        <is>
          <t>Data Scientist</t>
        </is>
      </c>
      <c r="C14" t="inlineStr">
        <is>
          <t>Brooksource</t>
        </is>
      </c>
      <c r="D14" t="inlineStr">
        <is>
          <t>linkedin</t>
        </is>
      </c>
      <c r="E14" t="inlineStr"/>
      <c r="F14" t="inlineStr"/>
      <c r="G14" t="inlineStr">
        <is>
          <t>Miami, FL</t>
        </is>
      </c>
      <c r="H14" t="inlineStr"/>
      <c r="I14" t="inlineStr">
        <is>
          <t>**DATA SCIENTIST – ANALYTICS \&amp; DATA FOUNDATIONS** 
**Data Analytics \&amp; AI Team** 
**POSITION SUMMARY** 
* Brooksource is seeking a Data Science Contractor to support our centralized Data Analytics \&amp; AI team. This role focuses on designing, building, and validating datasets that power analytics, reporting, and machine learning solutions across the company.
* You will work closely with Data Scientists, Analysts, and technical partners to:
* Bring together data from multiple systems
* Build reliable, analytics\-ready datasets and tables
* Create repeatable data preparation workflows
* Improve data quality, consistency, and documentation
* Success in this role will be measured by the quality, usability, and business impact of the datasets and data assets you help deliver.
**ABOUT THE TEAM** 
* The Data Analytics \&amp; AI (Data Science \&amp; Analytics) team drives innovation through advanced analytics, AI, and data\-informed decision\-making. We:
* Build and maintain the data foundations that power analytics and AI solutions
* Deliver data\-driven insights for key strategic and operational initiatives
* Design reusable data models, standardized metrics, and scalable analytics assets
* Partner with teams across the organization to make data easier to access, understand, and use
* As a Data Science Contractor focused on analytics and data foundations, you will help create high\-quality datasets that support real\-world business problems impacting millions of vacationers worldwide.
**KEY RESPONSIBILITIES** 
 1\. Data Foundations \&amp; Dataset Design
 Partner with Data Scientists, Analysts, and business stakeholders to understand requirements and translate them into well\-structured, analytics\-ready datasets.
 Use SQL and Python (or similar languages) to extract, transform, and load data from multiple sources (databases, APIs, files, third\-party systems).
 Design and implement data transformations (joins, aggregations, feature creation, reshaping) to support reporting, analytics, experimentation, and modeling.
 Help standardize business definitions, metrics, and dimensions across datasets to ensure consistency and reusability.
 2\. Pipelines, Data Quality, and Governance
 Build and maintain repeatable data preparation workflows to feed curated tables, views, and data marts.
 Implement data quality checks and validation rules to ensure completeness, accuracy, and timeliness.
 Investigate and resolve data issues, discrepancies, and anomalies in partnership with source system owners and downstream users.
 Document lineage, schemas, and transformation logic, aligning with internal governance standards.
 3\. Analytics \&amp; Data Enablement
 Ensure datasets are designed to support key business KPIs, dashboards, and analytic use cases.
 Provide Data Scientists with clean, structured input datasets for modeling and experimentation.
 Support Analysts and business users in understanding table structures, field definitions, and best practices for querying data.
 Assist in developing or refining semantic layers and reusable queries that simplify access to complex data.
 4\. Documentation \&amp; Knowledge Sharing
 Create and maintain data dictionaries, schema documentation, and transformation specifications.
 Clearly document assumptions, business rules, and known data limitations.
 Contribute to internal best practices for dataset design, reproducibility, and code organization.
 Participate in team meetings, code reviews, and technical discussions with Data Scientists, Engineers, and business partners.
**ENGAGEMENT DETAILS** 
* Role: Data Science Contractor – Analytics \&amp; Data Foundations
* Team: Data Analytics \&amp; AI (Data Science \&amp; Analytics)
* Location: South Florida Offices (Port of Miami, Downtown Tech Hub, Miramar Tech Hub, Entertainment Studios) – Hybrid (on\-site presence expected)
* Type: Contract with the potential to convert full\-time (40 hours/week)
* Duration: 12\+ months
* Work Authorization: Must have authorization to work in the U.S. on a permanent and ongoing basis (no current or future sponsorship).
**REQUIRED QUALIFICATIONS** 
* Bachelor’s degree in Data Science, Computer Science, Statistics, Mathematics, Information Systems, Engineering, or a related quantitative field; or equivalent practical experience.
* 2\+ years of hands\-on experience in data\-focused roles (e.g., data science, analytics, BI, or similar), with significant work building and transforming datasets.
* Technical skills:
* Strong proficiency in SQL, including complex joins, aggregations, window functions, and performance\-aware query design.
* Proficiency in Python (or R) for data wrangling, scripting, and automation; experience with libraries such as pandas, NumPy or equivalent.
* Experience creating repeatable ETL/ELT\-style workflows or scripted data preparation processes.
* Experience working with relational databases and/or modern cloud data warehouses.
* Ability to work with large, messy, real\-world datasets, including cleaning, reshaping, and validating data.
* General skills:
* Strong analytical and quantitative problem\-solving skills.
* Ability to clearly explain data structures, assumptions, and trade\-offs to both technical and non\-technical stakeholders.
* Proven ability to manage multiple tasks and priorities in a fast\-paced environment.
**PREFERRED QUALIFICATIONS** 
* Experience with dimensional data modeling (e.g., star/snowflake schemas) and designing analytics data marts.
* Hands\-on experience with cloud platforms (Azure, AWS, or GCP) and cloud data warehouses (e.g., Snowflake, Redshift, BigQuery, Azure Synapse).
* Familiarity with big data or distributed processing frameworks (e.g., Spark, Databricks).
* Exposure to workflow orchestration and transformation tools (e.g., Airflow, dbt, Azure Data Factory, AWS Glue).
* Experience with version control (Git, GitHub/GitLab/Bitbucket) and collaborative development workflows.
* Experience supporting data science or machine learning teams, including building feature\-ready datasets.
* Experience developing dashboards or reports with tools such as Tableau, Power BI, or similar.
* Background working in Agile or iterative development environments.
**KNOWLEDGE, SKILLS, AND ATTRIBUTES** 
* Demonstrates a strong capacity for learning new tools, methods, and technologies in data and analytics.
* Curious, detail\-oriented, and passionate about improving data quality and usability.
* Comfortable working independently while collaborating closely with cross\-functional teams.
* Strong communication skills, both written and verbal.
* Passionate about using data to improve customer experiences, drive innovation, and create business value.
* Interest in travel, hospitality, and/or the cruise industry is a plus.
**EQUAL OPPORTUNITY STATEMENT** 
 Brooksource ensures equal employment and promotion opportunities without discrimination or harassment based on any protected characteristic under law.</t>
        </is>
      </c>
    </row>
    <row r="15">
      <c r="A15" t="inlineStr">
        <is>
          <t>li-4257746569</t>
        </is>
      </c>
      <c r="B15" t="inlineStr">
        <is>
          <t>ML Scientist</t>
        </is>
      </c>
      <c r="C15" t="inlineStr">
        <is>
          <t>Sesame</t>
        </is>
      </c>
      <c r="D15" t="inlineStr">
        <is>
          <t>linkedin</t>
        </is>
      </c>
      <c r="E15" t="inlineStr"/>
      <c r="F15" t="inlineStr"/>
      <c r="G15" t="inlineStr">
        <is>
          <t>San Francisco, CA</t>
        </is>
      </c>
      <c r="H15" t="inlineStr"/>
      <c r="I15" t="inlineStr">
        <is>
          <t>**About Sesame**
 Sesame believes in a future where computers are lifelike \- with the ability to see, hear, and collaborate with us in ways that feel natural and human. With this vision, we're designing a new kind of computer, focused on making voice companions part of our daily lives. Our team brings together founders from Oculus and Ubiquity6, alongside proven leaders from Meta, Google, and Apple, with deep expertise spanning hardware and software. Join us in shaping a future where computers truly come alive.
**About The Role**
 New and novel approaches are needed to realize all of our product goals. As a Machine Learning Scientist at Sesame, you are a research\-oriented person with experience in NLP, Speech, and/or Computer Vision with a focus on deep learning. You are up to date on recent papers and approaches and you have the creativity and the intuition to come up with new solutions based on the application at hand.
**Responsibilities**
* Contribute to the development of our ML models across multiple modalities.
* Work across the ML stack, including model architectures, data curation, model evaluation, training \&amp; inference infrastructure, research, and experimentation.
* Pick promising approaches from the literature to bet on, and create new approaches where necessary to achieve our unique goals.
**Required Qualifications**
* Experience working independently in high\-ambiguity environments.
* Published papers in NLP, Speech, or Computer Vision involving large\-scale deep learning.
* Familiar with the state of the art in AI.
* Bachelor’s degree or higher in CS or related field.
**Preferred Qualifications**
* Masters/PhD desired.
* Experience working with products.
* Experience in a startup environment.
 Sesame is committed to a workplace where everyone feels valued, respected, and empowered. We welcome all qualified applicants, embracing diversity in race, gender, identity, orientation, ability, and more. We provide reasonable accommodations for applicants with disabilities—contact careers@sesame.com for assistance.
**Full\-time Employee Benefits**
* 401k matching
* 100% employer\-paid health, vision, and dental benefits
* Unlimited PTO and sick time
* Flexible spending account matching (medical FSA)
 Benefits do not apply to contingent/contract workers
 Compensation Range: $190K \- $320K</t>
        </is>
      </c>
    </row>
    <row r="16">
      <c r="A16" t="inlineStr">
        <is>
          <t>li-4354603487</t>
        </is>
      </c>
      <c r="B16" t="inlineStr">
        <is>
          <t>Data Scientist</t>
        </is>
      </c>
      <c r="C16" t="inlineStr">
        <is>
          <t>STAND 8 Technology Consulting</t>
        </is>
      </c>
      <c r="D16" t="inlineStr">
        <is>
          <t>linkedin</t>
        </is>
      </c>
      <c r="E16" t="inlineStr"/>
      <c r="F16" t="inlineStr"/>
      <c r="G16" t="inlineStr">
        <is>
          <t>Long Beach, CA</t>
        </is>
      </c>
      <c r="H16" t="inlineStr"/>
      <c r="I16" t="inlineStr">
        <is>
          <t>STAND 8 provides end to end IT solutions to enterprise partners across the United States and with offices in Los Angeles, New York, New Jersey, Atlanta, and more including internationally in Mexico and India
 We are seeking a highly analytical and technically skilled Data Scientist to transform complex, multi\-source data into unified, actionable insights used for executive reporting and decision\-making.
 This role requires expertise in business intelligence design, data modeling, metadata management, data integrity validation, and the development of dashboards, reports, and analytics used across operational and strategic environments.
 The ideal candidate thrives in a fast\-paced environment, demonstrates strong investigative skills, and can collaborate effectively with technical teams, business stakeholders, and leadership.
**Essential Duties \&amp; Responsibilities** 
* As a Data Scientist, participate across the full solution lifecycle: business case, planning, design, development, testing, migration, and production support.
* Analyze large and complex datasets with accuracy and attention to detail.
* Collaborate with users to develop effective metadata and data relationships.
* Identify reporting and dashboard requirements across business units.
* Determine strategic placement of business logic within ETL or metadata models.
* Build enterprise data warehouse metadata/semantic models.
* Design and develop unified dashboards, reports, and data extractions from multiple data sources.
* Develop and execute testing methodologies for reports and metadata models.
* Document BI architecture, data lineage, and project report requirements.
* Provide technical specifications and data definitions to support the enterprise data dictionary.
* Apply analytical skills and Data Science techniques to understand business processes, financial calculations, data flows, and application interactions.
* Identify and implement improvements, workarounds, or alternative solutions related to ETL processes, ensuring integrity and timeliness.
* Create UI components or portal elements (e.g., SharePoint) for dynamic or interactive stakeholder reporting.
* As a Data Scientist, download and process SQL database information to build Power BI or Tableau reports (including cybersecurity awareness campaigns).
* Utilize SQL, Python, R, or similar languages for data analysis and modeling.
* Support process optimization through advanced modeling, leveraging experience as a Data Scientist where needed.
**Required Knowledge \&amp; Attributes** 
* Highly self\-motivated with strong organizational skills and ability to manage multiple verbal and written assignments.
* Experience collaborating across organizational boundaries for data sourcing and usage.
* Analytical understanding of business processes, forecasting, capacity planning, and data governance.
* Proficient with BI tools (Power BI, Tableau, PBIRS, SSRS, SSAS).
* Strong Microsoft Office skills (Word, Excel, Visio, PowerPoint).
* High attention to detail and accuracy.
* Ability to work independently, demonstrate ownership, and ensure high\-quality outcomes.
* Strong communication, interpersonal, and stakeholder engagement skills.
* Deep understanding that data integrity and consistency are essential for adoption and trust.
* Ability to shift priorities and adapt within fast\-paced environments.
**Required Education \&amp; Experience** 
* Bachelor's degree in Computer Science, Mathematics, or Statistics (or equivalent experience).
* 3\+ years of BI development experience.
* 3\+ years with Power BI and supporting Microsoft stack tools (SharePoint 2019, PBIRS/SSRS, Excel 2019/2021\).
* 3\+ years of experience with SDLC/project lifecycle processes
* 3\+ years of experience with data warehousing methodologies (ETL, Data Modeling).
* 3\+ years of VBA experience in Excel and Access.
* Strong ability to write SQL queries and work with SQL Server 2017\-2022\.
* Experience with BI tools including PBIRS, SSRS, SSAS, Tableau.
* Strong analytical skills in business processes, financial modeling, forecasting, and data flow understanding.
* Critical thinking and problem\-solving capabilities.
* Experience producing high\-quality technical documentation and presentations.
* Excellent communication and presentation skills, with the ability to explain insights to leadership and business teams.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$73 \- $83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17">
      <c r="A17" t="inlineStr">
        <is>
          <t>li-4351275096</t>
        </is>
      </c>
      <c r="B17" t="inlineStr">
        <is>
          <t>Data Scientist, AI Studio</t>
        </is>
      </c>
      <c r="C17" t="inlineStr">
        <is>
          <t>Guardian Life</t>
        </is>
      </c>
      <c r="D17" t="inlineStr">
        <is>
          <t>linkedin</t>
        </is>
      </c>
      <c r="E17" t="inlineStr"/>
      <c r="F17" t="inlineStr"/>
      <c r="G17" t="inlineStr">
        <is>
          <t>New York, NY</t>
        </is>
      </c>
      <c r="H17" t="inlineStr"/>
      <c r="I17"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We are seeking a Data Scientist, an experienced individual contributor with strong background in data science \&amp; machine learning and a track record of turning advanced research into practical, impactful enterprise solutions. This role focuses on building, deploying, and scaling ML models and intelligent automation solutions that reshape how Guardian operates, serves customers, and drives growth. You’ll collaborate directly with senior executives and cross\-functional teams on high\-visibility projects to bring next\-generation ML to life across Guardian’s products and services.
**You Will:**
 Key Responsibilities
* Design and implement machine learning solutions that automate business workflows, improve decision\-making, and enhance customer and employee experiences.
* Apply ML techniques (e.g., regression, classification, clustering, ensemble methods such as Random Forest and XGBoost) to structured and semi\-structured data such as claims, underwriting notes, and customer records.
* Develop robust, scalable, and production\-ready ML models that integrate with Guardian’s platforms to deliver measurable business outcomes.
* Collaborate with data engineers and MLOps teams to ensure models are scalable, robust, and production\-ready.
* Translate research in machine learning and statistical modeling into practical applications for underwriting, claims automation, customer servicing, and risk assessment.
* Work closely with product owners, engineers, and business stakeholders to define use cases, design solutions, and measure impact.
* Contribute to building reusable components and frameworks for developing and deploying ML solutions.
* Adhere to model governance, documentation, testing, and other best practices in partnership with key stakeholders.
**You are:**
* Passionate about applying machine learning to solve real\-world business challenges.
* Curious about new ML techniques and their practical applications in industry.
* A hands\-on builder who enjoys moving solutions from prototype to deployment.
* Comfortable collaborating in cross\-functional teams and aligning technical solutions with business goals.
* An effective communicator, able to present complex ideas and trade\-offs to both technical and non\-technical stakeholders.
**You have:**
* PhD with 0–1 years of experience, Master’s degree with 2\+ years, or Bachelor’s degree with 4\+ years in Statistics, Computer Science, Engineering, Applied Mathematics, or related field.
* 2\+ years of hands\-on experience in ML modeling and development.
* Solid understanding of probability, statistics, and machine learning fundamentals.
* Strong programming skills in Python and familiarity with frameworks like scikit\-learn, pandas, and numpy.
* Experience with a variety of machine learning techniques (regression, classification, clustering, ensemble methods, etc.) and their real\-world advantages/drawbacks.
* Excellent problem\-solving and analytical skills with attention to detail.
* Strong communication skills and ability to collaborate effectively with product and engineering teams.
* Working knowledge of core software engineering concepts (version control with Git/GitHub, testing, logging, ...).
* Experience in insurance, financial services, or related industries is a plus.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18">
      <c r="A18" t="inlineStr">
        <is>
          <t>li-4312894201</t>
        </is>
      </c>
      <c r="B18" t="inlineStr">
        <is>
          <t>Principal Applied Scientist - Machine Learning</t>
        </is>
      </c>
      <c r="C18" t="inlineStr">
        <is>
          <t>AvePoint</t>
        </is>
      </c>
      <c r="D18" t="inlineStr">
        <is>
          <t>linkedin</t>
        </is>
      </c>
      <c r="E18" t="inlineStr"/>
      <c r="F18" t="inlineStr"/>
      <c r="G18" t="inlineStr"/>
      <c r="H18" t="inlineStr"/>
      <c r="I18" t="inlineStr">
        <is>
          <t>**About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
 At AvePoint, we are committed to investing in our people. Agility, passion and teamwork set us up to do our best work and foster a culture where you are empowered to craft your career, make an impact, and own (y)our future. Unleash the power of you!
**What You'll Be Doing**
 We are seeking an analytical and innovative Data Scientist to join our Data \&amp; AI team. You will play a key role in developing and deploying advanced machine learning models to solve real\-world business challenges. Your efforts will help optimize data pipelines, extract actionable insights, and shape the future of intelligent solutions at AvePoint.
**Your Key Responsibilities**
* Design, build, and deploy machine learning models leveraging structured and unstructured data.
* Shape and engineer data pipelines for optimal model performance and production\-grade scalability.
* Collaborate cross\-functionally with engineers, researchers, and product teams to define requirements and deliver impactful AI/ML solutions.
* Analyze experimental data, conduct model validation, and continuously improve accuracy and robustness.
* Document methodologies and results, presenting findings to both technical and non\-technical stakeholders.
* Stay up\-to\-date with the latest advancements in machine learning and data science best practices.
* Support operationalizing models within AvePoint’s ecosystem, ensuring responsible data handling and compliance.
**Preferred Qualifications**
* Bachelor’s or Master’s degree in Computer Science, Data Science, Engineering, Statistics, or related field (PhD not required, but a strong plus).
* 10\+ years of hands\-on machine learning experience, including building, evaluating, and streamlining data\-driven models for business use.
* Proficiency with Python and major ML/data libraries (e.g., Pandas, Scikit\-learn, TensorFlow, PyTorch).
* Strong background in data wrangling, cleansing, feature engineering, and ETL pipeline development.
* Practical experience deploying models in a cloud or distributed environment.
**What We Value**
* Commitment to excellence and continual professional development.
* Excellent analytical, problem\-solving, and communication skills.
* Initiative and ownership in research and project execution.
* Collaboration with diverse, global teams.
* Clarity in communicating technical information to varied audiences.
**Benefits We Offer**
* Competitive market\-based compensation (salary, yearly bonus \+ equity).
* Career progression and internal mobility opportunities.
* Work\-life balance through a hybrid working model.
* Unlimited PTO.
 This role offers the opportunity to work at the intersection of machine learning innovation and industry impact, contributing to AvePoint’s vision for secure, intelligent, and data\-driven workplaces.
 If you are passionate about transforming data into actionable solutions and want to be part of a global tech leader, we want to hear from you!
 The Salary Range for this role is $200,000 \- $245,000\. At AvePoint, we strive to offer competitive, fair, and equitable total rewards. The listed salary range represents a good faith estimate, with final offers based on location, experience, skills, and qualifications. The listed range reflects base salary only; our total rewards include base salary, comprehensive benefits (medical, dental, vision, 401(k) with match, unlimited PTO), and depending on the role, bonuses, commissions, or equity (RSUs). We welcome compensation discussions—apply even if your expectations fall outside the range.
 Any personal data you share with us during the application process will be processed strictly in compliance with applicable data protection laws and our Privacy Notice.</t>
        </is>
      </c>
    </row>
    <row r="19">
      <c r="A19" t="inlineStr">
        <is>
          <t>li-4354328805</t>
        </is>
      </c>
      <c r="B19" t="inlineStr">
        <is>
          <t>Data Scientist, Sr.</t>
        </is>
      </c>
      <c r="C19" t="inlineStr">
        <is>
          <t>Wiraa</t>
        </is>
      </c>
      <c r="D19" t="inlineStr">
        <is>
          <t>linkedin</t>
        </is>
      </c>
      <c r="E19" t="inlineStr"/>
      <c r="F19" t="inlineStr"/>
      <c r="G19" t="inlineStr"/>
      <c r="H19" t="inlineStr"/>
      <c r="I19" t="inlineStr">
        <is>
          <t>**About The Company**
 Airbnb was founded in 2007 when two hosts welcomed three guests to their San Francisco home. Since then, the company has experienced remarkable growth and now boasts over 5 million hosts worldwide who have welcomed more than 2 billion guest arrivals across nearly every country. Airbnb’s platform offers unique stays and experiences, enabling guests to connect with local communities in an authentic manner. The company's mission is to create a world where anyone can belong anywhere, fostering meaningful travel experiences and cultural exchange through innovative technology and community\-driven hospitality.
**About The Role**
 We are seeking a talented Senior Staff Data Scientist to join our Guest Data Science team within the Guest Experience division. This role is pivotal in utilizing artificial intelligence and causal inference methodologies to understand user behavior, detect underlying intent, and develop data products that enhance personalized experiences on our platform. You will lead efforts to identify guest preferences at every stage of their discovery journey, shaping strategies that drive guest engagement and conversion across Airbnb’s Homes, Experiences, and Services verticals. Your work will involve close collaboration with product managers, engineers, and designers to optimize in\-app UX and inform data\-driven decision\-making. The ideal candidate will possess deep expertise in marketplace analytics, user behavior modeling, and advanced statistical techniques, with a passion for creating innovative solutions that improve the guest experience.
**Qualifications**
* Advanced degree in Computer Science, Statistics, Econometrics, or a related field.
* 9\+ years of industry experience with a PhD or 12\+ years with a Master’s degree.
* Expertise in causal inference techniques with marketplace experience.
* Domain experience in search, user experience discovery, and personalized evidence systems.
* Proficiency in programming languages such as Python or R for data analysis.
* Familiarity with SQL and developing proof\-of\-concept prototypes.
* Strong communication skills to collaborate effectively with cross\-functional teams.
* Demonstrated ability to succeed independently and in team environments.
* Engagement with the technical community and a learner’s mindset towards emerging AI technologies, including large language models and dynamic systems.
**Responsibilities**
* Develop a deep understanding of guest navigation patterns and re\-engagement behaviors through analysis, research, and granular user data.
* Partner with product and engineering teams to establish technical frameworks and lead scientific initiatives for detecting guest preferences and online friction points.
* Design and implement prototypes and data frameworks to quantify and classify guest preferences, utilizing AI toolkits and iterative development processes.
* Evaluate the effectiveness of models and hypotheses through rigorous measurement, experiments, and validation of online engagement strategies.
* Set up feedback loops and continuous improvement processes to ensure high\-impact data products and insights.
* Regularly present findings, insights, and strategic recommendations to leadership and cross\-functional teams to inform product development and UX design.
* Drive innovation by exploring new paradigms for preference detection and personalization in a marketplace setting.
**Benefits**
* Competitive salary and performance\-based bonuses.
* Equity options and stock grants.
* Comprehensive health insurance plans including medical, dental, and vision coverage.
* Flexible work arrangements, including remote work eligibility.
* Paid time off, holidays, and family leave policies.
* Employee travel credits and discounts.
* Opportunities for professional development and continuous learning.
* Inclusive and diverse work environment that values innovation and collaboration.
 Equal Opportunity
 Airbnb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perspectives and backgrounds foster innovation and drive our success.</t>
        </is>
      </c>
    </row>
    <row r="20">
      <c r="A20" t="inlineStr">
        <is>
          <t>li-4351205763</t>
        </is>
      </c>
      <c r="B20" t="inlineStr">
        <is>
          <t>Senior Data Scientist</t>
        </is>
      </c>
      <c r="C20" t="inlineStr">
        <is>
          <t>Via</t>
        </is>
      </c>
      <c r="D20" t="inlineStr">
        <is>
          <t>linkedin</t>
        </is>
      </c>
      <c r="E20" t="inlineStr"/>
      <c r="F20" t="inlineStr"/>
      <c r="G20" t="inlineStr">
        <is>
          <t>Atlanta, GA</t>
        </is>
      </c>
      <c r="H20" t="inlineStr"/>
      <c r="I20" t="inlineStr">
        <is>
          <t>**Senior Data Scientist – Supply Chain Optimization** 
 We’re hiring a
 **Senior Data Scientist** 
 to work on complex, real\-world supply chain problems using
 **optimization, mathematical modelling, and advanced analytics** 
 .
 This role sits at the intersection of data science, operations research, and software engineering, and focuses on building decision\-making models that directly power a modern supply chain planning platform.
**What You’ll Work On** 
* Build and improve
 **optimization and simulation models** 
 across inventory, demand, production, and network planning
* Apply
 **operations research and advanced analytics** 
 to large, complex datasets
* Partner with engineers to
 **deploy models into production** 
 within a SaaS environment
* Improve model accuracy using
 **statistical and machine\-learning techniques**
* Support customer\-facing teams by troubleshooting and refining optimisation logic
* Document models, assumptions, and technical approaches clearly
**What We’re Looking For** 
* 3\+ years’ experience in
 **data science, operations research, or applied analytics**
* Master’s degree in
 **Operations Research, Applied Mathematics, Industrial Engineering** 
 , or similar
* Strong experience with
 **Python** 
 and optimisation techniques (LP, MIP, stochastic models)
* Experience with solvers such as
 **Gurobi or CPLEX**
* Familiarity with
 **supply chain concepts**
* Ability to explain complex ideas clearly to non\-technical stakeholders
**Why You’ll Like It Here** 
* Flexible Paid Time Off
* 11 company\-paid holidays
* Up to 6% 401(k) match
* Competitive medical, dental, and vision coverage
* $50/month wellness reimbursement
* $75/month internet reimbursement
* Real\-world impact, modern tech, and a product\-led engineering culture</t>
        </is>
      </c>
    </row>
    <row r="21">
      <c r="A21" t="inlineStr">
        <is>
          <t>li-4344599032</t>
        </is>
      </c>
      <c r="B21" t="inlineStr">
        <is>
          <t>Data Scientist</t>
        </is>
      </c>
      <c r="C21" t="inlineStr">
        <is>
          <t>Underdog.io -Apply to top tech jobs in 60 seconds. A place where companies apply to you</t>
        </is>
      </c>
      <c r="D21" t="inlineStr">
        <is>
          <t>linkedin</t>
        </is>
      </c>
      <c r="E21" t="inlineStr"/>
      <c r="F21" t="inlineStr"/>
      <c r="G21" t="inlineStr"/>
      <c r="H21" t="inlineStr"/>
      <c r="I21" t="inlineStr">
        <is>
          <t>Underdog.io is a modern recruiting platform. One of our hiring partners is looking to hire a Data Scientist to expand their retail analytics team.
**Job Title:** 
 Data Scientist
**Locations:** 
 San Francisco, CA, Irvine, CA, New York, NY, Seattle, WA, Austin, TX, and Remote
**About Our Company** 
 We’re the world’s largest live streaming platform, where millions of global communities connect daily around shared passions—from gaming, music, and sports to cooking and creative arts. Our mission is to empower creators and foster belonging through real\-time interaction. Backed by a collaborative, community\-driven culture, we’re solving complex challenges at the intersection of entertainment, technology, and human connection.
**The Opportunity** 
 Join our Monetization Data Science team to directly impact how creators earn revenue on our platform. As a Data Scientist focused on Payouts \&amp; Creator Economics, you’ll ensure fair, transparent, and innovative compensation systems for thousands of global creators. Partner with Product, Engineering, Finance, and Legal teams to refine payout policies, launch new monetization features, and combat fraud—all while growing into a senior technical leader.
 What You’ll Do
* **Analyze Policy Impact:** 
 Measure how payout program changes (e.g., eligibility rules, payment timelines) affect creator behavior and platform economics.
* **Own Creator Insights:** 
 Develop dashboards and reports tracking payout performance, earnings trends, and program health.
* **Drive Causal Inference:** 
 Apply methods like DiD, matching, and IPW to evaluate non\-experimental policy shifts.
* **Build Data Pipelines:** 
 Create and maintain SQL/Python workflows for recurring analytics (owning data ops when needed).
* **Cross\-Functional Leadership:** 
 Guide product decisions by translating data into actionable strategies for stakeholders.
* **Support Innovation:** 
 Shape new monetization initiatives to expand creator opportunities globally.
**Your Expertise** 
* 3\+ years in Data Science, Analytics, or related field.
**Technical Fluency:** 
* Advanced SQL (complex joins, window functions).
* Python (Pandas, SciPy) or R for data analysis.
* Causal inference mastery (experiment design, quasi\-experimental methods).
* **Communication:** 
 Distill technical insights for executives, legal teams, and engineers.
* **Ownership Mentality:** 
 Thrive in ambiguity; proactively solve problems with imperfect data.
* **Growth Mindset:** 
 Eager to evolve from tactical analytics to strategic leadership.
 Bonus Points For
* Airflow, SageMaker, or ML deployment experience (fraud/churn models).
* Econometrics background or A/B test design.
* Dashboarding (Tableau, Looker, Redshift).
 Perks \&amp; Benefits
* 💰
 **Competitive Salary** 
 \+ Annual Bonus
* 🩺
 **Full\-Coverage Health:** 
 Medical, dental, vision, disability (100% premiums)
* 👨 👩 👧
 **Family Support:** 
 16\-week parental leave \+ fertility benefits
* 🌴
 **Flexible PTO:** 
 Unlimited vacation \+ company\-wide breaks
* 💻
 **Workspace Stipend:** 
 $1,000/year home office upgrade
* 📈
 **401(k):** 
 100% match up to 6% of salary
* 🛒
 **Retail Discounts:** 
 10% off at leading e\-commerce brands
 Our Culture
* **Community First:** 
 We build belonging—for creators and each other.
* **Bold Ownership:** 
 Solve hard problems with autonomy and accountability.
* **Learn Together:** 
 Weekly tech talks, mentorship, and $5k/year learning stipend.
* **Global Impact:** 
 Your work directly empowers creators worldwide.
**Apply Now** 
 Ready to revolutionize how creators thrive? Join us to blend analytical rigor with creative problem\-solving—and grow your career in a team that values curiosity, collaboration, and human connection.</t>
        </is>
      </c>
    </row>
    <row r="22">
      <c r="A22" t="inlineStr">
        <is>
          <t>li-4312998953</t>
        </is>
      </c>
      <c r="B22" t="inlineStr">
        <is>
          <t>Data Scientist, Technical Lead (Remote-USA)</t>
        </is>
      </c>
      <c r="C22" t="inlineStr">
        <is>
          <t>The Voleon Group</t>
        </is>
      </c>
      <c r="D22" t="inlineStr">
        <is>
          <t>linkedin</t>
        </is>
      </c>
      <c r="E22" t="inlineStr"/>
      <c r="F22" t="inlineStr"/>
      <c r="G22" t="inlineStr"/>
      <c r="H22" t="inlineStr"/>
      <c r="I22" t="inlineStr">
        <is>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Data is at the heart of everything we do—from modeling and strategy development to production monitoring and compliance. As we expand our data\-driven investment initiatives, we are seeking a Technical Lead in Data Science to guide the design, implementation, and evolution of our analytical systems and mentor a growing team of data scientists.
 As a Technical Lead – Data Science, you will provide technical direction and management fora team of data scientists working on high\-impact problems across trading and research systems. You will be responsible for shaping analytical frameworks, ensuring methodological rigor, and delivering insights that inform business and research decisions. You will collaborate with stakeholders in engineering, research, and leadership while driving innovation and excellence in our data science practice.
**Responsibilities**
* Collaborate with Technical Product Owners in Research and Engineering to define priorities, scope solutions, and deliver actionable insights to stakeholders.
* Own investigations of complex production behaviors and design robust methods for identifying, analyzing, and communicating system anomalies.
* Mentor and manage junior and mid\-level data scientists; provide architectural oversight for data projects.
* Serve as a technical authority within the data science function, set standards for data quality, statistical rigor, and reproducibility.
* Lead the design, development, and deployment of analytical pipelines to monitor and interpret production behavior across trading and research systems, ensuring its correctness.
* Champion best practices in data governance, tooling, and collaborative development (CI/CD, version control, code reviews).
* Drive continual growth and learning within the team by onboarding new Data Scientists, growing teams, and fostering a culture of curiosity, collaboration, and applied experimentation.
**Requirements**
* Master’s degree or higher in a quantitative, technical, or analytical field such as Data Science, Statistics, Computer Science, Engineering, Finance, or an MBA with strong analytical training.
* 3\+ years of experience managing data scientists, including responsibility for performance development, technical direction, and project execution.
* Demonstrated ability to lead cross\-functional data initiatives, translate business objectives into analytical goals, and ensure timely delivery.
* Strong understanding of data science fundamentals, including statistical analysis, data preparation, root cause investigation, and the proven ability to guide others' work in these areas.
* Familiarity with data tooling and workflows (e.g., SQL, Pandas, R, Airflow), with enough fluency to review and support technical contributors effectively.
* Basic software development skills and experience with bash, linux/unix, and git
* Experience communicating complex findings to executive and technical stakeholders, including presenting insights, tradeoffs, and recommendations.
* Track record of establishing scalable methodologies, driving technical standards, and fostering collaboration in fast\-paced, analytically rigorous environments.
**Preferred**
* Experience building or growing high\-performing data science teams in production\-aware or high\-stakes settings.
* Exposure to financial markets, trading systems, or quantitative research environments.
* Familiarity with production monitoring systems, data quality pipelines, or analytics platform development.
* 7\+ years of experience managing data scientists.
* Experience managing a large team or multiple teams.
 $195,000 \- $225,000 a year
**Compensation**
 The base salary range for this position is $195,000 to $225,000 in the location(s) of this posting. Individual salaries are determined by a variety of factors, including, but not limited to, education, experience, knowledge, skills, and geographic location. Base salary does not include other forms of total compensation, such as bonus compensation and other benefits. Our benefits package includes medical, dental, and vision coverage, as well as life and AD\&amp;D insurance, 20 days of paid time off, nine sick days, and a 401(k) plan with a company match.
**“Friends of Voleon” Candidate Referral Program**
 If you have a great candidate in mind for this role and would like to have the potential to earn $15,000 if your referred candidate is successfully hired and employed by The Voleon Group, please use this form to submit your referral. For more details regarding eligibility, terms, and conditions, please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23">
      <c r="A23" t="inlineStr">
        <is>
          <t>li-4333318395</t>
        </is>
      </c>
      <c r="B23" t="inlineStr">
        <is>
          <t>Consumer Product Data Scientist</t>
        </is>
      </c>
      <c r="C23" t="inlineStr">
        <is>
          <t>Accenture Federal Services</t>
        </is>
      </c>
      <c r="D23" t="inlineStr">
        <is>
          <t>linkedin</t>
        </is>
      </c>
      <c r="E23" t="inlineStr"/>
      <c r="F23" t="inlineStr"/>
      <c r="G23" t="inlineStr">
        <is>
          <t>Washington, DC</t>
        </is>
      </c>
      <c r="H23" t="inlineStr"/>
      <c r="I23"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**The work:**
 As a Consumer Product Data Scientist, you will be using the Databricks platform to analyze complex datasets, identify trends, uncover patterns, and provide meaningful interpretations for a highly visible online product. The ideal candidate will possess a robust background in data analytics, hands\-on experience with Databricks, and a proven track record in consumer research and retail analytics, with a strong preference for incorporating AI solutions. You will leverage skills in big data collection, cleaning, and exploratory analysis to discover patterns, anomalies, and relationships using statistical methods and visualization techniques. Requires strong experience applying statistical tests and models to validate hypotheses and identify significant trends in customer retention and churn.
**Here's what you need:**
* 10\+ years of experience in data analytics to drive impactful insights and solutions.
* Must have hands\-on experience within Databricks environment.
* Must have hands\-on experience developing and maintaining analytics and dashboards to support client decision\-making.
* Must have experience with consumer research and retail analytics.
* Demonstrates successful outcomes with quantifiable metrics.
* Incorporate success in integrating AI\-driven solutions into analytics projects (strongly desired).
**Eligibility Requirements:**
 US Citizenship required.
*Location:* 
 Washington, DC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$114,700—$221,100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24">
      <c r="A24" t="inlineStr">
        <is>
          <t>li-4267540849</t>
        </is>
      </c>
      <c r="B24" t="inlineStr">
        <is>
          <t>Senior Data Scientist</t>
        </is>
      </c>
      <c r="C24" t="inlineStr">
        <is>
          <t>Grindr</t>
        </is>
      </c>
      <c r="D24" t="inlineStr">
        <is>
          <t>linkedin</t>
        </is>
      </c>
      <c r="E24" t="inlineStr"/>
      <c r="F24" t="inlineStr"/>
      <c r="G24" t="inlineStr">
        <is>
          <t>Palo Alto, CA</t>
        </is>
      </c>
      <c r="H24" t="inlineStr"/>
      <c r="I24" t="inlineStr">
        <is>
          <t>This is a
 *hybrid* 
 role based in our Bay Area or Chicago offices and will require you to be in office Tuesdays and Thursdays.
**What’s so interesting about this role?**
 Grindr (NYSE: GRND) is the largest LGBTQ\+ Social App in the world, used by over 14M\+ monthly users in nearly every country in the world. We are a fundamental part of the global LGBTQ\+ community and are a pillar in gay culture.
 As a Senior Data Scientist at Grindr, you’ll partner closely with product managers, designers, and engineers to define meaningful metrics, design and analyze experiments, and uncover insights that inform product development. You'll contribute to data products and experimentation, and help shape how we use data to improve the user experience. This role is ideal for someone who is technically strong, curious, and eager to deepen their product thinking and analytical leadership.
 You’ll be a valued member of Grindr’s centralized Data organization, which brings together data scientists, data engineers, and ML/AI engineers into a collaborative team. You’ll have the opportunity to grow your impact while learning from peers across disciplines.
**What’s the job?**
* Define and track key product metrics in collaboration with cross\-functional partners
* Design, run, and analyze A/B tests to evaluate the impact of new features
* Perform data deep dives to explain trends and uncover actionable insights
* Communicate findings clearly to stakeholders and influence product decisions
* Build dashboards and tools to help teams monitor metrics and make data\-informed decisions
* Contribute to the development of best practices within the Data Science team
* Explore and prototype ML applications to improve product quality (e.g., recommendations, spam detection)
**What We’ll Love About You**
* BS or higher in Computer Science, Statistics, Mathematics, Physics, a related quantitative field, or equivalent experience
* 4\+ years of industry data science experience
* Strong communication skills and comfort working with cross\-functional partners
* Proficiency in Python for data analysis (e.g., pandas, Jupyter)
* Strong SQL skills and experience working with large\-scale data
* Solid foundation in statistics and experimental design
* Familiarity with BI tools like Looker, Tableau, or PowerBI
* Some exposure to big data tools like Spark is a plus
**We'll Really Swoon If You Have**
* Exposure to machine learning, especially practical tradeoffs in product settings
* Experience with experimentation platforms like Statsig
* Clear communication style and interest in mentoring peers or sharing best practices
**What You'll Love About Us**
* Mission and Impact: Grindr is building the global gayborhood in your pocket. Your role will impact the lives of millions of LGBTQ\+ people around the world. Through our success, we are making a world where the lives of our community are free, equal, and just.
* Family Insurance: Insurance premium coverage for health, dental, and vision for you and partial coverage for your dependents.
* Retirement Savings: Generous 401K plan with 6% match and immediate vest in the U.S.
* Compensation: Industry\-competitive compensation and eligibility for company bonus and equity programs.
* Queer\-Inclusive Benefits: Industry\-leading gender\-affirming offerings with up to 90% cost coverage, access to Included Health, monthly stipends for HRT, and more.
* Additional Benefits: Flexible vacation policy, monthly stipends for cell phone, internet, wellness, food, and commuting, breakfast/lunch provided onsite, and yearly travel \&amp; leisure stipend.
**About Grindr**
 Grindr is building the global gayborhood in your pocket. With more than 13\.5 million monthly active users, Grindr has become a fundamental part of the LGBTQ\+ community and is charting a path to make the world more free, equal, and just. Since 2015, Grindr for Equality has advanced safety, health, and human rights for millions of Grindr users and the global LGBTQ\+ community in partnership with more than 100 community organizations in every region of the world.
 Our next evolution is underway as a public company that continues to grow and build meaningful experiences for our users. From social issues to product innovations, we're setting audacious goals for our community and the business, and leveraging the latest tech stacks and a culture of engineering excellence to make it happen. At the heart of our work in this new chapter is a shared set of operating principles centered around cultivating curiosity, thinking big, setting and expediting our ambitious goals, and growing through iteration; all while keeping our users \#1\.
 Grindr is headquartered in West Hollywood, California, with offices in the Bay Area, Chicago, and New York. With a track record of strong financial performance and plans for continued headcount growth, we’re building a team of talented, passionate, and open\-minded people who want to disrupt the dating app space, innovate products, and advance LGBTQ\+ culture. Come be a part of this exciting journey with us.
***Grindr is an equal\-opportunity employer***
*To learn more about how we handle the personal data of applicants, visit our* 
*Employee and Candidate Privacy Policy* 
*.*</t>
        </is>
      </c>
    </row>
    <row r="25">
      <c r="A25" t="inlineStr">
        <is>
          <t>li-4333522884</t>
        </is>
      </c>
      <c r="B25" t="inlineStr">
        <is>
          <t>Principal Data Scientist</t>
        </is>
      </c>
      <c r="C25" t="inlineStr">
        <is>
          <t>Humana</t>
        </is>
      </c>
      <c r="D25" t="inlineStr">
        <is>
          <t>linkedin</t>
        </is>
      </c>
      <c r="E25" t="inlineStr"/>
      <c r="F25" t="inlineStr"/>
      <c r="G25" t="inlineStr"/>
      <c r="H25" t="inlineStr"/>
      <c r="I25" t="inlineStr">
        <is>
          <t>**Become a part of our caring community and help us put health first**
 The Enterprise AI organization at Humana is a pioneering force, driving AI innovation across our Insurance and CenterWell business segments. By collaborating with world\-leading experts, we are at the forefront of delivering cutting\-edge AI technologies for improving care quality and experience of millions of consumers. We are actively seeking top talent to develop robust and reusable AI modules and pipelines, ensuring adherence to best practices in accountable AI for effective risk management and measurement. Join us in shaping the future of healthcare through AI excellence.
 We are seeking a Principal Data Scientist to guide the strategic decisions and the development of reliable, interpretable, and steerable AI systems. Our goal is to create safe AI solutions that will revolutionize and improve healthcare experience and outcomes for our customers. Join our rapidly expanding team of dedicated data scientists, engineers, policy experts, and business leaders as we work together to build impactful and beneficial AI systems.
**Key Responsibilities**
* AI Innovation \&amp; Responsible Generative AI Design AI solutions using Python, computer vision, and generative models like LLMs and diffusion models. Ensure responsible development aligned with Humana’s ethical standards, focusing on transparency, safety, and real\-world impact.
* Agentic AI System Design Build autonomous AI agents using frameworks (i.e. LangChain, LangGraph, AutoGen, CrewAI) to support reasoning and decision\-making in healthcare.
* Enterprise Integration \&amp; Business Collaboration Embed AI into Humana’s systems and workflows. Partner with business teams to understand challenges, co\-create solutions, and communicate AI capabilities clearly—especially around generative AI. Design for scalability, reliability, and compliance.
* MLOps \&amp; DevOps Collaboration Work with engineering and product teams to implement best practices for deploying and maintaining AI models in production.
* Possesses extensive experience in applying advanced machine learning, NLP, Generative AI techniques, etc. to business problems and delivering end\-to\-end enterprise grade solutions.
* Develops, maintains, and collects structured and unstructured data sets for analysis and reporting.
* Creates reports, projections, models, and presentations to support business strategy and tactics.
* Works with senior executives to develop and drive segment or enterprise\-wide functional strategies.
* Advises one or more areas, programs or functions and provides recommendations to senior executives on matters of significance, and as an advanced subject matter expert competent to work at very high levels in multiple knowledge and functional areas across the enterprise.
**Required Qualifications**
**Use your skills to make an impact**
* Educational Background: Master’s degree or Ph.D. in Data Science, Computer Science, Artificial Intelligence, or a related field.
* Experience: Minimum of 10 years of relevant experience in data science. 5\+ years specifically focused on AI and NLP applications.
* Technical Skills: Proficiency in programming languages such as Python or R, with extensive experience in NLP libraries (e.g., NLTK, spaCy, Hugging Face Transformers) and frameworks like TensorFlow or PyTorch for model development.
* Analytical Expertise: Demonstrated ability to process and analyze large textual datasets, extracting meaningful insights, building predictive models, using generative AI techniques.
* Communication Skills: Exceptional verbal and written communication skills, with a proven ability to articulate complex concepts in a clear and concise manner to diverse audiences, including non\-technical stakeholders.
* Problem\-Solving Skills: Strong analytical and critical thinking abilities, with a track record of delivering data\-driven solutions in a fast\-paced environment.
**Preferred Qualifications**
* Industry Knowledge: Familiarity with the healthcare sector, specifically Medicare Advantage, and an understanding of regulatory frameworks and market dynamics.
* Advanced Technical Skills: Experience with cloud\-based AI solutions (e.g., AWS, Azure) and familiarity with data visualization tools such as Tableau or Power BI for presenting findings.
* Leadership Experience: Proven experience in a leadership capacity, mentoring junior data scientists and managing cross\-functional projects that leverage generative AI and NLP.
* Research Contributions: Publications in reputable journals or conferences related to AI, NLP, or machine learning, demonstrating thought leadership in the field.
* Certifications: Relevant certifications in machine learning or NLP, such as those offered by recognized institutions or organizations (e.g., TensorFlow Developer Certificate, NLP Specialization by deeplearning.ai).
* 3 \- 5 years project and/or people leadership experience
**Additional Information**
**Location/Work Style:** 
 Remote US
**Why Humana?**
 At Humana, We Know Your Well\-being Is Important To You, And It’s Important To Us Too. That’s Why We’re Committed To Making Resources Available To You That Will Enable You To Become Happier, Healthier, And More Productive In All Areas Of Your Life. Just To Name a Few
* Work\-Life Balance
* Generous PTO package
* Health benefits effective day 1
* Annual Incentive Plan
* 401K \- Excellent company match
* Well\-being program
* Paid Volunteer Time Off
 If you share our passion for helping people, we likely have the right place for you at Humana.
**Work at Home Guidance**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$172,200 \- $236,900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01\-15\-2026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26">
      <c r="A26" t="inlineStr">
        <is>
          <t>li-4320193031</t>
        </is>
      </c>
      <c r="B26" t="inlineStr">
        <is>
          <t>Senior AI Engineer - Applied Scientist</t>
        </is>
      </c>
      <c r="C26" t="inlineStr">
        <is>
          <t>Forterra</t>
        </is>
      </c>
      <c r="D26" t="inlineStr">
        <is>
          <t>linkedin</t>
        </is>
      </c>
      <c r="E26" t="inlineStr"/>
      <c r="F26" t="inlineStr"/>
      <c r="G26" t="inlineStr">
        <is>
          <t>East Palo Alto, CA</t>
        </is>
      </c>
      <c r="H26" t="inlineStr"/>
      <c r="I26" t="inlineStr">
        <is>
          <t>**About Forterra**
 Forterra is a leading provider of autonomous systems for ground\-based movement in the working world. Amongst some of the earliest innovators in the field of driverless technology, Forterra is focused on building systems that protect front\-line soldiers and enable civilian workers in our industrial base. Forterra is the go\-to provider of ground autonomy solutions for the U.S. Department of Defense, which harnesses the technology for asymmetric warfare in critical conditions.
**About The Role**
 We are seeking a Senior/Staff AI Engineer with deep expertise in generative modeling and multimodal AI systems. In this role, you will design and implement advanced models for understanding complex agent interactions in dynamic environments. You'll work on extending these capabilities toward vision\-language models and action\-aware systems, collaborating closely with research and engineering teams to bridge foundational representation learning with real\-world applications.
**What You'll Do**
* Develop neural network architectures for modeling sequential agent interactions using generative modeling approaches
* Implement Transformer\-based models that encode agent and contextual features with attention mechanisms for capturing interactions
* Research and integrate goal\-conditioned models that leverage structured representations before generating complete sequences
* Prototype and optimize learning models into lightweight modules suitable for real\-time inference
* Collaborate with cross\-functional teams to ensure seamless integration of models into the broader AI stack
* Benchmark and visualize model performance using real\-world and simulated datasets
* Optimize models for low\-latency inference and interpretability of output distributions
**Minimum Qualifications**
* Deep understanding of probabilistic generative models for sequential forecasting tasks
* Strong experience with Transformers and graph\-based modeling for complex relational data
* Familiarity with multimodal sensor processing and representation learning
* Proven ability to work with uncertainty quantification and latent variable inference
* Experience implementing models in PyTorch/TensorFlow and deploying them in production environments
* M.S. or Ph.D. in Computer Science, Machine Learning, Robotics, or related field
* 3\+ years of experience with sequential modeling, generative architectures, or forecasting systems
* Strong foundation in applied deep learning, especially variational inference and attention mechanisms
* Solid software engineering background with emphasis on clean, modular, and optimized implementations
**Preferred Qualifications**
* Publications or project experience in forecasting, agent modeling, or scene understanding
* Familiarity with graph\-based or vectorized representations of structured environments
* Experience with diffusion model optimization or goal\-conditioned decoding
* Contributions to open\-source frameworks related to generative modeling or sequential forecasting
* Interest in bridging high\-fidelity modeling with real\-time applications
 US Salary Range
 $145,000—$185,000
**Benefits**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****CLEARANCE ELIGIBILITY \- This position may require eligibility to obtain and maintain a U.S. security clearance.****
 For more information about U.S. Security Clearances: click here.
 Forterra is an equal\-opportunity employer, providing and promoting equal employment opportunity in all personnel practices. Forterrans are unique, talented individuals who are united through a shared passion to deliver autonomous systems that enable national resilience and a robust supply chain.
 All qualified applicants will receive consideration for employment without regard to any factor, including veteran and disability status, and criminal history, in accordance with applicable local, state, and federal laws.
 Forterra is also committed to working with and providing reasonable accommodations to individuals with disabilities. Please let your recruiter know if you need an accommodation at any point during the interview process.
 To see Forterra’s candidate data privacy policy, please visit Forterra Legal \| Job Applicant Privacy Notice.
**The Pay Range For This Role Is**
 145,000 \- 185,000 USD per year (Palo Alto Office)</t>
        </is>
      </c>
    </row>
    <row r="27">
      <c r="A27" t="inlineStr">
        <is>
          <t>li-4330236378</t>
        </is>
      </c>
      <c r="B27" t="inlineStr">
        <is>
          <t>Data Scientist</t>
        </is>
      </c>
      <c r="C27" t="inlineStr">
        <is>
          <t>Jobs via Dice</t>
        </is>
      </c>
      <c r="D27" t="inlineStr">
        <is>
          <t>linkedin</t>
        </is>
      </c>
      <c r="E27" t="inlineStr"/>
      <c r="F27" t="inlineStr"/>
      <c r="G27" t="inlineStr">
        <is>
          <t>San Francisco, CA</t>
        </is>
      </c>
      <c r="H27" t="inlineStr"/>
      <c r="I27" t="inlineStr">
        <is>
          <t>Dice is the leading career destination for tech experts at every stage of their careers. Our client, Aroha Technologies, is seeking the following. Apply via Dice today!
 Location: Bay Area, CA (Onsite/Hybrid)
**Data Scientist**
 The preference is for candidates with prior experience in the
 **music industry** 
 , as this would bring relevant domain insights. However, in case such profiles are limited, we can also consider candidates with strong backgrounds in
 **general marketing analytics** 
 and
 **e\-commerce data science** 
 , as these skill sets are equally valuable and transferable to the role.</t>
        </is>
      </c>
    </row>
    <row r="28">
      <c r="A28" t="inlineStr">
        <is>
          <t>li-4290784023</t>
        </is>
      </c>
      <c r="B28" t="inlineStr">
        <is>
          <t>Senior Applied Scientist - Oracle Health</t>
        </is>
      </c>
      <c r="C28" t="inlineStr">
        <is>
          <t>Oracle</t>
        </is>
      </c>
      <c r="D28" t="inlineStr">
        <is>
          <t>linkedin</t>
        </is>
      </c>
      <c r="E28" t="inlineStr"/>
      <c r="F28" t="inlineStr"/>
      <c r="G28" t="inlineStr">
        <is>
          <t>Kansas City, MO</t>
        </is>
      </c>
      <c r="H28" t="inlineStr"/>
      <c r="I28" t="inlineStr">
        <is>
          <t>**Job Description**
 Building off our Cloud momentum, Oracle has formed a new organization \- Oracle Health \&amp; AI.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Senior Applied Scientist, you will play a key role in shaping the future of AI at Oracle, with an emphasis on Large Language Models (LLMs) and Generative AI. Your contributions will be pivotal in delivering our new Generative AI\-powered solutions for healthcare and enterprise customers.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 Identify and mitigate risks in our plans and executions, especially at the intersection of business and engineering.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 Experienced leading senior scientists and early\-career scientists.
**Preferred Qualifications**
* Knowledge of healthcare and experience delivering healthcare AI models are a significant plus.
* Familiarity and experience with the latest advancements in computer vision and multimodal modeling is a plus.
**Education**
* PhD Computer Science, Mathematics, Statistics, Physics, Linguistics or a related field with a dissertation, thesis or final project centered in Machine Learning and Deep Learning) with 3\+ years relevant experience is preferred but not a must; OR
* Masters or Bachelor’s in related field with 5\+ years relevant experience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
 Career Level \- IC3
**Responsibilities**
 Identify data science use cases and design scalable solutions that can be built as a feature of the product/service. Contributes to writing production model code. Work with Software Engineering teams to deploy them in production. Set up environment needed to run experiments for all projects. Set up distributed environments. Design and implement algorithms, train models, and deploy both to production to validate premises and achieve goals. Design and execute offline/online experiments and model performance testing. Work with large, complex data sets. Solve difficult, non\-routine analysis problems, applying advanced analytical methods as needed. Address business/customer problems and questions using statistical and machine learning techniques to achieve business goals and KPI's. Come up with innovative solutions to address tradeoffs or challenges faced by team. Stay up\-to date with research and trends regarding latest algorithms in ML or other industry/domain space. Perform research in emerging areas, which may include efficient neural network development including quantization, pruning, compression and neural architecture search, as well as novel differentiable compute primitives. May perform other duties as assigned.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9">
      <c r="A29" t="inlineStr">
        <is>
          <t>li-4338612570</t>
        </is>
      </c>
      <c r="B29" t="inlineStr">
        <is>
          <t>Sr. Data Scientist</t>
        </is>
      </c>
      <c r="C29" t="inlineStr">
        <is>
          <t>DPR Construction</t>
        </is>
      </c>
      <c r="D29" t="inlineStr">
        <is>
          <t>linkedin</t>
        </is>
      </c>
      <c r="E29" t="inlineStr"/>
      <c r="F29" t="inlineStr"/>
      <c r="G29" t="inlineStr">
        <is>
          <t>Richmond, VA</t>
        </is>
      </c>
      <c r="H29" t="inlineStr"/>
      <c r="I29" t="inlineStr">
        <is>
          <t>**Job Description**
 DPR Construction is seeking a skilled Senior Data Scientist to help advance our data\-driven approach to building. In this role, you’ll use statistical analysis, machine learning, and data visualization to turn complex construction and business data into actionable insights that improve project planning, cost forecasting, resource management, and safety. Working with project and operations teams, you’ll build and deploy scalable, secure data solutions on cloud platforms like Azure and AWS, driving innovation and operational excellence across DPR’s projects.
**Responsibilities**
* Data analysis and modeling: Analyze large datasets to identify trends, bottlenecks, and areas for improvement in operational performance. Build predictive and statistical models to forecast demand, capacity, and potential issues.
* Develop and deploy models: Build, test, and deploy machine learning and AI models to improve operational processes.
* Analyze operational data: Examine data related to projects, production, supply chains, inventory, and quality control to identify patterns, trends, and inefficiencies.
* Optimize processes: Use data\-driven insights to streamline workflows, allocate resources more effectively, and improve overall performance.
* Forecast and predict: Create predictive models to forecast outcomes, such as demand, and inform strategic decisions.
* Communicate findings: Present findings and recommendations to stakeholders through reports, visualizations, and presentations.
* Ensure reliability: Build and maintain reliable, scalable, and efficient data science systems and processes.
* Collaboration: Partner with project managers, engineers, and business leaders to ensure data solutions are aligned with organizational goals and deliver tangible improvements.
* Continuous Learning: Stay current with advancements in data science and machine learning to continually enhance the company's data capabilities.
* Reporting and communication: Create dashboards and reports that clearly communicate performance trends and key insights to leadership and other stakeholders. Translate complex data into actionable recommendations.
* Performance monitoring: Implement data quality checks and monitor the performance of models and automated systems, creating feedback loops for continuous improvement.
* Experimentation: Design and evaluate experiments to quantify the impact of new systems and changes on operational outcomes.
**Qualifications**
* Bachelor’s or Master’s degree in Data Science, Computer Science, Statistics, Engineering, or a related field.
* 7\+ years of experience in data science roles within AEC, product or technology organizations.
* At least 4 years of experience working with cloud platforms, specifically Azure and AWS, for model deployment and data management.
* Strong proficiency in Python or R for data analysis, modeling, and machine learning, with experience in relevant libraries (e.g., Scikit\-learn, TensorFlow, PyTorch) and NLP frameworks (e.g., GPT, Hugging Face Transformers).
* Expertise in SQL for data querying and manipulation, and experience with data visualization tools (e.g., Power BI, Tableau).
* Solid understanding of statistical methods, predictive modeling, and optimization techniques.
* Expertise in statistics and causal inference, applied in both experimentation and observational causal inference studies.
* Proven experience designing and interpreting experiments and making statistically sound recommendations.
* Strategic and impact\-driven mindset, capable of translating complex business problems into actionable frameworks.
* Ability to build relationships with diverse stakeholders and cultivate strong partnerships.
* Strong communication skills, including the ability to bridge technical and non\-technical stakeholders and collaborate across various functions to ensure business impact.
* Ability to operate effectively in a fast\-moving, ambiguous environment with limited structure.
* Experience working with construction\-related data or similar industries (e.g., engineering, manufacturing) is a plus.
**Preferred Skills**
* Familiarity with construction management software (e.g., ACC, Procore, BIM tools) and knowledge of project management methodologies.
* Hands\-on experience with Generative AI tools and libraries.
* Background in experimentation infrastructure or human\-AI interaction systems.
* Knowledge of time\-series analysis, anomaly detection, and risk modeling specific to construction environments.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30">
      <c r="A30" t="inlineStr">
        <is>
          <t>li-4338572836</t>
        </is>
      </c>
      <c r="B30" t="inlineStr">
        <is>
          <t>Sr. Data Scientist</t>
        </is>
      </c>
      <c r="C30" t="inlineStr">
        <is>
          <t>DPR Construction</t>
        </is>
      </c>
      <c r="D30" t="inlineStr">
        <is>
          <t>linkedin</t>
        </is>
      </c>
      <c r="E30" t="inlineStr"/>
      <c r="F30" t="inlineStr"/>
      <c r="G30" t="inlineStr">
        <is>
          <t>Raleigh, NC</t>
        </is>
      </c>
      <c r="H30" t="inlineStr"/>
      <c r="I30" t="inlineStr">
        <is>
          <t>**Job Description**
 DPR Construction is seeking a skilled Senior Data Scientist to help advance our data\-driven approach to building. In this role, you’ll use statistical analysis, machine learning, and data visualization to turn complex construction and business data into actionable insights that improve project planning, cost forecasting, resource management, and safety. Working with project and operations teams, you’ll build and deploy scalable, secure data solutions on cloud platforms like Azure and AWS, driving innovation and operational excellence across DPR’s projects.
**Responsibilities**
* Data analysis and modeling: Analyze large datasets to identify trends, bottlenecks, and areas for improvement in operational performance. Build predictive and statistical models to forecast demand, capacity, and potential issues.
* Develop and deploy models: Build, test, and deploy machine learning and AI models to improve operational processes.
* Analyze operational data: Examine data related to projects, production, supply chains, inventory, and quality control to identify patterns, trends, and inefficiencies.
* Optimize processes: Use data\-driven insights to streamline workflows, allocate resources more effectively, and improve overall performance.
* Forecast and predict: Create predictive models to forecast outcomes, such as demand, and inform strategic decisions.
* Communicate findings: Present findings and recommendations to stakeholders through reports, visualizations, and presentations.
* Ensure reliability: Build and maintain reliable, scalable, and efficient data science systems and processes.
* Collaboration: Partner with project managers, engineers, and business leaders to ensure data solutions are aligned with organizational goals and deliver tangible improvements.
* Continuous Learning: Stay current with advancements in data science and machine learning to continually enhance the company's data capabilities.
* Reporting and communication: Create dashboards and reports that clearly communicate performance trends and key insights to leadership and other stakeholders. Translate complex data into actionable recommendations.
* Performance monitoring: Implement data quality checks and monitor the performance of models and automated systems, creating feedback loops for continuous improvement.
* Experimentation: Design and evaluate experiments to quantify the impact of new systems and changes on operational outcomes.
**Qualifications**
* Bachelor’s or Master’s degree in Data Science, Computer Science, Statistics, Engineering, or a related field.
* 7\+ years of experience in data science roles within AEC, product or technology organizations.
* At least 4 years of experience working with cloud platforms, specifically Azure and AWS, for model deployment and data management.
* Strong proficiency in Python or R for data analysis, modeling, and machine learning, with experience in relevant libraries (e.g., Scikit\-learn, TensorFlow, PyTorch) and NLP frameworks (e.g., GPT, Hugging Face Transformers).
* Expertise in SQL for data querying and manipulation, and experience with data visualization tools (e.g., Power BI, Tableau).
* Solid understanding of statistical methods, predictive modeling, and optimization techniques.
* Expertise in statistics and causal inference, applied in both experimentation and observational causal inference studies.
* Proven experience designing and interpreting experiments and making statistically sound recommendations.
* Strategic and impact\-driven mindset, capable of translating complex business problems into actionable frameworks.
* Ability to build relationships with diverse stakeholders and cultivate strong partnerships.
* Strong communication skills, including the ability to bridge technical and non\-technical stakeholders and collaborate across various functions to ensure business impact.
* Ability to operate effectively in a fast\-moving, ambiguous environment with limited structure.
* Experience working with construction\-related data or similar industries (e.g., engineering, manufacturing) is a plus.
**Preferred Skills**
* Familiarity with construction management software (e.g., ACC, Procore, BIM tools) and knowledge of project management methodologies.
* Hands\-on experience with Generative AI tools and libraries.
* Background in experimentation infrastructure or human\-AI interaction systems.
* Knowledge of time\-series analysis, anomaly detection, and risk modeling specific to construction environments.
 DPR Construction is a forward\-thinking, self\-performing general contractor specializing in technically complex and sustainable projects for the advanced technology, life sciences, healthcare, higher education and commercial markets. Founded in 1990, DPR is a great story of entrepreneurial success as a private, employee\-owned company that has grown into a multi\-billion\-dollar family of companies with offices around the world.
 Working at DPR, you'll have the chance to try new things, explore unique paths and shape your future. Here, we build opportunity together—by harnessing our talents, enabling curiosity and pursuing our collective ambition to make the best ideas happen. We are proud to be recognized as a great place to work by our talented teammates and leading news organizations like U.S. News and World Report, Forbes, Fast Company and Newsweek.
 Explore our open opportunities at www.dpr.com/careers.</t>
        </is>
      </c>
    </row>
    <row r="31">
      <c r="A31" t="inlineStr">
        <is>
          <t>li-4310767979</t>
        </is>
      </c>
      <c r="B31" t="inlineStr">
        <is>
          <t>Senior Principal Applied Scientist</t>
        </is>
      </c>
      <c r="C31" t="inlineStr">
        <is>
          <t>Oracle</t>
        </is>
      </c>
      <c r="D31" t="inlineStr">
        <is>
          <t>linkedin</t>
        </is>
      </c>
      <c r="E31" t="inlineStr"/>
      <c r="F31" t="inlineStr"/>
      <c r="G31" t="inlineStr"/>
      <c r="H31" t="inlineStr"/>
      <c r="I31" t="inlineStr">
        <is>
          <t>**Job Description**
 The Oracle Global Business Unit (GBU) Generative AI team is responsible for leading Generative AI and Agent needs of business applications serving variety of markets including Finance, Hospitality, Construction and Engineering, Energy \&amp; Water etc. Our goal is to enable customers to apply AI to solve their business problems with Oracle's assistance and expertise in Generative AI. In this role, you will have an opportunity to work with teams of applied scientists and engineers to deliver high quality generative ai and agent features that delights our customers with the confidence that their data are safe and protected.
 Your Opportunity
 We are seeking a Senior Principal Applied Scientist to spearhead Generative AI and Agent use cases that support GBU business applications as well as GBU consulting. As an applied scientist, you will be responsible for driving the development and implementation of cutting\-edge technologies. We are building a core talented team specialized in Generative AI. We are looking for candidates who are passionate about building state\-of\-the\-art technologies to solve real\-world problems and have a solid technical background in deep learning, especially natural language processing (NLP) and multimodal models, to join this team.
 You will collaborate with a team of world\-class scientists, engineers and product managers. We’re looking for a person who will bring a passion for innovative products, strong collaboration skills and the ability to work closely with both development and consulting teams. You’ll be a Generative AI expert who is hands\-on as well as be adept at evangelizing and influencing multiple stakeholders without direct authority on best practices and to get things done efficiently. Most importantly – we believe in a people\-first approach. Our team consists of people from a wide variety of backgrounds, with different professional and life experiences, who support each other to build things the right way and enjoy ourselves while doing it. A successful candidate will bring a passion for innovative products, strong collaboration skills and the ability to work closely with both external customers and internal teams, as well as hands\-on experience as a data scientist applying AI to solve business problems.
**What We Offer**
* Being part of one of the most visionary and mission\-driven organizations in Oracle, cooperating with talented peers with diverse backgrounds worldwide.
* High visibility to senior leadership, as well as technical leaders and partners.
* Opportunity to build state\-of\-the\-art technologies in large language models and generative AI at scale.
* Close partnership with product managers and software engineers to deploy Generative AI features into products in various business\-critical scenarios.
* Building performance evaluations of Generative AI systems for continuous improvement of alignment with stakeholders' growing expectations.
**What You’ll Do**
* Develop, implement, and optimize large language models and generative AI technologies, including training/finetuning and computation optimizations.
* Collaborate with software engineers to deploy LLM / Generative AI models and Agents into production environments.
* Stay up\-to\-date with the latest advancements in the field of generative AI.
* Collaborate with cross\-functional teams to drive the development and adoption of LLM and generative AI solutions across various organizations in the company.
* Work directly with key customers and accompany them on their AI journey – understanding their requirements, help them envision and design the right solutions and work together with their engineering and data science team to remove blockers and translate the feedback into actionable items for individual service owners.
* Design and build solutions and help GBU development teams reach successful pilots, PoCs and feature releases with our AI/Gen AI and DS technologies.
* Bring back learnings from these engagements to standardize Generative AI and Agent implementations for efficiency, scale and ease of maintenance.
* Support GBU consulting with re\-usable solution patterns and reference solutions / showcases that can apply across multiple customers.
* Being enthusiastic, self\-motivated, and a great collaborator. Lead patent filings and author papers to show innovative enterprise grade developments.
* Be our product evangelist \- engage directly with customers and partners, participate and present in external events and conferences, etc.
**Responsibilities**
**Qualifications:**
* PhD, MS in computer science, engineering, mathematics or a field related to deep learning.
* Strong knowledge of ML fundamentals – supervised vs unsupervised modeling, time series, highly unbalanced and noisy data sets, complex feature engineering, recommendation systems, using and optimizing gradient boosting models, NLP, deep learning on all kinds of unstructured data.
* 5\+ (for Senior), 7\+ (for Principal), 10\+ (for Sr Principal) years of work experience including a minimum of 2\-year experience in developing large\-scale ML solutions, and in particular deep learning solutions in the NLP field.
* Proficiency with deep learning frameworks (such as PyTorch or TensorFlow) and deep learning architectures (especially Transformers).
* Hands\-on experience with distributed training of large language models.
* Strong development experience of deep learning modeling in Python.
* Familiarity with the latest advancements in LLM and generative AI technologies.
* Familiarity with engineering best practices, including shared codebase, version control, containerization, etc.
* Passionate about being a builder and working with talented peers to solve hard problems at scale.
* Good communication skills to convey technical concepts in straightforward terms with product managers and various stakeholders.
**Preferred Skills**
* Publications in top\-tier deep learning conferences or significant contributions to prominent deep learning repositories
* Industrial experience in system design, software development, and production deployment
* Excel in transforming ambiguous requirements into actionable plans with deep learning techniques for problem\-solving.
* First\-hand experience with deep reinforcement learning
* First\-hand experience with the latest technologies in LLM and generative AI such as parameter\-efficient finetuning and instruction finetuning is a plus
* Familiarity with the latest advancements in computer vision and multimodal modeling (such as CLIP, DALL\-E2, and diffusion models) is a plus
* Top\-tier performance in prestigious deep learning leaderboards or large model\-related competitions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2">
      <c r="A32" t="inlineStr">
        <is>
          <t>li-4316375879</t>
        </is>
      </c>
      <c r="B32" t="inlineStr">
        <is>
          <t>Senior Data Scientist</t>
        </is>
      </c>
      <c r="C32" t="inlineStr">
        <is>
          <t>PPLSI</t>
        </is>
      </c>
      <c r="D32" t="inlineStr">
        <is>
          <t>linkedin</t>
        </is>
      </c>
      <c r="E32" t="inlineStr"/>
      <c r="F32" t="inlineStr"/>
      <c r="G32" t="inlineStr">
        <is>
          <t>Ada, OK</t>
        </is>
      </c>
      <c r="H32" t="inlineStr"/>
      <c r="I32" t="inlineStr">
        <is>
          <t>**Job Summary**
 The Senior Data Scientist is a hybrid role at LegalShield blends data science, applied machine learning, and platform engineering to build and operationalize AI solutions that drive business impact. The position focuses equally on developing advanced predictive and generative models and on designing the scalable infrastructure required to deploy them securely and efficiently.
 As a key technical leader, you’ll work on end\-to\-end ML initiatives—from feature engineering and model experimentation to deploying production\-grade APIs and orchestration systems. This includes fine\-tuning large language models for LegalShield\-specific use cases, such as analyzing call transcripts, understanding customer sentiment, and generating personalized content. You’ll also ensure models meet high standards of accuracy, fairness, and compliance while translating insights into actionable business strategies.
 Beyond modeling, this position plays a vital role in platform enablement. You’ll build the systems that make AI usable across LegalShield, including containerized deployment pipelines, monitoring frameworks, and governance tools that meet SOC2, HIPAA, and GDPR standards. By developing both internal productivity tools and external member\-facing AI applications, you’ll help shape LegalShield’s broader AI strategy—working closely with the Director of Data Science, the CTO, and cross\-functional business leaders to embed intelligent solutions across the organization.
 In short, this role combines innovation with scalability—bridging the gap between research and production to make AI a core enabler of LegalShield’s growth and customer experience.
**Responsibilities**
 Performance Outcomes
* Modeling \&amp; Data Science
* Develop predictive and generative ML models to support acquisition, retention, personalization, and member engagement.
* Fine\-tune and adapt Large Language Models (LLMs) for LegalShield\-specific use cases, including call transcript analysis, voice\-of\-customer workflows, and content generation.
* Conduct experimentation, model evaluation, and rigorous validation to ensure accuracy, fairness, and business alignment.
* Partner with business teams to design experiments, analyze results, and translate insights into actionable strategies.
* Platform \&amp; Productionization
* Build and maintain infrastructure for deploying and scaling ML/GenAI models.
* Develop APIs, MCP servers and microservices to serve models across internal and external applications.
* Translate prototypes into production\-grade systems for business and member\-facing teams.
* Implement CI/CD pipelines, containerization, and orchestration (Docker, Kubernetes).
* Deploy and manage ML workflow orchestration, feature stores, and model registries.
* Monitor and optimize performance, drift, latency, and cloud costs.
* Ensure compliance with SOC2, HIPAA, GDPR, and other data privacy/security standards.
* AI Tooling \&amp; Applications
* Develop internal AI tools that improve productivity and deliver measurable cost savings.
* Develop external, member\-facing AI\-powered applications that create new value and enhance customer experience.
* Build reusable platforms and tools that accelerate AI/ML adoption across LegalShield.
 Education, Knowledge, and Experience
**Required**
* Advanced degree in Data Science, Statistics, Computer Science, or a related field (or equivalent practical experience).
* 7\+ years’ experience in software engineering, Machine Learning, or Applied Data Science (Python preferred; APIs, microservices, distributed systems).
* Proven ability to take AI/ML solutions from prototype to production and scale adoption across teams.
* Hands\-on experience with Large Language Models (LLMs) and retrieval\-augmented generation (RAG) pipelines, LLM Fine\-tuning and training.
* Familiarity with ML infrastructure: feature stores, model registries, or workflow orchestration tools.
* Experience with CI/CD, Docker, Kubernetes, and cloud platforms (AWS, GCP, or Azure).
* Understanding of compliance and data privacy standards, and ability to apply them in AI systems.
* Proven track record of deploying and operating ML/AI systems in production.
**Preferred**
* Deep knowledge of ML frameworks (PyTorch, TensorFlow, Hugging Face, LangChain).
* Experience building shared AI/ML platforms or internal developer tools.
* Familiarity with observability and Cataloging tools (Snowflake, Secoda, Airflow).
* Prior experience working cross\-functionally with data science, infrastructure, and product teams.
**Performance Outcomes**
* Successful development and maintenance of data systems and solutions, as described in the responsibilities above
* Successful engagement and collaboration with others:
* Work closely and effectively with teammates, which may include data engineers, software engineers, program/product managers, software test engineers, and others
* Contribute to the implementation of dynamic requirements/initiatives with teammates, cross\-team collaborators, and with business partners as appropriate
 FLSA Status
 Exempt
 Physical Requirements/ Work Environment
 The work environment characteristics and physical demands described here are representative of these an employee encounters while performing the essential functions of this job. Reasonable accommodations may be made to enable individuals with disabilities to perform the essential functions.
* Prolonged periods of sitting or standing at a desk
* Extensive periods of working on a computer
**Additional Information**
**Location:**
 Remote Job Posting
**Department**
 9310 Engineering
**Time Type**
 Full time
**Commitment to Equal Opportunity**
 PPLSI conforms to all the laws, statutes, and regulations concerning equal employment opportunities. We strongly encourage women, minorities, individuals with disabilities and veterans to apply to all of our job openings. We are an equal opportunity employer, and all qualified applicants will receive consideration for employment without regard to age, race, color, religion, sex, sexual orientation, gender identity, national origin, status as a protected veteran, and basis of disability or any other federal, state or local protected class. We prohibit retaliation against individuals who bring forth any concerns, orally or in writing, to the employer or the government, or against any individuals who assist or participate in the investigation of any concerns or otherwise oppose discrimination.
 If you require a reasonable accommodation to complete the application process, please contact Human Resources at: humanresources@legalshieldcorp.com.</t>
        </is>
      </c>
    </row>
    <row r="33">
      <c r="A33" t="inlineStr">
        <is>
          <t>li-4320242662</t>
        </is>
      </c>
      <c r="B33" t="inlineStr">
        <is>
          <t>Chief Data Scientist V – GEOINT Domain</t>
        </is>
      </c>
      <c r="C33" t="inlineStr">
        <is>
          <t>Pacific Northwest National Laboratory</t>
        </is>
      </c>
      <c r="D33" t="inlineStr">
        <is>
          <t>linkedin</t>
        </is>
      </c>
      <c r="E33" t="inlineStr"/>
      <c r="F33" t="inlineStr"/>
      <c r="G33" t="inlineStr">
        <is>
          <t>Seattle, WA</t>
        </is>
      </c>
      <c r="H33" t="inlineStr"/>
      <c r="I33"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Chief Data Scientist with deep expertise in data science and mission\-specific knowledge in the geospatial intelligence (GEOINT) domain. The selected candidate will lead large, multi\-year research and development programs within the AI and Data Analytics Division, which includes over 400 staff specializing in data science, applied mathematics, advanced analytic architectures, software engineering, and human\-centered computing.
 As a nationally recognized leader in data science, the Chief Data Scientist will set strategic vision, direct complex research programs, and operationalize data\-driven solutions to address critical national security challenges. This individual will guide technical direction, mentor interdisciplinary teams, and collaborate closely with software engineers to transition cutting\-edge research into field\-ready capabilities.
 In addition to leading research efforts, the Chief Data Scientist will serve as a key interface with sponsors and stakeholders, leveraging domain expertise to align PNNL’s research agenda with evolving mission requirements. The chosen candidate will have the unique opportunity to drive real\-world impact at mission tempo while supporting PNNL's mission to tackle grand challenges through science, technology, and innovation.
 The successful candidate will work with talented multi\-disciplinary teams on a variety of the nation’s most complex science and engineering problems, delivering advanced AI solutions into critical sponsor missions. At PNNL, we foster a collaborative, adventurous environment focused on lifelong learning and creative problem\-solving, while striving for leadership in interdisciplinary, data\-driven innovation.
**Key Responsibilities**
* Strategic Leadership: Define and execute a strategic vision for large, multi\-year GEOINT data science programs, advancing geospatial analytics and operational AI capabilities.
* Team Leadership: Lead and mentor diverse teams of data scientists and software engineers by guiding analytic methodologies, research approaches, and project implementation. This includes developing advance machine learning (ML) models, designing end\-to\-end workflows, and performing model testing and validation.
* Operational Integration: Collaborate with software engineering teams to integrate analytic capabilities into scalable, field\-ready systems.
* Program Oversight: Serve as principal investigator on highly visible programs, ensuring technical excellence, meeting research milestones, and fostering sponsor relationships.
* Development of New Opportunities: Identify and lead proposal efforts to shape future investments in GEOINT analytics and AI research.
* Technical Representation: Represent PNNL leadership in GEOINT research via publishing, presenting in high\-impact venues, and participating in national technical exchanges.
* Collaboration: Establish and foster partnerships across PNNL, other DOE national laboratories, academia, and industry to accelerate innovation and deliver mission\-aligned solutions.
* Sponsor Engagement: Engage directly with government sponsors, ensuring research outcomes meet operational objectives and requirements.
* Mentorship: Mentor and develop future technical leaders, helping to build a world\-class GEOINT data science workforce.
**Mission\-Specific Responsibilities**
* Sponsor Engagement: Serve as the primary interface with sponsors and develop a deep understanding of their mission priorities.
* Operational Awareness: Gain insight into sponsors’ operational environments and technical requirements to enable effective deployment of new capabilities.
* Strategy Development: Support the ideation and execution of strategic initiatives by identifying key stakeholders and outlining actionable plans.
* Role of PNNL: Effectively communicate and leverage PNNL’s role in the larger mission landscape, addressing technical solutions, relevant use cases, and critical challenges.
**This position is based in either Richland, WA or Seattle, WA and requires an onsite presence.**
**Qualifications**
 Minimum Qualifications:
* BS/BA and 9\+ years of relevant work experience \-OR\-
* MS/MA and 7\+ years of relevant work experience \-OR\-
* PhD with 5\+ year of relevant experience
**Preferred Qualifications**
* Advanced degree in computing, engineering, geospatial sciences, or related discipline.
* Nationally recognized expertise in GEOINT, geospatial analytics, or operational AI.
* Advanced ML Model Development: Experience designing, implementing, and training state\-of\-the\-art object detection and image classification models (including foundation models) for overhead imagery, with expertise in synthetic data generation, data augmentation, knowledge distillation, and continuous learning approaches. Expertise in multi\-modal data fusion is highly desired.
* End\-to\-End Workflow Design: Proven ability to develop and deploy complete machine learning pipelines that rapidly process and exploit large\-scale overhead imagery datasets, including experience with the full image processing chain and handling large structured/unstructured datasets.
* Model Testing \&amp; Validation: Experience with comprehensive test and evaluation (T\&amp;E) and verification and validation (V\&amp;V) methodologies for ML models, including defining testing protocols and iteratively refining models based on performance feedback.
* Overhead Intelligence Domain Knowledge: Familiarity with overhead collection platforms and their technical characteristics as they relate to imagery analysis and processing workflows.
* Strong record of securing external funding, managing research portfolios, and initiating new R\&amp;D programs.
* Demonstrated ability to collaborate effectively with software engineering teams to deliver operational solutions.
* Experience working effectively with funding sponsors such as DOE, NNSA, DoD, or DHS, with the ability to influence strategic investments.
* Exceptional communication and leadership skills, with the ability to represent PNNL at national and international levels in government, industry, and academia.
* Active security clearance (or the ability to obtain and maintain one).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"Referral Eligible”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$194,900\.00/Yr.
**Maximum Salary**
 USD $329,000\.00/Yr.</t>
        </is>
      </c>
    </row>
    <row r="34">
      <c r="A34" t="inlineStr">
        <is>
          <t>li-4351205114</t>
        </is>
      </c>
      <c r="B34" t="inlineStr">
        <is>
          <t>Staff Data Scientist, AMER</t>
        </is>
      </c>
      <c r="C34" t="inlineStr">
        <is>
          <t>Airwallex</t>
        </is>
      </c>
      <c r="D34" t="inlineStr">
        <is>
          <t>linkedin</t>
        </is>
      </c>
      <c r="E34" t="inlineStr"/>
      <c r="F34" t="inlineStr"/>
      <c r="G34" t="inlineStr">
        <is>
          <t>San Francisco, CA</t>
        </is>
      </c>
      <c r="H34" t="inlineStr"/>
      <c r="I34"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The Team**
 The Strategic Data Science team provides Airwallex’s Leadership with the data, tooling, and insights needed to amplify Airwallex’s rapid growth. We partner across the entire business, giving us an overarching view and opinion on what Airwallex should prioritize. Our expertise spans the full data stack, and we use it to tackle complex data problems that will shape the future of global fintech. The team is growing quickly, and currently based in the US, China, and Singapore.
**Learn more about the data science team in** 
**this blog**
**Responsibilities**
**What you’ll do**
* Be the go\-to data partner for the Head of AMER
* Use causal inference methods to understand how macroeconomic events impact the business.
* Leverage AI to generate insights and improve business and team efficiency.
* Lead Airwallex’s forecasting efforts by 1\) building tools that aggregate and evaluate forecasts 2\) applying advanced statistical methods to build your own forecasts.
* Scope and build data products. In some cases building MVPs, and in others, fully fleshed out solutions.
* Mentor junior team members and cultivate an environment grounded in technical excellence, clear communication, and proactive critical thinking.
**Who You Are**
 We're looking for people who meet the minimum qualifications for this role. The preferred qualifications are great to have, but are not mandatory.
**Minimum Qualifications**
* 7\+ years industry experience and an advanced degree (PhD or MS) in a quantitative field (e.g. Statistics, Engineering, Sciences, Computer Science, Economics)
* Excellent communication skills, ideally with a proven track record of working directly with executive\-level stakeholders to influence strategy.
* Expertise in causal inference methods and forecasting.
* Expertise in data querying languages (e.g. SQL) and scripting languages (e.g. Python, R).
* Experience with data architecture technologies such as Airflow, Databricks, and dbt.
**Preferred Qualifications**
* Experience in technology, financial services and/or a high growth environment.
* Experience with Excel and Finance systems (e.g. Oracle).
**Applicant Safety Policy: Fraud and Third\-Party Recruiters**
*To protect you from recruitment scams, please be aware that Airwallex will not ask for bank details, sensitive ID numbers (i.e. passport), or any form of payment during the application or interview process. All official communication will come from an @* 
*airwallex.com* 
*email address. Please apply only through* 
*careers.airwallex.com* 
*or our official LinkedIn page.*
*Airwallex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
**Equal opportunity**
 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Compensation Range: $250K \- $299K</t>
        </is>
      </c>
    </row>
    <row r="35">
      <c r="A35" t="inlineStr">
        <is>
          <t>li-4320122955</t>
        </is>
      </c>
      <c r="B35" t="inlineStr">
        <is>
          <t>Chief Data Scientist V – GEOINT Domain</t>
        </is>
      </c>
      <c r="C35" t="inlineStr">
        <is>
          <t>Pacific Northwest National Laboratory</t>
        </is>
      </c>
      <c r="D35" t="inlineStr">
        <is>
          <t>linkedin</t>
        </is>
      </c>
      <c r="E35" t="inlineStr"/>
      <c r="F35" t="inlineStr"/>
      <c r="G35" t="inlineStr">
        <is>
          <t>Richland, WA</t>
        </is>
      </c>
      <c r="H35" t="inlineStr"/>
      <c r="I35" t="inlineStr">
        <is>
          <t>**Overview**
 At PNNL, our core capabilities are divided among major departments that we refer to as Directorates within the Lab, focused on a specific area of scientific research or other function, with its own leadership team and dedicated budget.
 Our Science \&amp; Technology directorates include National Security, Earth and Biological Sciences, Physical and Computational Sciences, and Energy and Environment. In addition, we have an Environmental Molecular Sciences Laboratory, a Department of Energy, Office of Science user facility housed on the PNNL campus.
 The National Security Directorate (NSD) drives science\-based, mission\-focused solutions to take on complex, real\-world threats to our nation and the world.
 The AI and Data Analytics Division, part of NSD, combines profound domain expertise and creative integration of advanced hardware and software to deliver computational solutions that address complex data and analytic challenges. Working in multidisciplinary teams, we connect foundational research to engineering to operations, providing the tools to innovate quickly and field results faster. Our strengths are integrated across the data analytics lifecycle, from data acquisition and management to analysis and decision support.
**Responsibilities**
 PNNL is seeking a Chief Data Scientist with deep expertise in data science and mission\-specific knowledge in the geospatial intelligence (GEOINT) domain. The selected candidate will lead large, multi\-year research and development programs within the AI and Data Analytics Division, which includes over 400 staff specializing in data science, applied mathematics, advanced analytic architectures, software engineering, and human\-centered computing.
 As a nationally recognized leader in data science, the Chief Data Scientist will set strategic vision, direct complex research programs, and operationalize data\-driven solutions to address critical national security challenges. This individual will guide technical direction, mentor interdisciplinary teams, and collaborate closely with software engineers to transition cutting\-edge research into field\-ready capabilities.
 In addition to leading research efforts, the Chief Data Scientist will serve as a key interface with sponsors and stakeholders, leveraging domain expertise to align PNNL’s research agenda with evolving mission requirements. The chosen candidate will have the unique opportunity to drive real\-world impact at mission tempo while supporting PNNL's mission to tackle grand challenges through science, technology, and innovation.
 The successful candidate will work with talented multi\-disciplinary teams on a variety of the nation’s most complex science and engineering problems, delivering advanced AI solutions into critical sponsor missions. At PNNL, we foster a collaborative, adventurous environment focused on lifelong learning and creative problem\-solving, while striving for leadership in interdisciplinary, data\-driven innovation.
**Key Responsibilities**
* Strategic Leadership: Define and execute a strategic vision for large, multi\-year GEOINT data science programs, advancing geospatial analytics and operational AI capabilities.
* Team Leadership: Lead and mentor diverse teams of data scientists and software engineers by guiding analytic methodologies, research approaches, and project implementation. This includes developing advance machine learning (ML) models, designing end\-to\-end workflows, and performing model testing and validation.
* Operational Integration: Collaborate with software engineering teams to integrate analytic capabilities into scalable, field\-ready systems.
* Program Oversight: Serve as principal investigator on highly visible programs, ensuring technical excellence, meeting research milestones, and fostering sponsor relationships.
* Development of New Opportunities: Identify and lead proposal efforts to shape future investments in GEOINT analytics and AI research.
* Technical Representation: Represent PNNL leadership in GEOINT research via publishing, presenting in high\-impact venues, and participating in national technical exchanges.
* Collaboration: Establish and foster partnerships across PNNL, other DOE national laboratories, academia, and industry to accelerate innovation and deliver mission\-aligned solutions.
* Sponsor Engagement: Engage directly with government sponsors, ensuring research outcomes meet operational objectives and requirements.
* Mentorship: Mentor and develop future technical leaders, helping to build a world\-class GEOINT data science workforce.
**Mission\-Specific Responsibilities**
* Sponsor Engagement: Serve as the primary interface with sponsors and develop a deep understanding of their mission priorities.
* Operational Awareness: Gain insight into sponsors’ operational environments and technical requirements to enable effective deployment of new capabilities.
* Strategy Development: Support the ideation and execution of strategic initiatives by identifying key stakeholders and outlining actionable plans.
* Role of PNNL: Effectively communicate and leverage PNNL’s role in the larger mission landscape, addressing technical solutions, relevant use cases, and critical challenges.
**This position is based in either Richland, WA or Seattle, WA and requires an onsite presence.**
**Qualifications**
 Minimum Qualifications:
* BS/BA and 9\+ years of relevant work experience \-OR\-
* MS/MA and 7\+ years of relevant work experience \-OR\-
* PhD with 5\+ year of relevant experience
**Preferred Qualifications**
* Advanced degree in computing, engineering, geospatial sciences, or related discipline.
* Nationally recognized expertise in GEOINT, geospatial analytics, or operational AI.
* Advanced ML Model Development: Experience designing, implementing, and training state\-of\-the\-art object detection and image classification models (including foundation models) for overhead imagery, with expertise in synthetic data generation, data augmentation, knowledge distillation, and continuous learning approaches. Expertise in multi\-modal data fusion is highly desired.
* End\-to\-End Workflow Design: Proven ability to develop and deploy complete machine learning pipelines that rapidly process and exploit large\-scale overhead imagery datasets, including experience with the full image processing chain and handling large structured/unstructured datasets.
* Model Testing \&amp; Validation: Experience with comprehensive test and evaluation (T\&amp;E) and verification and validation (V\&amp;V) methodologies for ML models, including defining testing protocols and iteratively refining models based on performance feedback.
* Overhead Intelligence Domain Knowledge: Familiarity with overhead collection platforms and their technical characteristics as they relate to imagery analysis and processing workflows.
* Strong record of securing external funding, managing research portfolios, and initiating new R\&amp;D programs.
* Demonstrated ability to collaborate effectively with software engineering teams to deliver operational solutions.
* Experience working effectively with funding sponsors such as DOE, NNSA, DoD, or DHS, with the ability to influence strategic investments.
* Exceptional communication and leadership skills, with the ability to represent PNNL at national and international levels in government, industry, and academia.
* Active security clearance (or the ability to obtain and maintain one).
**Hazardous Working Conditions/Environment**
 Not applicable.
**Additional Information**
 This position requires the ability to obtain and maintain a federal security clearance.
 A security clearance background investigation includes review of your employment, education, financial, and criminal history, as well as interviews with you and your personal references, neighbors, and co\-workers to determine trustworthiness, reliability, and loyalty to the United States. The investigation also examines your foreign connections, drug and alcohol use, foreign influence, and overall conduct.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applicant selected for hire is subject to pre\-employment drug testing, and post\-employment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if non\-use of illegal drugs, including marijuana, for 12 months cannot be demonstrated.
 "Referral Eligible”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and flexible work schedules. PNNL is located in eastern Washington State—the dry side of Washington known for its stellar outdoor recreation and affordable cost of living. The Lab’s campus is only a 45\-minute flight (or \~3 hour drive) from Seattle or Portland, and is serviced by the convenient PSC airport, connected to 8 major hubs.
**Commitment to Excellence and Equal Employment Opportunity**
 Our laboratory is committed to fostering a work environment where all individuals are treated with fairness and respect while solving critical challenges in fundamental sciences, national security, and energy resiliency. We are an Equal Employment Opportunity employer.
 Pacific Northwest National Laboratory (PNNL) is an Equal Opportunity Employer. PNNL considers all applicants for employment without regard to race, religion, color, sex,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**Security, Credentialing, And Eligibility Requirements**
 As a national laboratory, PNNL is responsible for adhering to the Homeland Security Presidential Directive 12 (HSPD\-12\) and Department of Energy (DOE) Order 473\.1A, which require new employees to obtain and maintain a HSPD\-12 Personal Identify Verification (PIV) Credential. To obtain this credential, new employees must successfully complete the applicable tier of federal background investigation post hire and receive a favorable federal adjudication. The tier of federal background investigation will be determined by job duties and national security or public trust responsibilities associated with the job. All tiers of investigation include a declaration of illegal drug activities, including use, supply, possession, or manufacture within the last 1 to 7 years (depending on the applicable tier of investigation). Illegal drug activities include marijuana and cannabis derivatives, which are still considered illegal under federal law, regardless of state laws.
**For Foreign National Candidates**
 If you have not resided in the U.S. for three consecutive years, you are not eligible for the PIV credential and instead will need to obtain a favorable Local Site Specific Only (LSSO) Federal risk determination to maintain employment. Once you meet the three\-year residency requirement thereafter, you will be required to obtain a PIV credential to maintain employment. The tier of federal background investigation required to obtain the PIV credential will be determined by job duties at the time you become eligible for the PIV credential.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robust telehealth care options, several mental health benefits, free wellness coaching, health savings account, flexible spending accounts, basic life insurance, disability insurance\*, employee assistance program, business travel insurance, tuition assistance, relocation, backup childcare, legal benefits, supplemental parental bonding leave, surrogacy and adoption assistance, and fertility support. Employees are automatically enrolled in our company\-funded pension plan\* and may enroll in our 401 (k) savings plan with company match\*. Employees may accrue up to 120 vacation hours per year and may receive ten paid holidays per year.
* Research Associates excluded.
* All benefits are dependent upon eligibility.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$194,900\.00/Yr.
**Maximum Salary**
 USD $329,000\.00/Yr.</t>
        </is>
      </c>
    </row>
    <row r="36">
      <c r="A36" t="inlineStr">
        <is>
          <t>li-4313454772</t>
        </is>
      </c>
      <c r="B36" t="inlineStr">
        <is>
          <t>Senior Applied Scientist, Generative AI Innovation Center</t>
        </is>
      </c>
      <c r="C36" t="inlineStr">
        <is>
          <t>Amazon Web Services (AWS)</t>
        </is>
      </c>
      <c r="D36" t="inlineStr">
        <is>
          <t>linkedin</t>
        </is>
      </c>
      <c r="E36" t="inlineStr"/>
      <c r="F36" t="inlineStr"/>
      <c r="G36" t="inlineStr">
        <is>
          <t>New York, United States</t>
        </is>
      </c>
      <c r="H36" t="inlineStr"/>
      <c r="I36"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37">
      <c r="A37" t="inlineStr">
        <is>
          <t>li-4354328805</t>
        </is>
      </c>
      <c r="B37" t="inlineStr">
        <is>
          <t>Data Scientist, Sr.</t>
        </is>
      </c>
      <c r="C37" t="inlineStr">
        <is>
          <t>Airbnb</t>
        </is>
      </c>
      <c r="D37" t="inlineStr">
        <is>
          <t>linkedin</t>
        </is>
      </c>
      <c r="E37" t="inlineStr"/>
      <c r="F37" t="inlineStr"/>
      <c r="G37" t="inlineStr"/>
      <c r="H37" t="inlineStr"/>
      <c r="I37" t="inlineStr">
        <is>
          <t>**About The Company**
 Airbnb was founded in 2007 when two hosts welcomed three guests to their San Francisco home. Since then, the company has experienced remarkable growth and now boasts over 5 million hosts worldwide who have welcomed more than 2 billion guest arrivals across nearly every country. Airbnb’s platform offers unique stays and experiences, enabling guests to connect with local communities in an authentic manner. The company's mission is to create a world where anyone can belong anywhere, fostering meaningful travel experiences and cultural exchange through innovative technology and community\-driven hospitality.
**About The Role**
 We are seeking a talented Senior Staff Data Scientist to join our Guest Data Science team within the Guest Experience division. This role is pivotal in utilizing artificial intelligence and causal inference methodologies to understand user behavior, detect underlying intent, and develop data products that enhance personalized experiences on our platform. You will lead efforts to identify guest preferences at every stage of their discovery journey, shaping strategies that drive guest engagement and conversion across Airbnb’s Homes, Experiences, and Services verticals. Your work will involve close collaboration with product managers, engineers, and designers to optimize in\-app UX and inform data\-driven decision\-making. The ideal candidate will possess deep expertise in marketplace analytics, user behavior modeling, and advanced statistical techniques, with a passion for creating innovative solutions that improve the guest experience.
**Qualifications**
* Advanced degree in Computer Science, Statistics, Econometrics, or a related field.
* 9\+ years of industry experience with a PhD or 12\+ years with a Master’s degree.
* Expertise in causal inference techniques with marketplace experience.
* Domain experience in search, user experience discovery, and personalized evidence systems.
* Proficiency in programming languages such as Python or R for data analysis.
* Familiarity with SQL and developing proof\-of\-concept prototypes.
* Strong communication skills to collaborate effectively with cross\-functional teams.
* Demonstrated ability to succeed independently and in team environments.
* Engagement with the technical community and a learner’s mindset towards emerging AI technologies, including large language models and dynamic systems.
**Responsibilities**
* Develop a deep understanding of guest navigation patterns and re\-engagement behaviors through analysis, research, and granular user data.
* Partner with product and engineering teams to establish technical frameworks and lead scientific initiatives for detecting guest preferences and online friction points.
* Design and implement prototypes and data frameworks to quantify and classify guest preferences, utilizing AI toolkits and iterative development processes.
* Evaluate the effectiveness of models and hypotheses through rigorous measurement, experiments, and validation of online engagement strategies.
* Set up feedback loops and continuous improvement processes to ensure high\-impact data products and insights.
* Regularly present findings, insights, and strategic recommendations to leadership and cross\-functional teams to inform product development and UX design.
* Drive innovation by exploring new paradigms for preference detection and personalization in a marketplace setting.
**Benefits**
* Competitive salary and performance\-based bonuses.
* Equity options and stock grants.
* Comprehensive health insurance plans including medical, dental, and vision coverage.
* Flexible work arrangements, including remote work eligibility.
* Paid time off, holidays, and family leave policies.
* Employee travel credits and discounts.
* Opportunities for professional development and continuous learning.
* Inclusive and diverse work environment that values innovation and collaboration.
 Equal Opportunity
 Airbnb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perspectives and backgrounds foster innovation and drive our success.</t>
        </is>
      </c>
    </row>
    <row r="38">
      <c r="A38" t="inlineStr">
        <is>
          <t>li-4354594775</t>
        </is>
      </c>
      <c r="B38" t="inlineStr">
        <is>
          <t>Data Scientist</t>
        </is>
      </c>
      <c r="C38" t="inlineStr">
        <is>
          <t>Georgia Power Company</t>
        </is>
      </c>
      <c r="D38" t="inlineStr">
        <is>
          <t>linkedin</t>
        </is>
      </c>
      <c r="E38" t="inlineStr"/>
      <c r="F38" t="inlineStr"/>
      <c r="G38" t="inlineStr">
        <is>
          <t>Atlanta, GA</t>
        </is>
      </c>
      <c r="H38" t="inlineStr"/>
      <c r="I38" t="inlineStr">
        <is>
          <t>**Job Title: Data Scientist**
**Company: Georgia Power**
**Organization: Strategic Support**
**Job Summary**
 We are seeking applicants who demonstrate a combination is soft skills and technical skills. Client relationships, collaboration, communication, and effort to learn the business are essential to success. From technical perspective, we are looking for applicants who have experience with machine learning, advanced analytics, coding, cloud and on\-premise environments, and a variety of data sources.
 This role focuses on supporting various departments across Customer Services, Customer Solutions, Business Development, Corporate Communications, and others. Data Scientist performs advanced and descriptive analytics that lead to better customer experience, increased operational efficiencies, and improved business profitability. This role is responsible for discovering business insights using statistics, machine learning, and visualization techniques.
 Apply today and take the next step in your career with Data Science!
**Job Requirements**
* A bachelor’s degree in Data Science, Data Analytics, Statistics, Computer Science, Engineering or a related field is required
* A master’s degree in Data Science, Data Analytics, Statistics, Computer Science, Engineering or a related field is preferred
* 4\+ years of hands\-on experience with data and analytics; with progressively increased level of responsibility
* Experience querying data from various data sources
* Proficient with one or more programming languages used for analytics, preferably Python and SQL
* Experience with Databricks is desired, but not required
* Working knowledge of predictive modeling techniques, such as linear regression, decision trees, clustering, neutral networks, etc. and experience using these methods to address real\-world business challenges
* Strong interest in AI and aptitude to learn how to develop AI solutions for Customer Experience organization
* Experience developing dashboards in Power BI or a comparable visualization platform
* Written communication skills and experience summarizing key insights in concise emails, executive summaries, and presentations
* Verbal communication skills and experience effectively presenting analytics insights in practical terms to non\-technical business audience
* Experience managing and prioritizing multiple projects simultaneously
* Ability to effectively collaborate in highly cross\-functional work environment, engage diverse stakeholders, ask questions to understand client needs, and partner with colleagues across different teams
* Behaviors rooted in our corporate values: Safety First, Intentional Inclusion, Act with Integrity, Superior Performance
**Major Job Responsibilities**
* Build relationships with internal clients to understand their goals, processes, and challenges
* Promptly respond to requests from internal clients, understand their business questions, and perform analytics to meet their business needs
* Fulfil high volume of ad\-hoc analytics requests
* Proactively suggest advanced analytics solutions to clients
* Write programs to pull data from various data sources
* Identify, gather, and prepare data for your projects
* Analyze structured (quantitative) and unstructured (text, voice recordings) data
* Develop and deploy machine learning models
* Create dashboards that automatically pull data from various data sources
* Summarize key insights from your analytics projects and provide conclusions and recommendations
* Produce analytics to enhance customer experience, improve energy affordability, and support sustainable growth
* Quantify effect of various programs and initiatives on customer energy usage, call volume, payment behaviors
* Provide insights on how our customers interact with our company across various channels in effort to improve customer service performance, optimize channels and programs
* Enable personalization and communications based on customer data
* Provide analytics to increase enrollment in energy efficiency, renewables, electric transportation, and other programs.
* Develop analytics to help grow unregulated net income
* Provide analytics to optimize operations that deliver regulated and unregulated solutions to customers
* Establish external and internal relationships to share best practices in data science, stay abreast of industry trends and emerging technologies
* Continuously learn new data sources, new platforms, and new methods.
* Demonstrate curiosity and creativity in the rapidly evolving world of data and AI.
**Georgia Power** 
 is the largest electric subsidiary of Southern Company (NYSE: SO), America's premier energy company. Value, Reliability, Customer Service and Stewardship are the cornerstones of the Company's promise to 2\.6 million customers in all but four of Georgia's 159 counties. Committed to delivering clean, safe, reliable, and affordable energy at rates below the national average,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and Associates as an industry leader in customer satisfaction. For more information, visit www.GeogiaPower.com and connect with the Company on Facebook (Facebook.com/GeorgiaPower), Twitter (Twitter.com/GeorgiaPower) and Instagram (Instagram.com/ga\_power).
 Southern Company (NYSE: SO ) is a leading energy provider serving 9 million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solutions provider with national capabilities, a fiber optics network and telecommunications services. Through an industry\-leading commitment to innovation, resilience and sustainability, we are taking action to meet customers' and communities' needs while advancing our goal of net\-zero greenhouse gas emissions by 2050\. Our uncompromising values ensure we put the needs of those we serve at the center of everything we do and are the key to our sustained success. We are transforming energy into economic, environmental and social progress for tomorrow. Our corporate culture has been recognized by a variety of organizations, earning the company awards and recognitions that reflect Our Values and dedication to service. To learn more, visit www.southerncompany.com .
 Southern Company invests in the well\-being of its employees and their families through a comprehensive total rewards strategy that includes competitive base salary, annual incentive awards for eligible employees and health, welfare and retirement benefits designed to support physical, financial, and emotional/social well\-being. This position may also be eligible for additional compensation, such as an incentive program, with the amount of any bonus/awards subject to the terms and conditions of the applicable incentive plan(s). A summary of the benefits offered for this position can be found here https://seo.nlx.org/southernco/pdf/SOCO\-Benefits.pdf . Additional and specific details about total compensation and beneﬁts will also be provided during the hiring process.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16244
 Job Category: Customer Service
 Job Schedule: Full time
 Company: Georgia Power</t>
        </is>
      </c>
    </row>
    <row r="39">
      <c r="A39" t="inlineStr">
        <is>
          <t>li-4330178169</t>
        </is>
      </c>
      <c r="B39" t="inlineStr">
        <is>
          <t>Sr Data Scientist - Retail Industry</t>
        </is>
      </c>
      <c r="C39" t="inlineStr">
        <is>
          <t>Capgemini Engineering</t>
        </is>
      </c>
      <c r="D39" t="inlineStr">
        <is>
          <t>linkedin</t>
        </is>
      </c>
      <c r="E39" t="inlineStr"/>
      <c r="F39" t="inlineStr"/>
      <c r="G39" t="inlineStr"/>
      <c r="H39" t="inlineStr"/>
      <c r="I39" t="inlineStr">
        <is>
          <t>**About the Job You’re Considering** 
 Are you ready to shape the future of digital transformation through AI and machine learning? We’re looking for a Data Scientist who thrives on innovation and wants to make an impact at scale. In this role, you’ll lead high\-impact projects that drive personalization, automation, and smarter decision\-making across our digital products. You’ll collaborate with top\-tier professionals in a fast\-paced, inclusive environment, working with cutting\-edge technologies like Large Language Models (LLMs), Generative AI, and Knowledge Graphs. You’ll work on projects that truly matter, driving AI/ML adoption across a global organization. You’ll have the chance to innovate, learn, and grow alongside industry experts while contributing to a culture that values diversity, creativity, and continuous improvement. Hybrid in Philadelphia, PA – relocation available for the right candidate.
**Your Role** 
* Develop and optimize predictive and prescriptive models to extract insights and enhance decision\-making.
* Apply deep learning and neural network techniques for customer classification, segmentation, and personalization.
* Utilize MLOps to efficiently deploy, monitor, and maintain ML models in production.
* Implement and fine\-tune Large Language Models (LLMs) and Generative AI solutions for automation and user engagement.
* Explore and integrate knowledge graphs to enhance data relationships and improve AI\-driven recommendations.
* Work with data engineers to design and develop robust data pipelines for large\-scale ETL processing using SQL and cloud\-based solutions (GCP preferred).
* Write complex SQL queries for extracting, transforming, and loading (ETL) data efficiently and implement CI/CD workflows to automate model training, deployment, and monitoring.
* Collaborate in an Agile/DevOps environment, promoting a data\-centric culture and clearly communicating complex methodologies and insights to technical and non\-technical audiences.
**Your Skills and Experience** 
* 7\+ years of experience in Data Science, Machine Learning, or related fields.
* Strong expertise in Python, SQL, and modern ML frameworks (TensorFlow, PyTorch, Scikit\-Learn).
* Experience with MLOps tools (MLflow, Kubeflow, Airflow) for model deployment and monitoring.
* Proficiency in cloud platforms (GCP/AWS) and scalable data engineering.
* Strong understanding of probability theory, statistics, and experimental design (A/B Testing).
* Experience with collaborative software engineering practices (Agile, DevOps).
* Bachelor’s or Master’s degree in Computer Science, Mathematics, Engineering, or related field.
**Preferred Qualifications** 
* Experience with Knowledge Graphs and their integration into AI/ML pipelines.
* Hands\-on experience in LLMs (e.g., GPT, BERT, LLaMA, Claude) and Generative AI technologies.
* Background in Retail and Personalization Web Technologies.
* Understanding of digital ecosystems and data\-driven decision\-making.
* Proficiency in BI tools and data visualization.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65,000 engineer and scientist team members in over 30 countries across sectors including Aeronautics, Space, Defense, Naval, Automotive, Rail, Infrastructure \&amp; Transportation, Energy, Utilities \&amp;Chemicals, Life Sciences, Communications, Semiconductor \&amp; Electronics, Industrial \&amp; Consumer, Software \&amp; Internet.
 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Get the future you want \| www.capgemini.com
**Disclaimer**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t>
        </is>
      </c>
    </row>
    <row r="40">
      <c r="A40" t="inlineStr">
        <is>
          <t>li-4265440676</t>
        </is>
      </c>
      <c r="B40" t="inlineStr">
        <is>
          <t>Data Scientist (hybrid)</t>
        </is>
      </c>
      <c r="C40" t="inlineStr">
        <is>
          <t>Federated Hermes</t>
        </is>
      </c>
      <c r="D40" t="inlineStr">
        <is>
          <t>linkedin</t>
        </is>
      </c>
      <c r="E40" t="inlineStr"/>
      <c r="F40" t="inlineStr"/>
      <c r="G40" t="inlineStr">
        <is>
          <t>Pittsburgh, PA</t>
        </is>
      </c>
      <c r="H40" t="inlineStr"/>
      <c r="I40" t="inlineStr">
        <is>
          <t>**Data Scientist (hybrid)** 
**Federated Hermes Career Opportunity \#9439** 
 We have an exciting opportunity for a
 **Data Scientist** 
 located in Pittsburgh, PA.
**What You’ll Do** 
 This is a full stack data science opportunity working with the latest technologies in the Azure Cloud, including Databricks and OpenAI. You will have the opportunity to drive the full data science lifecycle from strategy to data preparation and algorithm development to communicating the answer in a way a non\-data scientist will understand. A proactive, creative, curious mind\-set, along with a desire to influence your own development, will go a long way.
**The Expertise We’re Looking For** 
* Bachelor’s Degree in STEM (science, technology, engineering, math) related field or a similar quantitative analytics field.
* Up to 4 years of professional experience including exposure to data science concepts and computational tools. (i.e., Python, Spark (PySpark), LLMs); Professional, internship or project\-based experience preferred.
* Familiarity with various database structures and experience working with large datasets.
* Exposure to data science tools and platforms that support data preparation, algorithm development, and visualization (e.g., pandas, Jupyter Notebooks, Power BI).
* Intermediate technical and analytical abilities with programming skills in a language such as Python.
* Intermediate understanding of the techniques to collect, organize, blend, cleanse and synthesize large volumes of disparate data.
* Ability to effectively communicate data\-driven insights to other non\-technical business partners.
* Additional experience in areas such as building machine learning algorithms, model tracking and deployment, developing LLM agents, RAG models, and time series forecasting is highly valued.
**\*\*The experience level of the candidate will determine level of position as Data Scientist or Sr. Data Scientist** 
**Our Investment in You** 
 We believe our employees are our most important asset! Therefore, we offer benefits programs designed to help you and your family thrive, training programs to advance your professional development and opportunities for you to give back to the community. Our offerings include:
* A competitive total compensation package, including bonus programs designed to recognize and incentivize our employees to do their best every day
* Time off programs including paid vacation, parental leave and a volunteer day to help you stay healthy and connected to the things that are important
* Opportunities to expand your professional network within the firm and the community through participation in programs such as the Women in Investing Employee Resource Business Group and the University Ambassador Program.
* Location: Pittsburgh, PA 15222 (hybrid in office work schedule)
**About Federated Hermes** 
 At Federated Hermes, our goals are to help individuals invest and retire better, to help our clients achieve better risk\-adjusted returns, and to contribute to the positive outcomes in the wider world. We pledge to always putting our clients first and to acting responsibly and transparently. Our commitment to active, responsible investment has enabled us to become a leading investment manager with $871\.2B in assets under management; serving investors around the world.
 We provide career opportunities that enable our employees to grow and meet their career aspirations while balancing the needs of their personal lives. We offer a collaborative environment that promotes doing things the right way and always with integrity, sharing ideas to drive positive change, and following through on our commitments. We are motivated by a higher purpose and always consider the impact of our work. We promote teamwork and foster a diverse, inclusive and respectful workplace where unique perspectives, ideas and experiences are recognized and appreciated for the contributions they bring.
 For consideration, please visit our company website and reference job \#9439
 For additional information, please visit FederatedHermes.com
 Federated Hermes, Inc. offers a competitive salary and benefits package along with a professional environment.
 Only those candidates in whom we have an interest will be contacted.
 We are interested in qualified candidates who are eligible to work in the United States. However, we are not able to sponsor visas.
 EOE – Including Disability / Vets
 Federated Hermes is committed to providing equal employment opportunities in all aspects of employment to qualified individuals without regard to the following criteria: race, color, national origin, religion, sex, pregnancy, sexual orientation, gender identity or expression, mental or physical disability, age, familial or marital status, ancestry, military status, veteran status or genetic information as well as any other prohibited criteria under any local, state or federal law applicable to Federated Hermes. As part of the firm’s equal employment opportunity statement, Federated Hermes will also comply with applicable government contractor obligations, including ensuring veterans and qualified people with disabilities are considered for employment and promotional opportunities consistent with current federal, state and local laws and regulations.</t>
        </is>
      </c>
    </row>
    <row r="41">
      <c r="A41" t="inlineStr">
        <is>
          <t>li-4328912225</t>
        </is>
      </c>
      <c r="B41" t="inlineStr">
        <is>
          <t>Data Scientist</t>
        </is>
      </c>
      <c r="C41" t="inlineStr">
        <is>
          <t>Recruiting from Scratch</t>
        </is>
      </c>
      <c r="D41" t="inlineStr">
        <is>
          <t>linkedin</t>
        </is>
      </c>
      <c r="E41" t="inlineStr"/>
      <c r="F41" t="inlineStr"/>
      <c r="G41" t="inlineStr"/>
      <c r="H41" t="inlineStr"/>
      <c r="I41" t="inlineStr">
        <is>
          <t>**Who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**About Our Client:** 
 A pioneer in K–12 education since 2000, we are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we serve more than 10 million students in all 50 states. We are a leader in creating immersive, rigorous digital learning experiences that look great, play great, and help students expect great things of themselves. We have been described as the best tech company in education, and the best education company in tech.
**Role:** 
 As a
 **Data Scientist** 
 , you will join our
 **Supply Chain Analytics team** 
 , where data science directly impacts how educational materials reach classrooms across the country. You will develop machine learning models to forecast demand, optimize inventory, and reduce operational costs across tens of thousands of ISBNs and hundreds of millions of dollars in annual revenue.
 You will work on a
 **cross\-functional scrum team** 
 alongside Analytics Engineers and Data Analysts to build production\-grade data products. This role reports to the
 **Data Science Manager for Sales, Marketing, and Finance** 
 , giving you the opportunity to influence decisions across the entire data stack—from raw data ingestion to executive\-facing insights.
 Your work will have a tangible impact on ensuring students and educators receive the right materials, at the right time, at the right cost.
**What You’ll Do:** 
 Our Data Science team builds advanced analytics and machine learning solutions that power strategic decision\-making across the organization. In this role, you will:
* **Develop, train, and deploy machine learning models** 
 to forecast demand, optimize inventory levels, and improve supply chain efficiency
* Contribute across the
 **full machine learning lifecycle** 
 , including research, feature engineering, model evaluation, deployment, and monitoring
* Apply advanced statistical and time series methods to uncover patterns, explain drivers, and recommend actionable strategies
* Partner cross\-functionally with Supply Chain, Analytics Engineering, and business stakeholders to deliver high\-quality, production\-ready data products
* Participate in data ingestion, transformation, modeling, and analysis to ensure end\-to\-end ownership of solutions
* Translate complex analyses into
 **clear, compelling narratives** 
 for non\-technical partners
* Help elevate the broader Data Science practice by leading learning sessions, sharing best practices, and proposing new tools or architectures
**Example Projects You Might Work On:** 
* Building and deploying
 **time series forecasting models** 
 to predict demand across thousands of SKUs with seasonal and regional variability
* Optimizing inventory placement and replenishment strategies to reduce stockouts and excess inventory
* Developing model monitoring frameworks to detect drift and ensure long\-term forecasting accuracy
* Partnering with Finance to quantify cost savings and revenue impact from improved forecasting accuracy
* Collaborating with Analytics Engineers to productionize models using cloud\-based ML platforms
**Basic Requirements:** 
* **2\+ years of experience** 
 in a Data Scientist role focused on
 **supply chain forecasting, demand planning, or logistics optimization**
* Strong foundation in
 **statistical methods and time series forecasting** 
 (e.g., SARIMA, Prophet, XGBoost)
* Expert\-level
 **Python** 
 skills for data cleaning, analysis, and modeling
* Expert\-level
 **SQL** 
 skills for data analysis and exploration
* Experience training and evaluating machine learning models using libraries such as
 **scikit\-learn, PyTorch, XGBoost, or tidymodels**
* Experience deploying machine learning models into production environments (e.g.,
 **AWS SageMaker, Databricks, Snowpark ML** 
 )
* Familiarity with software development best practices, including
 **git\-based version control and testing**
* Excellent written and verbal communication skills, especially when working with non\-technical stakeholders
* Demonstrated ability to lead self\-directed projects and collaborate cross\-functionally
**Preferred Requirements:** 
* Experience working with
 **Snowflake**
* Familiarity with
 **container technologies** 
 such as Docker and Kubernetes
* Background in
 **education, edtech, or mission\-driven organizations**
**What We Offer:** 
 Salary is only one component of the Total Rewards package, which includes a 401(k) plan, competitive health insurance and mental health options, basic life insurance, paid time off, parental leave, and access to best\-in\-class development programs.
 The
 **gross annual salary range for this role is $100,000 – $132,000** 
 , and the position is eligible for an
 **annual discretionary bonus** 
 based on individual and company performance.</t>
        </is>
      </c>
    </row>
    <row r="42">
      <c r="A42" t="inlineStr">
        <is>
          <t>li-4124744932</t>
        </is>
      </c>
      <c r="B42" t="inlineStr">
        <is>
          <t>Senior Data Scientist - Healthcare</t>
        </is>
      </c>
      <c r="C42" t="inlineStr">
        <is>
          <t>Iodine Software, now part of Waystar</t>
        </is>
      </c>
      <c r="D42" t="inlineStr">
        <is>
          <t>linkedin</t>
        </is>
      </c>
      <c r="E42" t="inlineStr"/>
      <c r="F42" t="inlineStr"/>
      <c r="G42" t="inlineStr"/>
      <c r="H42" t="inlineStr"/>
      <c r="I42" t="inlineStr">
        <is>
          <t>**Join us. Let’s make a direct impact in healthcare.**
 Being an Iodine employee means becoming part of something bigger \- using clinical AI technology to drive smarter healthcare processes and positively impact patient care.
**Who We Are**
 Recognized as one of Austin’s best places to work, we are a collaborative and dedicated team with innovation built into our DNA. Iodine is an enterprise AI company that is championing a radical rethink of how to create value for healthcare professionals, leaders, and their organizations \- by automating complex clinical tasks, generating insights and empowering intelligent care. Powered by one of the largest sets of clinical data and use cases available, our groundbreaking clinical machine\-learning engine, Cognitive ML, constantly ingests the patient record to generate real\-time, highly focused, predictive insights that clinicians and hospital administrators can leverage to dramatically augment the management of care delivery.
**What We're Looking For**
 Iodine thrives on innovation. We are looking for a Senior Data Scientist that will help us discover the information hidden in vast amounts of data. You will be joining a small team that is tackling many interesting healthcare problems using ML. Because we work on the cutting edge of a lot of technologies, we need someone who is a creative problem solver, resourceful in getting things done, and productive working independently or collaboratively. You will be accessing and shaping our enormous amount of data to help drive our future innovation.
**What You'll Do**
 Work with a team of passionate data scientists to further the mission of Iodine and the Data Science team. Collaborate with teams, including both technical and business teams, from different functional areas to solve complex problems. Develop statistical and machine learning algorithms, named entity recognition/named entity linking models, inference rules, probabilistic models, simulation models, and visualizations for client pilots and scaled solutions. Lead multiple projects in parallel and assist other team members and conduct directed research and development in natural language processing and applied machine learning on healthcare datasets.
 Present results and overviews to internal and external audiences and serve as a mentor to junior team members. Consult with business teams to provide guidance and capture feedback as required. Perform exploratory data analysis (EDA), data profiling, and data cleaning on a variety of datasets. Learn and identify data relationships across multiple contributing sources, developing and discovering direct and inferred data relationships where rules can be defined and consistently applied, and other strategies to optimize the efficiency and quality of the data being collected, normalized, and delivered. Acquire data from primary or secondary data sources to maintain data quality programs, and leverage these sources to identify and interpret trends or patterns in complex datasets. Create innovative frameworks and solutions for extracting value from client data.
**What We'd Love To See**
* 7\+ years hands\-on experience in machine learning, statistics, and data analysis
* Ability to effectively communicate technical concepts to both technical and non\-technical staff members
* Self\-motivated and self\-directed, able to learn new technologies quickly and adapt to a rapidly changing environment
* Proficiency in ML/Data Science languages and tools including Python (and packages including but not limited to Jupyter notebooks, pandas, numpy, scikit\-learn, pytorch) and SQL
* Proficiency in using SQL and noSQL databases, including PostgreSQL, ElasticSearch
* Proficiency in NLP tools including, spaCy, nltk
* Superb coding, scripting, and software engineering experience and skills
* Master’s Degree or PhD strongly preferred in Computer Science, Statistics, Mathematics, Econometrics, Operations Research, Physics or a related field with a substantial research component and focus on data analysis
* Ability to demonstrate proficiency in machine learning, statistics, data analysis. Must have an excellent knowledge of advanced methods, and experience in applying those methods to a variety of problems
* Solid grasp of probability, statistical or mathematical modeling with analytical and quantitative problem\-solving ability. Experience with healthcare data is strongly preferred.
* Demonstrated experience in applying machine learning to real\-world problems
* Familiarity with software development cycles, version control systems (including Git), interacting with RESTful APIs, Mac and Linux platforms
* Familiarity with ETL tools and processes
* Familiarity with MLOps, model deployment, model monitoring, model versioning
* Experience with improving model runtime performance and data query performance
* Experience working in an agile team environment. Understanding of code promotion, code turnover to operations, version control, and QA procedures.
* Conduct code walkthroughs, peer reviews, and produce technical documentation
* Travel to and from company headquarters is required for mandatory onboarding and company meetings.
**Desired Additional Experience/skills**
* Familiarity with big data and distributed/cloud computing technologies such as Apache Airflow, Kafka, Apache Spark, AWS platform data services
* Knowledge of healthcare data space, including clinical data formats and workflows is strongly preferred
* Experience with LLMs and GenAI applications
* Very strong scripting and automation skills – you believe you can automate everything
* Understand database platform layouts and configurations
* Ability to efficiently balance multiple projects in a rapidly changing environment
* Experience in a professional services environment with exposure to senior functional leaders
*Please note this position is not restricted solely to the responsibilities listed above and that the job scope and responsibilities are subject to change.*
**What We Offer**
* Comprehensive Healthcare: Fully covered medical, vision, and dental benefits for employees, plus generous dependent coverage.
* Telehealth Services: Convenient access to telehealth services tailored for remote work.
* Savings Accounts: Tax\-advantaged savings accounts for healthcare and dependent care expenses.
* Ancillary Benefits: Life, AD\&amp;D, and disability insurance paid by Iodine for peace of mind.
* Retirement Plan: Competitive 401(k) retirement plan with a considerable company match.
* Extra Life Insurance: Optional additional life insurance coverage for you and your dependents.
* Accident Insurance: Financial protection against unexpected accidents and critical health issues.
* Critical Illness Insurance: Provides financial support for medical costs and living expenses during serious illness.
* Hospital Indemnity Insurance: Additional support for hospital\-related expenses through indemnity insurance.
* Pet Insurance: Affordable options for discounted pet insurance.
* Legal and Identity Protection: Legal and ID theft protection to safeguard personal information.
* Employee Assistance: Confidential employee assistance program for personal and professional challenges.
* Education Allowance: Annual funding for educational pursuits and continuing education to support professional development and skill enhancement.
* Reimbursements: Annual reimbursement for eligible wellness expenses, monthly reimbursement for cell phone and WiFi costs, and a one\-time equipment allowance for creating a comfortable home office.
**Why should you join Iodine?**
 This is a unique opportunity to join a close\-knit, rapidly growing team and help us improve a key piece of the organization. You will have the opportunity to drive smarter healthcare processes through technology, so hospitals can stay focused on patient care. You will join a passionate and ambitious team, with a proven record of success building multiple companies. Learn more about our company culture on Built In Austin and on our website at www.iodinesoftware.com.</t>
        </is>
      </c>
    </row>
    <row r="43">
      <c r="A43" t="inlineStr">
        <is>
          <t>li-4313466440</t>
        </is>
      </c>
      <c r="B43" t="inlineStr">
        <is>
          <t>Senior Applied Scientist, Generative AI Innovation Center</t>
        </is>
      </c>
      <c r="C43" t="inlineStr">
        <is>
          <t>Amazon Web Services (AWS)</t>
        </is>
      </c>
      <c r="D43" t="inlineStr">
        <is>
          <t>linkedin</t>
        </is>
      </c>
      <c r="E43" t="inlineStr"/>
      <c r="F43" t="inlineStr"/>
      <c r="G43" t="inlineStr">
        <is>
          <t>Mountain View, CA</t>
        </is>
      </c>
      <c r="H43" t="inlineStr"/>
      <c r="I43"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44">
      <c r="A44" t="inlineStr">
        <is>
          <t>li-4303040068</t>
        </is>
      </c>
      <c r="B44" t="inlineStr">
        <is>
          <t>Senior Applied Scientist, Model Customization, Generative AI Innovation Center</t>
        </is>
      </c>
      <c r="C44" t="inlineStr">
        <is>
          <t>Amazon Web Services (AWS)</t>
        </is>
      </c>
      <c r="D44" t="inlineStr">
        <is>
          <t>linkedin</t>
        </is>
      </c>
      <c r="E44" t="inlineStr"/>
      <c r="F44" t="inlineStr"/>
      <c r="G44" t="inlineStr">
        <is>
          <t>New York, United States</t>
        </is>
      </c>
      <c r="H44" t="inlineStr"/>
      <c r="I44"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A3088254</t>
        </is>
      </c>
    </row>
    <row r="45">
      <c r="A45" t="inlineStr">
        <is>
          <t>li-4313468276</t>
        </is>
      </c>
      <c r="B45" t="inlineStr">
        <is>
          <t>Senior Applied Scientist, Generative AI Innovation Center</t>
        </is>
      </c>
      <c r="C45" t="inlineStr">
        <is>
          <t>Amazon Web Services (AWS)</t>
        </is>
      </c>
      <c r="D45" t="inlineStr">
        <is>
          <t>linkedin</t>
        </is>
      </c>
      <c r="E45" t="inlineStr"/>
      <c r="F45" t="inlineStr"/>
      <c r="G45" t="inlineStr">
        <is>
          <t>Boston, MA</t>
        </is>
      </c>
      <c r="H45" t="inlineStr"/>
      <c r="I45"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46">
      <c r="A46" t="inlineStr">
        <is>
          <t>li-4313464461</t>
        </is>
      </c>
      <c r="B46" t="inlineStr">
        <is>
          <t>Senior Applied Scientist, Generative AI Innovation Center</t>
        </is>
      </c>
      <c r="C46" t="inlineStr">
        <is>
          <t>Amazon Web Services (AWS)</t>
        </is>
      </c>
      <c r="D46" t="inlineStr">
        <is>
          <t>linkedin</t>
        </is>
      </c>
      <c r="E46" t="inlineStr"/>
      <c r="F46" t="inlineStr"/>
      <c r="G46" t="inlineStr">
        <is>
          <t>Denver, CO</t>
        </is>
      </c>
      <c r="H46" t="inlineStr"/>
      <c r="I46"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47">
      <c r="A47" t="inlineStr">
        <is>
          <t>li-4303035130</t>
        </is>
      </c>
      <c r="B47" t="inlineStr">
        <is>
          <t>Senior Applied Scientist, Model Customization, Generative AI Innovation Center</t>
        </is>
      </c>
      <c r="C47" t="inlineStr">
        <is>
          <t>Amazon Web Services (AWS)</t>
        </is>
      </c>
      <c r="D47" t="inlineStr">
        <is>
          <t>linkedin</t>
        </is>
      </c>
      <c r="E47" t="inlineStr"/>
      <c r="F47" t="inlineStr"/>
      <c r="G47" t="inlineStr">
        <is>
          <t>Seattle, WA</t>
        </is>
      </c>
      <c r="H47" t="inlineStr"/>
      <c r="I47" t="inlineStr">
        <is>
          <t>**Description**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A3088254</t>
        </is>
      </c>
    </row>
    <row r="48">
      <c r="A48" t="inlineStr">
        <is>
          <t>li-4313452923</t>
        </is>
      </c>
      <c r="B48" t="inlineStr">
        <is>
          <t>Senior Applied Scientist, Generative AI Innovation Center</t>
        </is>
      </c>
      <c r="C48" t="inlineStr">
        <is>
          <t>Amazon Web Services (AWS)</t>
        </is>
      </c>
      <c r="D48" t="inlineStr">
        <is>
          <t>linkedin</t>
        </is>
      </c>
      <c r="E48" t="inlineStr"/>
      <c r="F48" t="inlineStr"/>
      <c r="G48" t="inlineStr">
        <is>
          <t>Seattle, WA</t>
        </is>
      </c>
      <c r="H48" t="inlineStr"/>
      <c r="I48"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49">
      <c r="A49" t="inlineStr">
        <is>
          <t>li-4313454774</t>
        </is>
      </c>
      <c r="B49" t="inlineStr">
        <is>
          <t>Senior Applied Scientist, Generative AI Innovation Center</t>
        </is>
      </c>
      <c r="C49" t="inlineStr">
        <is>
          <t>Amazon Web Services (AWS)</t>
        </is>
      </c>
      <c r="D49" t="inlineStr">
        <is>
          <t>linkedin</t>
        </is>
      </c>
      <c r="E49" t="inlineStr"/>
      <c r="F49" t="inlineStr"/>
      <c r="G49" t="inlineStr">
        <is>
          <t>Arlington, VA</t>
        </is>
      </c>
      <c r="H49" t="inlineStr"/>
      <c r="I49" t="inlineStr">
        <is>
          <t>**Description**
 Application deadline: Jan 10,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50">
      <c r="A50" t="inlineStr">
        <is>
          <t>li-4354389422</t>
        </is>
      </c>
      <c r="B50" t="inlineStr">
        <is>
          <t>Data Scientist, Growth</t>
        </is>
      </c>
      <c r="C50" t="inlineStr">
        <is>
          <t>Notion</t>
        </is>
      </c>
      <c r="D50" t="inlineStr">
        <is>
          <t>linkedin</t>
        </is>
      </c>
      <c r="E50">
        <f>HYPERLINK("https://www.linkedin.com/jobs/view/4354389422", "https://www.linkedin.com/jobs/view/4354389422")</f>
        <v/>
      </c>
      <c r="F50" t="inlineStr"/>
      <c r="G50" t="inlineStr">
        <is>
          <t>San Francisco, CA</t>
        </is>
      </c>
      <c r="H50" t="inlineStr"/>
      <c r="I50"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Role**
 Notion’s mission is to help people build beautiful tools for their life’s work. The Growth org aims to accelerate Notion's reach and impact by making the product more valuable to our users and in doing so grow our business. As a growth data scientist, you'll drive improvements to the user experience and our self\-serve revenue engine through quantitative analysis and experimentation, in close partnership with the product team. You will be instrumental in defining the team's roadmap by identifying new opportunities, seeing through their execution, and rigorously evaluating their impact.
**What You'll Achieve**
* You will apply your expertise in statistical inference and experimentation to understand the impact of product changes and drive decision\-making.
* You will explore ambiguous areas and conduct analysis to identify opportunities for the Growth org, helping shape the strategy and roadmap.
* You'll partner closely with product, engineering, and marketing leaders at every step of the development process, driving forward data science and analytics work on different pillars across Growth.
* You'll work with your teams to determine north star and operational metrics, and build the foundational datasets and dashboards to monitor progress and make key decisions.
* You'll influence the broader company by communicating your findings and driving change in our product and business. (Insights are useful. Impact is even better!)
**Skills You'll Need To Bring**
* You have spent meaningful time as a data scientist partnering with product, engineering and growth teams. You can draw on that experience to identify where data can have the most impact and clearly communicate to your partner teams what that impact is.
* You are comfortable with ambiguity and motivated by business results.
* You have expertise in SQL and at least one scripting language (ideally Python or R).
* You know how to use statistical inference and experimentation to drive actionable recommendations.
* You have experience building predictive models, and you know how to evaluate their effectiveness.
* You are comfortable transforming raw data to build your own data sets if the measure you need doesn't exist yet.
* You have a bias for using the right tools to get a job done with maximum efficiency. You have experience making tradeoffs between speed and accuracy.
**Nice To Haves**
* You have worked at a fast\-growing start\-up.
* You have experience at a B2B SaaS company.
* You have been a Technical Lead or Manager within Data Science teams previously.
* You have helped design processes that data science teams use to collaborate with their product, engineering, and marketing peers.
* You have a track record of acting as a thought partner to product, engineering, and marketing leaders, driving strategic decisions on these teams using data.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$200,000 \- $300,000 per year.
 By clicking “Submit Application”, I understand and agree that Notion and its affiliates and subsidiaries will collect and process my information in accordance with Notion’s Global Recruiting Privacy Policy.</t>
        </is>
      </c>
    </row>
    <row r="51">
      <c r="A51" t="inlineStr">
        <is>
          <t>li-4354349790</t>
        </is>
      </c>
      <c r="B51" t="inlineStr">
        <is>
          <t>Data Scientist II</t>
        </is>
      </c>
      <c r="C51" t="inlineStr">
        <is>
          <t>Earnest</t>
        </is>
      </c>
      <c r="D51" t="inlineStr">
        <is>
          <t>linkedin</t>
        </is>
      </c>
      <c r="E51">
        <f>HYPERLINK("https://www.linkedin.com/jobs/view/4354349790", "https://www.linkedin.com/jobs/view/4354349790")</f>
        <v/>
      </c>
      <c r="F51" t="inlineStr"/>
      <c r="G51" t="inlineStr">
        <is>
          <t>San Francisco, CA</t>
        </is>
      </c>
      <c r="H51" t="inlineStr"/>
      <c r="I51" t="inlineStr">
        <is>
          <t>**Our mission is to make higher education accessible and affordable for everyone.** 
 We empower students with financial support and supercharge their ability to pay down their debt, so they can get on the right financial track, fast.
 We build tools that help people feel in control of their financial future, including:
* ****Private student loans****
 \- low rates, people\-first service, and flexible payments.
* ****Student loan refinancing****
 \- break free from high\-interest rates or monthly payments.
* ****Scholarships****
 \- access to thousands of scholarships to help students pay less.
 Earnies are committed to helping students live their best lives, free from the stress of student debt. If you’re as passionate as we are about our mission, read more below, and let’s build something great together!
 As a Data Scientist, you will report to the Data Science Manager. You will play a pivotal role in our data\-driven decision\-making and drive impact for our Growth, Risk, Product, and Marketing teams. You will have the opportunity to work on cutting\-edge projects that involve risk modeling, causal inference from experimental results, pricing optimization, and strategy. 
**What you’ll do:** 
 Depending on the project, you would: 
* Conduct experimentation and execute causal inference analyses on pricing, marketing, and conversion models to drive revenue optimization.
* Develop Pricing Optimization algorithms to maximize the unit economics of our lending products while driving meaningful growth in our origination businesses.
* Develop and maintain predictive ML models to assess potential risks and opportunities across our lending products, contributing to the enhancement of risk and marketing assessment procedures.
* Conceptualize, research, and prototype data\-driven solutions, effectively communicating their impact to the stakeholders.
* Collaborate closely with cross\-functional teams and stakeholders to accelerate solution iteration and achieve measurable outcomes.
* Build funnel dashboards and perform root cause analysis to monitor and identify user behavioral patterns and areas of opportunity.
* Collaborate with data and infrastructure engineers to deploy ML and Pricing pipelines, from data collection through model deployment. This includes automating training and ongoing monitoring utilizing BI tools.
* Prepare technical designs and documentation using git and Confluence.
**Ideal background and expertise:** 
* 2\+ years of experience in R/Python and SQL
* 2\+ years professional experience in model development and/or data analytics (or Master's degree in Data Science, Operations Research, Industrial Engineering, Economics or a related quantitative field with 1\+ years of professional experience in model development and analytics)
* Expertise in statistical inference.
* Experience in product analytics and experimental design.
* Expertise in building classification, regression, and forecasting models and deriving insights from A/B tests.
* Experience working in a cross\-functional environment with teamwork and excellent communication skills.
**Bonus to have:** 
* Understanding of financial metrics and bond markets.
* Understanding of econometrics and elasticity in pricing optimization.
* Previous experience with cloud platforms such as AWS, Azure, or GCP.
* Experience with BI stack such as Looker, Airflow, and DBT.
* Custom LLM and NLP experience.
 A little about our pay philosophy: We take pride in compensating our employees fairly and equitably. We are showcasing a range of your potential base salary based on the roles location. The successful candidate’s starting pay will also be determined based on job\-related qualifications, internal compensation, candidate location and budget. This range may be modified in the future.
 Pay Range : $131,000 USD \- $164,000 USD
**Earnest believes in enabling our employees to live their best lives. We offer a variety of perks and competitive benefits, including:** 
* Health, Dental, \&amp; Vision benefits plus savings plans
* Mac computers \+ work\-from\-home stipend to set up your home office
* Monthly internet and phone reimbursement
* Employee Stock Purchase Plan
* Restricted Stock Units (RSUs)
* 401(k) plan to help you save for retirement plus a company match
* Robust tuition reimbursement program
* $1,000 travel perk on each Earnie\-versary to anywhere in the world
* Competitive days of annual PTO
* Competitive parental leave
**What Makes an Earnie:** 
 At Earnest, our people bring our cultural principles to life. These principles define how we work, how we win, and what we expect of ourselves and each other:
* ****Every Second Counts****
 : Speed is our competitive advantage. Our customers need better solutions, and the faster we execute, the greater our chance of success.
* ****Choose To Do Hard Things****
 : We win by tackling the hard things that others avoid, fueled by grit and resilience.
* ****Pursue Excellence****
 : Great companies, teams, and individuals never settle and are proud of the work that they do. What’s good enough today won’t be good enough tomorrow. Excellence isn’t a destination; it’s a mindset of continuous improvement.
* ****Lead Together****
 : Our success comes from how we work together. Leadership is not about titles—it is about action. We take ownership, drive results, and move forward as a team.
* ****Don’t Take Yourself Too Seriously****
 : We take our work seriously, not ourselves. The stakes are high, but a sense of humor keeps us grounded, creative, and resilient.
**At Earnest, we are committed to building an environment where our employees feel included, valued, and heard. Our belief is that a strong commitment to diversity, inclusion, equity, and belonging enables us to move forward with our mission. We are dedicated to adding new perspectives to the team and encourage anyone to apply if your experience is close to what we are looking for.** 
*Earnest provides equal employment opportunities (EEO) to all employees and applicants for employment without regard to race, color, religion, sex, national origin, age, sexual orientation, gender identity, veteran status, disability or genetics. Qualified applicants with criminal histories will be considered for the position in a manner consistent with the Fair Chance Ordinance.*</t>
        </is>
      </c>
    </row>
    <row r="52">
      <c r="A52" t="inlineStr">
        <is>
          <t>li-4354328805</t>
        </is>
      </c>
      <c r="B52" t="inlineStr">
        <is>
          <t>Data Scientist, Sr.</t>
        </is>
      </c>
      <c r="C52" t="inlineStr">
        <is>
          <t>Airbnb</t>
        </is>
      </c>
      <c r="D52" t="inlineStr">
        <is>
          <t>linkedin</t>
        </is>
      </c>
      <c r="E52">
        <f>HYPERLINK("https://www.linkedin.com/jobs/view/4354328805", "https://www.linkedin.com/jobs/view/4354328805")</f>
        <v/>
      </c>
      <c r="F52" t="inlineStr"/>
      <c r="G52" t="inlineStr"/>
      <c r="H52" t="inlineStr"/>
      <c r="I52" t="inlineStr">
        <is>
          <t>**About The Company**
 Airbnb was founded in 2007 when two hosts welcomed three guests to their San Francisco home. Since then, the company has experienced remarkable growth and now boasts over 5 million hosts worldwide who have welcomed more than 2 billion guest arrivals across nearly every country. Airbnb’s platform offers unique stays and experiences, enabling guests to connect with local communities in an authentic manner. The company's mission is to create a world where anyone can belong anywhere, fostering meaningful travel experiences and cultural exchange through innovative technology and community\-driven hospitality.
**About The Role**
 We are seeking a talented Senior Staff Data Scientist to join our Guest Data Science team within the Guest Experience division. This role is pivotal in utilizing artificial intelligence and causal inference methodologies to understand user behavior, detect underlying intent, and develop data products that enhance personalized experiences on our platform. You will lead efforts to identify guest preferences at every stage of their discovery journey, shaping strategies that drive guest engagement and conversion across Airbnb’s Homes, Experiences, and Services verticals. Your work will involve close collaboration with product managers, engineers, and designers to optimize in\-app UX and inform data\-driven decision\-making. The ideal candidate will possess deep expertise in marketplace analytics, user behavior modeling, and advanced statistical techniques, with a passion for creating innovative solutions that improve the guest experience.
**Qualifications**
* Advanced degree in Computer Science, Statistics, Econometrics, or a related field.
* 9\+ years of industry experience with a PhD or 12\+ years with a Master’s degree.
* Expertise in causal inference techniques with marketplace experience.
* Domain experience in search, user experience discovery, and personalized evidence systems.
* Proficiency in programming languages such as Python or R for data analysis.
* Familiarity with SQL and developing proof\-of\-concept prototypes.
* Strong communication skills to collaborate effectively with cross\-functional teams.
* Demonstrated ability to succeed independently and in team environments.
* Engagement with the technical community and a learner’s mindset towards emerging AI technologies, including large language models and dynamic systems.
**Responsibilities**
* Develop a deep understanding of guest navigation patterns and re\-engagement behaviors through analysis, research, and granular user data.
* Partner with product and engineering teams to establish technical frameworks and lead scientific initiatives for detecting guest preferences and online friction points.
* Design and implement prototypes and data frameworks to quantify and classify guest preferences, utilizing AI toolkits and iterative development processes.
* Evaluate the effectiveness of models and hypotheses through rigorous measurement, experiments, and validation of online engagement strategies.
* Set up feedback loops and continuous improvement processes to ensure high\-impact data products and insights.
* Regularly present findings, insights, and strategic recommendations to leadership and cross\-functional teams to inform product development and UX design.
* Drive innovation by exploring new paradigms for preference detection and personalization in a marketplace setting.
**Benefits**
* Competitive salary and performance\-based bonuses.
* Equity options and stock grants.
* Comprehensive health insurance plans including medical, dental, and vision coverage.
* Flexible work arrangements, including remote work eligibility.
* Paid time off, holidays, and family leave policies.
* Employee travel credits and discounts.
* Opportunities for professional development and continuous learning.
* Inclusive and diverse work environment that values innovation and collaboration.
 Equal Opportunity
 Airbnb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perspectives and backgrounds foster innovation and drive our success.</t>
        </is>
      </c>
    </row>
    <row r="53">
      <c r="A53" t="inlineStr">
        <is>
          <t>li-4263652958</t>
        </is>
      </c>
      <c r="B53" t="inlineStr">
        <is>
          <t>Data Scientist</t>
        </is>
      </c>
      <c r="C53" t="inlineStr">
        <is>
          <t>Turn/River Capital</t>
        </is>
      </c>
      <c r="D53" t="inlineStr">
        <is>
          <t>linkedin</t>
        </is>
      </c>
      <c r="E53">
        <f>HYPERLINK("https://www.linkedin.com/jobs/view/4263652958", "https://www.linkedin.com/jobs/view/4263652958")</f>
        <v/>
      </c>
      <c r="F53">
        <f>HYPERLINK("https://turnriver.com/careers/openings/?gh_jid=4797921008&amp;gh_src=6857f9d98us&amp;urlHash=qX_2", "https://turnriver.com/careers/openings/?gh_jid=4797921008&amp;gh_src=6857f9d98us&amp;urlHash=qX_2")</f>
        <v/>
      </c>
      <c r="G53" t="inlineStr">
        <is>
          <t>San Francisco, CA</t>
        </is>
      </c>
      <c r="H53" t="inlineStr"/>
      <c r="I53" t="inlineStr">
        <is>
          <t>**About Turn/River**
 Turn/River Capital is a private equity firm that applies a proprietary growth engineering strategy to investing, partnering with software businesses to accelerate growth and build enduring value. The firm’s team of equal parts investors and operators provides hands\-on operational support and the flexible capital to systematically scale marketing, sales and customer success at its portfolio companies. Founded in 2012 and based in San Francisco, Turn/River has $5\.6bn in committed capital and invests globally with a focus on North America and Europe.
**About The Role**
 We are seeking a Data Scientist to join our Operations team. This role is crucial for empowering our portfolio companies through data and insights. Key responsibilities include:
* Data \&amp; Reporting: Own the data and reporting infrastructure for a set of portfolio companies, enabling us to gauge business health and identify opportunities/risks.
* Analysis \&amp; Modeling: Collaborate on ad\-hoc analysis projects, custom reporting, and predictive models with Ops leads and functional leads to understand GTM opportunities/risks.
* Portfolio Analysis: Conduct portfolio\-level analysis on marketing, sales, and customer success data to identify trends, forecast sales, predict customer churn, and spot expansion opportunities based on product usage.
* AI Implementation: Proactively evaluate, recommend, and lead the implementation of AI\-driven tools and solutions across the firm and portfolio companies, enhancing operational efficiency and strategic insights.
 This is a highly collaborative role within Turn/River, where you will be working closely with other operations leads across marketing, sales, and customer success to ensure strong cohesion. This role will also partner with the Investment team to execute due diligence on potential investments/acquisitions.
**Qualifications**
* 1\-2 years of experience in a data analyst, data scientist, or another analytical role
* Strong proficiency in SQL and Python
* 2\+ years of experience building and maintaining Tableau dashboards
* Experience with ETL tools
* Experience with Git
* B.A/B.S in a quantitative field such as mathematics, statistics, engineering, or business analytics
* Very data\-driven, intellectually curious, and numerically inclined
* Strong project management, organizational, process management, and communication skills
* Experience with Google Cloud products preferred
**Location and Compensation**
* San Francisco, hybrid work model
 Base salary range for this role is $150,000\-160,000 (plus annual bonus) taking into account numerous variable factors that are considered in making compensation decisions including but not limited to skill sets, experience, training, licensure, certifications, and organizational requirements.
**Benefits And Perks**
 The below benefits are offered to full\-time employees based out of our San Francisco office:
* An opportunity to make an impact across multiple high\-growth tech firms
* Competitive salary and discretionary bonus
* Medical, dental, and vision insurance covered 100% for employee \&amp; dependents
* Flexible vacation policy
* 401K matching
* Paid parental leave
* Commuter benefits
* Health and Wellness benefits
* Household Services benefits
* Home Office benefits
* Annual Home Office Equipment Reimbursement
* Donation matching
* Work from home Monday \&amp; Friday
* Energetic work environment with snacks and weekly team lunches 3x per week, centrally located near multiple public transit lines
* A company that enjoys having fun: holiday parties, annual company offsite and retreat, annual summer "work from anywhere" month
*Turn/River provides equal employment opportunities (EEO) to all employees and applicants for employment without regard to race, color, religion, religious creed (including religious dress and grooming practices), national origin, ancestry, citizenship, physical or mental disability, medical condition (including cancer and genetic characteristics), genetic information, marital status, sex (including pregnancy, childbirth, breastfeeding, or related medical conditions), gender, gender identity, gender expression, natural hair styles, age (40 years and over), sexual orientation, veteran and/or military status, protected medical leaves (requesting or approved for leave under any applicable state, or federal leave act), domestic violence victim status, political affiliation, and any other characteristic or status protected by state or federal law.*</t>
        </is>
      </c>
    </row>
    <row r="54">
      <c r="A54" t="inlineStr">
        <is>
          <t>li-4213103704</t>
        </is>
      </c>
      <c r="B54" t="inlineStr">
        <is>
          <t>Senior  Data Scientist, Analytics - Core Product</t>
        </is>
      </c>
      <c r="C54" t="inlineStr">
        <is>
          <t>Quizlet</t>
        </is>
      </c>
      <c r="D54" t="inlineStr">
        <is>
          <t>linkedin</t>
        </is>
      </c>
      <c r="E54">
        <f>HYPERLINK("https://www.linkedin.com/jobs/view/4213103704", "https://www.linkedin.com/jobs/view/4213103704")</f>
        <v/>
      </c>
      <c r="F54" t="inlineStr"/>
      <c r="G54" t="inlineStr">
        <is>
          <t>San Francisco, CA</t>
        </is>
      </c>
      <c r="H54" t="inlineStr"/>
      <c r="I54"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Data Science, Analytics team at Quizlet is at the forefront of product research. We leverage our rich data set to represent the voice of our students and teachers at scale. Our team's outcomes focus on delivering insights that drive product strategy using the data science toolkit. We serve in a pivotal strategic role, identifying and driving inquiry on behalf of leaders at the company. The team is supported by Machine Learning and Data Engineering teams that partner with data scientists to ensure we are building a data\-driven culture.
**About The Role**
 As a Senior Data Scientist on the Core Product Analytics team, you’ll partner with Product, Engineering, Design, and other Data Science teams to deliver insights that shape the way millions of students learn with Quizlet. You’ll bring analytical rigor to every stage of product development—designing experiments, identifying opportunities, and translating data into actionable product recommendations.
 You’ll work with a rich dataset spanning student learning behavior and engagement, helping to uncover insights that directly influence strategy and product design. This role is perfect for a data scientist who thrives at the intersection of experimentation, analytics, and storytelling.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Focus on driving business insights through data to guide product strategy and feature development
* Develop analytical frameworks and foundations that enable the business to act on key insights
* Collaborate within a product pod alongside partners in Product, Engineering, Design, and User Research
* Design and analyze A/B experiments from inception to measurement, interpretation, and recommendation
* Present insights and findings that influence product direction and company priorities
* Define key performance metrics and ensure consistent measurement across product initiatives
**What You Bring To The Table**
* 3\+ years of experience in data science at a consumer internet company
* Experience running A/B tests and applying statistical techniques for modeling and predicting user behavior
* Experience partnering with product and engineering teams to drive strategy and execution through data
* Strong SQL skills and comfort working with large datasets
* Strong communication skills and the ability to visualize and present complex insights clearly
**Bonus Points If You Have**
* Experience with dbt or Airflow
* Expertise in Python for data analysis and modeling
* Degree in Math, Physics, Statistics, Economics, Computer Science, or another quantitative field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$170,880 \- $231,600,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5">
      <c r="A55" t="inlineStr">
        <is>
          <t>li-4266539682</t>
        </is>
      </c>
      <c r="B55" t="inlineStr">
        <is>
          <t>Data Scientist - AI and Quantitative Finance</t>
        </is>
      </c>
      <c r="C55" t="inlineStr">
        <is>
          <t>Sud Recruiting</t>
        </is>
      </c>
      <c r="D55" t="inlineStr">
        <is>
          <t>linkedin</t>
        </is>
      </c>
      <c r="E55">
        <f>HYPERLINK("https://www.linkedin.com/jobs/view/4266539682", "https://www.linkedin.com/jobs/view/4266539682")</f>
        <v/>
      </c>
      <c r="F55" t="inlineStr"/>
      <c r="G55" t="inlineStr"/>
      <c r="H55" t="inlineStr"/>
      <c r="I55" t="inlineStr">
        <is>
          <t>A leading global asset management firm
 **Senior Associate, Portfolio Management with expertise AI, Machine Learning Quantitative Solutions** 
 to play a critical role in developing and deploying
 **AI/ML models** 
 , conducting
 **quantitative financial research** 
 , and transforming
 **private market data** 
 into predictive insights. You’ll work across
 **Private Equity Secondaries** 
 ,
 **portfolio management** 
 , and
 **liquidity optimization** 
 , driving innovation in investment analytics and decision\-making.
 Position is hybrid in the San Diego area.
**🔍 Key Responsibilities** 
* **AI/ML Model Development** 
 : Design and validate
 **Machine Learning** 
 ,
 **Deep Learning** 
 , and
 **Natural Language Processing (NLP)** 
 models for use in
 **portfolio optimization** 
 ,
 **risk analytics** 
 ,
 **performance attribution** 
 , and
 **capital allocation** 
 .
* **Data Engineering** 
 : Build scalable data pipelines using
 **Python** 
 ,
 **SQL (MySQL)** 
 , and
 **R** 
 . Perform
 **feature engineering** 
 ,
 **data normalization** 
 , and
 **PDF parsing** 
 of
 **private equity fund reports** 
 and
 **financial statements** 
 .
* **Model Deployment \&amp; MLOps** 
 : Collaborate with engineering teams to deploy models using
 **Kubeflow** 
 ,
 **AWS SageMaker** 
 , or
 **Azure ML** 
 , ensuring robust
 **model governance** 
 ,
 **version control** 
 , and
 **production readiness** 
 .
* **Quantitative Research \&amp; Backtesting** 
 : Conduct
 **factor analysis** 
 ,
 **scenario modeling** 
 , and
 **backtesting** 
 to evaluate model performance across diverse
 **asset classes** 
 , including
 **private equity** 
 ,
 **real assets** 
 , and
 **credit strategies** 
 .
* **Cross\-Team Collaboration** 
 : Partner with
 **Data Science** 
 ,
 **Investment Research** 
 , and
 **Portfolio Strategy** 
 teams to align AI solutions with
 **client mandates** 
 ,
 **investment policy statements** 
 , and
 **risk\-adjusted return objectives** 
 .
 REQUIREMENTS
* Bachelor’s, Master’s, or Ph.D degree in
 **Computer Science** 
 ,
 **Machine Learning** 
 ,
 **Mathematics** 
 ,
 **Statistics** 
 ,
 **Econometrics** 
 , or related quantitative disciplines.
* **6\+ years** 
 of experience in
 **quantitative finance** 
 ,
 **AI/ML model development** 
 , or
 **financial engineering** 
 within the financial and banking secTOR
* Deep expertise in
 **Private Equity** 
 ,
 **secondaries** 
 , and
 **alternative investments** 
 , with strong knowledge of
 **fund structures** 
 ,
 **cash flow modeling** 
 , and
 **valuation techniques** 
 .
* Proficient in
 **Python** 
 (Pandas, NumPy, Scikit\-learn, TensorFlow/PyTorch),
 **SQL** 
 , and
 **AI/ML lifecycle platforms** 
 .
* Familiarity with
 **financial databases** 
 ,
 **performance metrics** 
 (IRR, TVPI, DPI), and
 **risk modeling frameworks** 
 (VaR, stress testing).
* Strong understanding of
 **data governance** 
 ,
 **data quality** 
 , and
 **security protocols** 
 in regulated financial environments.
* Excellent communication skills to present complex technical concepts to
 **investment professionals** 
 ,
 **portfolio managers** 
 , and
 **executive stakeholders** 
 .</t>
        </is>
      </c>
    </row>
    <row r="56">
      <c r="A56" t="inlineStr">
        <is>
          <t>li-4344433472</t>
        </is>
      </c>
      <c r="B56" t="inlineStr">
        <is>
          <t>Junior Data Scientist (TS/SCI)</t>
        </is>
      </c>
      <c r="C56" t="inlineStr">
        <is>
          <t>Take2 Consulting, LLC</t>
        </is>
      </c>
      <c r="D56" t="inlineStr">
        <is>
          <t>linkedin</t>
        </is>
      </c>
      <c r="E56">
        <f>HYPERLINK("https://www.linkedin.com/jobs/view/4344433472", "https://www.linkedin.com/jobs/view/4344433472")</f>
        <v/>
      </c>
      <c r="F56" t="inlineStr"/>
      <c r="G56" t="inlineStr">
        <is>
          <t>Springfield, VA</t>
        </is>
      </c>
      <c r="H56" t="inlineStr"/>
      <c r="I56" t="inlineStr">
        <is>
          <t>We are seeking a junior\-level Data Science professional with a strong academic foundation and early hands\-on experience to join our team as a Exploitation Specialist. The ideal candidate will hold a bachelor’s degree in a data science–related field and bring internship or project experience that demonstrates curiosity, initiative, and a willingness to learn from senior team members. This role is a great opportunity for someone eager to grow their technical skill set while supporting a high\-impact mission.
**Required Qualifications** 
* Active
 **TS/SCI clearance** 
 with the willingness to obtain a
 **CI polygraph**
* Ability to work
 **onsite in Northern Virginia** 
 , 40 hours per week (telework options are extremely limited)
* Proficiency with
 **Python** 
 and
 **SQL**
**Preferred Qualifications** 
* Familiarity with GEOINT collection and related NGA/NRO systems
* Experience with additional programming languages such as R, JavaScript, HTML, and CSS
* Understanding of object\-oriented programming
* Experience using visualization tools such as Grafana, Tableau, or Kibana
* Ability to quickly learn new technologies, adapt to evolving mission requirements, and support the development/testing of new analytic methodologies</t>
        </is>
      </c>
    </row>
    <row r="57">
      <c r="A57" t="inlineStr">
        <is>
          <t>li-4354538203</t>
        </is>
      </c>
      <c r="B57" t="inlineStr">
        <is>
          <t>Data Scientist</t>
        </is>
      </c>
      <c r="C57" t="inlineStr">
        <is>
          <t>Summit Companies</t>
        </is>
      </c>
      <c r="D57" t="inlineStr">
        <is>
          <t>linkedin</t>
        </is>
      </c>
      <c r="E57">
        <f>HYPERLINK("https://www.linkedin.com/jobs/view/4354538203", "https://www.linkedin.com/jobs/view/4354538203")</f>
        <v/>
      </c>
      <c r="F57" t="inlineStr"/>
      <c r="G57" t="inlineStr">
        <is>
          <t>Mendota Heights, MN</t>
        </is>
      </c>
      <c r="H57" t="inlineStr"/>
      <c r="I57" t="inlineStr">
        <is>
          <t>**Job Summary**
**JOB DESCRIPTION**
 The Data Scientist will work closely with cross\-functional teams to analyze complex datasets, develop predictive models, and uncover actionable insights that drive innovation and growth. Initial focus will be developing a long\-term strategy for intake, processing, and loading of acquisition data.
**Essential Job Duties**
 Analyze large, complex datasets to identify trends, patterns, and insights that inform business strategies and decision\-making.
 Develop and deploy machine learning models and algorithms for predictive analytics.
 Clean, preprocess, and transform raw data into a usable format for analysis and modeling.
 Design and conduct experiments to test hypotheses, evaluate model performance, and optimize algorithms.
 Create data visualizations and dashboards to communicate findings and insights to both technical and non\-technical audiences.
 Stay abreast of the latest developments in data science, machine learning, and related fields, and apply best practices to projects and initiatives.
 Other duties may be assigned.
**Qualifications**
 The qualifications listed below are representative of the elements required to perform the job successfully, however in some cases, an equivalent combination of Education, Training, Certifications and Experience may meet the job qualifications.
**Education, Training, Certifications**
 High school Diploma, or equivalent, required.
 Bachelor’s or Master’s degree in Computer Science, Statistics, Mathematics, Engineering, or a related field, strongly preferred.
**Experience, Knowledge, Skill Requirements**
 5\+ years experience working as a data scientist or in a similar role.
 Strong understanding of machine learning algorithms, statistical techniques, and experimental design.
 Experience with Azure Machine Learning is highly desirable.
 Excellent problem\-solving skills and the ability to translate business requirements into technical solutions.
**Communication Skills**
 Must have the ability to effectively read, write and communicate in English with employees and customers.
**Systems And Software Skills**
 Proficiency in programming languages such as Python, R, Java.
 Strong understanding of machine learning algorithms, statistical techniques, and experimental design.
 Proficiency in database management systems and SQL query language.
 Experience with Jitterbit is a plus.
**Other Qualifications**
 Valid driver’s license with acceptable driving record required.
 Must be able to comply with SFPH’s Drug and Alcohol policy and Background screening requirements, which may also include customer specific requirements based on contractual agreement.
 Occasional travel required, up to 10%.
**Physical \&amp; Work Environment Requirements**
 Reasonable accommodations may be made to enable individuals with disabilities to perform Essential Job Duties.
**Physical Requirements**
 While performing the duties of this job, the employee is required to sit for long periods. Employee will occasionally be required to bend, kneel, balance, lift \&lt;20lb, walk, stand, ascend/descend stairs, drive, twist, and reach above and below shoulders.
**Work Environment**
 Employee will consistently be required to work indoors in an office setting, work alone and with others. Office settings are mild to moderate temperatures.
***We are fully committed to equal opportunities for employment to all individuals regardless of race, national origin, gender, religion, sexual orientation, disability, familial status, and any other classification protected under the law. We are an Equal Opportunity, Affirmative Action employer.***
***While this job description is intended to be an accurate reflection of the position, management reserves the right to modify, add, or remove duties and to assign other duties as necessary.***
**About Us**
 Are you interested in working for the nation’s leading fire protection company and beginning a rewarding and satisfying career that helps save the lives of thousands each year? Do you want to be a part of a growing and expanding team of industry experts? If so, exploring career opportunities with Summit Companies may be right for you!
 Summit Companies, through its subsidiaries, is a full\-service provider for fire detection, suppression, and security with a full suite of capabilities that includes design, installation, testing, inspections, and maintenance. We serve customers across many verticals on a local, regional, and national scale. We’re proud of our well\-deserved reputation for quality work that’s completed by our talented and experienced installation workforce. Summit Companies is a dynamic organization with endless growth opportunities spanning over 100 locations in more than 30 states.
 Our company is consistently recognized for service excellence in the fire protection industry. Summit Companies supports trade skills and workforce development by hosting Recognized Apprenticeships and on\-the\-job training (OJT) programs for new career\-seekers. Many members of our leadership team serve as chair on NFPA code compliance committees, serve on regional safety boards, and support technical education in local schools. Summit Companies supports employees in their professional development by offering continued development, training, and education by encouraging NICET and other career\-advancing certifications. We continually strive to be the
 **Employer of Choice** 
 for highly motivated team members who want to succeed in a high\-growth environment. We encourage initiative, independence, diversity, and personal career growth.
 The combination of experience, knowledge, and customer service is the key to our performance and helps us achieve our goal of providing the highest quality of fire protection services to protect lives and property.
**Benefits**
 Summit Companies offers extensive training opportunities, career advancement, competitive pay, bonus opportunities, along with an
 **industry leading** 
 and affordable benefits package for eligible employees. Our benefits package includes:
* Paid Vacation and Holidays
* Medical Insurance
* Dental Insurance
* Vision Insurance
* 401(k) Plan with Company Match
* Flexible Spending Accounts
* Long\-Term Disability – Employer Paid
* Short\-Term Disability – Employer Paid
* Additional Voluntary Ancillary Benefits such as Accident and Hospital Indemnity
* Life Insurance for Team Members and Dependents
* Employee Assistance Program
* Employee Referral Program
**Our Core Values**
**PIPE**
* We are PASSIONATE about life safety
* We have INTEGRITY (Do the right thing)
* We work in PARTNERSHIP with our customers and community
* We constantly strive for OPERATIONAL EXCELLENCE (Do things right)
*Summit Companies participates in E\-Verify \&amp; in alignment with our commitment to safety, we promote a drug\-free workplace. Summit Companies is an equal\-opportunity employer committed to diversity in the workplace. All qualified applicants will receive consideration for employment without regard to race, religion, color, national origin, gender, gender identity, sexual orientation, age, status as a protected veteran, among other things, or status as a qualified individual with a disability.*</t>
        </is>
      </c>
    </row>
    <row r="58">
      <c r="A58" t="inlineStr">
        <is>
          <t>li-4351236807</t>
        </is>
      </c>
      <c r="B58" t="inlineStr">
        <is>
          <t>Data Scientist - Mobile Growth</t>
        </is>
      </c>
      <c r="C58" t="inlineStr">
        <is>
          <t>Electronic Arts (EA)</t>
        </is>
      </c>
      <c r="D58" t="inlineStr">
        <is>
          <t>linkedin</t>
        </is>
      </c>
      <c r="E58">
        <f>HYPERLINK("https://www.linkedin.com/jobs/view/4351236807", "https://www.linkedin.com/jobs/view/4351236807")</f>
        <v/>
      </c>
      <c r="F58">
        <f>HYPERLINK("https://jobs.ea.com/en_US/careers/JobDetail/Data-Scientist-Mobile-Growth-D-I/209775?source=LinkedIn&amp;urlHash=018U", "https://jobs.ea.com/en_US/careers/JobDetail/Data-Scientist-Mobile-Growth-D-I/209775?source=LinkedIn&amp;urlHash=018U")</f>
        <v/>
      </c>
      <c r="G58" t="inlineStr">
        <is>
          <t>Los Angeles, CA</t>
        </is>
      </c>
      <c r="H58" t="inlineStr"/>
      <c r="I58"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When you join D\&amp;I, you're joining a team of passionate experts working to enable more profound understanding, better ways of working, and more meaningful experiences for our players.
 We're looking for a sharp, curious, and collaborative Data Scientist to join our Growth Analytics team. You'll work closely with media buyers to build models and experiments that inform our marketing strategy. Your insights will shape how we allocate budget, measure impact, and forecast performance across digital channels.
 You'll join a tight\-knit team of five data scientists and will report directly to the Senior Manager of Data Science.
 This is a hybrid role with an expectation of 3 in\-office days per week. The position is open to candidates based near any EA office in Canada and the United States (
 *listed above* 
 )
**Responsibilities**
* Build Bayesian Hierarchical Media Mix Models (MMMs) to quantify the contribution of marketing channels
* Design and analyze geo\-based incrementality experiments and user\-level re\-engagement tests to measure the causal impact of marketing spend
* Lead the design and analysis of retargeting experiments, applying A/B testing principles to evaluate incremental impact and guide campaign optimization
* Develop budget optimization tools to support strategic decision\-making
* Create forecasting models (ie: Prophet) to project game performance
* Translate model insights into actionable recommendations, collaborate closely with media buyers and presenting results and insights to stakeholders
**Qualifications**
* Master's degree in a quantitative field (e.g., Statistics, Econometrics) and 2–5 years of experience in data science or analytics, ideally focused on marketing measurement or experimentation
* Familiarity with MMMs, causal inference techniques (e.g. CausalImpact, Fixed Effect Regression), and experimental design
* Strong experience with Python/R and SQL
* Comfort working in a Bayesian modeling framework
* Ability to communicate technical results to non\-technical stakeholders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 California (depending on location e.g. Los Angeles vs. San Francisco) \*$117,000 \- $179,600 USD
* Washington (depending on location e.g. Seattle vs. Spokane) \*$108,900 \- $145,200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59">
      <c r="A59" t="inlineStr">
        <is>
          <t>li-4354596060</t>
        </is>
      </c>
      <c r="B59" t="inlineStr">
        <is>
          <t>Data Scientist, Applied Meteorology - REMOTE</t>
        </is>
      </c>
      <c r="C59" t="inlineStr">
        <is>
          <t>E Source</t>
        </is>
      </c>
      <c r="D59" t="inlineStr">
        <is>
          <t>linkedin</t>
        </is>
      </c>
      <c r="E59">
        <f>HYPERLINK("https://www.linkedin.com/jobs/view/4354596060", "https://www.linkedin.com/jobs/view/4354596060")</f>
        <v/>
      </c>
      <c r="F59" t="inlineStr"/>
      <c r="G59" t="inlineStr"/>
      <c r="H59" t="inlineStr"/>
      <c r="I59" t="inlineStr">
        <is>
          <t>Are you an experienced data scientist looking to join an industry\-leading team? We’re looking to add expertise in our applied meteorology area and are considering levels II through IV in seniority.
 E Source develops groundbreaking data science applications that change the way utilities understand and manage their networks. We tackle challenging projects like forecasting the impact of severe weather on utility networks and optimizing vegetation management strategies. To conduct these projects, we leverage a combination of machine\-learning models, inference\-based statistics, and remote\-sensing applications. Each project or product is collaboratively developed in\-house by a data science team of diverse professional backgrounds and domain expertise. Ultimately, our work helps utilities enhance their electric reliability and prepare to adopt and deploy cutting\-edge green energy technology.
**A Little About E Source**
 E Source combines industry\-leading research, data science, and consulting to help utilities make and implement better data\-driven decisions that positively impact their customers, their bottom line, and our planet. Headquartered in Boulder, CO, we have teams across the US and Canada. Learn more at
 **www.esource.com** 
 .
**How You’ll Help**
* Fit and assess predictive models leveraging numerical weather forecasts and other data sources in Python
* Analyze retrospective and forward\-looking impact of weather on the utility grid
* Collaborate with a broader data science and engineering team to take projects and products from inception to client delivery
**What Will Make You a Great Fit**
* MS in atmospheric science, meteorology, engineering, mathematics, statistics or similar field of study, plus one year of applied experience or PhD with applied analysis in aforementioned field of study
* Minimum three years of experience conducting data science projects using spatial\-temporal weather datasets in industry or applied research, including analytical design, managing schedules, and communicating results to stakeholders
* Extensive experience fitting and assessing predictive models leveraging numerical weather forecasts in Python
* Experience conducting all phases of analysis, including data compilation, EDA, feature engineering, and generating deliverables
* Experience working as part of a larger data science team, collaborating with technical and nontechnical peers and stakeholders
**Preferred Qualifications**
* Domain expertise using remotely sensed weather observations
* Domain expertise using numerical weather prediction models (e.g., GFS, NAM, HRRR)
* Experience leveraging cloud computing infrastructure (e.g., AWS)
* Domain expertise in the utility space (electric, gas, water)
**What You Can Expect**
* Excellent insurance options, including medical, dental, and vision plans; company\-paid life insurance; company\-paid long\- and short\-term disability insurance; and medical and dependent\-care flexible spending plans.
* A flexible time off (FTO) program where you can take as many paid days off per year as they need, with manager approval, while fulfilling their work obligations and ensuring proper coverage of their responsibilities.
* Flexible schedules, flexible work locations, and a paid parental leave benefit.
* A 401(k)/RRSP plan with a 3% employer match.
**The Budgeted Salary For This Position Is**
**$90,000 to $145,000 USD \+ annual bonus** 
 .
 Actual pay will be adjusted based on experience.
 This role will be 100% remote, but occasional travel may be required.
 Applicants must be authorized to work for any employer in the US or Canada. We’re unable to sponsor or take over sponsorship of employment visas or Labour Market Impact Assessments (Cdn) at this time.
 All qualified applicants will receive consideration for employment without regard to race, color, religion, sex, sexual orientation, gender identity, national origin, disability, or status as a protected veteran.
 Employees of E Source are encouraged to apply. To foster a positive work environment and company culture, we support our employees in their career growth at E Source. Employees who are interested in similar job opportunities in the future should visit the E Source careers page for a listing of all open positions and contact Human Resources to express interest.
**We contact applicants directly via email using only our designated company email addresses with the domain of @esource.com. Please do not provide personal information to anyone over email and be wary of other accounts impersonating businesses.**</t>
        </is>
      </c>
    </row>
    <row r="60">
      <c r="A60" t="inlineStr">
        <is>
          <t>li-4354594775</t>
        </is>
      </c>
      <c r="B60" t="inlineStr">
        <is>
          <t>Data Scientist</t>
        </is>
      </c>
      <c r="C60" t="inlineStr">
        <is>
          <t>Georgia Power Company</t>
        </is>
      </c>
      <c r="D60" t="inlineStr">
        <is>
          <t>linkedin</t>
        </is>
      </c>
      <c r="E60">
        <f>HYPERLINK("https://www.linkedin.com/jobs/view/4354594775", "https://www.linkedin.com/jobs/view/4354594775")</f>
        <v/>
      </c>
      <c r="F60" t="inlineStr"/>
      <c r="G60" t="inlineStr">
        <is>
          <t>Atlanta, GA</t>
        </is>
      </c>
      <c r="H60" t="inlineStr"/>
      <c r="I60" t="inlineStr">
        <is>
          <t>**Job Title: Data Scientist**
**Company: Georgia Power**
**Organization: Strategic Support**
**Job Summary**
 We are seeking applicants who demonstrate a combination is soft skills and technical skills. Client relationships, collaboration, communication, and effort to learn the business are essential to success. From technical perspective, we are looking for applicants who have experience with machine learning, advanced analytics, coding, cloud and on\-premise environments, and a variety of data sources.
 This role focuses on supporting various departments across Customer Services, Customer Solutions, Business Development, Corporate Communications, and others. Data Scientist performs advanced and descriptive analytics that lead to better customer experience, increased operational efficiencies, and improved business profitability. This role is responsible for discovering business insights using statistics, machine learning, and visualization techniques.
 Apply today and take the next step in your career with Data Science!
**Job Requirements**
* A bachelor’s degree in Data Science, Data Analytics, Statistics, Computer Science, Engineering or a related field is required
* A master’s degree in Data Science, Data Analytics, Statistics, Computer Science, Engineering or a related field is preferred
* 4\+ years of hands\-on experience with data and analytics; with progressively increased level of responsibility
* Experience querying data from various data sources
* Proficient with one or more programming languages used for analytics, preferably Python and SQL
* Experience with Databricks is desired, but not required
* Working knowledge of predictive modeling techniques, such as linear regression, decision trees, clustering, neutral networks, etc. and experience using these methods to address real\-world business challenges
* Strong interest in AI and aptitude to learn how to develop AI solutions for Customer Experience organization
* Experience developing dashboards in Power BI or a comparable visualization platform
* Written communication skills and experience summarizing key insights in concise emails, executive summaries, and presentations
* Verbal communication skills and experience effectively presenting analytics insights in practical terms to non\-technical business audience
* Experience managing and prioritizing multiple projects simultaneously
* Ability to effectively collaborate in highly cross\-functional work environment, engage diverse stakeholders, ask questions to understand client needs, and partner with colleagues across different teams
* Behaviors rooted in our corporate values: Safety First, Intentional Inclusion, Act with Integrity, Superior Performance
**Major Job Responsibilities**
* Build relationships with internal clients to understand their goals, processes, and challenges
* Promptly respond to requests from internal clients, understand their business questions, and perform analytics to meet their business needs
* Fulfil high volume of ad\-hoc analytics requests
* Proactively suggest advanced analytics solutions to clients
* Write programs to pull data from various data sources
* Identify, gather, and prepare data for your projects
* Analyze structured (quantitative) and unstructured (text, voice recordings) data
* Develop and deploy machine learning models
* Create dashboards that automatically pull data from various data sources
* Summarize key insights from your analytics projects and provide conclusions and recommendations
* Produce analytics to enhance customer experience, improve energy affordability, and support sustainable growth
* Quantify effect of various programs and initiatives on customer energy usage, call volume, payment behaviors
* Provide insights on how our customers interact with our company across various channels in effort to improve customer service performance, optimize channels and programs
* Enable personalization and communications based on customer data
* Provide analytics to increase enrollment in energy efficiency, renewables, electric transportation, and other programs.
* Develop analytics to help grow unregulated net income
* Provide analytics to optimize operations that deliver regulated and unregulated solutions to customers
* Establish external and internal relationships to share best practices in data science, stay abreast of industry trends and emerging technologies
* Continuously learn new data sources, new platforms, and new methods.
* Demonstrate curiosity and creativity in the rapidly evolving world of data and AI.
**Georgia Power** 
 is the largest electric subsidiary of Southern Company (NYSE: SO), America's premier energy company. Value, Reliability, Customer Service and Stewardship are the cornerstones of the Company's promise to 2\.6 million customers in all but four of Georgia's 159 counties. Committed to delivering clean, safe, reliable, and affordable energy at rates below the national average, Georgia Power maintains a diverse, innovative generation mix that includes nuclear, coal and natural gas, as well as renewables such as solar, hydroelectric and wind. Georgia Power focuses on delivering world\-class service to its customers every day and the Company is recognized by J.D. Power and Associates as an industry leader in customer satisfaction. For more information, visit www.GeogiaPower.com and connect with the Company on Facebook (Facebook.com/GeorgiaPower), Twitter (Twitter.com/GeorgiaPower) and Instagram (Instagram.com/ga\_power).
 Southern Company (NYSE: SO ) is a leading energy provider serving 9 million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solutions provider with national capabilities, a fiber optics network and telecommunications services. Through an industry\-leading commitment to innovation, resilience and sustainability, we are taking action to meet customers' and communities' needs while advancing our goal of net\-zero greenhouse gas emissions by 2050\. Our uncompromising values ensure we put the needs of those we serve at the center of everything we do and are the key to our sustained success. We are transforming energy into economic, environmental and social progress for tomorrow. Our corporate culture has been recognized by a variety of organizations, earning the company awards and recognitions that reflect Our Values and dedication to service. To learn more, visit www.southerncompany.com .
 Southern Company invests in the well\-being of its employees and their families through a comprehensive total rewards strategy that includes competitive base salary, annual incentive awards for eligible employees and health, welfare and retirement benefits designed to support physical, financial, and emotional/social well\-being. This position may also be eligible for additional compensation, such as an incentive program, with the amount of any bonus/awards subject to the terms and conditions of the applicable incentive plan(s). A summary of the benefits offered for this position can be found here https://seo.nlx.org/southernco/pdf/SOCO\-Benefits.pdf . Additional and specific details about total compensation and beneﬁts will also be provided during the hiring process.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16244
 Job Category: Customer Service
 Job Schedule: Full time
 Company: Georgia Power</t>
        </is>
      </c>
    </row>
    <row r="61">
      <c r="A61" t="inlineStr">
        <is>
          <t>li-4351306752</t>
        </is>
      </c>
      <c r="B61" t="inlineStr">
        <is>
          <t>Data Scientist - Mobile Growth</t>
        </is>
      </c>
      <c r="C61" t="inlineStr">
        <is>
          <t>Electronic Arts (EA)</t>
        </is>
      </c>
      <c r="D61" t="inlineStr">
        <is>
          <t>linkedin</t>
        </is>
      </c>
      <c r="E61">
        <f>HYPERLINK("https://www.linkedin.com/jobs/view/4351306752", "https://www.linkedin.com/jobs/view/4351306752")</f>
        <v/>
      </c>
      <c r="F61" t="inlineStr"/>
      <c r="G61" t="inlineStr">
        <is>
          <t>Orlando, FL</t>
        </is>
      </c>
      <c r="H61" t="inlineStr"/>
      <c r="I61"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When you join D\&amp;I, you're joining a team of passionate experts working to enable more profound understanding, better ways of working, and more meaningful experiences for our players.
 We're looking for a sharp, curious, and collaborative Data Scientist to join our Growth Analytics team. You'll work closely with media buyers to build models and experiments that inform our marketing strategy. Your insights will shape how we allocate budget, measure impact, and forecast performance across digital channels.
 You'll join a tight\-knit team of five data scientists and will report directly to the Senior Manager of Data Science.
 This is a hybrid role with an expectation of 3 in\-office days per week. The position is open to candidates based near any EA office in Canada and the United States (
 *listed above* 
 )
**Responsibilities**
* Build Bayesian Hierarchical Media Mix Models (MMMs) to quantify the contribution of marketing channels
* Design and analyze geo\-based incrementality experiments and user\-level re\-engagement tests to measure the causal impact of marketing spend
* Lead the design and analysis of retargeting experiments, applying A/B testing principles to evaluate incremental impact and guide campaign optimization
* Develop budget optimization tools to support strategic decision\-making
* Create forecasting models (ie: Prophet) to project game performance
* Translate model insights into actionable recommendations, collaborate closely with media buyers and presenting results and insights to stakeholders
**Qualifications**
* Master's degree in a quantitative field (e.g., Statistics, Econometrics) and 2–5 years of experience in data science or analytics, ideally focused on marketing measurement or experimentation
* Familiarity with MMMs, causal inference techniques (e.g. CausalImpact, Fixed Effect Regression), and experimental design
* Strong experience with Python/R and SQL
* Comfort working in a Bayesian modeling framework
* Ability to communicate technical results to non\-technical stakeholders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 California (depending on location e.g. Los Angeles vs. San Francisco) \*$117,000 \- $179,600 USD
* Washington (depending on location e.g. Seattle vs. Spokane) \*$108,900 \- $145,200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2">
      <c r="A62" t="inlineStr">
        <is>
          <t>li-4351137014</t>
        </is>
      </c>
      <c r="B62" t="inlineStr">
        <is>
          <t>Data Scientist - Mobile Growth</t>
        </is>
      </c>
      <c r="C62" t="inlineStr">
        <is>
          <t>Electronic Arts (EA)</t>
        </is>
      </c>
      <c r="D62" t="inlineStr">
        <is>
          <t>linkedin</t>
        </is>
      </c>
      <c r="E62">
        <f>HYPERLINK("https://www.linkedin.com/jobs/view/4351137014", "https://www.linkedin.com/jobs/view/4351137014")</f>
        <v/>
      </c>
      <c r="F62" t="inlineStr"/>
      <c r="G62" t="inlineStr">
        <is>
          <t>Austin, TX</t>
        </is>
      </c>
      <c r="H62" t="inlineStr"/>
      <c r="I62"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When you join D\&amp;I, you're joining a team of passionate experts working to enable more profound understanding, better ways of working, and more meaningful experiences for our players.
 We're looking for a sharp, curious, and collaborative Data Scientist to join our Growth Analytics team. You'll work closely with media buyers to build models and experiments that inform our marketing strategy. Your insights will shape how we allocate budget, measure impact, and forecast performance across digital channels.
 You'll join a tight\-knit team of five data scientists and will report directly to the Senior Manager of Data Science.
 This is a hybrid role with an expectation of 3 in\-office days per week. The position is open to candidates based near any EA office in Canada and the United States (
 *listed above* 
 )
**Responsibilities**
* Build Bayesian Hierarchical Media Mix Models (MMMs) to quantify the contribution of marketing channels
* Design and analyze geo\-based incrementality experiments and user\-level re\-engagement tests to measure the causal impact of marketing spend
* Lead the design and analysis of retargeting experiments, applying A/B testing principles to evaluate incremental impact and guide campaign optimization
* Develop budget optimization tools to support strategic decision\-making
* Create forecasting models (ie: Prophet) to project game performance
* Translate model insights into actionable recommendations, collaborate closely with media buyers and presenting results and insights to stakeholders
**Qualifications**
* Master's degree in a quantitative field (e.g., Statistics, Econometrics) and 2–5 years of experience in data science or analytics, ideally focused on marketing measurement or experimentation
* Familiarity with MMMs, causal inference techniques (e.g. CausalImpact, Fixed Effect Regression), and experimental design
* Strong experience with Python/R and SQL
* Comfort working in a Bayesian modeling framework
* Ability to communicate technical results to non\-technical stakeholders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 California (depending on location e.g. Los Angeles vs. San Francisco) \*$117,000 \- $179,600 USD
* Washington (depending on location e.g. Seattle vs. Spokane) \*$108,900 \- $145,200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3">
      <c r="A63" t="inlineStr">
        <is>
          <t>li-4354397004</t>
        </is>
      </c>
      <c r="B63" t="inlineStr">
        <is>
          <t>Data Scientist - Remote</t>
        </is>
      </c>
      <c r="C63" t="inlineStr">
        <is>
          <t>Optum</t>
        </is>
      </c>
      <c r="D63" t="inlineStr">
        <is>
          <t>linkedin</t>
        </is>
      </c>
      <c r="E63">
        <f>HYPERLINK("https://www.linkedin.com/jobs/view/4354397004", "https://www.linkedin.com/jobs/view/4354397004")</f>
        <v/>
      </c>
      <c r="F63">
        <f>HYPERLINK("https://careers.unitedhealthgroup.com/job/22723005/data-scientist-remote-columbia-md/?src=JB-22455&amp;utm_source=linkedin.com&amp;utm_medium=job_posting&amp;urlHash=tw01", "https://careers.unitedhealthgroup.com/job/22723005/data-scientist-remote-columbia-md/?src=JB-22455&amp;utm_source=linkedin.com&amp;utm_medium=job_posting&amp;urlHash=tw01")</f>
        <v/>
      </c>
      <c r="G63" t="inlineStr">
        <is>
          <t>Columbia, MD</t>
        </is>
      </c>
      <c r="H63" t="inlineStr"/>
      <c r="I63" t="inlineStr">
        <is>
          <t>For those who want to invent the future of health care, here's your opportunity. We're going beyond basic care to health programs integrated across the entire continuum of care. Join us to start
 **Caring. Connecting. Growing together.**
 We are seeking an experienced and client\-focused Data Scientist to support The One Program Integrity (One PI) program which is an advanced analytics system hosted by CMS to detect fraud, waste, and abuse in Medicare and Medicaid programs.
 This role requires strong programming and communication skills, with expertise in healthcare data analysis, particularly Medicare and Medicaid. The ideal candidate will be proficient in developing reports, dashboards, and map visualizations using Python and SQL in Snowflake, and Databricks.
 You'll enjoy the flexibility to work remotely \* from anywhere within the U.S. as you take on some tough challenges. For all hires in the Minneapolis or Washington, D.C. area, you will be required to work in the office a minimum of four days per week.
**Primary Responsibilities**
* Serve as a customer\-facing data coach for other programmers and data scientists who are working with OnePI hosted applications and data
* Support reports developed in SAS Enterprise Guide, Snowsight and Databricks
* Build interactive reports, dashboards, and map visualizations in Databricks and Snowsight notebooks
* Analyze and interpret Medicare and Medicaid datasets to support healthcare reporting, compliance, and client deliverables
* Analyze and interpret complex digital data, such as the usage statistics of a website, especially in order to provide guidance for a business in its decision\-making
* Participate in code reviews, documentation, and agile development processes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or related field
* 8\+ years work experience in Information technology
* Experience with SAS Enterprise Guide and SAS Studio
* Hands\-on experience with Medicare and Medicaid data analysis and healthcare reporting
* Demonstrated experience in client\-facing roles with excellent verbal and written communication skills
* Solid proficiency in Snowflake and Databricks software
* Proven advanced programming skills in Python include visualizations and predictive modeling
* Proven solid command of SQL for data querying, transformation, and optimization
* Proven solid problem\-solving, collaboration, and presentation skills.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*OptumCare is a drug\-free workplace. Candidates are required to pass a drug test before beginning employment.*</t>
        </is>
      </c>
    </row>
    <row r="64">
      <c r="A64" t="inlineStr">
        <is>
          <t>li-4330510731</t>
        </is>
      </c>
      <c r="B64" t="inlineStr">
        <is>
          <t>Data Scientist III</t>
        </is>
      </c>
      <c r="C64" t="inlineStr">
        <is>
          <t>Uber Freight</t>
        </is>
      </c>
      <c r="D64" t="inlineStr">
        <is>
          <t>linkedin</t>
        </is>
      </c>
      <c r="E64">
        <f>HYPERLINK("https://www.linkedin.com/jobs/view/4330510731", "https://www.linkedin.com/jobs/view/4330510731")</f>
        <v/>
      </c>
      <c r="F64" t="inlineStr"/>
      <c r="G64" t="inlineStr">
        <is>
          <t>San Francisco, CA</t>
        </is>
      </c>
      <c r="H64" t="inlineStr"/>
      <c r="I64" t="inlineStr">
        <is>
          <t>**Schedule: Full Time Employment**
**Job Type: Hybrid**
**Salary Type: Salary**
**Req \#:1917**
**About The Role**
 We are seeking an exceptionally passionate person to join our Data Science teams and contribute to a long\-term roadmap for analytic capabilities. As a Data Scientist, you will be driving the analytics roadmap and will provide descriptive and predictive solutions to the marketing and product management team through a combination of data mining techniques as well as using statistical and machine learning techniques for segmentation and prediction. You will need to collaborate effectively with internal customers, cross\-functional teams to solve problems, create operational efficiencies, and deliver successfully against high organizational standards.
**What The Candidate Will Do**
* Perform exploratory data analysis, statistical analysis, and machine learning model development in a production environment
* Work efficiently at scale with large data sets
* Collaborate with cross\-functional teams such as product, engineering, operations, and marketing to drive system development end\-to\-end from conceptualization to productization
* Provide descriptive and predictive solutions to the marketing and product management team through a combination of data mining techniques as well as using statistical and machine learning techniques for segmentation and prediction
**Basic Qualifications**
* Bachelor’s degree in Statistics, Mathematics, Computer Science, or related field
* 3 years of related experience
* Experience with SQL, Python
**Preferred Qualifications**
* Masters with 3 years of experience or Bachelors with 5 years of relevant experience
* Knowledge of R or Java
* Advanced knowledge of experiment design and statistical methods
* Strong presentation skills
**Benefits \&amp; Compensation For U.S. Employees**
 Employees working more than 30 hours in the US at Uber Freight are eligible for benefits like a company sponsored health plan, dental and vision benefits, 401k match, financial and mental wellness benefits, parental leave, short\- and long\-term disability coverage, life insurance and more. US based employees may also be eligible for a performance or sales incentive bonus program, participation in Uber Freight equity awards, and other types of compensation depending upon the role.
**About Uber Freight**
 Uber Freight is a market\-leading enterprise technology company powering intelligent logistics. With a suite of end\-to\-end logistics applications, managed services and an expansive carrier network, Uber Freight advances supply chains and moves the world’s goods. Today, the company manages nearly $20B of freight and one of the largest networks of carriers. It is backed by best\-in\-class investors and provides services for 1 in 3 Fortune 500 companies, including Del Monte Foods, Nestle, Anheuser\-Busch InBev, and more. For more, visit www.uberfreight.com.
**Candidate Privacy Notice**
 Uber Freight is committed to protecting the privacy of our candidates. We collect and process personal data in accordance with applicable data protection laws. For detailed information on how we handle candidate data, please review our Candidate Privacy Notice.
**EEOC**
 Uber Freight is proud to be an Equal Opportunity/Affirmative Action employer. All qualified applicants will receive consideration for employment without regards to sex, gender identity, sexual orientation, race, color, religion, national origin, disability, protected Veteran status, age, or any other characteristic protected by law. We also consider qualified applicants regardless of criminal histories, consistent with legal requirements.
 For California\-based roles: The salary range for this role is $113,000\.00 \- $138,000\.00 per year</t>
        </is>
      </c>
    </row>
    <row r="65">
      <c r="A65" t="inlineStr">
        <is>
          <t>li-4351336576</t>
        </is>
      </c>
      <c r="B65" t="inlineStr">
        <is>
          <t>Data Scientist - Mobile Growth</t>
        </is>
      </c>
      <c r="C65" t="inlineStr">
        <is>
          <t>Electronic Arts (EA)</t>
        </is>
      </c>
      <c r="D65" t="inlineStr">
        <is>
          <t>linkedin</t>
        </is>
      </c>
      <c r="E65">
        <f>HYPERLINK("https://www.linkedin.com/jobs/view/4351336576", "https://www.linkedin.com/jobs/view/4351336576")</f>
        <v/>
      </c>
      <c r="F65" t="inlineStr"/>
      <c r="G65" t="inlineStr">
        <is>
          <t>Kirkland, WA</t>
        </is>
      </c>
      <c r="H65" t="inlineStr"/>
      <c r="I65"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When you join D\&amp;I, you're joining a team of passionate experts working to enable more profound understanding, better ways of working, and more meaningful experiences for our players.
 We're looking for a sharp, curious, and collaborative Data Scientist to join our Growth Analytics team. You'll work closely with media buyers to build models and experiments that inform our marketing strategy. Your insights will shape how we allocate budget, measure impact, and forecast performance across digital channels.
 You'll join a tight\-knit team of five data scientists and will report directly to the Senior Manager of Data Science.
 This is a hybrid role with an expectation of 3 in\-office days per week. The position is open to candidates based near any EA office in Canada and the United States (
 *listed above* 
 )
**Responsibilities**
* Build Bayesian Hierarchical Media Mix Models (MMMs) to quantify the contribution of marketing channels
* Design and analyze geo\-based incrementality experiments and user\-level re\-engagement tests to measure the causal impact of marketing spend
* Lead the design and analysis of retargeting experiments, applying A/B testing principles to evaluate incremental impact and guide campaign optimization
* Develop budget optimization tools to support strategic decision\-making
* Create forecasting models (ie: Prophet) to project game performance
* Translate model insights into actionable recommendations, collaborate closely with media buyers and presenting results and insights to stakeholders
**Qualifications**
* Master's degree in a quantitative field (e.g., Statistics, Econometrics) and 2–5 years of experience in data science or analytics, ideally focused on marketing measurement or experimentation
* Familiarity with MMMs, causal inference techniques (e.g. CausalImpact, Fixed Effect Regression), and experimental design
* Strong experience with Python/R and SQL
* Comfort working in a Bayesian modeling framework
* Ability to communicate technical results to non\-technical stakeholders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 California (depending on location e.g. Los Angeles vs. San Francisco) \*$117,000 \- $179,600 USD
* Washington (depending on location e.g. Seattle vs. Spokane) \*$108,900 \- $145,200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6">
      <c r="A66" t="inlineStr">
        <is>
          <t>li-4351196904</t>
        </is>
      </c>
      <c r="B66" t="inlineStr">
        <is>
          <t>Data Scientist - Mobile Growth</t>
        </is>
      </c>
      <c r="C66" t="inlineStr">
        <is>
          <t>Electronic Arts (EA)</t>
        </is>
      </c>
      <c r="D66" t="inlineStr">
        <is>
          <t>linkedin</t>
        </is>
      </c>
      <c r="E66">
        <f>HYPERLINK("https://www.linkedin.com/jobs/view/4351196904", "https://www.linkedin.com/jobs/view/4351196904")</f>
        <v/>
      </c>
      <c r="F66">
        <f>HYPERLINK("https://jobs.ea.com/en_US/careers/JobDetail/Data-Scientist-Mobile-Growth-D-I/209775?source=LinkedIn&amp;urlHash=018U", "https://jobs.ea.com/en_US/careers/JobDetail/Data-Scientist-Mobile-Growth-D-I/209775?source=LinkedIn&amp;urlHash=018U")</f>
        <v/>
      </c>
      <c r="G66" t="inlineStr">
        <is>
          <t>Kirkland, WA</t>
        </is>
      </c>
      <c r="H66" t="inlineStr"/>
      <c r="I66"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Data \&amp; Insights (D\&amp;I) team harnesses the power of data to deliver transformative insights and solutions to EA game teams and players. D\&amp;I teams are involved in every aspect of data, driving strategy and governance; building powerful data and AI applications; and developing personalization, experimentation, and analytics tools, and more. When you join D\&amp;I, you're joining a team of passionate experts working to enable more profound understanding, better ways of working, and more meaningful experiences for our players.
 We're looking for a sharp, curious, and collaborative Data Scientist to join our Growth Analytics team. You'll work closely with media buyers to build models and experiments that inform our marketing strategy. Your insights will shape how we allocate budget, measure impact, and forecast performance across digital channels.
 You'll join a tight\-knit team of five data scientists and will report directly to the Senior Manager of Data Science.
 This is a hybrid role with an expectation of 3 in\-office days per week. The position is open to candidates based near any EA office in Canada and the United States (
 *listed above* 
 )
**Responsibilities**
* Build Bayesian Hierarchical Media Mix Models (MMMs) to quantify the contribution of marketing channels
* Design and analyze geo\-based incrementality experiments and user\-level re\-engagement tests to measure the causal impact of marketing spend
* Lead the design and analysis of retargeting experiments, applying A/B testing principles to evaluate incremental impact and guide campaign optimization
* Develop budget optimization tools to support strategic decision\-making
* Create forecasting models (ie: Prophet) to project game performance
* Translate model insights into actionable recommendations, collaborate closely with media buyers and presenting results and insights to stakeholders
**Qualifications**
* Master's degree in a quantitative field (e.g., Statistics, Econometrics) and 2–5 years of experience in data science or analytics, ideally focused on marketing measurement or experimentation
* Familiarity with MMMs, causal inference techniques (e.g. CausalImpact, Fixed Effect Regression), and experimental design
* Strong experience with Python/R and SQL
* Comfort working in a Bayesian modeling framework
* Ability to communicate technical results to non\-technical stakeholders
 We want to connect you with job opportunities that align with your interests, skills, and expertise. When you create an EA Careers Account and are logged into the portal, you can click “Get Recommendations” to view a curated list of job openings. These recommendations are enhanced by automated processing, including artificial intelligence, and take into account your skills and experience. However, all employment decisions are made by our hiring teams, not by automated systems.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\*$100,000 \- $139,500 CAD
* California (depending on location e.g. Los Angeles vs. San Francisco) \*$117,000 \- $179,600 USD
* Washington (depending on location e.g. Seattle vs. Spokane) \*$108,900 \- $145,200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67">
      <c r="A67" t="inlineStr">
        <is>
          <t>li-4330178169</t>
        </is>
      </c>
      <c r="B67" t="inlineStr">
        <is>
          <t>Sr Data Scientist - Retail Industry</t>
        </is>
      </c>
      <c r="C67" t="inlineStr">
        <is>
          <t>Capgemini Engineering</t>
        </is>
      </c>
      <c r="D67" t="inlineStr">
        <is>
          <t>linkedin</t>
        </is>
      </c>
      <c r="E67">
        <f>HYPERLINK("https://www.linkedin.com/jobs/view/4330178169", "https://www.linkedin.com/jobs/view/4330178169")</f>
        <v/>
      </c>
      <c r="F67" t="inlineStr"/>
      <c r="G67" t="inlineStr"/>
      <c r="H67" t="inlineStr"/>
      <c r="I67" t="inlineStr">
        <is>
          <t>**About the Job You’re Considering** 
 Are you ready to shape the future of digital transformation through AI and machine learning? We’re looking for a Data Scientist who thrives on innovation and wants to make an impact at scale. In this role, you’ll lead high\-impact projects that drive personalization, automation, and smarter decision\-making across our digital products. You’ll collaborate with top\-tier professionals in a fast\-paced, inclusive environment, working with cutting\-edge technologies like Large Language Models (LLMs), Generative AI, and Knowledge Graphs. You’ll work on projects that truly matter, driving AI/ML adoption across a global organization. You’ll have the chance to innovate, learn, and grow alongside industry experts while contributing to a culture that values diversity, creativity, and continuous improvement. Hybrid in Philadelphia, PA – relocation available for the right candidate.
**Your Role** 
* Develop and optimize predictive and prescriptive models to extract insights and enhance decision\-making.
* Apply deep learning and neural network techniques for customer classification, segmentation, and personalization.
* Utilize MLOps to efficiently deploy, monitor, and maintain ML models in production.
* Implement and fine\-tune Large Language Models (LLMs) and Generative AI solutions for automation and user engagement.
* Explore and integrate knowledge graphs to enhance data relationships and improve AI\-driven recommendations.
* Work with data engineers to design and develop robust data pipelines for large\-scale ETL processing using SQL and cloud\-based solutions (GCP preferred).
* Write complex SQL queries for extracting, transforming, and loading (ETL) data efficiently and implement CI/CD workflows to automate model training, deployment, and monitoring.
* Collaborate in an Agile/DevOps environment, promoting a data\-centric culture and clearly communicating complex methodologies and insights to technical and non\-technical audiences.
**Your Skills and Experience** 
* 7\+ years of experience in Data Science, Machine Learning, or related fields.
* Strong expertise in Python, SQL, and modern ML frameworks (TensorFlow, PyTorch, Scikit\-Learn).
* Experience with MLOps tools (MLflow, Kubeflow, Airflow) for model deployment and monitoring.
* Proficiency in cloud platforms (GCP/AWS) and scalable data engineering.
* Strong understanding of probability theory, statistics, and experimental design (A/B Testing).
* Experience with collaborative software engineering practices (Agile, DevOps).
* Bachelor’s or Master’s degree in Computer Science, Mathematics, Engineering, or related field.
**Preferred Qualifications** 
* Experience with Knowledge Graphs and their integration into AI/ML pipelines.
* Hands\-on experience in LLMs (e.g., GPT, BERT, LLaMA, Claude) and Generative AI technologies.
* Background in Retail and Personalization Web Technologies.
* Understanding of digital ecosystems and data\-driven decision\-making.
* Proficiency in BI tools and data visualization.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65,000 engineer and scientist team members in over 30 countries across sectors including Aeronautics, Space, Defense, Naval, Automotive, Rail, Infrastructure \&amp; Transportation, Energy, Utilities \&amp;Chemicals, Life Sciences, Communications, Semiconductor \&amp; Electronics, Industrial \&amp; Consumer, Software \&amp; Internet.
 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Get the future you want \| www.capgemini.com
**Disclaimer** 
 Capgemini is an Equal Opportunity Employer encouraging inclusion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t>
        </is>
      </c>
    </row>
    <row r="68">
      <c r="A68" t="inlineStr">
        <is>
          <t>li-4330168635</t>
        </is>
      </c>
      <c r="B68" t="inlineStr">
        <is>
          <t>Data Scientist - Machine Learning</t>
        </is>
      </c>
      <c r="C68" t="inlineStr">
        <is>
          <t>Eastman</t>
        </is>
      </c>
      <c r="D68" t="inlineStr">
        <is>
          <t>linkedin</t>
        </is>
      </c>
      <c r="E68">
        <f>HYPERLINK("https://www.linkedin.com/jobs/view/4330168635", "https://www.linkedin.com/jobs/view/4330168635")</f>
        <v/>
      </c>
      <c r="F68" t="inlineStr"/>
      <c r="G68" t="inlineStr">
        <is>
          <t>Kingsport, TN</t>
        </is>
      </c>
      <c r="H68" t="inlineStr"/>
      <c r="I68" t="inlineStr">
        <is>
          <t>Founded in 1920, Eastman is a global specialty materials company that produces a broad range of products found in items people use every day. With the purpose of enhancing the quality of life in a material way, Eastman works with customers to deliver innovative products and solutions while maintaining a commitment to safety and sustainability. The company’s innovation\-driven growth model takes advantage of world\-class technology platforms, deep customer engagement, and differentiated application development to grow its leading positions in attractive end markets such as transportation, building and construction, and consumables. As a globally inclusive company, Eastman employs approximately 14,000 people around the world and serves customers in more than 100 countries. The company had 2024 revenue of approximately $9\.4 billion and is headquartered in Kingsport, Tennessee, USA. For more information, visit www.eastman.com.
**Responsibilities** 
 Data Scientists at Eastman provide actionable insights using advanced analytics to help the company make better and faster decisions. Our centralized Data \&amp; Analytics department is organized into specialized groups including Applied Statistics, AI/Machine Learning, Operations Research, and Generative AI. As a Data Scientist in AI/ML at Eastman, you will design, build, and operationalize predictive and prescriptive models that deliver measurable business impact—from optimizing manufacturing processes and accelerating product development to enabling new growth initiatives. You will collaborate closely with chemical engineers, chemists, process engineers, and business partners across manufacturing and R\&amp;D, translating complex technical challenges into scalable machine learning solutions. Our team applies MLOps best practices throughout the model lifecycle—from development and validation to production deployment within modern cloud platforms. Join us in Kingsport, TN, and apply your expertise to develop cutting\-edge AI/ML solutions that create real value.
* Network across manufacturing, R\&amp;D, and business functions to identify and collaboratively execute on challenges solvable through machine learning—from novel solutions to process optimization of existing operations
* Design, develop, and deploy machine learning models using Python for manufacturing process optimization, product development and formulation, predictive analytics, demand forecasting, and computer vision applications
* Build production\-ready ML solutions within enterprise platforms (Databricks, Azure ML) including model training, containerization, endpoint deployment, and monitoring
* Develop and maintain scalable, modular, well\-documented code following MLOps best practices including version control, logging/metadata standards, and CI/CD principles
* Participate in code reviews, architectural discussions, and knowledge sharing to maintain high\-quality, production\-ready deliverables across the team
* Clearly communicate machine learning methodology, results, and business impact to technical and non\-technical stakeholders through presentations, documentation, and visualizations
* Collaborate with chemical engineers, chemists, process engineers, control engineers, statisticians, and business intelligence experts to integrate ML solutions into manufacturing operations, product development, and business processes
* Support ML governance processes including Responsible AI Council reviews, risk assessments, and compliance with enterprise standards
**Qualifications** 
**Required:** 
* M.S. or Ph.D. in a relevant field such as Data Science, Statistics, Mathematics, Computer Science, or Operations Research with zero to two years of experience
* Strong foundation in statistical and machine learning theory with ability to select, apply, and evaluate appropriate techniques for complex problems
* Hands\-on experience building predictive models and deploying them to production environments using Python
* Proficiency with modern ML frameworks (scikit\-learn, XGBoost/CatBoost, TensorFlow/PyTorch) and data manipulation libraries (pandas, polars)
* Experience with version control (Git), collaborative development, and code review processes
* Strong written and oral communication skills with ability to present technical concepts to diverse audiences from shop floor to executive leadership
**Preferred:** 
* Experience with MLOps platforms (Databricks, Azure ML, MLflow) and containerization (Docker)
* Background in Chemical Engineering, Industrial Engineering, Chemistry, Materials Science, or related technical disciplines
* Knowledge of manufacturing processes, chemical engineering principles, or product development
* Experience with time\-series forecasting, computer vision, or hybrid modeling (physics\-informed ML)
* Familiarity with cloud platforms (Azure), data warehousing, and SQL
* Experience using data science techniques to solve to real\-world problems and communicate their value
**Location:** 
 Kingsport, TN (in\-person/hybrid)
 Eastman will not accept applicants for this offered position who require visa sponsorship, including those whose status is F\-1 visa OPT who subsequently would require ongoing visa sponsorship.
*Eastman Chemical Company is an equal opportunity employer. All qualified applicants will receive consideration for employment without regard to age, race, color, religion, sex, sexual orientation, gender identity, national origin, disability, pregnancy, veteran status or any other protected classes as designated by law.* 
*Eastman is committed to creating a highly engaged workforce, where everyone can contribute to their fullest potential each day.*</t>
        </is>
      </c>
    </row>
    <row r="69">
      <c r="A69" t="inlineStr">
        <is>
          <t>li-4334851569</t>
        </is>
      </c>
      <c r="B69" t="inlineStr">
        <is>
          <t>Senior Data Scientist</t>
        </is>
      </c>
      <c r="C69" t="inlineStr">
        <is>
          <t>Momentum Worldwide</t>
        </is>
      </c>
      <c r="D69" t="inlineStr">
        <is>
          <t>linkedin</t>
        </is>
      </c>
      <c r="E69">
        <f>HYPERLINK("https://www.linkedin.com/jobs/view/4334851569", "https://www.linkedin.com/jobs/view/4334851569")</f>
        <v/>
      </c>
      <c r="F69">
        <f>HYPERLINK("https://www.momentumww.com/opportunities/?gh_jid=8247644002&amp;gh_src=ea42041f2us&amp;urlHash=P2Bo", "https://www.momentumww.com/opportunities/?gh_jid=8247644002&amp;gh_src=ea42041f2us&amp;urlHash=P2Bo")</f>
        <v/>
      </c>
      <c r="G69" t="inlineStr">
        <is>
          <t>New York, NY</t>
        </is>
      </c>
      <c r="H69" t="inlineStr"/>
      <c r="I69" t="inlineStr">
        <is>
          <t>**WHAT WE ARE LOOKING FOR**
 At Momentum we believe in delivering solutions to our clients that are anchored in insights and analytics. Senior Data Scientists are a key component of the Analytics team. From creating proprietary measurement tools, to structuring and analyzing data, implementing and interpreting models that feed business\-improving insights, and putting it all together into presentations that bring the story to life for our clients; Senior Data Scientists work closely with the rest of the team to help execute the broader vision for their account, and to continually evolve our Data Science solutions.
 The ideal candidate should be intellectually curious and have an evidence\-based approach to decision\-making, have a definitive point of view and share it in a positive way, and get excited by a good challenge. We are looking for prior experience in marketing analytics, ideally in the digital creative and media space, but this isn’t necessarily a requirement. At least 2\-3 years of prior professional experience is highly desired.
**HERE'S WHAT YOU'LL DO (RESPONSIBILITIES)**
* Take analytical objectives and define data requirements. Extract, clean, and transform both customer level, and aggregated data for analysis, modeling, segmentation and reporting
* Design and interpret randomized controlled tests to study a variety of marketing stimuli
* Design, estimate, tune, score and maintain advanced statistical and mathematical models (e.g. classification, numeric forecasts, customer segmentation, customer propensity, attribution, etc.)
* Produce accurate statistical analysis and ensure high quality of the data analysis produced
* Interpret, document and present/communicate analytical results to multiple business disciplines, providing conclusions and recommendations.
* Supporting Momentum’s values
* All other duties as assigned
**HERE’S WHAT WE’RE LOOKING FOR (QUALIFICATIONS \&amp; REQUIREMENTS)**
* Bachelors Degree preferred, preferably in a STEM field, or equivalent work experience
* 2\+ years work experience in quantitative analysis with proven results in leveraging customer/transaction to address business objectives
* Highly proficient in at least one popular programming language used for Machine Learning, such as Python or R
* Prior agency experience strongly desired
* Strong knowledge of Relational Databases and SQL programming
* Solid understanding of mathematical modeling, probability and statistics, and the design and simulation of stochastic systems.
* Familiarity with the mathematics behind important statistical learning algorithms such as ARIMA, Linear Regression, Logistic Regression, Centroid\-based and Hierarchical Clustering, Principal Component Analysis (PCA), Decision Trees/Random Forest, Bayesian Inference, Markov Chain Monte\-Carlo (MCMC)
* Familiarity with common advanced marketing analytics solutions such as Marketing Mix Modeling (MMM), Multi\-touch Attribution (MTA), and Dynamic Content Optimization (DCO)
* Strong communication skills. Ability to speak and write professionally. Ability and comfort with presenting work by phone or within small groups.
* World\-class customer service skills. Ability to service clients, partners and internal stakeholders by understanding their needs, translating those needs into creative solutions, and delivering on those solutions with diligence and a sense of urgency
* Must be familiar with the capabilities and mechanics of a broad range of marketing measurements and technologies such as Ad Servers, DSP, DMPs, CRMs, and Syndicated Research
* Exceptional relationship and influencing skills
* Experienced in strategic thinking and ability to see, articulate and drive to the big picture
* Passion and solution orientated approach to problem solving
* Exceptional verbal \&amp; written communication skills and adept at communicating effectively across all levels
* Highly developed presentation and delivery skills
* Ability to perform well in fast changing environments.
* Exceptional client management skills
**SALARY RANGE**
 The salary range for this position is $120,000 to $130,000\. Where an employee or prospective employee is paid within this range will depend on, among other factors, actual ranges for current/former employees in the subject position; market considerations; location and region; budgetary considerations; tenure and standing with the company (applicable to current employees); as well as the employee’s/applicant’s background, pertinent experience, and qualifications.
**About Us \- Momentum Worldwide**
 Momentum is an agency of doers. We make the industry’s most disruptive, entertaining, shareable, unforgettable experiences for our clients and their fans. We do it by bringing people closer to what they love, in original and unexpected ways. Whether it’s a physical activation, a virtual experience, or a piece of unique branded content, it’s all part of what we call the Total Brand Experience — ideas that solve business challenges, through best\-in\-class Consulting, Strategy, Analytics, Experience Design, and Production.
 We want you to help brands do amazing, unprecedented, wild things, creating experiences that people never forget.
**What Can You Expect From Momentum**
**At Momentum, we expect our employees to embody our values!**
 Our Core Values of Be One, Do Great Work, Have Fun, Give Back and Grow empower an environment where we challenge ourselves professionally and encourage each other personally.
**At Momentum, we make** 
**our differences matter!**
 Who we are matters. We choose to hire diverse voices from all walks of life. We choose to make our culture one where everyone can be their authentic self and speak in their voice. We choose to give each other permission to get things wrong, so we can learn to make them right. We choose to celebrate the bravery of our peers and we choose to be collectively responsible.
**At Momentum, we make our actions matter!**
 Making it matter means always choosing the sustainable option. It means designing waste out from the start. It means working with the right materials. Sourcing locally, innovating off\-the\-shelf solutions and reusing and repurposing. It means powering smarter. Travelling less. And only working with vendors who do the same. Make it matter means becoming the first experiential agency in the world to receive 2 ISO certifications.
**At Momentum, we make our people matter!**
 We choose to make your workplace part of your wellbeing. We choose a hybrid work model. We choose no meeting Fridays. We choose to let ourselves take as much Time Well Taken (vacation) as we need. We choose education programs that help our people develop professionally and personally. We choose tuition reimbursement. We choose to match your 401K. We choose to make your financial wellbeing our priority. We choose to make our people’s lives matter.
*At Momentum Worldwide, we value diversity and the uniqueness of all people. We thrive in an inclusive environment, and we recruit, hire and promote without regard to race, gender, age, color, gender identity, gender expression, sexual orientation, ethnic or national origin, citizenship, religion, sexual preference, military or veteran status, marital status, family status, physical or mental disability – or any other legally protected categories as set forth in the applicable state, federal or local laws. This policy applies to all aspects of employment including training, compensation, benefits and all other privileges of employment.*
*We make our careers website accessible to any and all users. If you need an accommodation to participate in the application process, please contact us at JobAppAccommodation@ipgdxtra.com. This email address is not for general employment inquiries or vendors; rather it is strictly for applicants who require special assistance accessing our employment website. Due to volume, messages sent to this email address that are not related to an accommodation cannot be answered.*</t>
        </is>
      </c>
    </row>
    <row r="70">
      <c r="A70" t="inlineStr">
        <is>
          <t>li-4354388693</t>
        </is>
      </c>
      <c r="B70" t="inlineStr">
        <is>
          <t>Staff Data Scientist, Growth</t>
        </is>
      </c>
      <c r="C70" t="inlineStr">
        <is>
          <t>Pearl Health</t>
        </is>
      </c>
      <c r="D70" t="inlineStr">
        <is>
          <t>linkedin</t>
        </is>
      </c>
      <c r="E70">
        <f>HYPERLINK("https://www.linkedin.com/jobs/view/4354388693", "https://www.linkedin.com/jobs/view/4354388693")</f>
        <v/>
      </c>
      <c r="F70" t="inlineStr"/>
      <c r="G70" t="inlineStr"/>
      <c r="H70" t="inlineStr"/>
      <c r="I70" t="inlineStr">
        <is>
          <t>**The Opportunity**
 We are seeking a sales\-oriented Staff Data Scientist – think Sales Engineer, but for Data Science – who can lead complex, cross\-functional initiatives and communicate deep technical nuance to sophisticated, but non\-technical audiences. You will function as a strategic bridge between our Data Science and Growth teams, not only giving voice to analyses but proactively identifying and mitigating project risks weeks in advance. You should be an effective coordinator across verticals and a strategic thinker with a deep understanding of current business needs and industry trends.
 The role will leverage and extend our analytic platform to design an ecosystem of explanatory tooling that will provide an explicability layer for our underwriting models. You will align these interpretability projects with an evolving and highly seasonal go\-to\-market motion, utilizing GenAI as a strategic thought partner to accelerate system design. Additionally, you will influence the strategy and technical choices that impact the company’s financial offer, sales motion and risk management framework, by providing high\-level feedback to colleagues on how we can further differentiate and elevate Pearl’s offerings in a competitive sales environment while intelligently managing Pearl’s financial exposure.
**Who We Are**
 Pearl Health is dedicated to empowering primary care providers, health systems, and physician\-led networks to succeed in the shift to value\-based care. Our platform delivers the technology, financial tools, and expert services that enable practices to provide more proactive, effective care to their Medicare patients, ultimately lowering costs and improving health outcomes.
 Founded in 2020, we are a team of healthcare and technology innovators backed by premier investors like Andreessen Horowitz, Viking Global Investors, and AlleyCorp. We partner with thousands of providers across 44 states to build a more sustainable future for American healthcare.
**What a Data Scientist, Growth is responsible for (during the sales season):**
* Engaging with sales leads as a “human explicability layer,” up\-leveling understanding for non\-technical audiences to ensure that complex underwriting results are communicated clearly to drive sales. While you will have direct contact with prospects, you will also identify opportunities to automate explicability through robust technical systems. Crucially, you will use points of friction or resonance observed in the field to inspire the roadmap for our core ML team, ensuring our models and features evolve in direct response to market needs and stakeholder feedback.
* Leading complex and dynamic collaborations between the Data Science and Growth teams. This requires not just organizing resources, but proactively identifying and mitigating risks to ensure SLAs are met or exceeded.
* Helping us refine the competitiveness of our value\-based care contracts. You will anticipate stakeholder needs and provide strategic guidance on which aspects of our sales offerings are compelling, proactively proposing new work based on these business insights.
* Ensuring quality and availability of various data sources. You will set standards for code quality and reproducibility regarding lead information, sales touchpoints, and financial analyses.
**What a Data Scientist, Growth is responsible for (outside of the sales season):**
* Leveraging a deep understanding of ML concepts (e.g., using SHAP or feature importance but also less formal quantitative instinct) to consult on the application of payment models. You will develop a deep orientation to the core team’s outputs, ensuring our financial logic is both accurate and explainable for provider\-facing scenarios.
* Designing and engineering analytics tooling to stress\-test our underwriting outputs. You will use your technical expertise to contemplate where models may be weak and investigate corner cases, ensuring our growth motion is supported by high\-fidelity, defensible data in the upcoming season.
* Deepening knowledge of healthcare models. Developing a deep understanding of industry trends (e.g., LEAD, REACH, MSSP, Medicare Advantage) and data heterogeneity to align with Pearl's strategic roadmap.
* Evaluating vendors and technologies. Participating in evaluations for core technologies to help us better understand our customers and the market.
**Who You Are**
* 8\+ years of experience in performing results\-driven quantitative analysis in a healthcare management or professional consulting environment.
* A degree in statistics, applied math, computer science, engineering or a related field (e.g., healthcare policy) is strongly preferred.
* SQL expertise and strong foundation in at least one of the main data science programming languages (Python, R, Julia, Scala, Matlab). Python is our current primary language and is preferred.
* Eloquent communicator who can communicate deep technical nuance to internal teams while up\-leveling understanding for lay audiences.
* Relish synthesizing the complexity of the healthcare/financial ecosystem into actionable insights that provide value to providers.
* A proven mentor who fosters a culture of technical rigor and mentors more junior team members.
* A proven ability to apply research and analytic models to inform growth operations, with a high "hit rate" that indicates accurate intuition for promising nascent research.
**Our Values**
 🤝 Collaborate to Innovate: We believe the best solutions arise from intelligent teamwork. We trust the expertise of our teammates and pursue opportunities to learn and grow from each other. By embracing diverse perspectives and encouraging authenticity, we create and evangelize groundbreaking health solutions.
 🗣️ Trust Through Transparency: We prioritize transparency in all our interactions, ensuring that employees, patients, clinicians and partners have access to the information they need to make informed decisions. Integrity is at the core of how we operate, from building products to fostering relationships, and is crucial to our ability to communicate openly and gain trust.
 ❤️ Serious Impact, Big Heart: We go above and beyond with our efforts to empower proactive, patient\-centered care — and we celebrate every step forward. Humor and positivity fuel our creativity, strengthen relationships, and remind us to acknowledge the journey as much as the destination.
*We are an Equal Opportunity Employer on a mission to improve lives. Our strength comes from the diverse backgrounds, experiences, and perspectives of our team. We welcome all candidates and are committed to a fair, inclusive hiring process free from discrimination.*
**What we offer**
 The expected offer for this role includes the following components:
* Base Salary Range: $160,000 \- $200,000 per year.
* Additional Compensation: This role is eligible for a discretionary performance bonus and equity options.
* Benefits: We offer a competitive benefits package. More on our careers page.
*Final compensation for this role will be determined by a variety of factors, including a candidate's relevant skills, experience, labor market conditions, and location.*
**Agency Submissions**
 We are not currently working with contingency search firms. If a resume is submitted to any Pearl Health employee by a third party without a valid written and signed search agreement, it will become the property of Pearl Health and no fee will be paid, irrespective of whether the candidate is hired.
**The Interview Process**
 While steps may vary by role, you can typically expect:
* Recruiter Screen: An intro call to discuss your background and motivations.
* Technical Assessment: A technical take\-home via Coderbyte.
* Hiring Manager Interview: A deeper\-dive conversation with your potential manager.
* Panel Interview: A round of meetings with teammates and cross\-functional partners.
* Executive Interviews: Final conversations with 1\-2 of our leaders.</t>
        </is>
      </c>
    </row>
    <row r="71">
      <c r="A71" t="inlineStr">
        <is>
          <t>li-4328912225</t>
        </is>
      </c>
      <c r="B71" t="inlineStr">
        <is>
          <t>Data Scientist</t>
        </is>
      </c>
      <c r="C71" t="inlineStr">
        <is>
          <t>Recruiting from Scratch</t>
        </is>
      </c>
      <c r="D71" t="inlineStr">
        <is>
          <t>linkedin</t>
        </is>
      </c>
      <c r="E71">
        <f>HYPERLINK("https://www.linkedin.com/jobs/view/4328912225", "https://www.linkedin.com/jobs/view/4328912225")</f>
        <v/>
      </c>
      <c r="F71" t="inlineStr"/>
      <c r="G71" t="inlineStr"/>
      <c r="H71" t="inlineStr"/>
      <c r="I71" t="inlineStr">
        <is>
          <t>**Who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
**About Our Client:** 
 A pioneer in K–12 education since 2000, we are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we serve more than 10 million students in all 50 states. We are a leader in creating immersive, rigorous digital learning experiences that look great, play great, and help students expect great things of themselves. We have been described as the best tech company in education, and the best education company in tech.
**Role:** 
 As a
 **Data Scientist** 
 , you will join our
 **Supply Chain Analytics team** 
 , where data science directly impacts how educational materials reach classrooms across the country. You will develop machine learning models to forecast demand, optimize inventory, and reduce operational costs across tens of thousands of ISBNs and hundreds of millions of dollars in annual revenue.
 You will work on a
 **cross\-functional scrum team** 
 alongside Analytics Engineers and Data Analysts to build production\-grade data products. This role reports to the
 **Data Science Manager for Sales, Marketing, and Finance** 
 , giving you the opportunity to influence decisions across the entire data stack—from raw data ingestion to executive\-facing insights.
 Your work will have a tangible impact on ensuring students and educators receive the right materials, at the right time, at the right cost.
**What You’ll Do:** 
 Our Data Science team builds advanced analytics and machine learning solutions that power strategic decision\-making across the organization. In this role, you will:
* **Develop, train, and deploy machine learning models** 
 to forecast demand, optimize inventory levels, and improve supply chain efficiency
* Contribute across the
 **full machine learning lifecycle** 
 , including research, feature engineering, model evaluation, deployment, and monitoring
* Apply advanced statistical and time series methods to uncover patterns, explain drivers, and recommend actionable strategies
* Partner cross\-functionally with Supply Chain, Analytics Engineering, and business stakeholders to deliver high\-quality, production\-ready data products
* Participate in data ingestion, transformation, modeling, and analysis to ensure end\-to\-end ownership of solutions
* Translate complex analyses into
 **clear, compelling narratives** 
 for non\-technical partners
* Help elevate the broader Data Science practice by leading learning sessions, sharing best practices, and proposing new tools or architectures
**Example Projects You Might Work On:** 
* Building and deploying
 **time series forecasting models** 
 to predict demand across thousands of SKUs with seasonal and regional variability
* Optimizing inventory placement and replenishment strategies to reduce stockouts and excess inventory
* Developing model monitoring frameworks to detect drift and ensure long\-term forecasting accuracy
* Partnering with Finance to quantify cost savings and revenue impact from improved forecasting accuracy
* Collaborating with Analytics Engineers to productionize models using cloud\-based ML platforms
**Basic Requirements:** 
* **2\+ years of experience** 
 in a Data Scientist role focused on
 **supply chain forecasting, demand planning, or logistics optimization**
* Strong foundation in
 **statistical methods and time series forecasting** 
 (e.g., SARIMA, Prophet, XGBoost)
* Expert\-level
 **Python** 
 skills for data cleaning, analysis, and modeling
* Expert\-level
 **SQL** 
 skills for data analysis and exploration
* Experience training and evaluating machine learning models using libraries such as
 **scikit\-learn, PyTorch, XGBoost, or tidymodels**
* Experience deploying machine learning models into production environments (e.g.,
 **AWS SageMaker, Databricks, Snowpark ML** 
 )
* Familiarity with software development best practices, including
 **git\-based version control and testing**
* Excellent written and verbal communication skills, especially when working with non\-technical stakeholders
* Demonstrated ability to lead self\-directed projects and collaborate cross\-functionally
**Preferred Requirements:** 
* Experience working with
 **Snowflake**
* Familiarity with
 **container technologies** 
 such as Docker and Kubernetes
* Background in
 **education, edtech, or mission\-driven organizations**
**What We Offer:** 
 Salary is only one component of the Total Rewards package, which includes a 401(k) plan, competitive health insurance and mental health options, basic life insurance, paid time off, parental leave, and access to best\-in\-class development programs.
 The
 **gross annual salary range for this role is $100,000 – $132,000** 
 , and the position is eligible for an
 **annual discretionary bonus** 
 based on individual and company performance.</t>
        </is>
      </c>
    </row>
    <row r="72">
      <c r="A72" t="inlineStr">
        <is>
          <t>li-4354377836</t>
        </is>
      </c>
      <c r="B72" t="inlineStr">
        <is>
          <t>Data Scientist</t>
        </is>
      </c>
      <c r="C72" t="inlineStr">
        <is>
          <t>Venteon</t>
        </is>
      </c>
      <c r="D72" t="inlineStr">
        <is>
          <t>linkedin</t>
        </is>
      </c>
      <c r="E72">
        <f>HYPERLINK("https://www.linkedin.com/jobs/view/4354377836", "https://www.linkedin.com/jobs/view/4354377836")</f>
        <v/>
      </c>
      <c r="F72" t="inlineStr"/>
      <c r="G72" t="inlineStr"/>
      <c r="H72" t="inlineStr"/>
      <c r="I72" t="inlineStr">
        <is>
          <t>**SUMMARY** 
 Our client, a fast\-growing and innovative organization, is expanding its data and analytics team and seeking a
 **Data Scientist** 
 to build predictive models, uncover insights, and drive data\-informed decisions. This role partners with leadership and cross\-functional teams to turn complex datasets into actionable intelligence that supports efficiency and growth.
**ESSENTIAL DUTIES \&amp; RESPONSIBILITIES** 
 • Design, develop, and implement data\-driven solutions using machine learning, statistics, and advanced analytics.
 • Identify business opportunities through data analysis and optimization.
 • Build, test, and validate predictive models and algorithms.
 • Conduct A/B tests and evaluate model performance.
 • Create reports, dashboards, and visualizations to communicate insights.
 • Collaborate across teams to deploy and monitor models in production.
 • Explore new data sources, tools, and technologies to improve capabilities.
**EDUCATION \&amp; EXPERIENCE** 
 • Bachelor’s in Data Science, Computer Science, Statistics, Math, Engineering, or related field.
 • 5\+ years of experience in data analysis, machine learning, or statistical modeling.
 • Skilled in Python, R, MATLAB, SQL, Power BI, or Tableau.
 • Experience with large datasets and data platforms (Hadoop, SAS, Teradata, etc.).
 • Strong analytical, communication, and collaboration skills.
 • Candidates must be based in the Metro Detroit area; sponsorship is not available for this role.</t>
        </is>
      </c>
    </row>
    <row r="73">
      <c r="A73" t="inlineStr">
        <is>
          <t>li-4354537157</t>
        </is>
      </c>
      <c r="B73" t="inlineStr">
        <is>
          <t>Data Scientist (Active Secret Clearance required)</t>
        </is>
      </c>
      <c r="C73" t="inlineStr">
        <is>
          <t>CompQsoft</t>
        </is>
      </c>
      <c r="D73" t="inlineStr">
        <is>
          <t>linkedin</t>
        </is>
      </c>
      <c r="E73">
        <f>HYPERLINK("https://www.linkedin.com/jobs/view/4354537157", "https://www.linkedin.com/jobs/view/4354537157")</f>
        <v/>
      </c>
      <c r="F73" t="inlineStr"/>
      <c r="G73" t="inlineStr">
        <is>
          <t>Huntsville, AL</t>
        </is>
      </c>
      <c r="H73" t="inlineStr"/>
      <c r="I73" t="inlineStr">
        <is>
          <t>Job Title: Data Scientist
 Location: Remote (Huntsville, AL)
 Duration: Long Term
 Clearance: Active Secret
 Under general direction, apply knowledge of mathematics, statistics, modeling, business analysis, and technology to transform high volumes of complex data into analytic solutions. Develop and maintain data visualizations using Tableau. Evaluate accuracy and quality of data sources as well as the designed models. Evaluate new and existing data sources, processes, and architecture to develop recommendations. May use expertise to design, develop code, test, and debug software in multiple programming languages. May work in one or several areas such as equipment or software design, engineering evaluation, or test configuration management procedures, statistical analysis, and modeling.
**Requirements**
 Qualifications:
* Strong Tableau visualization development skills
* Strong Oracle data analysis skills and ability to write/read SQL
* Experience in data analytics, predictive analytics, mathematics, statistics, or similar field
* Experience developing predictive or statistical models such as regressions, decision trees, neural networks, developing simulations, or performing optimizations using ILOG CPLEX, AnyLogic, or similar software package
* Demonstrated skill and experience in analyzing data using Excel or other methods
* Experience using SQL or other programming language to write complex queries, perform data analysis, extract data, and manipulate data
* Experience in data preparation, manipulation, and cleansing for large datasets
 Education and years of experience: MA/MS and 10\+yrs experience or BA/BS w/12\+yrs experience
 About Us: CompQsoft Inc. Established in 1997, headquarters in Houston, TX and office in Leesburg, VA. CompQsoft offers a range of comprehensive Cyber Security, Infrastructure, Cloud solutions, ERP implementation, Business Intelligence, Application development, Ecommerce applications and Management consulting services. CompQsoft is Certified CMMI Level 3 practitioner for Development and Services, ISO 9001:2015, ISO 27001:2013 \&amp; ISO 200001:2011 Certified. CompQsoft is a fast growing company with a strategy and methodology that is strongly focused on the success of our clients, predominantly the Federal government.
 CompQsoft provides equal opportunity in all aspects of employment and in the working environment to all employees and applicants. CompQsoft does not take any nonmerit factors like race, color, religion, sex (gender), mental/physical disability, and age into account for purposes of recruitment, hiring and development.</t>
        </is>
      </c>
    </row>
    <row r="74">
      <c r="A74" t="inlineStr">
        <is>
          <t>li-4330540671</t>
        </is>
      </c>
      <c r="B74" t="inlineStr">
        <is>
          <t>Data Scientist (Supply Chain)</t>
        </is>
      </c>
      <c r="C74" t="inlineStr">
        <is>
          <t>DLA Careers</t>
        </is>
      </c>
      <c r="D74" t="inlineStr">
        <is>
          <t>linkedin</t>
        </is>
      </c>
      <c r="E74">
        <f>HYPERLINK("https://www.linkedin.com/jobs/view/4330540671", "https://www.linkedin.com/jobs/view/4330540671")</f>
        <v/>
      </c>
      <c r="F74">
        <f>HYPERLINK("https://www.usajobs.gov:443/job/853545200&amp;urlHash=_eEv", "https://www.usajobs.gov:443/job/853545200&amp;urlHash=_eEv")</f>
        <v/>
      </c>
      <c r="G74" t="inlineStr">
        <is>
          <t>Philadelphia, PA</t>
        </is>
      </c>
      <c r="H74" t="inlineStr"/>
      <c r="I74" t="inlineStr">
        <is>
          <t>**Summary**
 See below for important information regarding this job.
 Duties
 Help
* Solving problems encountered in the gathering, conditioning, analysis, and integration of large and heterogenous volumes of data related to supply chain security risk assessments.
* Applying scientific methods, including but not limited to, decision tree analytics and probability to research and improve supply chain risk assessment processes and develop the associated models, policies, and procedures for DLA.
* Applying scientific methods, including but not limited to, game theory and statistical analysis to research and improve supply chain risk assessment processes and develop the associated models, policies, and procedures for DLA.
* Performing professional work in data science, artificial intelligence, system analysis, risk analysis, predictive analysis, complex computer simulation, program/project planning and controls, and other related areas.
* Providing technical direction, planning, and leadership to create and implement new agency data and supply chain risk assessment policies and processes.
* Formulating and developing sophisticated models and techniques for quantitative evaluation and assessment of supply chain risks and their effect on accomplishing agency and customer missions.
* Preparing comprehensive technical reports of completed assessments assuring adequate correlation of data, integration of all pertinent considerations, and substantiation of conclusions.
* Preparing, presenting, and defending project briefings/recommendations to senior government and commercial industry personnel.
**Requirements**
 Help
 Conditions of employment
* Must be a U.S. citizen
* Tour of Duty: Full\-Time, Flexible
* Security Requirements: Tier 3/Non\-Critical Sensitive
* Appointment is subject to the completion of a favorable suitability or fitness determination, where reciprocity cannot be applied; unfavorably adjudicated background checks will be grounds for removal.
* Fair Labor Standards Act (FLSA): Exempt
* Selective Service Requirement: Males born after 12\-31\-59 must be registered or exempt from Selective Service.
* Recruitment Incentives: Not Authorized
* Bargaining Unit Status: Yes
* Pre\-Employment Physical: Not Required
* Selectees are required to have a REAL ID or other acceptable identification documents to access certain federal facilities. See https://www.tsa.gov/real\-id for more information.
* You will be a Mission Essential employee. This requires you to work during an emergency to ensure continuation of essential functions. You may be required to work at the designated duty location, a telework site, or an alternate location/facility.
**Qualifications**
 To qualify for a Data Scientist (Supply Chain), your resume and supporting documentation
 **must support both A and B requirements** 
 :
* Basic Requirement: Degree in mathematics, statistics, computer science, data science or field directly related to the position. The degree must be in a major field of study (at least at the baccalaureate level) that is appropriate for the position.
**OR**
 Combination of education and experience, courses equivalent to a major field of study (30 semester hours) as shown in the paragraph above, plus additional education or appropriate experience.
**AND**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Specialized Experience: One year of specialized experience that equipped you with the particular competencies to successfully perform the duties of the position and is directly in or related to this position. To qualify at the GS\-13 level, applicants must possess one year of specialized experience equivalent to the GS\-12 level or equivalent under other pay systems in the Federal service, military, or private sector. Applicants must meet eligibility requirements, minimum qualifications, and any other regulatory requirements by the cut\-off/closing date of the announcement. Creditable specialized experience includes:
* Applying programming languages such as Python or R to perform advanced statistical analysis, machine learning, model development, or simulation.
* Serving as a senior data analyst to manipulate and transform large, complex datasets utilizing query tools, and to develop risk assessment models/methods.
* Developing predictive or prescriptive models using machine learning frameworks such as scikit\-learn, TensorFlow, or PyTorch.
* Creating analytic dashboards, visualizations, or decision\-support tools using Tableau, Power BI, or similar platforms.
* Using version control systems (e.g., Git) to manage code repositories and collaborative analytical projects.
* Demonstrating expert knowledge of standard and innovative data science, artificial intelligence, system analysis, risk analysis, predictive analysis, complex computer simulation, program/project planning, and controls techniques.
 Education
 Substitution of education may
 **not** 
 be used in lieu of Specialized Experience for this grade level, but
 **may** 
 be used to meet the Basic Requirement.
 Are you using your education to qualify? You MUST provide transcripts or other documentation to support your educational claims. Unless otherwise stated: Unofficial transcripts are acceptable at time of application.
 GRADUATE EDUCATION: One academic year of graduate education is considered to be the number of credits hours that your graduate school has determined to represent one academic year of full\-time study. Such study may have been performed on a full\-time or part\-time basis. If you cannot obtain your graduate school's definition of one year of graduate study, 18 semester hours (or 27 quarter hours) should be considered as satisfying the requirement for one year of full\-time graduate study.
 FOREIGN EDUCATION: If you are using education completed in foreign colleges or universities to meet the qualification requirements, you must show that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Additional information
**For Important General Applicant Information and Definitions go to:** 
 http://www.dla.mil/portals/104/documents/careers/GenAppInfoDef.pdf
**Reemployed Annuitants:** 
 This position does not meet criteria for appointment of Reemployed Annuitants. The DoD criteria for hiring Reemployed Annuitants can be found at: https://www.esd.whs.mil/Portals/54/Documents/DD/issuances/140025/140025\_vol300\.PDF
**Information for Veterans** 
 is available at: https://www.dla.mil/Careers/Programs/. As of 23 December 2016, Military retirees seeking to enter federal service in the Department of Defense now require a waiver if they would be appointed within 180 days following their official date of retirement.
**Drug\-Free Workplace Policy**
 The Defense Logistics Agency (DLA) is committed to maintaining a safe, drug\-free workplace. All DLA employees are required to refrain from illegal drug use on and off duty. DLA conducts pre\-employment, reasonable suspicion, post\-accident, and random drug testing.
 Applicants tentatively selected for employment in testing designated positions will undergo a urinalysis to screen for illegal drug use prior to appointment. Refusal to undergo testing or testing positive for illegal drugs will result in withdrawal of the tentative job offer and a six\-month denial of employment with DLA from the date of the drug test. Employees in drug testing designated positions are subject to random drug testing.
 The DLA drug testing panel tests for the following substances: marijuana, cocaine, opiates, heroin, phencyclidine, amphetamines, methamphetamines, fentanyl, norfentanyl, methylenedioxymethamphetamine (MDMA), methylenedioxyamphetamine (MDA), and opioids.
**ADVISORY: Use of cannabidiol (CBD) products may result in a positive drug test for marijuana. DLA employees are subject to Federal law and under Federal law, Marijuana is a Schedule I drug and is illegal.**
 Additional guidance on writing a federal resume can be found at: USAJOBS Help Center \- How do I write a resume for a federal job? The resume builder can help you create a resume using these recommendations and uses the information in your USAJOBS profile to help you get started.
 Candidates should be committed to improving the efficiency of the Federal government, passionate about the ideals of our American republic, and committed to upholding the rule of law and the United States Constitution.
 Help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t>
        </is>
      </c>
    </row>
    <row r="75">
      <c r="A75" t="inlineStr">
        <is>
          <t>li-4354517695</t>
        </is>
      </c>
      <c r="B75" t="inlineStr">
        <is>
          <t>STAFF APPLIED SCIENTIST</t>
        </is>
      </c>
      <c r="C75" t="inlineStr">
        <is>
          <t>Usermind</t>
        </is>
      </c>
      <c r="D75" t="inlineStr">
        <is>
          <t>linkedin</t>
        </is>
      </c>
      <c r="E75">
        <f>HYPERLINK("https://www.linkedin.com/jobs/view/4354517695", "https://www.linkedin.com/jobs/view/4354517695")</f>
        <v/>
      </c>
      <c r="F75">
        <f>HYPERLINK("https://www.qualtrics.com/careers/us/en/job/7441117/Staff-Applied-Scientist&amp;urlHash=l3OR", "https://www.qualtrics.com/careers/us/en/job/7441117/Staff-Applied-Scientist&amp;urlHash=l3OR")</f>
        <v/>
      </c>
      <c r="G75" t="inlineStr">
        <is>
          <t>Seattle, WA</t>
        </is>
      </c>
      <c r="H75" t="inlineStr"/>
      <c r="I75" t="inlineStr">
        <is>
          <t>BACK TO SEARCH RESULTS
 Previous job Next job
**Job Description**
 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**Staff Applied Scientist**
**Why We Have This Role**
 We are looking for a talented and innovative Staff Applied Scientist to bring our Machine Learning and Artificial Intelligence R\&amp;D and strategy to the next level. Our goal is to personalize the Qualtrics experience using ML and AI features showcasing Qualtrics data as a core value proposition and competitive advantage. This team partners with application teams to deliver ML algorithms and models that drive efficiency, innovation, and growth. They identify business needs and define strategies where Qualtrics can most benefit from AI technologies and they conduct ML modeling with deep expertise and rigor, including model selection, training, fine\-tuning, customization, explainability, and evaluation.
**How You’ll Find Success**
* Leverage your deep knowledge of artificial intelligence (AI) principles, including machine learning, natural language processing, computer vision, and reinforcement learning.
* Use your understanding of both supervised and unsupervised learning techniques, and their applications in building intelligent systems.
* Develop and optimize algorithms for building scalable and efficient GenAI applications.
* Tackle challenging problems in creative ways, leveraging generative models to address real\-world use cases and drive innovation.
* Use effective communication skills to articulate technical concepts to non\-technical stakeholders and gather requirements for GenAI application development.
* Show strong programming skills in languages like Python, along with proficiency in deep learning frameworks such as TensorFlow, PyTorch, or similar.
**How You’ll Grow**
* Passion for leveraging cutting\-edge AI technology to create innovative GenAI applications that have a meaningful impact on businesses, industries, and society.
* Commitment to developing GenAI applications that adhere to ethical standards and promote positive societal impact while minimizing potential risks.
* Drive to push the boundaries of what's possible with AI, and to contribute to the advancement of the field through research, experimentation, and collaboration.
* Willingness to stay updated with the latest advancements in AI research and technology, and to continuously learn and adapt to new methodologies and best practices.
* Agility to pivot and iterate on GenAI applications based on feedback, emerging trends, and changing business requirements.
**Things You’ll Do**
* Work as part of a multidisciplinary team to research, implement, evaluate, optimize, productize and maintain cutting\-edge machine learning models to meet the demands of our rapidly growing business
* Stay on top of the latest developments in machine learning and related research, and present research findings with the broader community
* Work closely with, and incorporate feedback from other specialists, engineers, and product managers
* Lead and engage in design reviews, modeling discussions, requirement definitions and other technical activities in diverse capacity
* Mentor and grow junior scientists, drive best practices for experimentation, reproducibility, monitoring and lifecycle management, and ensure models are reliable, scalable and impactful in production
**What We’re Looking For On Your Resume**
* Bachelors and Graduate Degree in Computer Science or related fields
* 7\+ years of industrial research experience in machine learning, NLP, information retrieval, deep learning or a related field.
* Deep learning implementation expertise (MxNet, TensorFlow, PyTorch etc)
* Excellent communication, writing and presentation skills
* Excellent command of at least one modern programming language (preferably Python)
* Excellent problem solving ability
* Deep understanding of machine learning model life cycle management
* Depth in one or more of the following: Natural Language processing, information retrieval, speech processing, deep learning, reinforcement learning, etc.
* Knowledge of or experience in building production quality and large scale deployment of applications related to machine learning
* Comfortable working in a fast paced, highly collaborative, dynamic work environment.
* Experience in machine learning systems (e.g. SageMaker, MLFlow), and deep learning frameworks (e.g. TensorFlow, PyTorch, MXNet etc)
* Preference for a publication record in top\-tier ML and NLP conferences (e.g. NeurIPS, ICML, SIGIR, ICLR, ACL, EMNLP, etc.)
**What You Should Know About This Team**
* The Data Intelligence Center of Excellence (DICE) organization provides AI/ML research and development services for all product lines.
* We are a global team spanning across the US, Canada and Europe.
* We stay on top of the latest AI technologies and apply the state of the art to customer business problems.
**Our Team’s Favorite Perks And Benefits**
* Wellness Reimbursement for $300 per quarter for wellness activities including gym memberships, spa massages, workout equipment, meditation apps, and much more.
* $1800 Experience bonus to be used for an “Experience” of your choosing
* Amazing QGroup Communities; MOSAIQ, Green Team, Qualtrics Pride, Q\&amp;Able, Qualtrics Salute, and Women’s Leadership Development, which exist as places for support, allyship, and advocacy.
**The Qualtrics Hybrid Work Model** 
 :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\#hybrid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Laws:Family \&amp; Medical Leave Act, Equal Opportunity Employment,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
*For full\-time positions* 
 , this pay range is for base per year; however, base pay offered within this range may vary depending on location, job\-related knowledge, education, skills, and experience. A sign\-on bonus and restricted stock units may be included in an employment offer. Full\-time employees are eligible for medical, dental, vision, life and disability, 401(k) with match, paid time off, a wellness reimbursement, mental health benefits, and an experience bonus. For a detailed look at our benefits, visit Qualtrics US Benefits.
 Washington State Annual Pay Transparency Range
 $220,000—$315,000 USD
 Close the popup
 APPLY NOW
 Get notified for similar jobs
 You'll receive updates once a week
 Enter Email address (Required)
 Manage alerts
 Failure!
 Get tailored job recommendations based on your interests.
 profile icon
 4 hours.
 Sign up
 Profile recommendations
 No recommendations found
 Similar Jobs
* $index" data\-ph\-at\-id\="jobs\-list\-item" data\-ps\="2913fba8\-li\-1" v\-phw\-setting\="" au\-target\-id\="1718"\&gt;
 Manager, Machine Learning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Principal Software Engineer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Principal Product Manager \- Agentic // Experience Agents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Software Engineer II \- DSX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Principal Chief of Staff \- Product \&amp; Design (PxE)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Product Operations Leader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Senior Manager, PXE Transformation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Engineering Director, IT Infrastructure and Operations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 $index" data\-ph\-at\-id\="jobs\-list\-item" data\-ps\="2913fba8\-li\-1" v\-phw\-setting\="" au\-target\-id\="1718"\&gt;
 Senior Manager\- Head of Product PMO
* \|\| (\['category'].indexOf(eachAttr.name) !\= \-1 \&amp;\&amp; eachJob.category) \|\| (eachJob\[eachAttr.name] \&amp;\&amp; (\['title','multi\_location', 'multi\_category', 'descriptionTeaser','location'].indexOf(eachAttr.name) \=\= \-1\))" data\-ps\="2913fba8\-span\-41" v\-phw\-setting\="" class\="au\-target hide dual\-category aurelia\-hide" au\-target\-id\="1874"\&gt; 1\)) \|\| (\['category'].indexOf(eachAttr.name) !\= \-1 \&amp;\&amp; eachJob.category) \|\| (eachJob\[eachAttr.name] \&amp;\&amp; (\['title','multi\_location', 'multi\_category', 'descriptionTeaser','location'].indexOf(eachAttr.name) \=\= \-1\))" data\-ps\="2913fba8\-span\-41" v\-phw\-setting\="" class\="au\-target dual\-location dual\-category" au\-target\-id\="1874"\&gt; Location Seattle, Washington, United States 1\)) \|\| (\['category'].indexOf(eachAttr.name) !\= \-1 \&amp;\&amp; eachJob.category) \|\| (eachJob\[eachAttr.name] \&amp;\&amp; (\['title','multi\_location', 'multi\_category', 'descriptionTeaser','location'].indexOf(eachAttr.name) \=\= \-1\))" data\-ps\="2913fba8\-span\-41" v\-phw\-setting\="" class\="au\-target dual\-location dual\-category" au\-target\-id\="1874"\&gt; Category Engineering, Product, \&amp; UX Design
 No recommendations found
 Jobseekers Also Viewed
 " key\-aria\-label\="widgetHeadingText" show.bind\="!showLoader \&amp;\&amp; jobResults.length" data\-ps\="0d4ec29e\-div\-2" v\-phw\-setting\="" au\-target\-id\="2226"\&gt;
 Jobseekers Also Viewed
* $index" data\-ph\-at\-id\="jobs\-list\-item" data\-ps\="0d4ec29e\-li\-1" v\-phw\-setting\="" au\-target\-id\="2233"\&gt;
 Manager, Machine Learning
 Location Seattle, Washington, United States Category Engineering, Product, \&amp; UX Design
 At Qualtrics, we create software the world’s best brands use to deliver exceptional frontline experiences, build high\-performing teams, and design products people love. But we are more than a platform
* $index" data\-ph\-at\-id\="jobs\-list\-item" data\-ps\="0d4ec29e\-li\-1" v\-phw\-setting\="" au\-target\-id\="2233"\&gt;
 Experience Management Scientist \- CX Center of Excellence
 Location Provo, Utah, United States Category Corporate Strategy \&amp; Go To Market Operations
 At Qualtrics, we create software the world’s best brands use to deliver exceptional frontline experiences, build high\-performing teams, and design products people love. But we are more than a platform
* $index" data\-ph\-at\-id\="jobs\-list\-item" data\-ps\="0d4ec29e\-li\-1" v\-phw\-setting\="" au\-target\-id\="2233"\&gt;
 Executive Assistant
 Location Provo, Utah, United States Category People
 At Qualtrics, we create software the world’s best brands use to deliver exceptional frontline experiences, build high\-performing teams, and design products people love. But we are more than a platform
 No recommendations found</t>
        </is>
      </c>
    </row>
    <row r="76">
      <c r="A76" t="inlineStr">
        <is>
          <t>li-4330450871</t>
        </is>
      </c>
      <c r="B76" t="inlineStr">
        <is>
          <t>Staff Data Scientist, Core Data &amp; Analytics</t>
        </is>
      </c>
      <c r="C76" t="inlineStr">
        <is>
          <t>Ibotta</t>
        </is>
      </c>
      <c r="D76" t="inlineStr">
        <is>
          <t>linkedin</t>
        </is>
      </c>
      <c r="E76">
        <f>HYPERLINK("https://www.linkedin.com/jobs/view/4330450871", "https://www.linkedin.com/jobs/view/4330450871")</f>
        <v/>
      </c>
      <c r="F76" t="inlineStr"/>
      <c r="G76" t="inlineStr">
        <is>
          <t>Denver, CO</t>
        </is>
      </c>
      <c r="H76" t="inlineStr"/>
      <c r="I76" t="inlineStr">
        <is>
          <t>Ibotta is seeking a
 **Staff Data Scientist, Core Data \&amp; Analytics** 
 to join our innovative team and contribute to our mission to Make Every Purchase Rewarding. Our growing Core Data \&amp; Analytics Data Science Team provides high\-quality, on\-time data science\-related products and services across all business areas and teams within Ibotta. We do this by providing thought leadership, subject matter expertise, evangelism and governance of business\-critical data science initiatives. This role will be primarily focused on building data assets and analytics solutions for the revenue organization.
 As a Staff Data Scientist, you’ll have the unique, challenging, and rewarding opportunity to be responsible for using the latest developments in statistics and machine learning. Using these skills, you will identify and build strategic opportunities to grow the business, support initiatives, and drive value. In addition, you will be expected to build accurate and reliable Machine Learning models for use throughout the organization. You’ll be able to create and own greenfield opportunities to make big positive impacts on the revenue organization. You’ll have the chance to own the data science technology of one or more critical initiatives core business domains, from collaborating with stakeholders, through the full model development lifecycle.
 This position is located in Denver, Colorado as a hybrid position requiring 3 days in office (Tuesday, Wednesday, and Thursday). Candidates must live in the United States.
**What you will be doing:**
* Provide subject matter expertise and ownership of one or more foundational models involving measurement, forecasting, or optimization of our content
* Establish and lead best practices, setting the example for the team
* Initiate and drive collaboration with stakeholders, architects, and data engineers to discover, define, cleanse, and refine the data needed for analysis and modeling
* Analyze large and novel datasets to extract actionable insights to inform model development and understand consumer behavior
* Provide customized views of large and complex datasets to support data analysis and business decision\-making
* Inform experimental design to formulate solutions addressing major business challenges and innovation opportunities
* Build models using a variety of statistical and machine learning techniques, from selecting the best type of model for the problem to using advanced techniques to measure and optimize model performance
* Harden data pipelines and models for production deployment and monitoring of performance over time as required
* Become an expert of the Ibotta Data Ecosystem and how various teams leverage Ibotta’s suite of data to answer domain specific business questions through advanced analytic techniques
* Provide mentoring and education to this team and other teams across the company
* Embrace and uphold Ibotta’s Core Values of Integrity, Boldness, Ownership, Teamwork, Transparency, \&amp; A good idea can come from anywhere
**What we are looking for:**
* 7\+ years of experience making significant positive impacts in a professional data science or machine learning role
* Bachelor’s degree in Computer Science, Engineering, Analytics or a related field required
* A history of and passion for driving important decisions using data and data storytelling
* A love of learning and continuous development, including staying at the forefront of the latest advances in data science and machine learning. Broad\-scale community contributions to the fields of data science and machine learning in the way of conference presentations, professional publications, and/or recognized internet presence are a strong plus
* Expert\-level knowledge, skills, and abilities in creating, developing, and applying a variety of new or existing machine learning and statistical algorithms
* Expert\-level Python knowledge, skills, and abilities. Spark/PySpark and MLOps experience is a strong plus
* Excellent statistical analysis skills, with a solid understanding of experimental design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Lifestyle Spending Account, Employee Stock Purchase Program, and 401k match. Denver office perks include paid parking, snacks, and occasional meals.
* Base compensation range: $152,000 \- $175,000\. Total compensation for this role also includes a variable component in addition to base salary.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\#BI\-Hybrid</t>
        </is>
      </c>
    </row>
    <row r="77">
      <c r="A77" t="inlineStr">
        <is>
          <t>li-4351205763</t>
        </is>
      </c>
      <c r="B77" t="inlineStr">
        <is>
          <t>Senior Data Scientist</t>
        </is>
      </c>
      <c r="C77" t="inlineStr">
        <is>
          <t>Via</t>
        </is>
      </c>
      <c r="D77" t="inlineStr">
        <is>
          <t>linkedin</t>
        </is>
      </c>
      <c r="E77">
        <f>HYPERLINK("https://www.linkedin.com/jobs/view/4351205763", "https://www.linkedin.com/jobs/view/4351205763")</f>
        <v/>
      </c>
      <c r="F77">
        <f>HYPERLINK("https://viamatch.ai/en-us/?utm_campaign=job_ad&amp;utm_source=linkedin&amp;urlHash=Ehk7", "https://viamatch.ai/en-us/?utm_campaign=job_ad&amp;utm_source=linkedin&amp;urlHash=Ehk7")</f>
        <v/>
      </c>
      <c r="G77" t="inlineStr">
        <is>
          <t>Atlanta, GA</t>
        </is>
      </c>
      <c r="H77" t="inlineStr"/>
      <c r="I77" t="inlineStr">
        <is>
          <t>**Senior Data Scientist – Supply Chain Optimization** 
 We’re hiring a
 **Senior Data Scientist** 
 to work on complex, real\-world supply chain problems using
 **optimization, mathematical modelling, and advanced analytics** 
 .
 This role sits at the intersection of data science, operations research, and software engineering, and focuses on building decision\-making models that directly power a modern supply chain planning platform.
**What You’ll Work On** 
* Build and improve
 **optimization and simulation models** 
 across inventory, demand, production, and network planning
* Apply
 **operations research and advanced analytics** 
 to large, complex datasets
* Partner with engineers to
 **deploy models into production** 
 within a SaaS environment
* Improve model accuracy using
 **statistical and machine\-learning techniques**
* Support customer\-facing teams by troubleshooting and refining optimisation logic
* Document models, assumptions, and technical approaches clearly
**What We’re Looking For** 
* 3\+ years’ experience in
 **data science, operations research, or applied analytics**
* Master’s degree in
 **Operations Research, Applied Mathematics, Industrial Engineering** 
 , or similar
* Strong experience with
 **Python** 
 and optimisation techniques (LP, MIP, stochastic models)
* Experience with solvers such as
 **Gurobi or CPLEX**
* Familiarity with
 **supply chain concepts**
* Ability to explain complex ideas clearly to non\-technical stakeholders
**Why You’ll Like It Here** 
* Flexible Paid Time Off
* 11 company\-paid holidays
* Up to 6% 401(k) match
* Competitive medical, dental, and vision coverage
* $50/month wellness reimbursement
* $75/month internet reimbursement
* Real\-world impact, modern tech, and a product\-led engineering culture</t>
        </is>
      </c>
    </row>
    <row r="78">
      <c r="A78" t="inlineStr">
        <is>
          <t>li-4319046407</t>
        </is>
      </c>
      <c r="B78" t="inlineStr">
        <is>
          <t>Senior Data Scientist</t>
        </is>
      </c>
      <c r="C78" t="inlineStr">
        <is>
          <t>Capgemini</t>
        </is>
      </c>
      <c r="D78" t="inlineStr">
        <is>
          <t>linkedin</t>
        </is>
      </c>
      <c r="E78">
        <f>HYPERLINK("https://www.linkedin.com/jobs/view/4319046407", "https://www.linkedin.com/jobs/view/4319046407")</f>
        <v/>
      </c>
      <c r="F78" t="inlineStr"/>
      <c r="G78" t="inlineStr">
        <is>
          <t>New York, NY</t>
        </is>
      </c>
      <c r="H78" t="inlineStr"/>
      <c r="I78"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**Job Description \- Grade Specific**
 Responsible for helping the company leverage data, working with the team of data scientists and engineers to provide valuable direction and make informed decisions concerning the product, growth, and engagement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79">
      <c r="A79" t="inlineStr">
        <is>
          <t>li-4351296592</t>
        </is>
      </c>
      <c r="B79" t="inlineStr">
        <is>
          <t>Data Scientist</t>
        </is>
      </c>
      <c r="C79" t="inlineStr">
        <is>
          <t>Jerry</t>
        </is>
      </c>
      <c r="D79" t="inlineStr">
        <is>
          <t>linkedin</t>
        </is>
      </c>
      <c r="E79">
        <f>HYPERLINK("https://www.linkedin.com/jobs/view/4351296592", "https://www.linkedin.com/jobs/view/4351296592")</f>
        <v/>
      </c>
      <c r="F79" t="inlineStr"/>
      <c r="G79" t="inlineStr">
        <is>
          <t>Palo Alto, CA</t>
        </is>
      </c>
      <c r="H79" t="inlineStr"/>
      <c r="I79"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0">
      <c r="A80" t="inlineStr">
        <is>
          <t>li-4343151951</t>
        </is>
      </c>
      <c r="B80" t="inlineStr">
        <is>
          <t>Senior Data Scientist – Healthcare Analytics &amp; AI</t>
        </is>
      </c>
      <c r="C80" t="inlineStr">
        <is>
          <t>Ensora Health</t>
        </is>
      </c>
      <c r="D80" t="inlineStr">
        <is>
          <t>linkedin</t>
        </is>
      </c>
      <c r="E80">
        <f>HYPERLINK("https://www.linkedin.com/jobs/view/4343151951", "https://www.linkedin.com/jobs/view/4343151951")</f>
        <v/>
      </c>
      <c r="F80">
        <f>HYPERLINK("https://therapybrands.wd1.myworkdayjobs.com/EnsoraHealth/job/Remote\u002d\u002d-Georgia/Senior-Data-Scientist\u002d\u002d-Healthcare-Analytics\u002d\u002d-AI_R400?source=LinkedIn&amp;urlHash=knwk", "https://therapybrands.wd1.myworkdayjobs.com/EnsoraHealth/job/Remote\u002d\u002d-Georgia/Senior-Data-Scientist\u002d\u002d-Healthcare-Analytics\u002d\u002d-AI_R400?source=LinkedIn&amp;urlHash=knwk")</f>
        <v/>
      </c>
      <c r="G80" t="inlineStr">
        <is>
          <t>Georgia, United States</t>
        </is>
      </c>
      <c r="H80" t="inlineStr"/>
      <c r="I80"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We are seeking an experienced Senior Data Scientist with a strong background in healthcare analytics, statistical modeling, and machine learning. In this role, you will work on complex datasets from diverse healthcare sources to develop predictive models, perform advanced statistical analysis, and extract actionable insights. You will play a key role in building data\-driven solutions that improve patient outcomes, optimize clinical workflows, and enable next\-generation AI\-powered healthcare applications.
* Advanced Statistical Modeling: Apply rigorous statistical techniques (regression, hypothesis testing, survival analysis) to healthcare data for predictive and prescriptive analytics.
* Time Series Analysis: Develop models for forecasting and anomaly detection in longitudinal healthcare data (e.g., patient vitals, treatment timelines).
* Feature Engineering: Design and implement robust feature extraction and transformation pipelines for structured and unstructured healthcare data.
* Large\-Scale Data Handling: Work with high\-volume datasets from EHRs, claims, and sensor data using distributed computing frameworks (Spark, Dask).
* Predictive Modeling: Build and validate machine learning models for risk stratification, disease progression, and patient engagement.
* Data Quality \&amp; Governance: Ensure compliance with healthcare data standards (HIPAA, HL7, FHIR) and maintain data integrity.
* Visualization \&amp; Communication: Create compelling dashboards and visualizations to communicate insights to clinicians and business stakeholders.
* Collaboration: Partner with product managers, engineers, and clinical experts to translate business needs into data\-driven solutions.
**Required Qualifications**
* Education: Master’s or Ph.D. in Statistics, Data Science, Computer Science, or related field.
* Experience: 5\+ years in data science roles, with at least 2 years in healthcare analytics.
* Statistical Expertise: Strong knowledge of regression models, Bayesian methods, and hypothesis testing.
* Time Series \&amp; Forecasting: Hands\-on experience with ARIMA, Prophet, or deep learning\-based time series models.
* Programming Skills: Proficiency in Python (pandas, NumPy, scikit\-learn), SQL, and experience with PostgreSQL or similar databases.
* Big Data Tools: Experience with Spark, Hadoop, or cloud\-based data platforms (AWS, Azure, GCP).
* Feature Engineering: Proven ability to design features for complex healthcare datasets.
* Domain Knowledge: Familiarity with clinical terminologies, EHR systems, and healthcare workflows.
 Additional Information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 
**sora Health** 
 ,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81">
      <c r="A81" t="inlineStr">
        <is>
          <t>li-4351166778</t>
        </is>
      </c>
      <c r="B81" t="inlineStr">
        <is>
          <t>Data Scientist</t>
        </is>
      </c>
      <c r="C81" t="inlineStr">
        <is>
          <t>Jerry</t>
        </is>
      </c>
      <c r="D81" t="inlineStr">
        <is>
          <t>linkedin</t>
        </is>
      </c>
      <c r="E81">
        <f>HYPERLINK("https://www.linkedin.com/jobs/view/4351166778", "https://www.linkedin.com/jobs/view/4351166778")</f>
        <v/>
      </c>
      <c r="F81" t="inlineStr"/>
      <c r="G81" t="inlineStr">
        <is>
          <t>Los Angeles, CA</t>
        </is>
      </c>
      <c r="H81" t="inlineStr"/>
      <c r="I81"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2">
      <c r="A82" t="inlineStr">
        <is>
          <t>li-4351206708</t>
        </is>
      </c>
      <c r="B82" t="inlineStr">
        <is>
          <t>Data Scientist</t>
        </is>
      </c>
      <c r="C82" t="inlineStr">
        <is>
          <t>Jerry</t>
        </is>
      </c>
      <c r="D82" t="inlineStr">
        <is>
          <t>linkedin</t>
        </is>
      </c>
      <c r="E82">
        <f>HYPERLINK("https://www.linkedin.com/jobs/view/4351206708", "https://www.linkedin.com/jobs/view/4351206708")</f>
        <v/>
      </c>
      <c r="F82">
        <f>HYPERLINK("https://jobs.ashbyhq.com/Jerry.ai/937a3ac1-fe7e-4fa9-bfd5-7428a3259b4a?utm_source=6Vdva5VPyD&amp;urlHash=6Kw5", "https://jobs.ashbyhq.com/Jerry.ai/937a3ac1-fe7e-4fa9-bfd5-7428a3259b4a?utm_source=6Vdva5VPyD&amp;urlHash=6Kw5")</f>
        <v/>
      </c>
      <c r="G82" t="inlineStr">
        <is>
          <t>New York, NY</t>
        </is>
      </c>
      <c r="H82" t="inlineStr"/>
      <c r="I82"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3">
      <c r="A83" t="inlineStr">
        <is>
          <t>li-4351196712</t>
        </is>
      </c>
      <c r="B83" t="inlineStr">
        <is>
          <t>Data Scientist</t>
        </is>
      </c>
      <c r="C83" t="inlineStr">
        <is>
          <t>Jerry</t>
        </is>
      </c>
      <c r="D83" t="inlineStr">
        <is>
          <t>linkedin</t>
        </is>
      </c>
      <c r="E83">
        <f>HYPERLINK("https://www.linkedin.com/jobs/view/4351196712", "https://www.linkedin.com/jobs/view/4351196712")</f>
        <v/>
      </c>
      <c r="F83" t="inlineStr"/>
      <c r="G83" t="inlineStr">
        <is>
          <t>Dallas, TX</t>
        </is>
      </c>
      <c r="H83" t="inlineStr"/>
      <c r="I83"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4">
      <c r="A84" t="inlineStr">
        <is>
          <t>li-4351126923</t>
        </is>
      </c>
      <c r="B84" t="inlineStr">
        <is>
          <t>Data Scientist</t>
        </is>
      </c>
      <c r="C84" t="inlineStr">
        <is>
          <t>Jerry</t>
        </is>
      </c>
      <c r="D84" t="inlineStr">
        <is>
          <t>linkedin</t>
        </is>
      </c>
      <c r="E84">
        <f>HYPERLINK("https://www.linkedin.com/jobs/view/4351126923", "https://www.linkedin.com/jobs/view/4351126923")</f>
        <v/>
      </c>
      <c r="F84">
        <f>HYPERLINK("https://jobs.ashbyhq.com/Jerry.ai/4bfd7a47-c4b2-46ec-bf2c-4df6a90655d0?utm_source=6Vdva5VPyD&amp;urlHash=76Vp", "https://jobs.ashbyhq.com/Jerry.ai/4bfd7a47-c4b2-46ec-bf2c-4df6a90655d0?utm_source=6Vdva5VPyD&amp;urlHash=76Vp")</f>
        <v/>
      </c>
      <c r="G84" t="inlineStr">
        <is>
          <t>Las Vegas, NV</t>
        </is>
      </c>
      <c r="H84" t="inlineStr"/>
      <c r="I84"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5">
      <c r="A85" t="inlineStr">
        <is>
          <t>li-4351296563</t>
        </is>
      </c>
      <c r="B85" t="inlineStr">
        <is>
          <t>Data Scientist</t>
        </is>
      </c>
      <c r="C85" t="inlineStr">
        <is>
          <t>Jerry</t>
        </is>
      </c>
      <c r="D85" t="inlineStr">
        <is>
          <t>linkedin</t>
        </is>
      </c>
      <c r="E85">
        <f>HYPERLINK("https://www.linkedin.com/jobs/view/4351296563", "https://www.linkedin.com/jobs/view/4351296563")</f>
        <v/>
      </c>
      <c r="F85" t="inlineStr"/>
      <c r="G85" t="inlineStr">
        <is>
          <t>Portland, OR</t>
        </is>
      </c>
      <c r="H85" t="inlineStr"/>
      <c r="I85"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6">
      <c r="A86" t="inlineStr">
        <is>
          <t>li-4351176830</t>
        </is>
      </c>
      <c r="B86" t="inlineStr">
        <is>
          <t>Data Scientist</t>
        </is>
      </c>
      <c r="C86" t="inlineStr">
        <is>
          <t>Jerry</t>
        </is>
      </c>
      <c r="D86" t="inlineStr">
        <is>
          <t>linkedin</t>
        </is>
      </c>
      <c r="E86">
        <f>HYPERLINK("https://www.linkedin.com/jobs/view/4351176830", "https://www.linkedin.com/jobs/view/4351176830")</f>
        <v/>
      </c>
      <c r="F86">
        <f>HYPERLINK("https://jobs.ashbyhq.com/Jerry.ai/4bfd7a47-c4b2-46ec-bf2c-4df6a90655d0?utm_source=6Vdva5VPyD&amp;urlHash=76Vp", "https://jobs.ashbyhq.com/Jerry.ai/4bfd7a47-c4b2-46ec-bf2c-4df6a90655d0?utm_source=6Vdva5VPyD&amp;urlHash=76Vp")</f>
        <v/>
      </c>
      <c r="G86" t="inlineStr">
        <is>
          <t>Denver, CO</t>
        </is>
      </c>
      <c r="H86" t="inlineStr"/>
      <c r="I86"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7">
      <c r="A87" t="inlineStr">
        <is>
          <t>li-4330292527</t>
        </is>
      </c>
      <c r="B87" t="inlineStr">
        <is>
          <t>Senior Data Scientist - PGIM Global Services (Hybrid - Newark, NJ)</t>
        </is>
      </c>
      <c r="C87" t="inlineStr">
        <is>
          <t>PGIM</t>
        </is>
      </c>
      <c r="D87" t="inlineStr">
        <is>
          <t>linkedin</t>
        </is>
      </c>
      <c r="E87">
        <f>HYPERLINK("https://www.linkedin.com/jobs/view/4330292527", "https://www.linkedin.com/jobs/view/4330292527")</f>
        <v/>
      </c>
      <c r="F87">
        <f>HYPERLINK("https://pru.wd5.myworkdayjobs.com/Careers/job/Newark-NJ-USA/Senior-Data-Scientist\u002d\u002d-PGIM-Global-Services\u002d\u002dHybrid\u002d\u002d-Newark\u002d\u002dNJ-_R-122691-2/apply&amp;urlHash=RiHG", "https://pru.wd5.myworkdayjobs.com/Careers/job/Newark-NJ-USA/Senior-Data-Scientist\u002d\u002d-PGIM-Global-Services\u002d\u002dHybrid\u002d\u002d-Newark\u002d\u002dNJ-_R-122691-2/apply&amp;urlHash=RiHG")</f>
        <v/>
      </c>
      <c r="G87" t="inlineStr">
        <is>
          <t>Newark, NJ</t>
        </is>
      </c>
      <c r="H87" t="inlineStr"/>
      <c r="I87" t="inlineStr">
        <is>
          <t>**Job Classification**
 Technology \- Data Analytics \&amp; Management
 As the Global Asset Management business of Prudential, we’re always looking for ways to improve financial services. We’re passionate about making a meaningful impact \- touching the lives of millions and solving financial challenges in an ever\-changing world.
 We also believe talent is key to achieving our vision and are intentional about building a culture on respect and collaboration. When you join PGIM, you’ll unlock a motivating and impactful career – all while growing your skills and advancing your profession at one of the world’s leading global asset managers!
 If you’re not afraid to think differently and challenge the status quo, come and be a part of a dedicated team that’s investing in your future by shaping tomorrow today. At PGIM, You Can!
 PGIM Data Science is a newly established team and you will join it as key founding member. As the Data Scientist for PGIM, you play a pivotal role in shaping and executing PGIM’s data\-driven strategy, specifically in asset management area. You will partner with other cross\-functional teams, data engineers, financial analysts and business leaders to shape the future of PGIM’s data landscape. This role closely engages with the development of advanced data science projects and data driven insights to significantly elevate business outcomes. You will solve meaningful business problems using advanced machine learning models.
 This role is based in our office in Newark, NJ. Our organization follows a hybrid work structure where employees can work remotely and/ from the office, as needed, based on demands of specific tasks or personal work preferences. This position is hybrid and requires your on\-site presence on a reoccurring weekly basis 3 days per week and can change based on future updates to the company’s in\-office presence policy.
**Responsibilities**
* Drive the development, deployment, and optimization of advanced machine learning models for financial applications, ensuring scalability, accuracy, and robustness.
* Design and implement machine learning models, including regression, classification, clustering, time\-series forecasting, natural language processing (NLP) and reinforcement learning for cross\-divisional asset management mandate.
* Build robust feature engineering pipelines by leveraging financial data sources, transactional datasets, and alternative data.
* Ensure model interpretability and risk mitigation, aligning with model risk management and governance frameworks.
* Conduct model validation, back\-testing, and performance monitoring, implementing adaptive strategies based on market conditions.
* Collaborate with quantitative researchers, financial analysts, and engineering teams to integrate models into real\-time production environments.
* Optimize model efficiency, robustness, and compliance with regulatory guidelines.
**Qualifications**
* A minimum of a Master’s degree in Statistics, Data Science, Applied Mathematics, Computer Science, or comparable quantitative disciplines. PhD is preferred.
* 1\+ years of working experience in advanced machine learning techniques, including:
* Reinforcement Learning (Q\-learning, deep Q\-networks, policy gradient methods)
* Natural Language Processing (text embeddings, topic modeling, entity recognition, transformer\-based models for financial document analysis)
* Hands\-on experience in back\-testing, and performance evaluation and monitoring of the models in asset management industry
* Preferably hands\-on experience in developing LLM, NLP, NLU, NLG, deep learning models, and transformer models, with a focus on developing conversational AI solutions.
* Proficiency in Python, R, SQL, and the corresponding machine learning libraries.
* Preferably strong knowledge of machine learning application in financial industry, but not required.
* Experience in deploying ML models into production, optimizing for efficiency, scalability, and interpretability.
* Excellent documentation, communication and presentation skills, can influence without authority
* Team\-orient mindset and can\-do attitude
**What We Offer You**
*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88">
      <c r="A88" t="inlineStr">
        <is>
          <t>li-4354597208</t>
        </is>
      </c>
      <c r="B88" t="inlineStr">
        <is>
          <t>Senior Data Scientist - LLM Evaluation (Medhub)</t>
        </is>
      </c>
      <c r="C88" t="inlineStr">
        <is>
          <t>EvolutionIQ</t>
        </is>
      </c>
      <c r="D88" t="inlineStr">
        <is>
          <t>linkedin</t>
        </is>
      </c>
      <c r="E88">
        <f>HYPERLINK("https://www.linkedin.com/jobs/view/4354597208", "https://www.linkedin.com/jobs/view/4354597208")</f>
        <v/>
      </c>
      <c r="F88" t="inlineStr"/>
      <c r="G88" t="inlineStr">
        <is>
          <t>New York, NY</t>
        </is>
      </c>
      <c r="H88" t="inlineStr"/>
      <c r="I88" t="inlineStr">
        <is>
          <t>**About Us:** 
 EvolutionIQ’s mission is to deliver state of the art technology that helps insurance claims teams make claims handling more accurate, fair, and efficient, so that more people impacted by injury or illness can continue their lives with dignity and stability. We are currently experiencing massive growth and to accomplish our goals, we are hiring world\-class talent who want to help build and scale internally, and transform the insurance space. Our team is our \#1 priority, and we have been named one of Inc.’s Best Workplaces 3 years in a row!
**About the Role \&amp; You** 
 : As a Senior Data Scientist on the Medhub team, you will be the primary architect of our LLM evaluation framework. Think of this role as the "AI equivalent of a Quality Engineer"—you aren't here to build the models, but to define the rigorous statistical standards they must meet before they ever touch production.
 You believe that LLMs should be held to the same (or higher) scientific standards as traditional supervised models. You enjoy the challenge of turning subjective outputs (like chat and summarization) into objective, measurable data. You are a "Data Scientist’s Data Scientist"—someone who leans heavily into statistical significance, inter\-rater reliability, and robust experimental design to ensure our AI products are safe, accurate, and reliable.
**What You'll Achieve (Performance Outcomes)** 
 :
**In this Role You Will:**
* Establish the Gold Standard: Design and implement comprehensive scorecards and benchmarking suites for LLM\-based extraction, summarization, and chat interfaces.
* Bridge the Gap with SMEs: Act as the technical lead in working with Subject Matter Experts (SMEs) to codify their expertise into evaluation datasets and "ground truth" labels.
* Scale Labeling: Design the statistical guardrails to scale both our human and automated labeling efforts; you will optimize the human labeling process for efficiency and agreement while ensuring LLM\-generated labels maintain the highest integrity for our training data.
* Quantify Risk: Provide clear, data\-driven "Go/No\-Go" recommendations for model deployment based on rigorous error analysis and statistical confidence intervals.
**About You (Key Competencies):**
* 5\+ years of experience in Data Science with a strong background in traditional statistics (hypothesis testing, experimental design, regression analysis).
* 2\+ years of focused experience working with LLMs, specifically in evaluation, benchmarking, and prompt auditing.
* Master’s or PhD in Statistics, Mathematics, or a related quantitative field. You should be comfortable explaining the nuances of different evaluation metrics (e.g., G\-Eval, ROUGE, or custom\-weighted scorecards).
* A Quality Mindset. You are naturally skeptical of anecdotal evidence ("it looks good") and insist on statistical proof.
* Proven ability to work with non\-technical SMEs to translate their qualitative feedback into quantitative metrics.
* Proficient in Python (Pandas, Scikit\-learn, Statsmodels) and SQL. Familiarity with LLM evaluation frameworks (e.g., RAGAS, LangSmith, or proprietary scorecard systems) is a major plus.
**Even Better if You Have:**
* Deep knowledge of metrics like Cohen’s Kappa or Fleiss' Kappa to quantify agreement between SMEs and evaluate the clarity of labeling instructions.
* Experience in Active Learning
* Experience with platforms like Labelbox, Snorkel, or Prodigy to manage the flow between human annotators and automated systems.
**Work\-life, Culture \&amp; Perks:**
* Compensation: The base salary range is $200\-240K, with flexibility depending on a candidate’s background and experience. An annual bonus plan and company equity plan (RSUs) are also included in our compensation package.
* Well\-Being: Medical, dental, vision, short \&amp; long\-term disability, life insurance and AD\&amp;D, and 401k matching. Additional family, wellness, and pet benefits.
* Home \&amp; Family: Paid time off and sick leave, 100% paid parental leave (16 weeks for primary caregivers and 12 weeks for secondary caregivers). We offer a flexible schedule for new parents returning to work.
* Office Life: Catered lunches, happy hours, pet\-friendly spaces, and monthly technology stipend.
* Growth \&amp; Training: $1,000/year for each employee for professional development, as well opportunities for tuition reimbursement.
* Sponsorship: We are open to sponsoring candidates currently in the U.S. who need to transfer their active visa. Please check with our Recruiting team if your visa is applicable for transfer.
*EvolutionIQ appreciates your interest in our company as a place of employment. EvolutionIQ is an equal opportunity employer. We celebrate diversity and are committed to creating an inclusive environment for all employees.*</t>
        </is>
      </c>
    </row>
    <row r="89">
      <c r="A89" t="inlineStr">
        <is>
          <t>li-4330370445</t>
        </is>
      </c>
      <c r="B89" t="inlineStr">
        <is>
          <t>Senior Data Scientist</t>
        </is>
      </c>
      <c r="C89" t="inlineStr">
        <is>
          <t>Jobs via Dice</t>
        </is>
      </c>
      <c r="D89" t="inlineStr">
        <is>
          <t>linkedin</t>
        </is>
      </c>
      <c r="E89">
        <f>HYPERLINK("https://www.linkedin.com/jobs/view/4330370445", "https://www.linkedin.com/jobs/view/4330370445")</f>
        <v/>
      </c>
      <c r="F89" t="inlineStr"/>
      <c r="G89" t="inlineStr"/>
      <c r="H89" t="inlineStr"/>
      <c r="I89" t="inlineStr">
        <is>
          <t>Dice is the leading career destination for tech experts at every stage of their careers. Our client, Infinite Computer Solutions (ICS), is seeking the following. Apply via Dice today!
**Senior Data Scientist (AI \&amp; Databricks) \- Job Description**
 Introduction
 Join an amazing company where you can work with cutting\-edge technologies and platforms. Give your career an Infinite edge, with a stimulating environment and a global work culture. Be a part of an organization where we celebrate integrity, innovation, collaboration, teamwork, and passion. A culture where every employee is a leader delivering ideas that make a difference to this world we live in.
 In the Senior Data Scientist (AI \&amp; Databricks) responsibilities include, although not limited to:
* Design, develop, and deploy advanced AI, machine learning, and Generative AI solutions using the Databricks Lakehouse Platform and cloud\-native architectures.
* Build, tune, and operationalize LLM\-, SLM\-, and RAG\-based models to solve complex business problems.
* Identify, evaluate, and select best\-fit LLM frameworks and models (open\-source and popular) based on accuracy, performance, cost, and scalability.
* Develop and optimize Retrieval\-Augmented Generation (RAG) pipelines, including embeddings, vector search, and retrieval strategies.
* Apply prompt engineering, prompt chaining, and orchestration patterns to improve reasoning and response quality.
* Perform model tuning and optimization, including fine\-tuning, hyperparameter tuning, and benchmarking.
* Implement model observability, monitoring accuracy, drift, latency, hallucinations, and cost, enabling feedback loops.
* Ensure high model accuracy, robustness, and performance using rigorous evaluation techniques.
* Apply statistical techniques to solve complex business problems.
* Use Python, SQL, PySpark, and modern ML libraries to build scalable AI solutions.
* Manage experimentation and model lifecycle using MLflow.
* Deploy and operate models in cloud environments with CI/CD, scaling, and retraining.
* Communicate insights and mentor junior data scientists.
 In addition to the qualifications listed below, the ideal candidate will demonstrate the following traits:
* Deep curiosity for Generative AI and LLM technologies.
* Strong analytical and statistical mindset.
* Ownership\-driven approach to model quality.
* Clear communication and collaboration skills.
* Ability to balance experimentation with production readiness.
 Minimum Qualifications:
* Bachelor s degree in Data Science, Computer Science, Statistics, Mathematics, or related field.
* 10\+ years of experience as a Data Scientist.
* 3\+ years of hands\-on Databricks experience (Spark, Delta Lake, MLflow).
* Proven experience with LLM, SLM, and RAG\-based models.
* Strong skills in Python, SQL, and modern ML libraries.
* Strong background in statistics and experimentation.
* Experience with model tuning, observability, and feedback loops.
* Experience building and deploying models in cloud environments.
* Strong English communication skills.
 Preferred Qualifications:
* Experience with prompt engineering, prompt chaining, and LLM orchestration frameworks.
* Experience with vector databases and embeddings.
* Familiarity with LLMOps and MLOps practices.
* Experience integrating models with APIs and enterprise systems.
* Exposure to Responsible AI practices.
* Relevant Databricks or cloud certifications.</t>
        </is>
      </c>
    </row>
    <row r="90">
      <c r="A90" t="inlineStr">
        <is>
          <t>li-4330440393</t>
        </is>
      </c>
      <c r="B90" t="inlineStr">
        <is>
          <t>Sr. Data Scientist</t>
        </is>
      </c>
      <c r="C90" t="inlineStr">
        <is>
          <t>Jobs via Dice</t>
        </is>
      </c>
      <c r="D90" t="inlineStr">
        <is>
          <t>linkedin</t>
        </is>
      </c>
      <c r="E90">
        <f>HYPERLINK("https://www.linkedin.com/jobs/view/4330440393", "https://www.linkedin.com/jobs/view/4330440393")</f>
        <v/>
      </c>
      <c r="F90">
        <f>HYPERLINK("https://click.appcast.io/t/VnuGpiEHOs7qt5OI8D9QCxKsk09vgyWIz8-WHedNu4I=&amp;urlHash=c7Is", "https://click.appcast.io/t/VnuGpiEHOs7qt5OI8D9QCxKsk09vgyWIz8-WHedNu4I=&amp;urlHash=c7Is")</f>
        <v/>
      </c>
      <c r="G90" t="inlineStr">
        <is>
          <t>Minneapolis, MN</t>
        </is>
      </c>
      <c r="H90" t="inlineStr"/>
      <c r="I90" t="inlineStr">
        <is>
          <t>Dice is the leading career destination for tech experts at every stage of their careers. Our client, Horizontal Talent, is seeking the following. Apply via Dice today!
 Join a dynamic team as a Senior Data Scientist, where you'll be instrumental in shaping a cutting\-edge data and AI platform to deliver transformative insights. This role offers the opportunity to lead innovative projects and mentor aspiring engineers and data scientists.
**Responsibilities**
* Design and expand a robust data and AI platform, integrating cloud\-based data pipelines and analytics APIs.
* Collaborate with marketing and product teams to implement predictive models for business decision\-making.
* Integrate the platform with internal systems and external SaaS offerings for seamless operation.
* Develop and optimize machine learning models using advanced algorithms.
* Lead initiatives to improve model accuracy through synthetic data generation.
* Implement automation and monitoring systems to ensure continuous improvement.
* Mentor junior team members in developing scalable ML workflows.
**Skills**
* Extensive experience in data engineering, machine learning, or AI platform development.
* Proficiency in Python and familiarity with the Google Cloud Platform ecosystem.
* Hands\-on experience with BigQuery, Vertex AI, and related tools.
* Ability to design and deploy models using Scikit\-learn and XGBoost.
* Strong understanding of web behavior analytics and CRM data structures.
* Excellent communication skills to translate technical outputs into actionable insights.
**Preferred Skills**
* Experience in productizing data/AI capabilities for SaaS solutions.
* Knowledge of marketing technology ecosystems and predictive analytics.
* Proven track record of leading projects from concept to deployment.
* Advanced degree in Computer Science, Data Science, or a related field is advantageous.
 At Horizontal, we are committed to fostering a diverse, equitable, and inclusive environment where all team members are valued and empowered to succeed.
 Once you apply for this position, you may receive a phone call, SMS or email at the time of application from our Virtual AI Recruiter, Alex, to conduct an initial interview.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2026-01-05T22:41:38Z</dcterms:created>
  <dcterms:modified xsi:type="dcterms:W3CDTF">2026-01-05T22:41:38Z</dcterms:modified>
</cp:coreProperties>
</file>