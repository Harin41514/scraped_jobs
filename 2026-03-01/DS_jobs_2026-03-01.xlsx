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in-34c7d096965f6e29</t>
        </is>
      </c>
      <c r="B2" t="inlineStr">
        <is>
          <t>Sr. Applied Scientist, Amazon Ads</t>
        </is>
      </c>
      <c r="C2" t="inlineStr">
        <is>
          <t>Amazon.com</t>
        </is>
      </c>
      <c r="D2" t="inlineStr">
        <is>
          <t>indeed</t>
        </is>
      </c>
      <c r="E2" t="inlineStr"/>
      <c r="F2" t="inlineStr"/>
      <c r="G2" t="inlineStr">
        <is>
          <t>Boston, MA,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in-bdc0d52c1020a6f8</t>
        </is>
      </c>
      <c r="B3" t="inlineStr">
        <is>
          <t>Sr. Applied Scientist, Amazon Ads</t>
        </is>
      </c>
      <c r="C3" t="inlineStr">
        <is>
          <t>Amazon.com</t>
        </is>
      </c>
      <c r="D3" t="inlineStr">
        <is>
          <t>indeed</t>
        </is>
      </c>
      <c r="E3" t="inlineStr"/>
      <c r="F3" t="inlineStr"/>
      <c r="G3" t="inlineStr">
        <is>
          <t>New York, NY,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in-84a11a7ff69d9879</t>
        </is>
      </c>
      <c r="B4" t="inlineStr">
        <is>
          <t>Sr. Applied Scientist, Amazon Ads</t>
        </is>
      </c>
      <c r="C4" t="inlineStr">
        <is>
          <t>Amazon.com</t>
        </is>
      </c>
      <c r="D4" t="inlineStr">
        <is>
          <t>indeed</t>
        </is>
      </c>
      <c r="E4" t="inlineStr"/>
      <c r="F4" t="inlineStr"/>
      <c r="G4" t="inlineStr">
        <is>
          <t>Seattle, WA,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in-0e557637877e4141</t>
        </is>
      </c>
      <c r="B5" t="inlineStr">
        <is>
          <t>Sr. Applied Scientist, Amazon Ads</t>
        </is>
      </c>
      <c r="C5" t="inlineStr">
        <is>
          <t>Amazon.com</t>
        </is>
      </c>
      <c r="D5" t="inlineStr">
        <is>
          <t>indeed</t>
        </is>
      </c>
      <c r="E5" t="inlineStr"/>
      <c r="F5" t="inlineStr"/>
      <c r="G5" t="inlineStr">
        <is>
          <t>Santa Monica, CA,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in-0bd7e18b7a49d2b4</t>
        </is>
      </c>
      <c r="B6" t="inlineStr">
        <is>
          <t>Sr. Applied Scientist, Amazon Ads</t>
        </is>
      </c>
      <c r="C6" t="inlineStr">
        <is>
          <t>Amazon.com</t>
        </is>
      </c>
      <c r="D6" t="inlineStr">
        <is>
          <t>indeed</t>
        </is>
      </c>
      <c r="E6" t="inlineStr"/>
      <c r="F6" t="inlineStr"/>
      <c r="G6" t="inlineStr">
        <is>
          <t>Corvallis, OR,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in-7c5c20a9a4092dda</t>
        </is>
      </c>
      <c r="B7" t="inlineStr">
        <is>
          <t>Sr. Applied Scientist, Amazon Ads</t>
        </is>
      </c>
      <c r="C7" t="inlineStr">
        <is>
          <t>Amazon.com</t>
        </is>
      </c>
      <c r="D7" t="inlineStr">
        <is>
          <t>indeed</t>
        </is>
      </c>
      <c r="E7" t="inlineStr"/>
      <c r="F7" t="inlineStr"/>
      <c r="G7" t="inlineStr">
        <is>
          <t>Boulder, CO,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in-87aac3fd846419ef</t>
        </is>
      </c>
      <c r="B8" t="inlineStr">
        <is>
          <t>Sr. Applied Scientist, Amazon Ads</t>
        </is>
      </c>
      <c r="C8" t="inlineStr">
        <is>
          <t>Amazon.com</t>
        </is>
      </c>
      <c r="D8" t="inlineStr">
        <is>
          <t>indeed</t>
        </is>
      </c>
      <c r="E8" t="inlineStr"/>
      <c r="F8" t="inlineStr"/>
      <c r="G8" t="inlineStr">
        <is>
          <t>Tukwila, WA,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in-a509d50cc43e4944</t>
        </is>
      </c>
      <c r="B9" t="inlineStr">
        <is>
          <t>Sr. Applied Scientist, Amazon Ads</t>
        </is>
      </c>
      <c r="C9" t="inlineStr">
        <is>
          <t>Amazon.com</t>
        </is>
      </c>
      <c r="D9" t="inlineStr">
        <is>
          <t>indeed</t>
        </is>
      </c>
      <c r="E9" t="inlineStr"/>
      <c r="F9" t="inlineStr"/>
      <c r="G9" t="inlineStr">
        <is>
          <t>Brooklyn, NY,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in-3931c9ed71789165</t>
        </is>
      </c>
      <c r="B10" t="inlineStr">
        <is>
          <t>Sr. Applied Scientist, Amazon Ads</t>
        </is>
      </c>
      <c r="C10" t="inlineStr">
        <is>
          <t>Amazon.com</t>
        </is>
      </c>
      <c r="D10" t="inlineStr">
        <is>
          <t>indeed</t>
        </is>
      </c>
      <c r="E10" t="inlineStr"/>
      <c r="F10" t="inlineStr"/>
      <c r="G10" t="inlineStr">
        <is>
          <t>Sunnyvale,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in-3eec221c52b76152</t>
        </is>
      </c>
      <c r="B11" t="inlineStr">
        <is>
          <t>Sr. Applied Scientist, Amazon Ads</t>
        </is>
      </c>
      <c r="C11" t="inlineStr">
        <is>
          <t>Amazon.com</t>
        </is>
      </c>
      <c r="D11" t="inlineStr">
        <is>
          <t>indeed</t>
        </is>
      </c>
      <c r="E11" t="inlineStr"/>
      <c r="F11" t="inlineStr"/>
      <c r="G11" t="inlineStr">
        <is>
          <t>Palo Alto, CA,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in-0f1d5330ab63f91e</t>
        </is>
      </c>
      <c r="B12" t="inlineStr">
        <is>
          <t>Senior Applied Scientist, Sponsored Products and Brands</t>
        </is>
      </c>
      <c r="C12" t="inlineStr">
        <is>
          <t>Amazon.com</t>
        </is>
      </c>
      <c r="D12" t="inlineStr">
        <is>
          <t>indeed</t>
        </is>
      </c>
      <c r="E12" t="inlineStr"/>
      <c r="F12" t="inlineStr"/>
      <c r="G12" t="inlineStr">
        <is>
          <t>New York, NY, US</t>
        </is>
      </c>
      <c r="H12" s="1" t="n">
        <v>45979</v>
      </c>
      <c r="I1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3">
      <c r="A13" t="inlineStr">
        <is>
          <t>in-9f06a8d04453a218</t>
        </is>
      </c>
      <c r="B13" t="inlineStr">
        <is>
          <t>Senior Applied Scientist, Sponsored Products and Brands</t>
        </is>
      </c>
      <c r="C13" t="inlineStr">
        <is>
          <t>Amazon.com</t>
        </is>
      </c>
      <c r="D13" t="inlineStr">
        <is>
          <t>indeed</t>
        </is>
      </c>
      <c r="E13" t="inlineStr"/>
      <c r="F13" t="inlineStr"/>
      <c r="G13" t="inlineStr">
        <is>
          <t>Seattle, WA, US</t>
        </is>
      </c>
      <c r="H13" s="1" t="n">
        <v>45979</v>
      </c>
      <c r="I1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
      <c r="A14" t="inlineStr">
        <is>
          <t>in-ac85ca54ff0c416f</t>
        </is>
      </c>
      <c r="B14" t="inlineStr">
        <is>
          <t>Applied Scientist II, Prime Video - Personalization and Discovery Science, Personalization and Discovery Science</t>
        </is>
      </c>
      <c r="C14" t="inlineStr">
        <is>
          <t>Amazon.com</t>
        </is>
      </c>
      <c r="D14" t="inlineStr">
        <is>
          <t>indeed</t>
        </is>
      </c>
      <c r="E14" t="inlineStr"/>
      <c r="F14" t="inlineStr"/>
      <c r="G14" t="inlineStr">
        <is>
          <t>Seattle, WA,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in-022c63a414746ce1</t>
        </is>
      </c>
      <c r="B15" t="inlineStr">
        <is>
          <t>Applied Scientist II, Prime Video - Personalization and Discovery Science, Personalization and Discovery Science</t>
        </is>
      </c>
      <c r="C15" t="inlineStr">
        <is>
          <t>Amazon.com</t>
        </is>
      </c>
      <c r="D15" t="inlineStr">
        <is>
          <t>indeed</t>
        </is>
      </c>
      <c r="E15" t="inlineStr"/>
      <c r="F15" t="inlineStr"/>
      <c r="G15" t="inlineStr">
        <is>
          <t>New York, NY, US</t>
        </is>
      </c>
      <c r="H15" s="1"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in-82eae9ad93f38404</t>
        </is>
      </c>
      <c r="B16" t="inlineStr">
        <is>
          <t>Applied Scientist II, Prime Video - Personalization and Discovery Science, Personalization and Discovery Science</t>
        </is>
      </c>
      <c r="C16" t="inlineStr">
        <is>
          <t>Amazon.com</t>
        </is>
      </c>
      <c r="D16" t="inlineStr">
        <is>
          <t>indeed</t>
        </is>
      </c>
      <c r="E16" t="inlineStr"/>
      <c r="F16" t="inlineStr"/>
      <c r="G16" t="inlineStr">
        <is>
          <t>Sunnyvale, CA, US</t>
        </is>
      </c>
      <c r="H16" s="1"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in-058689801f51ac73</t>
        </is>
      </c>
      <c r="B17" t="inlineStr">
        <is>
          <t>Sr. Applied Scientist, Prime Video - Personalization and Discovery Science</t>
        </is>
      </c>
      <c r="C17" t="inlineStr">
        <is>
          <t>Amazon.com</t>
        </is>
      </c>
      <c r="D17" t="inlineStr">
        <is>
          <t>indeed</t>
        </is>
      </c>
      <c r="E17" t="inlineStr"/>
      <c r="F17" t="inlineStr"/>
      <c r="G17" t="inlineStr">
        <is>
          <t>Seattle, WA,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in-616c3861c3eb67ae</t>
        </is>
      </c>
      <c r="B18" t="inlineStr">
        <is>
          <t>Applied Scientist II, Prime Video - Personalization and Discovery Science</t>
        </is>
      </c>
      <c r="C18" t="inlineStr">
        <is>
          <t>Amazon.com</t>
        </is>
      </c>
      <c r="D18" t="inlineStr">
        <is>
          <t>indeed</t>
        </is>
      </c>
      <c r="E18" t="inlineStr"/>
      <c r="F18" t="inlineStr"/>
      <c r="G18" t="inlineStr">
        <is>
          <t>Sunnyvale, CA,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in-4bcc4c7c45eb394f</t>
        </is>
      </c>
      <c r="B19" t="inlineStr">
        <is>
          <t>Sr. Applied Scientist, Prime Video - Personalization and Discovery Science</t>
        </is>
      </c>
      <c r="C19" t="inlineStr">
        <is>
          <t>Amazon.com</t>
        </is>
      </c>
      <c r="D19" t="inlineStr">
        <is>
          <t>indeed</t>
        </is>
      </c>
      <c r="E19" t="inlineStr"/>
      <c r="F19" t="inlineStr"/>
      <c r="G19" t="inlineStr">
        <is>
          <t>Sunnyvale, CA,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in-d421ee440214924f</t>
        </is>
      </c>
      <c r="B20" t="inlineStr">
        <is>
          <t>Applied Scientist II, Prime Video - Personalization and Discovery Science</t>
        </is>
      </c>
      <c r="C20" t="inlineStr">
        <is>
          <t>Amazon.com</t>
        </is>
      </c>
      <c r="D20" t="inlineStr">
        <is>
          <t>indeed</t>
        </is>
      </c>
      <c r="E20" t="inlineStr"/>
      <c r="F20" t="inlineStr"/>
      <c r="G20" t="inlineStr">
        <is>
          <t>New York, NY,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in-cc75f2e39cf722c7</t>
        </is>
      </c>
      <c r="B21" t="inlineStr">
        <is>
          <t>Sr. Applied Scientist, Prime Video - Personalization and Discovery Science</t>
        </is>
      </c>
      <c r="C21" t="inlineStr">
        <is>
          <t>Amazon.com</t>
        </is>
      </c>
      <c r="D21" t="inlineStr">
        <is>
          <t>indeed</t>
        </is>
      </c>
      <c r="E21" t="inlineStr"/>
      <c r="F21" t="inlineStr"/>
      <c r="G21" t="inlineStr">
        <is>
          <t>New York, NY,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in-75f7ce8808bbce23</t>
        </is>
      </c>
      <c r="B22" t="inlineStr">
        <is>
          <t>Applied Scientist II, Prime Video - Personalization and Discovery Science</t>
        </is>
      </c>
      <c r="C22" t="inlineStr">
        <is>
          <t>Amazon.com</t>
        </is>
      </c>
      <c r="D22" t="inlineStr">
        <is>
          <t>indeed</t>
        </is>
      </c>
      <c r="E22" t="inlineStr"/>
      <c r="F22" t="inlineStr"/>
      <c r="G22" t="inlineStr">
        <is>
          <t>Seattle, WA, US</t>
        </is>
      </c>
      <c r="H22" s="1"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in-1e98b1c2210f014d</t>
        </is>
      </c>
      <c r="B23" t="inlineStr">
        <is>
          <t>Data Scientist, AWS Infrastructure Services Science</t>
        </is>
      </c>
      <c r="C23" t="inlineStr">
        <is>
          <t>Amazon.com</t>
        </is>
      </c>
      <c r="D23" t="inlineStr">
        <is>
          <t>indeed</t>
        </is>
      </c>
      <c r="E23" t="inlineStr"/>
      <c r="F23" t="inlineStr"/>
      <c r="G23" t="inlineStr">
        <is>
          <t>Seattle, WA, US</t>
        </is>
      </c>
      <c r="H23" s="1" t="n">
        <v>46065</v>
      </c>
      <c r="I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4">
      <c r="A24" t="inlineStr">
        <is>
          <t>in-937e600d187974a4</t>
        </is>
      </c>
      <c r="B24" t="inlineStr">
        <is>
          <t>Data Scientist, AWS Infrastructure Services Science</t>
        </is>
      </c>
      <c r="C24" t="inlineStr">
        <is>
          <t>Amazon.com</t>
        </is>
      </c>
      <c r="D24" t="inlineStr">
        <is>
          <t>indeed</t>
        </is>
      </c>
      <c r="E24" t="inlineStr"/>
      <c r="F24" t="inlineStr"/>
      <c r="G24" t="inlineStr">
        <is>
          <t>Herndon, VA, US</t>
        </is>
      </c>
      <c r="H24" s="1" t="n">
        <v>46065</v>
      </c>
      <c r="I2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5">
      <c r="A25" t="inlineStr">
        <is>
          <t>in-f598414afec4834e</t>
        </is>
      </c>
      <c r="B25" t="inlineStr">
        <is>
          <t>Data Scientist, Rapid &amp; Rural Logistics (R2L)</t>
        </is>
      </c>
      <c r="C25" t="inlineStr">
        <is>
          <t>Amazon.com</t>
        </is>
      </c>
      <c r="D25" t="inlineStr">
        <is>
          <t>indeed</t>
        </is>
      </c>
      <c r="E25" t="inlineStr"/>
      <c r="F25" t="inlineStr"/>
      <c r="G25" t="inlineStr">
        <is>
          <t>New York, NY, US</t>
        </is>
      </c>
      <c r="H25" s="1" t="n">
        <v>46056</v>
      </c>
      <c r="I25"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6">
      <c r="A26" t="inlineStr">
        <is>
          <t>in-c4e734a54d8ddf82</t>
        </is>
      </c>
      <c r="B26" t="inlineStr">
        <is>
          <t>Data Scientist, Rapid &amp; Rural Logistics (R2L)</t>
        </is>
      </c>
      <c r="C26" t="inlineStr">
        <is>
          <t>Amazon.com</t>
        </is>
      </c>
      <c r="D26" t="inlineStr">
        <is>
          <t>indeed</t>
        </is>
      </c>
      <c r="E26" t="inlineStr"/>
      <c r="F26" t="inlineStr"/>
      <c r="G26" t="inlineStr">
        <is>
          <t>Bellevue, WA, US</t>
        </is>
      </c>
      <c r="H26" s="1" t="n">
        <v>46056</v>
      </c>
      <c r="I26"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7">
      <c r="A27" t="inlineStr">
        <is>
          <t>in-b365e96653c62b2d</t>
        </is>
      </c>
      <c r="B27" t="inlineStr">
        <is>
          <t>Data Scientist II, ADSP Product Operations &amp; Analytics</t>
        </is>
      </c>
      <c r="C27" t="inlineStr">
        <is>
          <t>Amazon.com</t>
        </is>
      </c>
      <c r="D27" t="inlineStr">
        <is>
          <t>indeed</t>
        </is>
      </c>
      <c r="E27" t="inlineStr"/>
      <c r="F27" t="inlineStr"/>
      <c r="G27" t="inlineStr">
        <is>
          <t>New York, NY, US</t>
        </is>
      </c>
      <c r="H27" s="1" t="n">
        <v>46062</v>
      </c>
      <c r="I27" t="inlineStr">
        <is>
          <t>**DESCRIPTION**
---------------
In this role, you will build scalable solutions and sophisticated models that identify and drive growth opportunities for Amazon Ads teams, specifically within Amazon's Demand Side Platform (ADSP). You will leverage machine learning, simulation, and advanced statistical techniques to explain complex patterns, quantify business impact, predict future trends, and prescribe actionable strategies that inform critical business decisions at the highest levels of the organization. You will work with various stakeholders to align on priorities, with the understanding that scope and direction may evolve based on organizational needs. You will translate business goals into agile, insightful analytics that create tangible value for both stakeholders and customers, and communicate your findings clearly and actionably to managers and senior leaders so they can quickly understand insights and take decisive action.  
You will set the strategy for ads delivery and quality and establish the measurement and decision frameworks. A core mandate for this role is to identify, instrument, and operationalize the input metrics that most directly drive ads delivery, quality, and performance, ensuring we optimize the levers that move outcomes rather than simply reporting on lagging KPIs.  
Key job responsibilities  
* You will define and execute in\-depth data analysis that drives data\-informed decision making for product, sales, and finance teams who speak on behalf of advertisers.
* You will establish and drive data hygiene best practices to ensure coherence and integrity of data feeding into production ML/AI solutions.
* You will identify, instrument, and operationalize the input metrics that most directly drive ads delivery, quality, and performance, creating robust measurement frameworks.
* You will collaborate with colleagues across science and engineering disciplines for fast turnaround proof\-of\-concept prototyping at scale.
* You will partner with product managers and stakeholders to define forward\-looking product visions and prospective business use cases.
* You will set the strategy for ads delivery and quality, establishing decision frameworks that enable teams to move from reactive reporting to proactive optimization.
* You will drive and lead a culture of data\-driven innovations within the Amazon AdTech org.
**BASIC QUALIFICATIONS**
------------------------
* 3\+ years of data querying languages (e.g. SQL), scripting languages (e.g. Python) or statistical/mathematical software (e.g. R, SAS, Matlab, etc.) experience
* 2\+ years of data scientist experience
* Bachelor's degree
* Experience applying theoretical models in an applied environment
* 3\+ years of machine learning/statistical modeling data analysis tools and techniques, and parameters that affect their performance experience
**PREFERRED QUALIFICATIONS**
----------------------------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\- 153,400\.00 \- 207,500\.00 USD annually  
USA, WA, Seattle \- 136,000\.00 \- 184,000\.00 USD annually</t>
        </is>
      </c>
    </row>
    <row r="28">
      <c r="A28" t="inlineStr">
        <is>
          <t>in-7a96ffa675cf4ef6</t>
        </is>
      </c>
      <c r="B28" t="inlineStr">
        <is>
          <t>Data Scientist II, ADSP Product Operations &amp; Analytics</t>
        </is>
      </c>
      <c r="C28" t="inlineStr">
        <is>
          <t>Amazon.com</t>
        </is>
      </c>
      <c r="D28" t="inlineStr">
        <is>
          <t>indeed</t>
        </is>
      </c>
      <c r="E28" t="inlineStr"/>
      <c r="F28" t="inlineStr"/>
      <c r="G28" t="inlineStr">
        <is>
          <t>Seattle, WA, US</t>
        </is>
      </c>
      <c r="H28" s="1" t="n">
        <v>46062</v>
      </c>
      <c r="I28" t="inlineStr">
        <is>
          <t>**DESCRIPTION**
---------------
In this role, you will build scalable solutions and sophisticated models that identify and drive growth opportunities for Amazon Ads teams, specifically within Amazon's Demand Side Platform (ADSP). You will leverage machine learning, simulation, and advanced statistical techniques to explain complex patterns, quantify business impact, predict future trends, and prescribe actionable strategies that inform critical business decisions at the highest levels of the organization. You will work with various stakeholders to align on priorities, with the understanding that scope and direction may evolve based on organizational needs. You will translate business goals into agile, insightful analytics that create tangible value for both stakeholders and customers, and communicate your findings clearly and actionably to managers and senior leaders so they can quickly understand insights and take decisive action.  
You will set the strategy for ads delivery and quality and establish the measurement and decision frameworks. A core mandate for this role is to identify, instrument, and operationalize the input metrics that most directly drive ads delivery, quality, and performance, ensuring we optimize the levers that move outcomes rather than simply reporting on lagging KPIs.  
Key job responsibilities  
* You will define and execute in\-depth data analysis that drives data\-informed decision making for product, sales, and finance teams who speak on behalf of advertisers.
* You will establish and drive data hygiene best practices to ensure coherence and integrity of data feeding into production ML/AI solutions.
* You will identify, instrument, and operationalize the input metrics that most directly drive ads delivery, quality, and performance, creating robust measurement frameworks.
* You will collaborate with colleagues across science and engineering disciplines for fast turnaround proof\-of\-concept prototyping at scale.
* You will partner with product managers and stakeholders to define forward\-looking product visions and prospective business use cases.
* You will set the strategy for ads delivery and quality, establishing decision frameworks that enable teams to move from reactive reporting to proactive optimization.
* You will drive and lead a culture of data\-driven innovations within the Amazon AdTech org.
**BASIC QUALIFICATIONS**
------------------------
* 3\+ years of data querying languages (e.g. SQL), scripting languages (e.g. Python) or statistical/mathematical software (e.g. R, SAS, Matlab, etc.) experience
* 2\+ years of data scientist experience
* Bachelor's degree
* Experience applying theoretical models in an applied environment
* 3\+ years of machine learning/statistical modeling data analysis tools and techniques, and parameters that affect their performance experience
**PREFERRED QUALIFICATIONS**
----------------------------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\- 153,400\.00 \- 207,500\.00 USD annually  
USA, WA, Seattle \- 136,000\.00 \- 184,000\.00 USD annually</t>
        </is>
      </c>
    </row>
    <row r="29">
      <c r="A29" t="inlineStr">
        <is>
          <t>in-8ceb61d6f43ad274</t>
        </is>
      </c>
      <c r="B29" t="inlineStr">
        <is>
          <t>Principal Applied Scientist, AWS Marketplace &amp; Partner Services</t>
        </is>
      </c>
      <c r="C29" t="inlineStr">
        <is>
          <t>Amazon Web Services</t>
        </is>
      </c>
      <c r="D29" t="inlineStr">
        <is>
          <t>indeed</t>
        </is>
      </c>
      <c r="E29" t="inlineStr"/>
      <c r="F29" t="inlineStr"/>
      <c r="G29" t="inlineStr">
        <is>
          <t>Austin, TX, US</t>
        </is>
      </c>
      <c r="H29" s="1" t="n">
        <v>46056</v>
      </c>
      <c r="I29"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0">
      <c r="A30" t="inlineStr">
        <is>
          <t>in-a5760f7d8451fcf8</t>
        </is>
      </c>
      <c r="B30" t="inlineStr">
        <is>
          <t>Principal Applied Scientist, AWS Marketplace &amp; Partner Services</t>
        </is>
      </c>
      <c r="C30" t="inlineStr">
        <is>
          <t>Amazon Web Services</t>
        </is>
      </c>
      <c r="D30" t="inlineStr">
        <is>
          <t>indeed</t>
        </is>
      </c>
      <c r="E30" t="inlineStr"/>
      <c r="F30" t="inlineStr"/>
      <c r="G30" t="inlineStr">
        <is>
          <t>Seattle, WA, US</t>
        </is>
      </c>
      <c r="H30" s="1" t="n">
        <v>46056</v>
      </c>
      <c r="I30"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1">
      <c r="A31" t="inlineStr">
        <is>
          <t>in-b70a64e77dd2121d</t>
        </is>
      </c>
      <c r="B31" t="inlineStr">
        <is>
          <t>Principal Applied Scientist, AWS Marketplace &amp; Partner Services</t>
        </is>
      </c>
      <c r="C31" t="inlineStr">
        <is>
          <t>Amazon Web Services</t>
        </is>
      </c>
      <c r="D31" t="inlineStr">
        <is>
          <t>indeed</t>
        </is>
      </c>
      <c r="E31" t="inlineStr"/>
      <c r="F31" t="inlineStr"/>
      <c r="G31" t="inlineStr">
        <is>
          <t>New York, NY, US</t>
        </is>
      </c>
      <c r="H31" s="1" t="n">
        <v>46056</v>
      </c>
      <c r="I31"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2">
      <c r="A32" t="inlineStr">
        <is>
          <t>in-3be0d39a9a603d98</t>
        </is>
      </c>
      <c r="B32" t="inlineStr">
        <is>
          <t>Principal Applied Scientist, AWS Marketplace &amp; Partner Services</t>
        </is>
      </c>
      <c r="C32" t="inlineStr">
        <is>
          <t>Amazon Web Services</t>
        </is>
      </c>
      <c r="D32" t="inlineStr">
        <is>
          <t>indeed</t>
        </is>
      </c>
      <c r="E32" t="inlineStr"/>
      <c r="F32" t="inlineStr"/>
      <c r="G32" t="inlineStr">
        <is>
          <t>San Diego, CA, US</t>
        </is>
      </c>
      <c r="H32" s="1" t="n">
        <v>46056</v>
      </c>
      <c r="I3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3">
      <c r="A33" t="inlineStr">
        <is>
          <t>in-c87adce59340be21</t>
        </is>
      </c>
      <c r="B33" t="inlineStr">
        <is>
          <t>Sr. Applied Scientist, AWS Healthcare-AI</t>
        </is>
      </c>
      <c r="C33" t="inlineStr">
        <is>
          <t>Amazon.com</t>
        </is>
      </c>
      <c r="D33" t="inlineStr">
        <is>
          <t>indeed</t>
        </is>
      </c>
      <c r="E33" t="inlineStr"/>
      <c r="F33" t="inlineStr"/>
      <c r="G33" t="inlineStr">
        <is>
          <t>Mountain View, CA, US</t>
        </is>
      </c>
      <c r="H33" s="1" t="n">
        <v>46055</v>
      </c>
      <c r="I33"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4">
      <c r="A34" t="inlineStr">
        <is>
          <t>in-10f74be67f0de08d</t>
        </is>
      </c>
      <c r="B34" t="inlineStr">
        <is>
          <t>Sr. Applied Scientist, AWS Healthcare-AI</t>
        </is>
      </c>
      <c r="C34" t="inlineStr">
        <is>
          <t>Amazon.com</t>
        </is>
      </c>
      <c r="D34" t="inlineStr">
        <is>
          <t>indeed</t>
        </is>
      </c>
      <c r="E34" t="inlineStr"/>
      <c r="F34" t="inlineStr"/>
      <c r="G34" t="inlineStr">
        <is>
          <t>Seattle, WA, US</t>
        </is>
      </c>
      <c r="H34" s="1" t="n">
        <v>46055</v>
      </c>
      <c r="I34"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5">
      <c r="A35" t="inlineStr">
        <is>
          <t>in-036e7ef99d98d4c4</t>
        </is>
      </c>
      <c r="B35" t="inlineStr">
        <is>
          <t>Applied Scientist (Contract), Artificial General Intelligence</t>
        </is>
      </c>
      <c r="C35" t="inlineStr">
        <is>
          <t>Amazon.com</t>
        </is>
      </c>
      <c r="D35" t="inlineStr">
        <is>
          <t>indeed</t>
        </is>
      </c>
      <c r="E35" t="inlineStr"/>
      <c r="F35" t="inlineStr"/>
      <c r="G35" t="inlineStr">
        <is>
          <t>Bellevue, WA, US</t>
        </is>
      </c>
      <c r="H35" s="1" t="n">
        <v>46055</v>
      </c>
      <c r="I3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6">
      <c r="A36" t="inlineStr">
        <is>
          <t>in-59855c65f9a76419</t>
        </is>
      </c>
      <c r="B36" t="inlineStr">
        <is>
          <t>Applied Scientist (Contract), Artificial General Intelligence</t>
        </is>
      </c>
      <c r="C36" t="inlineStr">
        <is>
          <t>Amazon.com</t>
        </is>
      </c>
      <c r="D36" t="inlineStr">
        <is>
          <t>indeed</t>
        </is>
      </c>
      <c r="E36" t="inlineStr"/>
      <c r="F36" t="inlineStr"/>
      <c r="G36" t="inlineStr">
        <is>
          <t>Boston, MA, US</t>
        </is>
      </c>
      <c r="H36" s="1" t="n">
        <v>46055</v>
      </c>
      <c r="I3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7">
      <c r="A37" t="inlineStr">
        <is>
          <t>in-975ba35e81abc8f6</t>
        </is>
      </c>
      <c r="B37" t="inlineStr">
        <is>
          <t>Applied Scientist (Contract), Artificial General Intelligence</t>
        </is>
      </c>
      <c r="C37" t="inlineStr">
        <is>
          <t>Amazon.com</t>
        </is>
      </c>
      <c r="D37" t="inlineStr">
        <is>
          <t>indeed</t>
        </is>
      </c>
      <c r="E37" t="inlineStr"/>
      <c r="F37" t="inlineStr"/>
      <c r="G37" t="inlineStr">
        <is>
          <t>Boston, MA, US</t>
        </is>
      </c>
      <c r="H37" s="1" t="n">
        <v>46055</v>
      </c>
      <c r="I3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8">
      <c r="A38" t="inlineStr">
        <is>
          <t>in-368fd4187694b176</t>
        </is>
      </c>
      <c r="B38" t="inlineStr">
        <is>
          <t>Applied Scientist (Contract), Artificial General Intelligence</t>
        </is>
      </c>
      <c r="C38" t="inlineStr">
        <is>
          <t>Amazon.com</t>
        </is>
      </c>
      <c r="D38" t="inlineStr">
        <is>
          <t>indeed</t>
        </is>
      </c>
      <c r="E38" t="inlineStr"/>
      <c r="F38" t="inlineStr"/>
      <c r="G38" t="inlineStr">
        <is>
          <t>Bellevue, WA, US</t>
        </is>
      </c>
      <c r="H38" s="1" t="n">
        <v>46055</v>
      </c>
      <c r="I3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9">
      <c r="A39" t="inlineStr">
        <is>
          <t>in-661f0d33d92cfa1c</t>
        </is>
      </c>
      <c r="B39" t="inlineStr">
        <is>
          <t>Applied Scientist (Contract), Artificial General Intelligence</t>
        </is>
      </c>
      <c r="C39" t="inlineStr">
        <is>
          <t>Amazon.com</t>
        </is>
      </c>
      <c r="D39" t="inlineStr">
        <is>
          <t>indeed</t>
        </is>
      </c>
      <c r="E39" t="inlineStr"/>
      <c r="F39" t="inlineStr"/>
      <c r="G39" t="inlineStr">
        <is>
          <t>Bellevue, WA, US</t>
        </is>
      </c>
      <c r="H39" s="1" t="n">
        <v>46055</v>
      </c>
      <c r="I3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0">
      <c r="A40" t="inlineStr">
        <is>
          <t>in-7842a257a9ff1514</t>
        </is>
      </c>
      <c r="B40" t="inlineStr">
        <is>
          <t>Applied Scientist (Contract), Artificial General Intelligence</t>
        </is>
      </c>
      <c r="C40" t="inlineStr">
        <is>
          <t>Amazon.com</t>
        </is>
      </c>
      <c r="D40" t="inlineStr">
        <is>
          <t>indeed</t>
        </is>
      </c>
      <c r="E40" t="inlineStr"/>
      <c r="F40" t="inlineStr"/>
      <c r="G40" t="inlineStr">
        <is>
          <t>Boston, MA, US</t>
        </is>
      </c>
      <c r="H40" s="1" t="n">
        <v>46055</v>
      </c>
      <c r="I4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1">
      <c r="A41" t="inlineStr">
        <is>
          <t>in-e8e918d973092d66</t>
        </is>
      </c>
      <c r="B41" t="inlineStr">
        <is>
          <t>Applied Scientist (Contract), Artificial General Intelligence</t>
        </is>
      </c>
      <c r="C41" t="inlineStr">
        <is>
          <t>Amazon.com</t>
        </is>
      </c>
      <c r="D41" t="inlineStr">
        <is>
          <t>indeed</t>
        </is>
      </c>
      <c r="E41" t="inlineStr"/>
      <c r="F41" t="inlineStr"/>
      <c r="G41" t="inlineStr">
        <is>
          <t>Bellevue, WA, US</t>
        </is>
      </c>
      <c r="H41" s="1" t="n">
        <v>46051</v>
      </c>
      <c r="I4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2">
      <c r="A42" t="inlineStr">
        <is>
          <t>in-9a5ede5a2c7f3bb0</t>
        </is>
      </c>
      <c r="B42" t="inlineStr">
        <is>
          <t>Applied Scientist (Contract), Artificial General Intelligence</t>
        </is>
      </c>
      <c r="C42" t="inlineStr">
        <is>
          <t>Amazon.com</t>
        </is>
      </c>
      <c r="D42" t="inlineStr">
        <is>
          <t>indeed</t>
        </is>
      </c>
      <c r="E42" t="inlineStr"/>
      <c r="F42" t="inlineStr"/>
      <c r="G42" t="inlineStr">
        <is>
          <t>Boston, MA, US</t>
        </is>
      </c>
      <c r="H42" s="1" t="n">
        <v>46051</v>
      </c>
      <c r="I4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3">
      <c r="A43" t="inlineStr">
        <is>
          <t>in-b73b3b7fab5876ed</t>
        </is>
      </c>
      <c r="B43" t="inlineStr">
        <is>
          <t>Sr. Applied Scientist - SLAM, Amazon Industrial Robotics</t>
        </is>
      </c>
      <c r="C43" t="inlineStr">
        <is>
          <t>Amazon.com</t>
        </is>
      </c>
      <c r="D43" t="inlineStr">
        <is>
          <t>indeed</t>
        </is>
      </c>
      <c r="E43" t="inlineStr"/>
      <c r="F43" t="inlineStr"/>
      <c r="G43" t="inlineStr">
        <is>
          <t>Reading, MA, US</t>
        </is>
      </c>
      <c r="H43" s="1" t="n">
        <v>46050</v>
      </c>
      <c r="I4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4">
      <c r="A44" t="inlineStr">
        <is>
          <t>in-870f32dbc687387c</t>
        </is>
      </c>
      <c r="B44" t="inlineStr">
        <is>
          <t>Sr. Applied Scientist - SLAM, Amazon Industrial Robotics</t>
        </is>
      </c>
      <c r="C44" t="inlineStr">
        <is>
          <t>Amazon.com</t>
        </is>
      </c>
      <c r="D44" t="inlineStr">
        <is>
          <t>indeed</t>
        </is>
      </c>
      <c r="E44" t="inlineStr"/>
      <c r="F44" t="inlineStr"/>
      <c r="G44" t="inlineStr">
        <is>
          <t>Reading, MA, US</t>
        </is>
      </c>
      <c r="H44" s="1" t="n">
        <v>46050</v>
      </c>
      <c r="I44"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5">
      <c r="A45" t="inlineStr">
        <is>
          <t>in-0c39e426bf870a67</t>
        </is>
      </c>
      <c r="B45" t="inlineStr">
        <is>
          <t>Principal Applied Scientist, Sensing, Industrial Robotics Group</t>
        </is>
      </c>
      <c r="C45" t="inlineStr">
        <is>
          <t>Amazon.com</t>
        </is>
      </c>
      <c r="D45" t="inlineStr">
        <is>
          <t>indeed</t>
        </is>
      </c>
      <c r="E45" t="inlineStr"/>
      <c r="F45" t="inlineStr"/>
      <c r="G45" t="inlineStr">
        <is>
          <t>Reading, MA, US</t>
        </is>
      </c>
      <c r="H45" s="1" t="n">
        <v>46050</v>
      </c>
      <c r="I45"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6">
      <c r="A46" t="inlineStr">
        <is>
          <t>in-a65c0270b4c1b8ea</t>
        </is>
      </c>
      <c r="B46" t="inlineStr">
        <is>
          <t>Principal Applied Scientist, Sensing, Industrial Robotics Group</t>
        </is>
      </c>
      <c r="C46" t="inlineStr">
        <is>
          <t>Amazon.com</t>
        </is>
      </c>
      <c r="D46" t="inlineStr">
        <is>
          <t>indeed</t>
        </is>
      </c>
      <c r="E46" t="inlineStr"/>
      <c r="F46" t="inlineStr"/>
      <c r="G46" t="inlineStr">
        <is>
          <t>Reading, MA, US</t>
        </is>
      </c>
      <c r="H46" s="1" t="n">
        <v>46050</v>
      </c>
      <c r="I46"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7">
      <c r="A47" t="inlineStr">
        <is>
          <t>in-2be900aa5a431c74</t>
        </is>
      </c>
      <c r="B47" t="inlineStr">
        <is>
          <t>Senior Applied Scientist, Amazon Industrial Robotics</t>
        </is>
      </c>
      <c r="C47" t="inlineStr">
        <is>
          <t>Amazon.com</t>
        </is>
      </c>
      <c r="D47" t="inlineStr">
        <is>
          <t>indeed</t>
        </is>
      </c>
      <c r="E47" t="inlineStr"/>
      <c r="F47" t="inlineStr"/>
      <c r="G47" t="inlineStr">
        <is>
          <t>Reading, MA, US</t>
        </is>
      </c>
      <c r="H47" s="1" t="n">
        <v>46048</v>
      </c>
      <c r="I4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8">
      <c r="A48" t="inlineStr">
        <is>
          <t>in-8f81523262b8d0bf</t>
        </is>
      </c>
      <c r="B48" t="inlineStr">
        <is>
          <t>Senior Applied Scientist, Amazon Industrial Robotics</t>
        </is>
      </c>
      <c r="C48" t="inlineStr">
        <is>
          <t>Amazon.com</t>
        </is>
      </c>
      <c r="D48" t="inlineStr">
        <is>
          <t>indeed</t>
        </is>
      </c>
      <c r="E48" t="inlineStr"/>
      <c r="F48" t="inlineStr"/>
      <c r="G48" t="inlineStr">
        <is>
          <t>Reading, MA, US</t>
        </is>
      </c>
      <c r="H48" s="1" t="n">
        <v>46048</v>
      </c>
      <c r="I4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9">
      <c r="A49" t="inlineStr">
        <is>
          <t>in-b8212c44b3a33071</t>
        </is>
      </c>
      <c r="B49" t="inlineStr">
        <is>
          <t>Applied Scientist II, Prime Video Personalization and Discovery Science</t>
        </is>
      </c>
      <c r="C49" t="inlineStr">
        <is>
          <t>Amazon.com</t>
        </is>
      </c>
      <c r="D49" t="inlineStr">
        <is>
          <t>indeed</t>
        </is>
      </c>
      <c r="E49" t="inlineStr"/>
      <c r="F49" t="inlineStr"/>
      <c r="G49" t="inlineStr">
        <is>
          <t>New York, NY, US</t>
        </is>
      </c>
      <c r="H49" s="1" t="n">
        <v>46047</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0">
      <c r="A50" t="inlineStr">
        <is>
          <t>in-6213d4370650787e</t>
        </is>
      </c>
      <c r="B50" t="inlineStr">
        <is>
          <t>Applied Scientist II, Prime Video Personalization and Discovery Science</t>
        </is>
      </c>
      <c r="C50" t="inlineStr">
        <is>
          <t>Amazon.com</t>
        </is>
      </c>
      <c r="D50" t="inlineStr">
        <is>
          <t>indeed</t>
        </is>
      </c>
      <c r="E50" t="inlineStr"/>
      <c r="F50" t="inlineStr"/>
      <c r="G50" t="inlineStr">
        <is>
          <t>Sunnyvale, CA, US</t>
        </is>
      </c>
      <c r="H50" s="1" t="n">
        <v>46047</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1">
      <c r="A51" t="inlineStr">
        <is>
          <t>in-d61af3fa3ccb09b6</t>
        </is>
      </c>
      <c r="B51" t="inlineStr">
        <is>
          <t>Applied Scientist, Amazon Connect</t>
        </is>
      </c>
      <c r="C51" t="inlineStr">
        <is>
          <t>Amazon Web Services</t>
        </is>
      </c>
      <c r="D51" t="inlineStr">
        <is>
          <t>indeed</t>
        </is>
      </c>
      <c r="E51" t="inlineStr"/>
      <c r="F51" t="inlineStr"/>
      <c r="G51" t="inlineStr">
        <is>
          <t>New York, NY, US</t>
        </is>
      </c>
      <c r="H51" s="1" t="n">
        <v>46047</v>
      </c>
      <c r="I5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2">
      <c r="A52" t="inlineStr">
        <is>
          <t>in-888e111e80563ea2</t>
        </is>
      </c>
      <c r="B52" t="inlineStr">
        <is>
          <t>Applied Scientist II, Prime Video Personalization and Discovery Science</t>
        </is>
      </c>
      <c r="C52" t="inlineStr">
        <is>
          <t>Amazon.com</t>
        </is>
      </c>
      <c r="D52" t="inlineStr">
        <is>
          <t>indeed</t>
        </is>
      </c>
      <c r="E52" t="inlineStr"/>
      <c r="F52" t="inlineStr"/>
      <c r="G52" t="inlineStr">
        <is>
          <t>Seattle, WA, US</t>
        </is>
      </c>
      <c r="H52" s="1" t="n">
        <v>46047</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3">
      <c r="A53" t="inlineStr">
        <is>
          <t>in-c3c8f7d259b75e61</t>
        </is>
      </c>
      <c r="B53" t="inlineStr">
        <is>
          <t>Applied Scientist, Amazon Connect</t>
        </is>
      </c>
      <c r="C53" t="inlineStr">
        <is>
          <t>Amazon Web Services</t>
        </is>
      </c>
      <c r="D53" t="inlineStr">
        <is>
          <t>indeed</t>
        </is>
      </c>
      <c r="E53" t="inlineStr"/>
      <c r="F53" t="inlineStr"/>
      <c r="G53" t="inlineStr">
        <is>
          <t>Seattle, WA, US</t>
        </is>
      </c>
      <c r="H53" s="1" t="n">
        <v>46047</v>
      </c>
      <c r="I5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4">
      <c r="A54" t="inlineStr">
        <is>
          <t>in-1e36bfe85dc855f9</t>
        </is>
      </c>
      <c r="B54" t="inlineStr">
        <is>
          <t>Applied Scientist, Safety ML</t>
        </is>
      </c>
      <c r="C54" t="inlineStr">
        <is>
          <t>Amazon.com</t>
        </is>
      </c>
      <c r="D54" t="inlineStr">
        <is>
          <t>indeed</t>
        </is>
      </c>
      <c r="E54" t="inlineStr"/>
      <c r="F54" t="inlineStr"/>
      <c r="G54" t="inlineStr">
        <is>
          <t>San Francisco, CA, US</t>
        </is>
      </c>
      <c r="H54" s="1" t="n">
        <v>46037</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5">
      <c r="A55" t="inlineStr">
        <is>
          <t>in-54633aa0114fa730</t>
        </is>
      </c>
      <c r="B55" t="inlineStr">
        <is>
          <t>Applied Scientist, Safety ML</t>
        </is>
      </c>
      <c r="C55" t="inlineStr">
        <is>
          <t>Amazon.com</t>
        </is>
      </c>
      <c r="D55" t="inlineStr">
        <is>
          <t>indeed</t>
        </is>
      </c>
      <c r="E55" t="inlineStr"/>
      <c r="F55" t="inlineStr"/>
      <c r="G55" t="inlineStr">
        <is>
          <t>Seattle, WA, US</t>
        </is>
      </c>
      <c r="H55" s="1" t="n">
        <v>46037</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6">
      <c r="A56" t="inlineStr">
        <is>
          <t>in-e747cb720a5f59aa</t>
        </is>
      </c>
      <c r="B56" t="inlineStr">
        <is>
          <t>Principal Applied Scientist, Measurement, AdTech and Data Science, Ads Performance Measurement</t>
        </is>
      </c>
      <c r="C56" t="inlineStr">
        <is>
          <t>Amazon.com</t>
        </is>
      </c>
      <c r="D56" t="inlineStr">
        <is>
          <t>indeed</t>
        </is>
      </c>
      <c r="E56" t="inlineStr"/>
      <c r="F56" t="inlineStr"/>
      <c r="G56" t="inlineStr">
        <is>
          <t>Palo Alto, CA, US</t>
        </is>
      </c>
      <c r="H56" s="1" t="n">
        <v>46037</v>
      </c>
      <c r="I56"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7">
      <c r="A57" t="inlineStr">
        <is>
          <t>in-1c5218b33dfa17ea</t>
        </is>
      </c>
      <c r="B57" t="inlineStr">
        <is>
          <t>Principal Applied Scientist, Measurement, AdTech and Data Science, Ads Performance Measurement</t>
        </is>
      </c>
      <c r="C57" t="inlineStr">
        <is>
          <t>Amazon.com</t>
        </is>
      </c>
      <c r="D57" t="inlineStr">
        <is>
          <t>indeed</t>
        </is>
      </c>
      <c r="E57" t="inlineStr"/>
      <c r="F57" t="inlineStr"/>
      <c r="G57" t="inlineStr">
        <is>
          <t>New York, NY, US</t>
        </is>
      </c>
      <c r="H57" s="1" t="n">
        <v>46037</v>
      </c>
      <c r="I57"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8">
      <c r="A58" t="inlineStr">
        <is>
          <t>in-1bacdbcc753d5cfa</t>
        </is>
      </c>
      <c r="B58" t="inlineStr">
        <is>
          <t>Principal Applied Scientist, Measurement, AdTech and Data Science, Ads Performance Measurement</t>
        </is>
      </c>
      <c r="C58" t="inlineStr">
        <is>
          <t>Amazon.com</t>
        </is>
      </c>
      <c r="D58" t="inlineStr">
        <is>
          <t>indeed</t>
        </is>
      </c>
      <c r="E58" t="inlineStr"/>
      <c r="F58" t="inlineStr"/>
      <c r="G58" t="inlineStr">
        <is>
          <t>Seattle, WA, US</t>
        </is>
      </c>
      <c r="H58" s="1" t="n">
        <v>46037</v>
      </c>
      <c r="I58"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9">
      <c r="A59" t="inlineStr">
        <is>
          <t>in-d1555ca83f8bb487</t>
        </is>
      </c>
      <c r="B59" t="inlineStr">
        <is>
          <t>Applied Scientist, LLM Code Agents, Kiro Science</t>
        </is>
      </c>
      <c r="C59" t="inlineStr">
        <is>
          <t>Amazon.com</t>
        </is>
      </c>
      <c r="D59" t="inlineStr">
        <is>
          <t>indeed</t>
        </is>
      </c>
      <c r="E59" t="inlineStr"/>
      <c r="F59" t="inlineStr"/>
      <c r="G59" t="inlineStr">
        <is>
          <t>Santa Clara, CA, US</t>
        </is>
      </c>
      <c r="H59" s="1" t="n">
        <v>46035</v>
      </c>
      <c r="I5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0">
      <c r="A60" t="inlineStr">
        <is>
          <t>in-f269c2d59b9e0577</t>
        </is>
      </c>
      <c r="B60" t="inlineStr">
        <is>
          <t>Applied Scientist, LLM Code Agents, Kiro Science</t>
        </is>
      </c>
      <c r="C60" t="inlineStr">
        <is>
          <t>Amazon.com</t>
        </is>
      </c>
      <c r="D60" t="inlineStr">
        <is>
          <t>indeed</t>
        </is>
      </c>
      <c r="E60" t="inlineStr"/>
      <c r="F60" t="inlineStr"/>
      <c r="G60" t="inlineStr">
        <is>
          <t>Seattle, WA, US</t>
        </is>
      </c>
      <c r="H60" s="1" t="n">
        <v>46035</v>
      </c>
      <c r="I6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1">
      <c r="A61" t="inlineStr">
        <is>
          <t>in-494c19a2625508e1</t>
        </is>
      </c>
      <c r="B61" t="inlineStr">
        <is>
          <t>Applied Scientist II, Prime Video Personalization and Discovery Science</t>
        </is>
      </c>
      <c r="C61" t="inlineStr">
        <is>
          <t>Amazon.com</t>
        </is>
      </c>
      <c r="D61" t="inlineStr">
        <is>
          <t>indeed</t>
        </is>
      </c>
      <c r="E61" t="inlineStr"/>
      <c r="F61" t="inlineStr"/>
      <c r="G61" t="inlineStr">
        <is>
          <t>Seattle, WA, US</t>
        </is>
      </c>
      <c r="H61" s="1" t="n">
        <v>46034</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2">
      <c r="A62" t="inlineStr">
        <is>
          <t>in-80bcf9d906148adc</t>
        </is>
      </c>
      <c r="B62" t="inlineStr">
        <is>
          <t>Applied Scientist II, Prime Video Personalization and Discovery Science</t>
        </is>
      </c>
      <c r="C62" t="inlineStr">
        <is>
          <t>Amazon.com</t>
        </is>
      </c>
      <c r="D62" t="inlineStr">
        <is>
          <t>indeed</t>
        </is>
      </c>
      <c r="E62" t="inlineStr"/>
      <c r="F62" t="inlineStr"/>
      <c r="G62" t="inlineStr">
        <is>
          <t>Sunnyvale, CA, US</t>
        </is>
      </c>
      <c r="H62" s="1" t="n">
        <v>46034</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3">
      <c r="A63" t="inlineStr">
        <is>
          <t>in-7951f23422caec2e</t>
        </is>
      </c>
      <c r="B63" t="inlineStr">
        <is>
          <t>Applied Scientist, Alexa Smart Home</t>
        </is>
      </c>
      <c r="C63" t="inlineStr">
        <is>
          <t>Amazon.com</t>
        </is>
      </c>
      <c r="D63" t="inlineStr">
        <is>
          <t>indeed</t>
        </is>
      </c>
      <c r="E63" t="inlineStr"/>
      <c r="F63" t="inlineStr"/>
      <c r="G63" t="inlineStr">
        <is>
          <t>Seattle, WA, US</t>
        </is>
      </c>
      <c r="H63" s="1" t="n">
        <v>46033</v>
      </c>
      <c r="I6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4">
      <c r="A64" t="inlineStr">
        <is>
          <t>in-9fc59c81d33d5864</t>
        </is>
      </c>
      <c r="B64" t="inlineStr">
        <is>
          <t>Applied Scientist, Alexa Smart Home</t>
        </is>
      </c>
      <c r="C64" t="inlineStr">
        <is>
          <t>Amazon.com</t>
        </is>
      </c>
      <c r="D64" t="inlineStr">
        <is>
          <t>indeed</t>
        </is>
      </c>
      <c r="E64" t="inlineStr"/>
      <c r="F64" t="inlineStr"/>
      <c r="G64" t="inlineStr">
        <is>
          <t>Sunnyvale, CA, US</t>
        </is>
      </c>
      <c r="H64" s="1" t="n">
        <v>46033</v>
      </c>
      <c r="I6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5">
      <c r="A65" t="inlineStr">
        <is>
          <t>in-988145a455d5e80d</t>
        </is>
      </c>
      <c r="B65" t="inlineStr">
        <is>
          <t>Applied Scientist, AWS Applied AI Solutions</t>
        </is>
      </c>
      <c r="C65" t="inlineStr">
        <is>
          <t>Amazon Web Services</t>
        </is>
      </c>
      <c r="D65" t="inlineStr">
        <is>
          <t>indeed</t>
        </is>
      </c>
      <c r="E65" t="inlineStr"/>
      <c r="F65" t="inlineStr"/>
      <c r="G65" t="inlineStr">
        <is>
          <t>New York, NY, US</t>
        </is>
      </c>
      <c r="H65" s="1" t="n">
        <v>46030</v>
      </c>
      <c r="I6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6">
      <c r="A66" t="inlineStr">
        <is>
          <t>in-fc375cd0244a8438</t>
        </is>
      </c>
      <c r="B66" t="inlineStr">
        <is>
          <t>Applied Scientist, AWS Applied AI Solutions</t>
        </is>
      </c>
      <c r="C66" t="inlineStr">
        <is>
          <t>Amazon Web Services</t>
        </is>
      </c>
      <c r="D66" t="inlineStr">
        <is>
          <t>indeed</t>
        </is>
      </c>
      <c r="E66" t="inlineStr"/>
      <c r="F66" t="inlineStr"/>
      <c r="G66" t="inlineStr">
        <is>
          <t>Seattle, WA, US</t>
        </is>
      </c>
      <c r="H66" s="1" t="n">
        <v>46030</v>
      </c>
      <c r="I6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7">
      <c r="A67" t="inlineStr">
        <is>
          <t>in-daff187db041ec44</t>
        </is>
      </c>
      <c r="B67" t="inlineStr">
        <is>
          <t>Senior Data Scientist, Amazon Global Logistics</t>
        </is>
      </c>
      <c r="C67" t="inlineStr">
        <is>
          <t>Amazon.com</t>
        </is>
      </c>
      <c r="D67" t="inlineStr">
        <is>
          <t>indeed</t>
        </is>
      </c>
      <c r="E67" t="inlineStr"/>
      <c r="F67" t="inlineStr"/>
      <c r="G67" t="inlineStr">
        <is>
          <t>Boston, MA, US</t>
        </is>
      </c>
      <c r="H67" s="1" t="n">
        <v>46029</v>
      </c>
      <c r="I67"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68">
      <c r="A68" t="inlineStr">
        <is>
          <t>in-c95730e64d337b39</t>
        </is>
      </c>
      <c r="B68" t="inlineStr">
        <is>
          <t>Senior Data Scientist, Amazon Global Logistics</t>
        </is>
      </c>
      <c r="C68" t="inlineStr">
        <is>
          <t>Amazon.com</t>
        </is>
      </c>
      <c r="D68" t="inlineStr">
        <is>
          <t>indeed</t>
        </is>
      </c>
      <c r="E68" t="inlineStr"/>
      <c r="F68" t="inlineStr"/>
      <c r="G68" t="inlineStr">
        <is>
          <t>Bellevue, WA, US</t>
        </is>
      </c>
      <c r="H68" s="1" t="n">
        <v>46029</v>
      </c>
      <c r="I68"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69">
      <c r="A69" t="inlineStr">
        <is>
          <t>in-76d628a243070299</t>
        </is>
      </c>
      <c r="B69" t="inlineStr">
        <is>
          <t>Applied Scientist II, Prime Video Personalization and Discovery Science</t>
        </is>
      </c>
      <c r="C69" t="inlineStr">
        <is>
          <t>Amazon.com</t>
        </is>
      </c>
      <c r="D69" t="inlineStr">
        <is>
          <t>indeed</t>
        </is>
      </c>
      <c r="E69" t="inlineStr"/>
      <c r="F69" t="inlineStr"/>
      <c r="G69" t="inlineStr">
        <is>
          <t>New York, NY, US</t>
        </is>
      </c>
      <c r="H69" s="1" t="n">
        <v>46028</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0">
      <c r="A70" t="inlineStr">
        <is>
          <t>in-c2f481e6b00e09a7</t>
        </is>
      </c>
      <c r="B70" t="inlineStr">
        <is>
          <t>Applied Scientist II, Prime Video Personalization and Discovery Science</t>
        </is>
      </c>
      <c r="C70" t="inlineStr">
        <is>
          <t>Amazon.com</t>
        </is>
      </c>
      <c r="D70" t="inlineStr">
        <is>
          <t>indeed</t>
        </is>
      </c>
      <c r="E70" t="inlineStr"/>
      <c r="F70" t="inlineStr"/>
      <c r="G70" t="inlineStr">
        <is>
          <t>Sunnyvale, CA, US</t>
        </is>
      </c>
      <c r="H70" s="1" t="n">
        <v>46028</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1">
      <c r="A71" t="inlineStr">
        <is>
          <t>in-2fbf61de4ca16527</t>
        </is>
      </c>
      <c r="B71" t="inlineStr">
        <is>
          <t>Applied Scientist II, Prime Video Personalization and Discovery Science</t>
        </is>
      </c>
      <c r="C71" t="inlineStr">
        <is>
          <t>Amazon.com</t>
        </is>
      </c>
      <c r="D71" t="inlineStr">
        <is>
          <t>indeed</t>
        </is>
      </c>
      <c r="E71" t="inlineStr"/>
      <c r="F71" t="inlineStr"/>
      <c r="G71" t="inlineStr">
        <is>
          <t>Seattle, WA, US</t>
        </is>
      </c>
      <c r="H71" s="1" t="n">
        <v>46028</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2">
      <c r="A72" t="inlineStr">
        <is>
          <t>in-d85466d7bee1fa4d</t>
        </is>
      </c>
      <c r="B72" t="inlineStr">
        <is>
          <t>Senior Applied Scientist, Distributed SQL</t>
        </is>
      </c>
      <c r="C72" t="inlineStr">
        <is>
          <t>Amazon Web Services</t>
        </is>
      </c>
      <c r="D72" t="inlineStr">
        <is>
          <t>indeed</t>
        </is>
      </c>
      <c r="E72" t="inlineStr"/>
      <c r="F72" t="inlineStr"/>
      <c r="G72" t="inlineStr">
        <is>
          <t>East Palo Alto, CA, US</t>
        </is>
      </c>
      <c r="H72" s="1" t="n">
        <v>46012</v>
      </c>
      <c r="I7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3">
      <c r="A73" t="inlineStr">
        <is>
          <t>in-ba9b7c190dc2a650</t>
        </is>
      </c>
      <c r="B73" t="inlineStr">
        <is>
          <t>Senior Applied Scientist, Distributed SQL</t>
        </is>
      </c>
      <c r="C73" t="inlineStr">
        <is>
          <t>Amazon Web Services</t>
        </is>
      </c>
      <c r="D73" t="inlineStr">
        <is>
          <t>indeed</t>
        </is>
      </c>
      <c r="E73" t="inlineStr"/>
      <c r="F73" t="inlineStr"/>
      <c r="G73" t="inlineStr">
        <is>
          <t>Seattle, WA, US</t>
        </is>
      </c>
      <c r="H73" s="1" t="n">
        <v>46012</v>
      </c>
      <c r="I7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4">
      <c r="A74" t="inlineStr">
        <is>
          <t>in-92e842cf4ba15713</t>
        </is>
      </c>
      <c r="B74" t="inlineStr">
        <is>
          <t>Applied Scientist, Delivery Foundation Model</t>
        </is>
      </c>
      <c r="C74" t="inlineStr">
        <is>
          <t>Amazon.com</t>
        </is>
      </c>
      <c r="D74" t="inlineStr">
        <is>
          <t>indeed</t>
        </is>
      </c>
      <c r="E74" t="inlineStr"/>
      <c r="F74" t="inlineStr"/>
      <c r="G74" t="inlineStr">
        <is>
          <t>Bellevue, WA, US</t>
        </is>
      </c>
      <c r="H74" s="1" t="n">
        <v>46009</v>
      </c>
      <c r="I7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5">
      <c r="A75" t="inlineStr">
        <is>
          <t>in-227706d46a1fb4f3</t>
        </is>
      </c>
      <c r="B75" t="inlineStr">
        <is>
          <t>Applied Scientist, Delivery Foundation Model</t>
        </is>
      </c>
      <c r="C75" t="inlineStr">
        <is>
          <t>Amazon.com</t>
        </is>
      </c>
      <c r="D75" t="inlineStr">
        <is>
          <t>indeed</t>
        </is>
      </c>
      <c r="E75" t="inlineStr"/>
      <c r="F75" t="inlineStr"/>
      <c r="G75" t="inlineStr">
        <is>
          <t>Santa Clara, CA, US</t>
        </is>
      </c>
      <c r="H75" s="1" t="n">
        <v>46009</v>
      </c>
      <c r="I7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6">
      <c r="A76" t="inlineStr">
        <is>
          <t>in-29caa4e94132ce40</t>
        </is>
      </c>
      <c r="B76" t="inlineStr">
        <is>
          <t>Principal Applied Scientist, Kiro Science</t>
        </is>
      </c>
      <c r="C76" t="inlineStr">
        <is>
          <t>Amazon Web Services</t>
        </is>
      </c>
      <c r="D76" t="inlineStr">
        <is>
          <t>indeed</t>
        </is>
      </c>
      <c r="E76" t="inlineStr"/>
      <c r="F76" t="inlineStr"/>
      <c r="G76" t="inlineStr">
        <is>
          <t>Santa Clara, CA, US</t>
        </is>
      </c>
      <c r="H76" s="1" t="n">
        <v>45999</v>
      </c>
      <c r="I7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7">
      <c r="A77" t="inlineStr">
        <is>
          <t>in-dbd6cda93151cc37</t>
        </is>
      </c>
      <c r="B77" t="inlineStr">
        <is>
          <t>Principal Applied Scientist, Kiro Science</t>
        </is>
      </c>
      <c r="C77" t="inlineStr">
        <is>
          <t>Amazon Web Services</t>
        </is>
      </c>
      <c r="D77" t="inlineStr">
        <is>
          <t>indeed</t>
        </is>
      </c>
      <c r="E77" t="inlineStr"/>
      <c r="F77" t="inlineStr"/>
      <c r="G77" t="inlineStr">
        <is>
          <t>New York, NY, US</t>
        </is>
      </c>
      <c r="H77" s="1" t="n">
        <v>45999</v>
      </c>
      <c r="I7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8">
      <c r="A78" t="inlineStr">
        <is>
          <t>in-6bc2c8e4bc2b1b50</t>
        </is>
      </c>
      <c r="B78" t="inlineStr">
        <is>
          <t>Principal Applied Scientist, Sponsored Products and Brands</t>
        </is>
      </c>
      <c r="C78" t="inlineStr">
        <is>
          <t>Amazon.com</t>
        </is>
      </c>
      <c r="D78" t="inlineStr">
        <is>
          <t>indeed</t>
        </is>
      </c>
      <c r="E78" t="inlineStr"/>
      <c r="F78" t="inlineStr"/>
      <c r="G78" t="inlineStr">
        <is>
          <t>New York, NY, US</t>
        </is>
      </c>
      <c r="H78" s="1" t="n">
        <v>45979</v>
      </c>
      <c r="I7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in-432d640d05cef65a</t>
        </is>
      </c>
      <c r="B79" t="inlineStr">
        <is>
          <t>Principal Applied Scientist, Sponsored Products and Brands</t>
        </is>
      </c>
      <c r="C79" t="inlineStr">
        <is>
          <t>Amazon.com</t>
        </is>
      </c>
      <c r="D79" t="inlineStr">
        <is>
          <t>indeed</t>
        </is>
      </c>
      <c r="E79" t="inlineStr"/>
      <c r="F79" t="inlineStr"/>
      <c r="G79" t="inlineStr">
        <is>
          <t>Seattle, WA, US</t>
        </is>
      </c>
      <c r="H79" s="1" t="n">
        <v>45979</v>
      </c>
      <c r="I7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in-52e7136a4a0f1b95</t>
        </is>
      </c>
      <c r="B80" t="inlineStr">
        <is>
          <t>Sr. Applied Scientist, Sponsored Products</t>
        </is>
      </c>
      <c r="C80" t="inlineStr">
        <is>
          <t>Amazon.com</t>
        </is>
      </c>
      <c r="D80" t="inlineStr">
        <is>
          <t>indeed</t>
        </is>
      </c>
      <c r="E80" t="inlineStr"/>
      <c r="F80" t="inlineStr"/>
      <c r="G80" t="inlineStr">
        <is>
          <t>Seattle, WA, US</t>
        </is>
      </c>
      <c r="H80" s="1" t="n">
        <v>45976</v>
      </c>
      <c r="I8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1">
      <c r="A81" t="inlineStr">
        <is>
          <t>in-0db87cadd9fc2a68</t>
        </is>
      </c>
      <c r="B81" t="inlineStr">
        <is>
          <t>Sr. Applied Scientist, Sponsored Products</t>
        </is>
      </c>
      <c r="C81" t="inlineStr">
        <is>
          <t>Amazon.com</t>
        </is>
      </c>
      <c r="D81" t="inlineStr">
        <is>
          <t>indeed</t>
        </is>
      </c>
      <c r="E81" t="inlineStr"/>
      <c r="F81" t="inlineStr"/>
      <c r="G81" t="inlineStr">
        <is>
          <t>New York, NY, US</t>
        </is>
      </c>
      <c r="H81" s="1" t="n">
        <v>45976</v>
      </c>
      <c r="I8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2">
      <c r="A82" t="inlineStr">
        <is>
          <t>in-1517409d2741c0f5</t>
        </is>
      </c>
      <c r="B82" t="inlineStr">
        <is>
          <t>Sr. Applied Scientist, Sponsored Products</t>
        </is>
      </c>
      <c r="C82" t="inlineStr">
        <is>
          <t>Amazon.com</t>
        </is>
      </c>
      <c r="D82" t="inlineStr">
        <is>
          <t>indeed</t>
        </is>
      </c>
      <c r="E82" t="inlineStr"/>
      <c r="F82" t="inlineStr"/>
      <c r="G82" t="inlineStr">
        <is>
          <t>Arlington, VA, US</t>
        </is>
      </c>
      <c r="H82" s="1" t="n">
        <v>45976</v>
      </c>
      <c r="I8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3">
      <c r="A83" t="inlineStr">
        <is>
          <t>in-5020df89abee78dd</t>
        </is>
      </c>
      <c r="B83" t="inlineStr">
        <is>
          <t>Applied Scientist, AWS Agentic AI</t>
        </is>
      </c>
      <c r="C83" t="inlineStr">
        <is>
          <t>Amazon Web Services</t>
        </is>
      </c>
      <c r="D83" t="inlineStr">
        <is>
          <t>indeed</t>
        </is>
      </c>
      <c r="E83" t="inlineStr"/>
      <c r="F83" t="inlineStr"/>
      <c r="G83" t="inlineStr">
        <is>
          <t>New York, NY, US</t>
        </is>
      </c>
      <c r="H83" s="1" t="n">
        <v>45962</v>
      </c>
      <c r="I8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in-114d7cc0edd7eefc</t>
        </is>
      </c>
      <c r="B84" t="inlineStr">
        <is>
          <t>Applied Scientist, AWS Agentic AI</t>
        </is>
      </c>
      <c r="C84" t="inlineStr">
        <is>
          <t>Amazon Web Services</t>
        </is>
      </c>
      <c r="D84" t="inlineStr">
        <is>
          <t>indeed</t>
        </is>
      </c>
      <c r="E84" t="inlineStr"/>
      <c r="F84" t="inlineStr"/>
      <c r="G84" t="inlineStr">
        <is>
          <t>Santa Clara, CA, US</t>
        </is>
      </c>
      <c r="H84" s="1" t="n">
        <v>45962</v>
      </c>
      <c r="I8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in-13fe8f60b0b9a959</t>
        </is>
      </c>
      <c r="B85" t="inlineStr">
        <is>
          <t>Applied Scientist, AWS Agentic AI</t>
        </is>
      </c>
      <c r="C85" t="inlineStr">
        <is>
          <t>Amazon Web Services</t>
        </is>
      </c>
      <c r="D85" t="inlineStr">
        <is>
          <t>indeed</t>
        </is>
      </c>
      <c r="E85" t="inlineStr"/>
      <c r="F85" t="inlineStr"/>
      <c r="G85" t="inlineStr">
        <is>
          <t>Seattle, WA, US</t>
        </is>
      </c>
      <c r="H85" s="1" t="n">
        <v>45962</v>
      </c>
      <c r="I8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in-3737cd781812a589</t>
        </is>
      </c>
      <c r="B86" t="inlineStr">
        <is>
          <t>Applied Scientist, Prime Video - Content Understanding, Localization &amp; Enrichment Team</t>
        </is>
      </c>
      <c r="C86" t="inlineStr">
        <is>
          <t>Amazon.com</t>
        </is>
      </c>
      <c r="D86" t="inlineStr">
        <is>
          <t>indeed</t>
        </is>
      </c>
      <c r="E86" t="inlineStr"/>
      <c r="F86" t="inlineStr"/>
      <c r="G86" t="inlineStr">
        <is>
          <t>San Francisco, CA, US</t>
        </is>
      </c>
      <c r="H86" s="1" t="n">
        <v>45943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7">
      <c r="A87" t="inlineStr">
        <is>
          <t>in-fa53b405b1909db7</t>
        </is>
      </c>
      <c r="B87" t="inlineStr">
        <is>
          <t>Applied Scientist, Prime Video - Content Understanding, Localization &amp; Enrichment Team</t>
        </is>
      </c>
      <c r="C87" t="inlineStr">
        <is>
          <t>Amazon.com</t>
        </is>
      </c>
      <c r="D87" t="inlineStr">
        <is>
          <t>indeed</t>
        </is>
      </c>
      <c r="E87" t="inlineStr"/>
      <c r="F87" t="inlineStr"/>
      <c r="G87" t="inlineStr">
        <is>
          <t>Seattle, WA, US</t>
        </is>
      </c>
      <c r="H87" s="1" t="n">
        <v>45943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8">
      <c r="A88" t="inlineStr">
        <is>
          <t>in-7b0537bebd35b0ec</t>
        </is>
      </c>
      <c r="B88" t="inlineStr">
        <is>
          <t>Principal Applied Scientist, Advertiser Growth, Amazon Sponsored Products &amp; Brands</t>
        </is>
      </c>
      <c r="C88" t="inlineStr">
        <is>
          <t>Amazon.com</t>
        </is>
      </c>
      <c r="D88" t="inlineStr">
        <is>
          <t>indeed</t>
        </is>
      </c>
      <c r="E88" t="inlineStr"/>
      <c r="F88" t="inlineStr"/>
      <c r="G88" t="inlineStr">
        <is>
          <t>Seattle, WA, US</t>
        </is>
      </c>
      <c r="H88" s="1"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in-ab7e1d4dcd307c4b</t>
        </is>
      </c>
      <c r="B89" t="inlineStr">
        <is>
          <t>Principal Applied Scientist, Advertiser Growth, Amazon Sponsored Products &amp; Brands</t>
        </is>
      </c>
      <c r="C89" t="inlineStr">
        <is>
          <t>Amazon.com</t>
        </is>
      </c>
      <c r="D89" t="inlineStr">
        <is>
          <t>indeed</t>
        </is>
      </c>
      <c r="E89" t="inlineStr"/>
      <c r="F89" t="inlineStr"/>
      <c r="G89" t="inlineStr">
        <is>
          <t>New York, NY, US</t>
        </is>
      </c>
      <c r="H89" s="1"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in-167e1096bd92e98c</t>
        </is>
      </c>
      <c r="B90" t="inlineStr">
        <is>
          <t>Principal Applied Scientist, Advertiser Growth, Amazon Sponsored Products &amp; Brands</t>
        </is>
      </c>
      <c r="C90" t="inlineStr">
        <is>
          <t>Amazon.com</t>
        </is>
      </c>
      <c r="D90" t="inlineStr">
        <is>
          <t>indeed</t>
        </is>
      </c>
      <c r="E90" t="inlineStr"/>
      <c r="F90" t="inlineStr"/>
      <c r="G90" t="inlineStr">
        <is>
          <t>Palo Alto, CA, US</t>
        </is>
      </c>
      <c r="H90" s="1" t="n">
        <v>45942</v>
      </c>
      <c r="I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in-07ca3604c2a7f544</t>
        </is>
      </c>
      <c r="B91" t="inlineStr">
        <is>
          <t>Applied Scientist, Workplace Health &amp; Safety</t>
        </is>
      </c>
      <c r="C91" t="inlineStr">
        <is>
          <t>Amazon.com</t>
        </is>
      </c>
      <c r="D91" t="inlineStr">
        <is>
          <t>indeed</t>
        </is>
      </c>
      <c r="E91" t="inlineStr"/>
      <c r="F91" t="inlineStr"/>
      <c r="G91" t="inlineStr">
        <is>
          <t>Nashville, TN, US</t>
        </is>
      </c>
      <c r="H91" s="1" t="n">
        <v>45917</v>
      </c>
      <c r="I9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in-83c5a3eb1a4b1d70</t>
        </is>
      </c>
      <c r="B92" t="inlineStr">
        <is>
          <t>Applied Scientist, Workplace Health &amp; Safety</t>
        </is>
      </c>
      <c r="C92" t="inlineStr">
        <is>
          <t>Amazon.com</t>
        </is>
      </c>
      <c r="D92" t="inlineStr">
        <is>
          <t>indeed</t>
        </is>
      </c>
      <c r="E92" t="inlineStr"/>
      <c r="F92" t="inlineStr"/>
      <c r="G92" t="inlineStr">
        <is>
          <t>Bellevue, WA, US</t>
        </is>
      </c>
      <c r="H92" s="1" t="n">
        <v>45917</v>
      </c>
      <c r="I9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in-24a045bf5b5c978f</t>
        </is>
      </c>
      <c r="B93" t="inlineStr">
        <is>
          <t>Sr. Applied Scientist, Prime Video - Personalization and Discovery Science</t>
        </is>
      </c>
      <c r="C93" t="inlineStr">
        <is>
          <t>Amazon.com</t>
        </is>
      </c>
      <c r="D93" t="inlineStr">
        <is>
          <t>indeed</t>
        </is>
      </c>
      <c r="E93" t="inlineStr"/>
      <c r="F93" t="inlineStr"/>
      <c r="G93" t="inlineStr">
        <is>
          <t>Sunnyvale, CA, US</t>
        </is>
      </c>
      <c r="H93" s="1" t="n">
        <v>45896</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4">
      <c r="A94" t="inlineStr">
        <is>
          <t>in-5a3ee4260e828a7f</t>
        </is>
      </c>
      <c r="B94" t="inlineStr">
        <is>
          <t>Sr. Applied Scientist, Prime Video - Personalization and Discovery Science</t>
        </is>
      </c>
      <c r="C94" t="inlineStr">
        <is>
          <t>Amazon.com</t>
        </is>
      </c>
      <c r="D94" t="inlineStr">
        <is>
          <t>indeed</t>
        </is>
      </c>
      <c r="E94" t="inlineStr"/>
      <c r="F94" t="inlineStr"/>
      <c r="G94" t="inlineStr">
        <is>
          <t>Seattle, WA, US</t>
        </is>
      </c>
      <c r="H94" s="1" t="n">
        <v>45896</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5">
      <c r="A95" t="inlineStr">
        <is>
          <t>in-c33b42762fa37c37</t>
        </is>
      </c>
      <c r="B95" t="inlineStr">
        <is>
          <t>Sr. Applied Scientist, Prime Video - Personalization and Discovery Science</t>
        </is>
      </c>
      <c r="C95" t="inlineStr">
        <is>
          <t>Amazon.com</t>
        </is>
      </c>
      <c r="D95" t="inlineStr">
        <is>
          <t>indeed</t>
        </is>
      </c>
      <c r="E95" t="inlineStr"/>
      <c r="F95" t="inlineStr"/>
      <c r="G95" t="inlineStr">
        <is>
          <t>New York, NY, US</t>
        </is>
      </c>
      <c r="H95" s="1" t="n">
        <v>45896</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6">
      <c r="A96" t="inlineStr">
        <is>
          <t>in-2a3789a9c1c01ab9</t>
        </is>
      </c>
      <c r="B96" t="inlineStr">
        <is>
          <t>Sr. Applied Scientist, Amazon Advertising</t>
        </is>
      </c>
      <c r="C96" t="inlineStr">
        <is>
          <t>Amazon.com</t>
        </is>
      </c>
      <c r="D96" t="inlineStr">
        <is>
          <t>indeed</t>
        </is>
      </c>
      <c r="E96" t="inlineStr"/>
      <c r="F96" t="inlineStr"/>
      <c r="G96" t="inlineStr">
        <is>
          <t>New York, NY, US</t>
        </is>
      </c>
      <c r="H96" s="1"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in-89fce9b609478aaf</t>
        </is>
      </c>
      <c r="B97" t="inlineStr">
        <is>
          <t>Sr. Applied Scientist, Amazon Advertising</t>
        </is>
      </c>
      <c r="C97" t="inlineStr">
        <is>
          <t>Amazon.com</t>
        </is>
      </c>
      <c r="D97" t="inlineStr">
        <is>
          <t>indeed</t>
        </is>
      </c>
      <c r="E97" t="inlineStr"/>
      <c r="F97" t="inlineStr"/>
      <c r="G97" t="inlineStr">
        <is>
          <t>Los Angeles, CA, US</t>
        </is>
      </c>
      <c r="H97" s="1"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in-e6a2e2454c660314</t>
        </is>
      </c>
      <c r="B98" t="inlineStr">
        <is>
          <t>Sr. Applied Scientist, Amazon Advertising</t>
        </is>
      </c>
      <c r="C98" t="inlineStr">
        <is>
          <t>Amazon.com</t>
        </is>
      </c>
      <c r="D98" t="inlineStr">
        <is>
          <t>indeed</t>
        </is>
      </c>
      <c r="E98" t="inlineStr"/>
      <c r="F98" t="inlineStr"/>
      <c r="G98" t="inlineStr">
        <is>
          <t>West Hollywood, CA, US</t>
        </is>
      </c>
      <c r="H98" s="1"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in-0b9e7958f985f6dd</t>
        </is>
      </c>
      <c r="B99" t="inlineStr">
        <is>
          <t>Sr. Applied Scientist, Amazon Advertising</t>
        </is>
      </c>
      <c r="C99" t="inlineStr">
        <is>
          <t>Amazon.com</t>
        </is>
      </c>
      <c r="D99" t="inlineStr">
        <is>
          <t>indeed</t>
        </is>
      </c>
      <c r="E99" t="inlineStr"/>
      <c r="F99" t="inlineStr"/>
      <c r="G99" t="inlineStr">
        <is>
          <t>Arlington, VA, US</t>
        </is>
      </c>
      <c r="H99" s="1"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in-70c4ac8d6a2195a1</t>
        </is>
      </c>
      <c r="B100" t="inlineStr">
        <is>
          <t>Sr. Applied Scientist, Amazon Advertising</t>
        </is>
      </c>
      <c r="C100" t="inlineStr">
        <is>
          <t>Amazon.com</t>
        </is>
      </c>
      <c r="D100" t="inlineStr">
        <is>
          <t>indeed</t>
        </is>
      </c>
      <c r="E100" t="inlineStr"/>
      <c r="F100" t="inlineStr"/>
      <c r="G100" t="inlineStr">
        <is>
          <t>Austin, TX, US</t>
        </is>
      </c>
      <c r="H100" s="1"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in-e7d365707acfa2db</t>
        </is>
      </c>
      <c r="B101" t="inlineStr">
        <is>
          <t>Sr. Applied Scientist, Amazon Advertising</t>
        </is>
      </c>
      <c r="C101" t="inlineStr">
        <is>
          <t>Amazon.com</t>
        </is>
      </c>
      <c r="D101" t="inlineStr">
        <is>
          <t>indeed</t>
        </is>
      </c>
      <c r="E101" t="inlineStr"/>
      <c r="F101" t="inlineStr"/>
      <c r="G101" t="inlineStr">
        <is>
          <t>Palo Alto, CA,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in-61f3030772ab7ca0</t>
        </is>
      </c>
      <c r="B102" t="inlineStr">
        <is>
          <t>Sr. Applied Scientist, Amazon Advertising</t>
        </is>
      </c>
      <c r="C102" t="inlineStr">
        <is>
          <t>Amazon.com</t>
        </is>
      </c>
      <c r="D102" t="inlineStr">
        <is>
          <t>indeed</t>
        </is>
      </c>
      <c r="E102" t="inlineStr"/>
      <c r="F102" t="inlineStr"/>
      <c r="G102" t="inlineStr">
        <is>
          <t>Simi Valley, CA,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in-2584daf9093dda38</t>
        </is>
      </c>
      <c r="B103" t="inlineStr">
        <is>
          <t>Sr. Applied Scientist, Amazon Advertising</t>
        </is>
      </c>
      <c r="C103" t="inlineStr">
        <is>
          <t>Amazon.com</t>
        </is>
      </c>
      <c r="D103" t="inlineStr">
        <is>
          <t>indeed</t>
        </is>
      </c>
      <c r="E103" t="inlineStr"/>
      <c r="F103" t="inlineStr"/>
      <c r="G103" t="inlineStr">
        <is>
          <t>Seattle, WA,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in-75ce033e2ea56c85</t>
        </is>
      </c>
      <c r="B104" t="inlineStr">
        <is>
          <t>Applied Scientist, Prime Video - Personalization and Discovery Science</t>
        </is>
      </c>
      <c r="C104" t="inlineStr">
        <is>
          <t>Amazon.com</t>
        </is>
      </c>
      <c r="D104" t="inlineStr">
        <is>
          <t>indeed</t>
        </is>
      </c>
      <c r="E104" t="inlineStr"/>
      <c r="F104" t="inlineStr"/>
      <c r="G104" t="inlineStr">
        <is>
          <t>Sunnyvale, CA, US</t>
        </is>
      </c>
      <c r="H104" s="1" t="n">
        <v>45845</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5">
      <c r="A105" t="inlineStr">
        <is>
          <t>in-b92f6ec4e33910b6</t>
        </is>
      </c>
      <c r="B105" t="inlineStr">
        <is>
          <t>Applied Scientist, Prime Video - Personalization and Discovery Science</t>
        </is>
      </c>
      <c r="C105" t="inlineStr">
        <is>
          <t>Amazon.com</t>
        </is>
      </c>
      <c r="D105" t="inlineStr">
        <is>
          <t>indeed</t>
        </is>
      </c>
      <c r="E105" t="inlineStr"/>
      <c r="F105" t="inlineStr"/>
      <c r="G105" t="inlineStr">
        <is>
          <t>Seattle, WA, US</t>
        </is>
      </c>
      <c r="H105" s="1" t="n">
        <v>45845</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6">
      <c r="A106" t="inlineStr">
        <is>
          <t>in-cdf4838924b9dd2b</t>
        </is>
      </c>
      <c r="B106" t="inlineStr">
        <is>
          <t>Applied Scientist, Prime Video - Personalization and Discovery Science</t>
        </is>
      </c>
      <c r="C106" t="inlineStr">
        <is>
          <t>Amazon.com</t>
        </is>
      </c>
      <c r="D106" t="inlineStr">
        <is>
          <t>indeed</t>
        </is>
      </c>
      <c r="E106" t="inlineStr"/>
      <c r="F106" t="inlineStr"/>
      <c r="G106" t="inlineStr">
        <is>
          <t>New York, NY, US</t>
        </is>
      </c>
      <c r="H106" s="1" t="n">
        <v>45845</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7">
      <c r="A107" t="inlineStr">
        <is>
          <t>in-129d01b8890ee815</t>
        </is>
      </c>
      <c r="B107" t="inlineStr">
        <is>
          <t>Sr. Data Scientist, Amazon Leo Global Planning, Amazon Leo</t>
        </is>
      </c>
      <c r="C107" t="inlineStr">
        <is>
          <t>Amazon.com</t>
        </is>
      </c>
      <c r="D107" t="inlineStr">
        <is>
          <t>indeed</t>
        </is>
      </c>
      <c r="E107" t="inlineStr"/>
      <c r="F107" t="inlineStr"/>
      <c r="G107" t="inlineStr">
        <is>
          <t>Bellevue, WA, US</t>
        </is>
      </c>
      <c r="H107" s="1" t="n">
        <v>45830</v>
      </c>
      <c r="I107"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08">
      <c r="A108" t="inlineStr">
        <is>
          <t>in-8ac8e8bad7e3ad04</t>
        </is>
      </c>
      <c r="B108" t="inlineStr">
        <is>
          <t>Sr. Data Scientist, Amazon Leo Global Planning, Amazon Leo</t>
        </is>
      </c>
      <c r="C108" t="inlineStr">
        <is>
          <t>Amazon.com</t>
        </is>
      </c>
      <c r="D108" t="inlineStr">
        <is>
          <t>indeed</t>
        </is>
      </c>
      <c r="E108" t="inlineStr"/>
      <c r="F108" t="inlineStr"/>
      <c r="G108" t="inlineStr">
        <is>
          <t>Redmond, WA, US</t>
        </is>
      </c>
      <c r="H108" s="1" t="n">
        <v>45830</v>
      </c>
      <c r="I10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09">
      <c r="A109" t="inlineStr">
        <is>
          <t>in-3ca2fed4cb3e48af</t>
        </is>
      </c>
      <c r="B109" t="inlineStr">
        <is>
          <t>Sr. Applied Scientist, AGI Info</t>
        </is>
      </c>
      <c r="C109" t="inlineStr">
        <is>
          <t>Amazon.com</t>
        </is>
      </c>
      <c r="D109" t="inlineStr">
        <is>
          <t>indeed</t>
        </is>
      </c>
      <c r="E109" t="inlineStr"/>
      <c r="F109" t="inlineStr"/>
      <c r="G109" t="inlineStr">
        <is>
          <t>Sunnyvale, CA, US</t>
        </is>
      </c>
      <c r="H109" s="1" t="n">
        <v>45811</v>
      </c>
      <c r="I10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110">
      <c r="A110" t="inlineStr">
        <is>
          <t>in-62e1cef214c4fb74</t>
        </is>
      </c>
      <c r="B110" t="inlineStr">
        <is>
          <t>Sr. Applied Scientist, AGI Info</t>
        </is>
      </c>
      <c r="C110" t="inlineStr">
        <is>
          <t>Amazon.com</t>
        </is>
      </c>
      <c r="D110" t="inlineStr">
        <is>
          <t>indeed</t>
        </is>
      </c>
      <c r="E110" t="inlineStr"/>
      <c r="F110" t="inlineStr"/>
      <c r="G110" t="inlineStr">
        <is>
          <t>Bellevue, WA, US</t>
        </is>
      </c>
      <c r="H110" s="1" t="n">
        <v>45811</v>
      </c>
      <c r="I110"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111">
      <c r="A111" t="inlineStr">
        <is>
          <t>in-c56b638ec7b933a5</t>
        </is>
      </c>
      <c r="B111" t="inlineStr">
        <is>
          <t>Principal Applied Scientist, Delivery Foundation Model</t>
        </is>
      </c>
      <c r="C111" t="inlineStr">
        <is>
          <t>Amazon.com</t>
        </is>
      </c>
      <c r="D111" t="inlineStr">
        <is>
          <t>indeed</t>
        </is>
      </c>
      <c r="E111" t="inlineStr"/>
      <c r="F111" t="inlineStr"/>
      <c r="G111" t="inlineStr">
        <is>
          <t>New York, NY, US</t>
        </is>
      </c>
      <c r="H111" s="1" t="n">
        <v>45810</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2">
      <c r="A112" t="inlineStr">
        <is>
          <t>in-4466d97cac501010</t>
        </is>
      </c>
      <c r="B112" t="inlineStr">
        <is>
          <t>Principal Applied Scientist, Delivery Foundation Model</t>
        </is>
      </c>
      <c r="C112" t="inlineStr">
        <is>
          <t>Amazon.com</t>
        </is>
      </c>
      <c r="D112" t="inlineStr">
        <is>
          <t>indeed</t>
        </is>
      </c>
      <c r="E112" t="inlineStr"/>
      <c r="F112" t="inlineStr"/>
      <c r="G112" t="inlineStr">
        <is>
          <t>Bellevue, WA, US</t>
        </is>
      </c>
      <c r="H112" s="1" t="n">
        <v>45810</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3">
      <c r="A113" t="inlineStr">
        <is>
          <t>in-2eacdb57321b8d5e</t>
        </is>
      </c>
      <c r="B113" t="inlineStr">
        <is>
          <t>Principal Applied Scientist, Delivery Foundation Model</t>
        </is>
      </c>
      <c r="C113" t="inlineStr">
        <is>
          <t>Amazon.com</t>
        </is>
      </c>
      <c r="D113" t="inlineStr">
        <is>
          <t>indeed</t>
        </is>
      </c>
      <c r="E113" t="inlineStr"/>
      <c r="F113" t="inlineStr"/>
      <c r="G113" t="inlineStr">
        <is>
          <t>Austin, TX, US</t>
        </is>
      </c>
      <c r="H113" s="1" t="n">
        <v>45810</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4">
      <c r="A114" t="inlineStr">
        <is>
          <t>in-00a52dc79ed496ef</t>
        </is>
      </c>
      <c r="B114" t="inlineStr">
        <is>
          <t>Principal Applied Scientist, Delivery Foundation Model</t>
        </is>
      </c>
      <c r="C114" t="inlineStr">
        <is>
          <t>Amazon.com</t>
        </is>
      </c>
      <c r="D114" t="inlineStr">
        <is>
          <t>indeed</t>
        </is>
      </c>
      <c r="E114" t="inlineStr"/>
      <c r="F114" t="inlineStr"/>
      <c r="G114" t="inlineStr">
        <is>
          <t>Santa Clara, CA, US</t>
        </is>
      </c>
      <c r="H114" s="1" t="n">
        <v>45810</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5">
      <c r="A115" t="inlineStr">
        <is>
          <t>in-59603c9a0cbb4536</t>
        </is>
      </c>
      <c r="B115" t="inlineStr">
        <is>
          <t>Senior Applied Scientist, Delivery Foundation Model</t>
        </is>
      </c>
      <c r="C115" t="inlineStr">
        <is>
          <t>Amazon.com</t>
        </is>
      </c>
      <c r="D115" t="inlineStr">
        <is>
          <t>indeed</t>
        </is>
      </c>
      <c r="E115" t="inlineStr"/>
      <c r="F115" t="inlineStr"/>
      <c r="G115" t="inlineStr">
        <is>
          <t>New York, NY, US</t>
        </is>
      </c>
      <c r="H115" s="1" t="n">
        <v>45806</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in-28a3f0d601fd1cde</t>
        </is>
      </c>
      <c r="B116" t="inlineStr">
        <is>
          <t>Senior Applied Scientist, Delivery Foundation Model</t>
        </is>
      </c>
      <c r="C116" t="inlineStr">
        <is>
          <t>Amazon.com</t>
        </is>
      </c>
      <c r="D116" t="inlineStr">
        <is>
          <t>indeed</t>
        </is>
      </c>
      <c r="E116" t="inlineStr"/>
      <c r="F116" t="inlineStr"/>
      <c r="G116" t="inlineStr">
        <is>
          <t>Bellevue, WA, US</t>
        </is>
      </c>
      <c r="H116" s="1" t="n">
        <v>45806</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in-5fe28e71f32d0c87</t>
        </is>
      </c>
      <c r="B117" t="inlineStr">
        <is>
          <t>Senior Applied Scientist, Delivery Foundation Model</t>
        </is>
      </c>
      <c r="C117" t="inlineStr">
        <is>
          <t>Amazon.com</t>
        </is>
      </c>
      <c r="D117" t="inlineStr">
        <is>
          <t>indeed</t>
        </is>
      </c>
      <c r="E117" t="inlineStr"/>
      <c r="F117" t="inlineStr"/>
      <c r="G117" t="inlineStr">
        <is>
          <t>Santa Clara, CA, US</t>
        </is>
      </c>
      <c r="H117" s="1" t="n">
        <v>45806</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in-1b501d4ca8e8e99b</t>
        </is>
      </c>
      <c r="B118" t="inlineStr">
        <is>
          <t>Sr. Applied Scientist - Privacy, Privacy Engineering</t>
        </is>
      </c>
      <c r="C118" t="inlineStr">
        <is>
          <t>Amazon.com</t>
        </is>
      </c>
      <c r="D118" t="inlineStr">
        <is>
          <t>indeed</t>
        </is>
      </c>
      <c r="E118" t="inlineStr"/>
      <c r="F118" t="inlineStr"/>
      <c r="G118" t="inlineStr">
        <is>
          <t>San Francisco, CA, US</t>
        </is>
      </c>
      <c r="H118" s="1" t="n">
        <v>45787</v>
      </c>
      <c r="I11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in-8e0c45a8253d0f97</t>
        </is>
      </c>
      <c r="B119" t="inlineStr">
        <is>
          <t>Sr. Applied Scientist - Privacy, Privacy Engineering</t>
        </is>
      </c>
      <c r="C119" t="inlineStr">
        <is>
          <t>Amazon.com</t>
        </is>
      </c>
      <c r="D119" t="inlineStr">
        <is>
          <t>indeed</t>
        </is>
      </c>
      <c r="E119" t="inlineStr"/>
      <c r="F119" t="inlineStr"/>
      <c r="G119" t="inlineStr">
        <is>
          <t>Sunnyvale, CA, US</t>
        </is>
      </c>
      <c r="H119" s="1" t="n">
        <v>45787</v>
      </c>
      <c r="I11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in-066e7f7f8104d1c7</t>
        </is>
      </c>
      <c r="B120" t="inlineStr">
        <is>
          <t>Sr. Applied Scientist - Privacy, Privacy Engineering</t>
        </is>
      </c>
      <c r="C120" t="inlineStr">
        <is>
          <t>Amazon.com</t>
        </is>
      </c>
      <c r="D120" t="inlineStr">
        <is>
          <t>indeed</t>
        </is>
      </c>
      <c r="E120" t="inlineStr"/>
      <c r="F120" t="inlineStr"/>
      <c r="G120" t="inlineStr">
        <is>
          <t>Seattle, WA, US</t>
        </is>
      </c>
      <c r="H120" s="1" t="n">
        <v>45787</v>
      </c>
      <c r="I12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in-c0dbe7dcab1bd17e</t>
        </is>
      </c>
      <c r="B121" t="inlineStr">
        <is>
          <t>Sr. Applied Scientist - Privacy, Privacy Engineering</t>
        </is>
      </c>
      <c r="C121" t="inlineStr">
        <is>
          <t>Amazon.com</t>
        </is>
      </c>
      <c r="D121" t="inlineStr">
        <is>
          <t>indeed</t>
        </is>
      </c>
      <c r="E121" t="inlineStr"/>
      <c r="F121" t="inlineStr"/>
      <c r="G121" t="inlineStr">
        <is>
          <t>Santa Clara, CA, US</t>
        </is>
      </c>
      <c r="H121" s="1" t="n">
        <v>45787</v>
      </c>
      <c r="I12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in-684415a87be361d4</t>
        </is>
      </c>
      <c r="B122" t="inlineStr">
        <is>
          <t>Principal Applied Scientist, Delivery Foundation Model</t>
        </is>
      </c>
      <c r="C122" t="inlineStr">
        <is>
          <t>Amazon.com</t>
        </is>
      </c>
      <c r="D122" t="inlineStr">
        <is>
          <t>indeed</t>
        </is>
      </c>
      <c r="E122" t="inlineStr"/>
      <c r="F122" t="inlineStr"/>
      <c r="G122" t="inlineStr">
        <is>
          <t>Bellevue, WA, US</t>
        </is>
      </c>
      <c r="H122" s="1" t="n">
        <v>45757</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3">
      <c r="A123" t="inlineStr">
        <is>
          <t>in-05c3b72e1cc2fd51</t>
        </is>
      </c>
      <c r="B123" t="inlineStr">
        <is>
          <t>Principal Applied Scientist, Delivery Foundation Model</t>
        </is>
      </c>
      <c r="C123" t="inlineStr">
        <is>
          <t>Amazon.com</t>
        </is>
      </c>
      <c r="D123" t="inlineStr">
        <is>
          <t>indeed</t>
        </is>
      </c>
      <c r="E123" t="inlineStr"/>
      <c r="F123" t="inlineStr"/>
      <c r="G123" t="inlineStr">
        <is>
          <t>Santa Clara, CA, US</t>
        </is>
      </c>
      <c r="H123" s="1" t="n">
        <v>45757</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4">
      <c r="A124" t="inlineStr">
        <is>
          <t>in-a990d753b222742c</t>
        </is>
      </c>
      <c r="B124" t="inlineStr">
        <is>
          <t>Principal Applied Scientist, Delivery Foundation Model</t>
        </is>
      </c>
      <c r="C124" t="inlineStr">
        <is>
          <t>Amazon.com</t>
        </is>
      </c>
      <c r="D124" t="inlineStr">
        <is>
          <t>indeed</t>
        </is>
      </c>
      <c r="E124" t="inlineStr"/>
      <c r="F124" t="inlineStr"/>
      <c r="G124" t="inlineStr">
        <is>
          <t>New York, NY, US</t>
        </is>
      </c>
      <c r="H124" s="1" t="n">
        <v>45757</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5">
      <c r="A125" t="inlineStr">
        <is>
          <t>in-03b0ce858e44a1f9</t>
        </is>
      </c>
      <c r="B125" t="inlineStr">
        <is>
          <t>Sr. Applied Scientist, Amazon Ads</t>
        </is>
      </c>
      <c r="C125" t="inlineStr">
        <is>
          <t>Amazon.com</t>
        </is>
      </c>
      <c r="D125" t="inlineStr">
        <is>
          <t>indeed</t>
        </is>
      </c>
      <c r="E125" t="inlineStr"/>
      <c r="F125" t="inlineStr"/>
      <c r="G125" t="inlineStr">
        <is>
          <t>Seattle, WA, US</t>
        </is>
      </c>
      <c r="H125" s="1" t="n">
        <v>45998</v>
      </c>
      <c r="I1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6">
      <c r="A126" t="inlineStr">
        <is>
          <t>in-977ba59658b40f1d</t>
        </is>
      </c>
      <c r="B126" t="inlineStr">
        <is>
          <t>Sr. Applied Scientist, Amazon Ads</t>
        </is>
      </c>
      <c r="C126" t="inlineStr">
        <is>
          <t>Amazon.com</t>
        </is>
      </c>
      <c r="D126" t="inlineStr">
        <is>
          <t>indeed</t>
        </is>
      </c>
      <c r="E126" t="inlineStr"/>
      <c r="F126" t="inlineStr"/>
      <c r="G126" t="inlineStr">
        <is>
          <t>Tukwila, WA, US</t>
        </is>
      </c>
      <c r="H126" s="1" t="n">
        <v>45998</v>
      </c>
      <c r="I1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7">
      <c r="A127" t="inlineStr">
        <is>
          <t>in-aa192e0cf0a8eef3</t>
        </is>
      </c>
      <c r="B127" t="inlineStr">
        <is>
          <t>Sr. Applied Scientist, Amazon Ads</t>
        </is>
      </c>
      <c r="C127" t="inlineStr">
        <is>
          <t>Amazon.com</t>
        </is>
      </c>
      <c r="D127" t="inlineStr">
        <is>
          <t>indeed</t>
        </is>
      </c>
      <c r="E127" t="inlineStr"/>
      <c r="F127" t="inlineStr"/>
      <c r="G127" t="inlineStr">
        <is>
          <t>Sunnyvale, CA, US</t>
        </is>
      </c>
      <c r="H127" s="1" t="n">
        <v>45998</v>
      </c>
      <c r="I1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8">
      <c r="A128" t="inlineStr">
        <is>
          <t>in-67a4dc06338fe070</t>
        </is>
      </c>
      <c r="B128" t="inlineStr">
        <is>
          <t>Sr. Applied Scientist, Amazon Ads</t>
        </is>
      </c>
      <c r="C128" t="inlineStr">
        <is>
          <t>Amazon.com</t>
        </is>
      </c>
      <c r="D128" t="inlineStr">
        <is>
          <t>indeed</t>
        </is>
      </c>
      <c r="E128" t="inlineStr"/>
      <c r="F128" t="inlineStr"/>
      <c r="G128" t="inlineStr">
        <is>
          <t>New York, NY, US</t>
        </is>
      </c>
      <c r="H128" s="1" t="n">
        <v>45998</v>
      </c>
      <c r="I1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9">
      <c r="A129" t="inlineStr">
        <is>
          <t>in-e981163251d04e60</t>
        </is>
      </c>
      <c r="B129" t="inlineStr">
        <is>
          <t>Sr. Applied Scientist, Amazon Ads</t>
        </is>
      </c>
      <c r="C129" t="inlineStr">
        <is>
          <t>Amazon.com</t>
        </is>
      </c>
      <c r="D129" t="inlineStr">
        <is>
          <t>indeed</t>
        </is>
      </c>
      <c r="E129" t="inlineStr"/>
      <c r="F129" t="inlineStr"/>
      <c r="G129" t="inlineStr">
        <is>
          <t>Palo Alto, CA, US</t>
        </is>
      </c>
      <c r="H129" s="1" t="n">
        <v>45998</v>
      </c>
      <c r="I1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0">
      <c r="A130" t="inlineStr">
        <is>
          <t>in-797129995d6031cb</t>
        </is>
      </c>
      <c r="B130" t="inlineStr">
        <is>
          <t>Sr. Applied Scientist, Amazon Ads</t>
        </is>
      </c>
      <c r="C130" t="inlineStr">
        <is>
          <t>Amazon.com</t>
        </is>
      </c>
      <c r="D130" t="inlineStr">
        <is>
          <t>indeed</t>
        </is>
      </c>
      <c r="E130" t="inlineStr"/>
      <c r="F130" t="inlineStr"/>
      <c r="G130" t="inlineStr">
        <is>
          <t>Santa Monica, CA, US</t>
        </is>
      </c>
      <c r="H130" s="1" t="n">
        <v>45998</v>
      </c>
      <c r="I1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1">
      <c r="A131" t="inlineStr">
        <is>
          <t>in-79bc1c4f768bd36c</t>
        </is>
      </c>
      <c r="B131" t="inlineStr">
        <is>
          <t>Sr. Applied Scientist, Amazon Ads</t>
        </is>
      </c>
      <c r="C131" t="inlineStr">
        <is>
          <t>Amazon.com</t>
        </is>
      </c>
      <c r="D131" t="inlineStr">
        <is>
          <t>indeed</t>
        </is>
      </c>
      <c r="E131" t="inlineStr"/>
      <c r="F131" t="inlineStr"/>
      <c r="G131" t="inlineStr">
        <is>
          <t>Brooklyn, NY, US</t>
        </is>
      </c>
      <c r="H131" s="1" t="n">
        <v>45998</v>
      </c>
      <c r="I1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2">
      <c r="A132" t="inlineStr">
        <is>
          <t>in-600bf2316884cc29</t>
        </is>
      </c>
      <c r="B132" t="inlineStr">
        <is>
          <t>Sr. Applied Scientist, Amazon Ads</t>
        </is>
      </c>
      <c r="C132" t="inlineStr">
        <is>
          <t>Amazon.com</t>
        </is>
      </c>
      <c r="D132" t="inlineStr">
        <is>
          <t>indeed</t>
        </is>
      </c>
      <c r="E132" t="inlineStr"/>
      <c r="F132" t="inlineStr"/>
      <c r="G132" t="inlineStr">
        <is>
          <t>Boulder, CO, US</t>
        </is>
      </c>
      <c r="H132" s="1" t="n">
        <v>45998</v>
      </c>
      <c r="I1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3">
      <c r="A133" t="inlineStr">
        <is>
          <t>in-28c9aee22c7b35ee</t>
        </is>
      </c>
      <c r="B133" t="inlineStr">
        <is>
          <t>Sr. Applied Scientist, Amazon Ads</t>
        </is>
      </c>
      <c r="C133" t="inlineStr">
        <is>
          <t>Amazon.com</t>
        </is>
      </c>
      <c r="D133" t="inlineStr">
        <is>
          <t>indeed</t>
        </is>
      </c>
      <c r="E133" t="inlineStr"/>
      <c r="F133" t="inlineStr"/>
      <c r="G133" t="inlineStr">
        <is>
          <t>Boston, MA, US</t>
        </is>
      </c>
      <c r="H133" s="1" t="n">
        <v>45998</v>
      </c>
      <c r="I1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4">
      <c r="A134" t="inlineStr">
        <is>
          <t>in-41282f79f444c43c</t>
        </is>
      </c>
      <c r="B134" t="inlineStr">
        <is>
          <t>Sr. Applied Scientist, Amazon Ads</t>
        </is>
      </c>
      <c r="C134" t="inlineStr">
        <is>
          <t>Amazon.com</t>
        </is>
      </c>
      <c r="D134" t="inlineStr">
        <is>
          <t>indeed</t>
        </is>
      </c>
      <c r="E134" t="inlineStr"/>
      <c r="F134" t="inlineStr"/>
      <c r="G134" t="inlineStr">
        <is>
          <t>Corvallis, OR, US</t>
        </is>
      </c>
      <c r="H134" s="1" t="n">
        <v>45998</v>
      </c>
      <c r="I1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5">
      <c r="A135" t="inlineStr">
        <is>
          <t>in-97dc645777d54d9b</t>
        </is>
      </c>
      <c r="B135" t="inlineStr">
        <is>
          <t>Senior Applied Scientist, Sponsored Products and Brands</t>
        </is>
      </c>
      <c r="C135" t="inlineStr">
        <is>
          <t>Amazon.com</t>
        </is>
      </c>
      <c r="D135" t="inlineStr">
        <is>
          <t>indeed</t>
        </is>
      </c>
      <c r="E135" t="inlineStr"/>
      <c r="F135" t="inlineStr"/>
      <c r="G135" t="inlineStr">
        <is>
          <t>Seattle, WA, US</t>
        </is>
      </c>
      <c r="H135" s="1" t="n">
        <v>45979</v>
      </c>
      <c r="I13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36">
      <c r="A136" t="inlineStr">
        <is>
          <t>in-4aab84d5c724cba9</t>
        </is>
      </c>
      <c r="B136" t="inlineStr">
        <is>
          <t>Senior Applied Scientist, Sponsored Products and Brands</t>
        </is>
      </c>
      <c r="C136" t="inlineStr">
        <is>
          <t>Amazon.com</t>
        </is>
      </c>
      <c r="D136" t="inlineStr">
        <is>
          <t>indeed</t>
        </is>
      </c>
      <c r="E136" t="inlineStr"/>
      <c r="F136" t="inlineStr"/>
      <c r="G136" t="inlineStr">
        <is>
          <t>New York, NY, US</t>
        </is>
      </c>
      <c r="H136" s="1" t="n">
        <v>45979</v>
      </c>
      <c r="I13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37">
      <c r="A137" t="inlineStr">
        <is>
          <t>in-042dce491ad0f216</t>
        </is>
      </c>
      <c r="B137" t="inlineStr">
        <is>
          <t>Applied Scientist II, Prime Video - Personalization and Discovery Science, Personalization and Discovery Science</t>
        </is>
      </c>
      <c r="C137" t="inlineStr">
        <is>
          <t>Amazon.com</t>
        </is>
      </c>
      <c r="D137" t="inlineStr">
        <is>
          <t>indeed</t>
        </is>
      </c>
      <c r="E137" t="inlineStr"/>
      <c r="F137" t="inlineStr"/>
      <c r="G137" t="inlineStr">
        <is>
          <t>Seattle, WA, US</t>
        </is>
      </c>
      <c r="H137" s="1" t="n">
        <v>45930</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in-7f75ebf939763fd7</t>
        </is>
      </c>
      <c r="B138" t="inlineStr">
        <is>
          <t>Applied Scientist II, Prime Video - Personalization and Discovery Science, Personalization and Discovery Science</t>
        </is>
      </c>
      <c r="C138" t="inlineStr">
        <is>
          <t>Amazon.com</t>
        </is>
      </c>
      <c r="D138" t="inlineStr">
        <is>
          <t>indeed</t>
        </is>
      </c>
      <c r="E138" t="inlineStr"/>
      <c r="F138" t="inlineStr"/>
      <c r="G138" t="inlineStr">
        <is>
          <t>Sunnyvale, CA, US</t>
        </is>
      </c>
      <c r="H138" s="1" t="n">
        <v>45930</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in-9b28e0d4b4a3ac42</t>
        </is>
      </c>
      <c r="B139" t="inlineStr">
        <is>
          <t>Applied Scientist II, Prime Video - Personalization and Discovery Science, Personalization and Discovery Science</t>
        </is>
      </c>
      <c r="C139" t="inlineStr">
        <is>
          <t>Amazon.com</t>
        </is>
      </c>
      <c r="D139" t="inlineStr">
        <is>
          <t>indeed</t>
        </is>
      </c>
      <c r="E139" t="inlineStr"/>
      <c r="F139" t="inlineStr"/>
      <c r="G139" t="inlineStr">
        <is>
          <t>New York, NY, US</t>
        </is>
      </c>
      <c r="H139" s="1" t="n">
        <v>45930</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in-b47feef493ca86f7</t>
        </is>
      </c>
      <c r="B140" t="inlineStr">
        <is>
          <t>Sr. Applied Scientist, Prime Video - Personalization and Discovery Science</t>
        </is>
      </c>
      <c r="C140" t="inlineStr">
        <is>
          <t>Amazon.com</t>
        </is>
      </c>
      <c r="D140" t="inlineStr">
        <is>
          <t>indeed</t>
        </is>
      </c>
      <c r="E140" t="inlineStr"/>
      <c r="F140" t="inlineStr"/>
      <c r="G140" t="inlineStr">
        <is>
          <t>New York, NY, US</t>
        </is>
      </c>
      <c r="H140" s="1" t="n">
        <v>45881</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in-9994f0446108a4f0</t>
        </is>
      </c>
      <c r="B141" t="inlineStr">
        <is>
          <t>Sr. Applied Scientist, Prime Video - Personalization and Discovery Science</t>
        </is>
      </c>
      <c r="C141" t="inlineStr">
        <is>
          <t>Amazon.com</t>
        </is>
      </c>
      <c r="D141" t="inlineStr">
        <is>
          <t>indeed</t>
        </is>
      </c>
      <c r="E141" t="inlineStr"/>
      <c r="F141" t="inlineStr"/>
      <c r="G141" t="inlineStr">
        <is>
          <t>Sunnyvale, CA, US</t>
        </is>
      </c>
      <c r="H141" s="1" t="n">
        <v>45881</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in-d121b5106e53b866</t>
        </is>
      </c>
      <c r="B142" t="inlineStr">
        <is>
          <t>Applied Scientist II, Prime Video - Personalization and Discovery Science</t>
        </is>
      </c>
      <c r="C142" t="inlineStr">
        <is>
          <t>Amazon.com</t>
        </is>
      </c>
      <c r="D142" t="inlineStr">
        <is>
          <t>indeed</t>
        </is>
      </c>
      <c r="E142" t="inlineStr"/>
      <c r="F142" t="inlineStr"/>
      <c r="G142" t="inlineStr">
        <is>
          <t>Seattle, WA, US</t>
        </is>
      </c>
      <c r="H142" s="1" t="n">
        <v>45881</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in-4bc1363d3fbdc5ad</t>
        </is>
      </c>
      <c r="B143" t="inlineStr">
        <is>
          <t>Applied Scientist II, Prime Video - Personalization and Discovery Science</t>
        </is>
      </c>
      <c r="C143" t="inlineStr">
        <is>
          <t>Amazon.com</t>
        </is>
      </c>
      <c r="D143" t="inlineStr">
        <is>
          <t>indeed</t>
        </is>
      </c>
      <c r="E143" t="inlineStr"/>
      <c r="F143" t="inlineStr"/>
      <c r="G143" t="inlineStr">
        <is>
          <t>New York, NY, US</t>
        </is>
      </c>
      <c r="H143" s="1" t="n">
        <v>45881</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in-51729af4a1ae1bf3</t>
        </is>
      </c>
      <c r="B144" t="inlineStr">
        <is>
          <t>Applied Scientist II, Prime Video - Personalization and Discovery Science</t>
        </is>
      </c>
      <c r="C144" t="inlineStr">
        <is>
          <t>Amazon.com</t>
        </is>
      </c>
      <c r="D144" t="inlineStr">
        <is>
          <t>indeed</t>
        </is>
      </c>
      <c r="E144" t="inlineStr"/>
      <c r="F144" t="inlineStr"/>
      <c r="G144" t="inlineStr">
        <is>
          <t>Sunnyvale, CA, US</t>
        </is>
      </c>
      <c r="H144" s="1" t="n">
        <v>45881</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in-1324a8edecd683c7</t>
        </is>
      </c>
      <c r="B145" t="inlineStr">
        <is>
          <t>Sr. Applied Scientist, Prime Video - Personalization and Discovery Science</t>
        </is>
      </c>
      <c r="C145" t="inlineStr">
        <is>
          <t>Amazon.com</t>
        </is>
      </c>
      <c r="D145" t="inlineStr">
        <is>
          <t>indeed</t>
        </is>
      </c>
      <c r="E145" t="inlineStr"/>
      <c r="F145" t="inlineStr"/>
      <c r="G145" t="inlineStr">
        <is>
          <t>Seattle, WA, US</t>
        </is>
      </c>
      <c r="H145" s="1" t="n">
        <v>45881</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in-fbe39d16913628ef</t>
        </is>
      </c>
      <c r="B146" t="inlineStr">
        <is>
          <t>Sr. Data Scientist, Commercial Analytics</t>
        </is>
      </c>
      <c r="C146" t="inlineStr">
        <is>
          <t>Cedar INC</t>
        </is>
      </c>
      <c r="D146" t="inlineStr">
        <is>
          <t>indeed</t>
        </is>
      </c>
      <c r="E146" t="inlineStr"/>
      <c r="F146" t="inlineStr"/>
      <c r="G146" t="inlineStr">
        <is>
          <t>US</t>
        </is>
      </c>
      <c r="H146" s="1" t="n">
        <v>46081</v>
      </c>
      <c r="I146" t="inlineStr">
        <is>
          <t>**The Role:**
We're seeking a Senior Data Scientist to join our Commercial Analytics team and lead the development of an internal agentic intelligence product— Cedar's next\-generation analytics platform that transforms how health systems understand and optimize their revenue cycle operations. The Commercial Analytics team's goal is to enable our internal and external clients to understand, appreciate, and extract the maximum value from their Cedar relationships and products. The team's ambition is to satisfy and delight Cedar's clients through access to data and insights that:
* Help them build trust in Cedar's products and recognize the value they deliver
* Empower them to take advantage of Cedar's varying features and levers to maximize value
* Enable them to proactively identify and resolve revenue cycle issues before they become costly problems
Today, health systems rely on static dashboards and manual analyst support to answer even routine questions about collection rates, payment plan defaults, and AR aging. We're building a platform that changes that — one where clients and internal teams can ask questions in natural language, receive instant answers with automated root cause analysis, and take action the same day. This role sits at the center of that build.
As a Senior Data Scientist, you will be viewed as a force multiplier for your squad, displaying leadership and beginning to have an impact beyond your own tasks. You will lead squad\-level projects, mentor junior team members, and drive decision\-making within your team. You will develop deep expertise in Cedar's data ecosystem and Revenue Cycle Management domain, translating complex business problems into scalable analytics products that serve Cedar's client base.
**Key Responsibilities:**
* Architect and build the decoupled semantic layer that powers RCM Intelligence — extracting metric definitions into a queryable format (MetricFlow/dbt Semantic Layer) that serves dashboards, natural language queries, and agentic systems from a single source of truth
* Design and develop metric frameworks and root cause analysis capabilities, including metric trees that decompose performance changes (e.g., why did metric X drop?) into their contributing factors — enabling clients and internal technical teams to self\-serve answers that today require hours of analyst work
* Execute ambiguous, complex projects independently, proactively asking for help when needed, and translating client needs into structured analytical solutions
* Lead and execute sophisticated ad\-hoc analyses using Python and SQL, then translate findings into scalable, parameterized data products that serve all clients rather than being rebuilt one\-off
Develop and optimize production data pipelines in dbt, ensuring consistent metric definitions and data quality across Cedar's Bronze Silver* Gold architecture
* Serve as a thought partner to Technical Account Managers and Client Managers, using internal data products to surface proactive insights that strengthen client relationships and reduce reactive fire drills
* Partner with Data Engineers to implement robust infrastructure that supports the platform's analytical requirements and ensures scalability
* Present and communicate platform capabilities, analytical findings, and methodology to commercial stakeholders and clients — translating technical concepts for non\-technical audiences
* Identify and advocate for opportunities to enhance Revenue Cycle Management Intelligence's impact, including features that reduce manual analyst work and increase client self\-service
**Skills and Experience:**
* 5–7\+ years of experience in analytical roles with demonstrated impact on business outcomes, preferably in healthcare, fintech, or B2B SaaS
* Deep proficiency in SQL and dbt, including production pipeline development and semantic layer modeling — experience with MetricFlow or dbt Semantic Layer a strong plus
* Experience building client\-facing analytics products or BI tools, particularly those requiring parameterization across different client configurations
* Proficiency in Python for data analysis, notebook\-based exploration, and analytical prototyping
* Ability to translate complex business problems and domain requirements into structured analytical approaches and scalable data products
* Strong presentation and communication skills, with the ability to influence decision\-making and articulate technical concepts to diverse audiences
* Analytical ability and understanding of statistical methods for measuring business impact
* Experience decomposing ambiguous problems and executing solutions independently with a proactive, ownership\-driven mindset
* Familiarity with NLP, agentic analytics, or LLM\-powered BI tools (e.g., natural language querying, automated root cause analysis) is a plus
* Experience with modern agentic or AI\-native BI platforms (e.g., Omni, Lightdash, Hex, or similar) in a production analytics environment is a plus
* Experience mentoring junior team members is a plus
* Knowledge of healthcare revenue cycle management — AR aging, payment plans, collections, patient financial experience — is a plus
* Experience with Snowflake or cloud data warehouse environments in a production setting is a plus
**Compensation Range and Benefits**
* Salary/Hourly Rate Range\*: $178,500 \- $210,000
* This role is equity eligible
* This role offers a competitive benefits and wellness package
* Subject to location, experience, and education
*\#LI\- CR1*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47">
      <c r="A147" t="inlineStr">
        <is>
          <t>in-28570630d0509025</t>
        </is>
      </c>
      <c r="B147" t="inlineStr">
        <is>
          <t>Data Scientist, AWS Infrastructure Services Science</t>
        </is>
      </c>
      <c r="C147" t="inlineStr">
        <is>
          <t>Amazon.com</t>
        </is>
      </c>
      <c r="D147" t="inlineStr">
        <is>
          <t>indeed</t>
        </is>
      </c>
      <c r="E147" t="inlineStr"/>
      <c r="F147" t="inlineStr"/>
      <c r="G147" t="inlineStr">
        <is>
          <t>Herndon, VA, US</t>
        </is>
      </c>
      <c r="H147" s="1" t="n">
        <v>46065</v>
      </c>
      <c r="I14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48">
      <c r="A148" t="inlineStr">
        <is>
          <t>in-3947349692e9f1e4</t>
        </is>
      </c>
      <c r="B148" t="inlineStr">
        <is>
          <t>Data Scientist, AWS Infrastructure Services Science</t>
        </is>
      </c>
      <c r="C148" t="inlineStr">
        <is>
          <t>Amazon.com</t>
        </is>
      </c>
      <c r="D148" t="inlineStr">
        <is>
          <t>indeed</t>
        </is>
      </c>
      <c r="E148" t="inlineStr"/>
      <c r="F148" t="inlineStr"/>
      <c r="G148" t="inlineStr">
        <is>
          <t>Seattle, WA, US</t>
        </is>
      </c>
      <c r="H148" s="1" t="n">
        <v>46065</v>
      </c>
      <c r="I1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49">
      <c r="A149" t="inlineStr">
        <is>
          <t>in-7826f3061daa87c8</t>
        </is>
      </c>
      <c r="B149" t="inlineStr">
        <is>
          <t>Data Scientist, Rapid &amp; Rural Logistics (R2L)</t>
        </is>
      </c>
      <c r="C149" t="inlineStr">
        <is>
          <t>Amazon.com</t>
        </is>
      </c>
      <c r="D149" t="inlineStr">
        <is>
          <t>indeed</t>
        </is>
      </c>
      <c r="E149" t="inlineStr"/>
      <c r="F149" t="inlineStr"/>
      <c r="G149" t="inlineStr">
        <is>
          <t>New York, NY, US</t>
        </is>
      </c>
      <c r="H149" s="1" t="n">
        <v>46056</v>
      </c>
      <c r="I149"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50">
      <c r="A150" t="inlineStr">
        <is>
          <t>in-3e77f605952f84ce</t>
        </is>
      </c>
      <c r="B150" t="inlineStr">
        <is>
          <t>Data Scientist, Rapid &amp; Rural Logistics (R2L)</t>
        </is>
      </c>
      <c r="C150" t="inlineStr">
        <is>
          <t>Amazon.com</t>
        </is>
      </c>
      <c r="D150" t="inlineStr">
        <is>
          <t>indeed</t>
        </is>
      </c>
      <c r="E150" t="inlineStr"/>
      <c r="F150" t="inlineStr"/>
      <c r="G150" t="inlineStr">
        <is>
          <t>Bellevue, WA, US</t>
        </is>
      </c>
      <c r="H150" s="1" t="n">
        <v>46056</v>
      </c>
      <c r="I150"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51">
      <c r="A151" t="inlineStr">
        <is>
          <t>in-8a87f9afc07f5078</t>
        </is>
      </c>
      <c r="B151" t="inlineStr">
        <is>
          <t>Data Scientist II, ADSP Product Operations &amp; Analytics</t>
        </is>
      </c>
      <c r="C151" t="inlineStr">
        <is>
          <t>Amazon.com</t>
        </is>
      </c>
      <c r="D151" t="inlineStr">
        <is>
          <t>indeed</t>
        </is>
      </c>
      <c r="E151" t="inlineStr"/>
      <c r="F151" t="inlineStr"/>
      <c r="G151" t="inlineStr">
        <is>
          <t>Seattle, WA, US</t>
        </is>
      </c>
      <c r="H151" s="1" t="n">
        <v>46062</v>
      </c>
      <c r="I151" t="inlineStr">
        <is>
          <t>**DESCRIPTION**
---------------
In this role, you will build scalable solutions and sophisticated models that identify and drive growth opportunities for Amazon Ads teams, specifically within Amazon's Demand Side Platform (ADSP). You will leverage machine learning, simulation, and advanced statistical techniques to explain complex patterns, quantify business impact, predict future trends, and prescribe actionable strategies that inform critical business decisions at the highest levels of the organization. You will work with various stakeholders to align on priorities, with the understanding that scope and direction may evolve based on organizational needs. You will translate business goals into agile, insightful analytics that create tangible value for both stakeholders and customers, and communicate your findings clearly and actionably to managers and senior leaders so they can quickly understand insights and take decisive action.  
You will set the strategy for ads delivery and quality and establish the measurement and decision frameworks. A core mandate for this role is to identify, instrument, and operationalize the input metrics that most directly drive ads delivery, quality, and performance, ensuring we optimize the levers that move outcomes rather than simply reporting on lagging KPIs.  
Key job responsibilities  
* You will define and execute in\-depth data analysis that drives data\-informed decision making for product, sales, and finance teams who speak on behalf of advertisers.
* You will establish and drive data hygiene best practices to ensure coherence and integrity of data feeding into production ML/AI solutions.
* You will identify, instrument, and operationalize the input metrics that most directly drive ads delivery, quality, and performance, creating robust measurement frameworks.
* You will collaborate with colleagues across science and engineering disciplines for fast turnaround proof\-of\-concept prototyping at scale.
* You will partner with product managers and stakeholders to define forward\-looking product visions and prospective business use cases.
* You will set the strategy for ads delivery and quality, establishing decision frameworks that enable teams to move from reactive reporting to proactive optimization.
* You will drive and lead a culture of data\-driven innovations within the Amazon AdTech org.
**BASIC QUALIFICATIONS**
------------------------
* 3\+ years of data querying languages (e.g. SQL), scripting languages (e.g. Python) or statistical/mathematical software (e.g. R, SAS, Matlab, etc.) experience
* 2\+ years of data scientist experience
* Bachelor's degree
* Experience applying theoretical models in an applied environment
* 3\+ years of machine learning/statistical modeling data analysis tools and techniques, and parameters that affect their performance experience
**PREFERRED QUALIFICATIONS**
----------------------------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\- 153,400\.00 \- 207,500\.00 USD annually  
USA, WA, Seattle \- 136,000\.00 \- 184,000\.00 USD annually</t>
        </is>
      </c>
    </row>
    <row r="152">
      <c r="A152" t="inlineStr">
        <is>
          <t>in-51648a5153056abd</t>
        </is>
      </c>
      <c r="B152" t="inlineStr">
        <is>
          <t>Data Scientist II, ADSP Product Operations &amp; Analytics</t>
        </is>
      </c>
      <c r="C152" t="inlineStr">
        <is>
          <t>Amazon.com</t>
        </is>
      </c>
      <c r="D152" t="inlineStr">
        <is>
          <t>indeed</t>
        </is>
      </c>
      <c r="E152" t="inlineStr"/>
      <c r="F152" t="inlineStr"/>
      <c r="G152" t="inlineStr">
        <is>
          <t>New York, NY, US</t>
        </is>
      </c>
      <c r="H152" s="1" t="n">
        <v>46062</v>
      </c>
      <c r="I152" t="inlineStr">
        <is>
          <t>**DESCRIPTION**
---------------
In this role, you will build scalable solutions and sophisticated models that identify and drive growth opportunities for Amazon Ads teams, specifically within Amazon's Demand Side Platform (ADSP). You will leverage machine learning, simulation, and advanced statistical techniques to explain complex patterns, quantify business impact, predict future trends, and prescribe actionable strategies that inform critical business decisions at the highest levels of the organization. You will work with various stakeholders to align on priorities, with the understanding that scope and direction may evolve based on organizational needs. You will translate business goals into agile, insightful analytics that create tangible value for both stakeholders and customers, and communicate your findings clearly and actionably to managers and senior leaders so they can quickly understand insights and take decisive action.  
You will set the strategy for ads delivery and quality and establish the measurement and decision frameworks. A core mandate for this role is to identify, instrument, and operationalize the input metrics that most directly drive ads delivery, quality, and performance, ensuring we optimize the levers that move outcomes rather than simply reporting on lagging KPIs.  
Key job responsibilities  
* You will define and execute in\-depth data analysis that drives data\-informed decision making for product, sales, and finance teams who speak on behalf of advertisers.
* You will establish and drive data hygiene best practices to ensure coherence and integrity of data feeding into production ML/AI solutions.
* You will identify, instrument, and operationalize the input metrics that most directly drive ads delivery, quality, and performance, creating robust measurement frameworks.
* You will collaborate with colleagues across science and engineering disciplines for fast turnaround proof\-of\-concept prototyping at scale.
* You will partner with product managers and stakeholders to define forward\-looking product visions and prospective business use cases.
* You will set the strategy for ads delivery and quality, establishing decision frameworks that enable teams to move from reactive reporting to proactive optimization.
* You will drive and lead a culture of data\-driven innovations within the Amazon AdTech org.
**BASIC QUALIFICATIONS**
------------------------
* 3\+ years of data querying languages (e.g. SQL), scripting languages (e.g. Python) or statistical/mathematical software (e.g. R, SAS, Matlab, etc.) experience
* 2\+ years of data scientist experience
* Bachelor's degree
* Experience applying theoretical models in an applied environment
* 3\+ years of machine learning/statistical modeling data analysis tools and techniques, and parameters that affect their performance experience
**PREFERRED QUALIFICATIONS**
----------------------------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\- 153,400\.00 \- 207,500\.00 USD annually  
USA, WA, Seattle \- 136,000\.00 \- 184,000\.00 USD annually</t>
        </is>
      </c>
    </row>
    <row r="153">
      <c r="A153" t="inlineStr">
        <is>
          <t>in-07033ee573558eba</t>
        </is>
      </c>
      <c r="B153" t="inlineStr">
        <is>
          <t>Principal Applied Scientist, AWS Marketplace &amp; Partner Services</t>
        </is>
      </c>
      <c r="C153" t="inlineStr">
        <is>
          <t>Amazon Web Services</t>
        </is>
      </c>
      <c r="D153" t="inlineStr">
        <is>
          <t>indeed</t>
        </is>
      </c>
      <c r="E153" t="inlineStr"/>
      <c r="F153" t="inlineStr"/>
      <c r="G153" t="inlineStr">
        <is>
          <t>Austin, TX, US</t>
        </is>
      </c>
      <c r="H153" s="1" t="n">
        <v>46056</v>
      </c>
      <c r="I153"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54">
      <c r="A154" t="inlineStr">
        <is>
          <t>in-e24470aef5cfa2fa</t>
        </is>
      </c>
      <c r="B154" t="inlineStr">
        <is>
          <t>Principal Applied Scientist, AWS Marketplace &amp; Partner Services</t>
        </is>
      </c>
      <c r="C154" t="inlineStr">
        <is>
          <t>Amazon Web Services</t>
        </is>
      </c>
      <c r="D154" t="inlineStr">
        <is>
          <t>indeed</t>
        </is>
      </c>
      <c r="E154" t="inlineStr"/>
      <c r="F154" t="inlineStr"/>
      <c r="G154" t="inlineStr">
        <is>
          <t>San Diego, CA, US</t>
        </is>
      </c>
      <c r="H154" s="1" t="n">
        <v>46056</v>
      </c>
      <c r="I15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55">
      <c r="A155" t="inlineStr">
        <is>
          <t>in-795d6ca559d8d72c</t>
        </is>
      </c>
      <c r="B155" t="inlineStr">
        <is>
          <t>Principal Applied Scientist, AWS Marketplace &amp; Partner Services</t>
        </is>
      </c>
      <c r="C155" t="inlineStr">
        <is>
          <t>Amazon Web Services</t>
        </is>
      </c>
      <c r="D155" t="inlineStr">
        <is>
          <t>indeed</t>
        </is>
      </c>
      <c r="E155" t="inlineStr"/>
      <c r="F155" t="inlineStr"/>
      <c r="G155" t="inlineStr">
        <is>
          <t>Seattle, WA, US</t>
        </is>
      </c>
      <c r="H155" s="1" t="n">
        <v>46056</v>
      </c>
      <c r="I155"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56">
      <c r="A156" t="inlineStr">
        <is>
          <t>in-6b5d02f37f363355</t>
        </is>
      </c>
      <c r="B156" t="inlineStr">
        <is>
          <t>Principal Applied Scientist, AWS Marketplace &amp; Partner Services</t>
        </is>
      </c>
      <c r="C156" t="inlineStr">
        <is>
          <t>Amazon Web Services</t>
        </is>
      </c>
      <c r="D156" t="inlineStr">
        <is>
          <t>indeed</t>
        </is>
      </c>
      <c r="E156" t="inlineStr"/>
      <c r="F156" t="inlineStr"/>
      <c r="G156" t="inlineStr">
        <is>
          <t>New York, NY, US</t>
        </is>
      </c>
      <c r="H156" s="1" t="n">
        <v>46056</v>
      </c>
      <c r="I156"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57">
      <c r="A157" t="inlineStr">
        <is>
          <t>in-05231d52d759ed17</t>
        </is>
      </c>
      <c r="B157" t="inlineStr">
        <is>
          <t>Sr. Applied Scientist, AWS Healthcare-AI</t>
        </is>
      </c>
      <c r="C157" t="inlineStr">
        <is>
          <t>Amazon.com</t>
        </is>
      </c>
      <c r="D157" t="inlineStr">
        <is>
          <t>indeed</t>
        </is>
      </c>
      <c r="E157" t="inlineStr"/>
      <c r="F157" t="inlineStr"/>
      <c r="G157" t="inlineStr">
        <is>
          <t>Seattle, WA, US</t>
        </is>
      </c>
      <c r="H157" s="1" t="n">
        <v>46055</v>
      </c>
      <c r="I157"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58">
      <c r="A158" t="inlineStr">
        <is>
          <t>in-a46deac0150ac7db</t>
        </is>
      </c>
      <c r="B158" t="inlineStr">
        <is>
          <t>Sr. Applied Scientist, AWS Healthcare-AI</t>
        </is>
      </c>
      <c r="C158" t="inlineStr">
        <is>
          <t>Amazon.com</t>
        </is>
      </c>
      <c r="D158" t="inlineStr">
        <is>
          <t>indeed</t>
        </is>
      </c>
      <c r="E158" t="inlineStr"/>
      <c r="F158" t="inlineStr"/>
      <c r="G158" t="inlineStr">
        <is>
          <t>Mountain View, CA, US</t>
        </is>
      </c>
      <c r="H158" s="1" t="n">
        <v>46055</v>
      </c>
      <c r="I158"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59">
      <c r="A159" t="inlineStr">
        <is>
          <t>in-804dfd31777b2a0a</t>
        </is>
      </c>
      <c r="B159" t="inlineStr">
        <is>
          <t>Applied Scientist (Contract), Artificial General Intelligence</t>
        </is>
      </c>
      <c r="C159" t="inlineStr">
        <is>
          <t>Amazon.com</t>
        </is>
      </c>
      <c r="D159" t="inlineStr">
        <is>
          <t>indeed</t>
        </is>
      </c>
      <c r="E159" t="inlineStr"/>
      <c r="F159" t="inlineStr"/>
      <c r="G159" t="inlineStr">
        <is>
          <t>Bellevue, WA, US</t>
        </is>
      </c>
      <c r="H159" s="1" t="n">
        <v>46055</v>
      </c>
      <c r="I15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0">
      <c r="A160" t="inlineStr">
        <is>
          <t>in-b18665721738381c</t>
        </is>
      </c>
      <c r="B160" t="inlineStr">
        <is>
          <t>Applied Scientist (Contract), Artificial General Intelligence</t>
        </is>
      </c>
      <c r="C160" t="inlineStr">
        <is>
          <t>Amazon.com</t>
        </is>
      </c>
      <c r="D160" t="inlineStr">
        <is>
          <t>indeed</t>
        </is>
      </c>
      <c r="E160" t="inlineStr"/>
      <c r="F160" t="inlineStr"/>
      <c r="G160" t="inlineStr">
        <is>
          <t>Boston, MA, US</t>
        </is>
      </c>
      <c r="H160" s="1" t="n">
        <v>46055</v>
      </c>
      <c r="I16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1">
      <c r="A161" t="inlineStr">
        <is>
          <t>in-89b2a5b431c0d743</t>
        </is>
      </c>
      <c r="B161" t="inlineStr">
        <is>
          <t>Applied Scientist (Contract), Artificial General Intelligence</t>
        </is>
      </c>
      <c r="C161" t="inlineStr">
        <is>
          <t>Amazon.com</t>
        </is>
      </c>
      <c r="D161" t="inlineStr">
        <is>
          <t>indeed</t>
        </is>
      </c>
      <c r="E161" t="inlineStr"/>
      <c r="F161" t="inlineStr"/>
      <c r="G161" t="inlineStr">
        <is>
          <t>Boston, MA, US</t>
        </is>
      </c>
      <c r="H161" s="1" t="n">
        <v>46055</v>
      </c>
      <c r="I16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2">
      <c r="A162" t="inlineStr">
        <is>
          <t>in-1b7b32b08b6a2ca2</t>
        </is>
      </c>
      <c r="B162" t="inlineStr">
        <is>
          <t>Applied Scientist (Contract), Artificial General Intelligence</t>
        </is>
      </c>
      <c r="C162" t="inlineStr">
        <is>
          <t>Amazon.com</t>
        </is>
      </c>
      <c r="D162" t="inlineStr">
        <is>
          <t>indeed</t>
        </is>
      </c>
      <c r="E162" t="inlineStr"/>
      <c r="F162" t="inlineStr"/>
      <c r="G162" t="inlineStr">
        <is>
          <t>Boston, MA, US</t>
        </is>
      </c>
      <c r="H162" s="1" t="n">
        <v>46055</v>
      </c>
      <c r="I16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3">
      <c r="A163" t="inlineStr">
        <is>
          <t>in-cfd4f98d98e48675</t>
        </is>
      </c>
      <c r="B163" t="inlineStr">
        <is>
          <t>Applied Scientist (Contract), Artificial General Intelligence</t>
        </is>
      </c>
      <c r="C163" t="inlineStr">
        <is>
          <t>Amazon.com</t>
        </is>
      </c>
      <c r="D163" t="inlineStr">
        <is>
          <t>indeed</t>
        </is>
      </c>
      <c r="E163" t="inlineStr"/>
      <c r="F163" t="inlineStr"/>
      <c r="G163" t="inlineStr">
        <is>
          <t>Bellevue, WA, US</t>
        </is>
      </c>
      <c r="H163" s="1" t="n">
        <v>46055</v>
      </c>
      <c r="I16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4">
      <c r="A164" t="inlineStr">
        <is>
          <t>in-0f98daffa56e70b3</t>
        </is>
      </c>
      <c r="B164" t="inlineStr">
        <is>
          <t>Applied Scientist (Contract), Artificial General Intelligence</t>
        </is>
      </c>
      <c r="C164" t="inlineStr">
        <is>
          <t>Amazon.com</t>
        </is>
      </c>
      <c r="D164" t="inlineStr">
        <is>
          <t>indeed</t>
        </is>
      </c>
      <c r="E164" t="inlineStr"/>
      <c r="F164" t="inlineStr"/>
      <c r="G164" t="inlineStr">
        <is>
          <t>Bellevue, WA, US</t>
        </is>
      </c>
      <c r="H164" s="1" t="n">
        <v>46055</v>
      </c>
      <c r="I16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5">
      <c r="A165" t="inlineStr">
        <is>
          <t>in-4fe481bdfb54512a</t>
        </is>
      </c>
      <c r="B165" t="inlineStr">
        <is>
          <t>Applied Scientist (Contract), Artificial General Intelligence</t>
        </is>
      </c>
      <c r="C165" t="inlineStr">
        <is>
          <t>Amazon.com</t>
        </is>
      </c>
      <c r="D165" t="inlineStr">
        <is>
          <t>indeed</t>
        </is>
      </c>
      <c r="E165" t="inlineStr"/>
      <c r="F165" t="inlineStr"/>
      <c r="G165" t="inlineStr">
        <is>
          <t>Boston, MA, US</t>
        </is>
      </c>
      <c r="H165" s="1" t="n">
        <v>46051</v>
      </c>
      <c r="I16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6">
      <c r="A166" t="inlineStr">
        <is>
          <t>in-a4e116317193771f</t>
        </is>
      </c>
      <c r="B166" t="inlineStr">
        <is>
          <t>Applied Scientist (Contract), Artificial General Intelligence</t>
        </is>
      </c>
      <c r="C166" t="inlineStr">
        <is>
          <t>Amazon.com</t>
        </is>
      </c>
      <c r="D166" t="inlineStr">
        <is>
          <t>indeed</t>
        </is>
      </c>
      <c r="E166" t="inlineStr"/>
      <c r="F166" t="inlineStr"/>
      <c r="G166" t="inlineStr">
        <is>
          <t>Bellevue, WA, US</t>
        </is>
      </c>
      <c r="H166" s="1" t="n">
        <v>46051</v>
      </c>
      <c r="I16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7">
      <c r="A167" t="inlineStr">
        <is>
          <t>in-495f99757a967cfc</t>
        </is>
      </c>
      <c r="B167" t="inlineStr">
        <is>
          <t>Sr. Applied Scientist - SLAM, Amazon Industrial Robotics</t>
        </is>
      </c>
      <c r="C167" t="inlineStr">
        <is>
          <t>Amazon.com</t>
        </is>
      </c>
      <c r="D167" t="inlineStr">
        <is>
          <t>indeed</t>
        </is>
      </c>
      <c r="E167" t="inlineStr"/>
      <c r="F167" t="inlineStr"/>
      <c r="G167" t="inlineStr">
        <is>
          <t>Reading, MA, US</t>
        </is>
      </c>
      <c r="H167" s="1" t="n">
        <v>46050</v>
      </c>
      <c r="I16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8">
      <c r="A168" t="inlineStr">
        <is>
          <t>in-b1dfa963c71a4e4f</t>
        </is>
      </c>
      <c r="B168" t="inlineStr">
        <is>
          <t>Sr. Applied Scientist - SLAM, Amazon Industrial Robotics</t>
        </is>
      </c>
      <c r="C168" t="inlineStr">
        <is>
          <t>Amazon.com</t>
        </is>
      </c>
      <c r="D168" t="inlineStr">
        <is>
          <t>indeed</t>
        </is>
      </c>
      <c r="E168" t="inlineStr"/>
      <c r="F168" t="inlineStr"/>
      <c r="G168" t="inlineStr">
        <is>
          <t>Reading, MA, US</t>
        </is>
      </c>
      <c r="H168" s="1" t="n">
        <v>46050</v>
      </c>
      <c r="I16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9">
      <c r="A169" t="inlineStr">
        <is>
          <t>in-993ccd3e2d28cfbd</t>
        </is>
      </c>
      <c r="B169" t="inlineStr">
        <is>
          <t>Principal Applied Scientist, Sensing, Industrial Robotics Group</t>
        </is>
      </c>
      <c r="C169" t="inlineStr">
        <is>
          <t>Amazon.com</t>
        </is>
      </c>
      <c r="D169" t="inlineStr">
        <is>
          <t>indeed</t>
        </is>
      </c>
      <c r="E169" t="inlineStr"/>
      <c r="F169" t="inlineStr"/>
      <c r="G169" t="inlineStr">
        <is>
          <t>Reading, MA, US</t>
        </is>
      </c>
      <c r="H169" s="1" t="n">
        <v>46050</v>
      </c>
      <c r="I169"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70">
      <c r="A170" t="inlineStr">
        <is>
          <t>in-c85ffe769953097c</t>
        </is>
      </c>
      <c r="B170" t="inlineStr">
        <is>
          <t>Principal Applied Scientist, Sensing, Industrial Robotics Group</t>
        </is>
      </c>
      <c r="C170" t="inlineStr">
        <is>
          <t>Amazon.com</t>
        </is>
      </c>
      <c r="D170" t="inlineStr">
        <is>
          <t>indeed</t>
        </is>
      </c>
      <c r="E170" t="inlineStr"/>
      <c r="F170" t="inlineStr"/>
      <c r="G170" t="inlineStr">
        <is>
          <t>Reading, MA, US</t>
        </is>
      </c>
      <c r="H170" s="1" t="n">
        <v>46050</v>
      </c>
      <c r="I170"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71">
      <c r="A171" t="inlineStr">
        <is>
          <t>in-610ca9abb67a8ad6</t>
        </is>
      </c>
      <c r="B171" t="inlineStr">
        <is>
          <t>Senior Applied Scientist, Amazon Industrial Robotics</t>
        </is>
      </c>
      <c r="C171" t="inlineStr">
        <is>
          <t>Amazon.com</t>
        </is>
      </c>
      <c r="D171" t="inlineStr">
        <is>
          <t>indeed</t>
        </is>
      </c>
      <c r="E171" t="inlineStr"/>
      <c r="F171" t="inlineStr"/>
      <c r="G171" t="inlineStr">
        <is>
          <t>Reading, MA, US</t>
        </is>
      </c>
      <c r="H171" s="1" t="n">
        <v>46048</v>
      </c>
      <c r="I17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2">
      <c r="A172" t="inlineStr">
        <is>
          <t>in-bc027ed92738cf8d</t>
        </is>
      </c>
      <c r="B172" t="inlineStr">
        <is>
          <t>Senior Applied Scientist, Amazon Industrial Robotics</t>
        </is>
      </c>
      <c r="C172" t="inlineStr">
        <is>
          <t>Amazon.com</t>
        </is>
      </c>
      <c r="D172" t="inlineStr">
        <is>
          <t>indeed</t>
        </is>
      </c>
      <c r="E172" t="inlineStr"/>
      <c r="F172" t="inlineStr"/>
      <c r="G172" t="inlineStr">
        <is>
          <t>Reading, MA, US</t>
        </is>
      </c>
      <c r="H172" s="1" t="n">
        <v>46048</v>
      </c>
      <c r="I17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3">
      <c r="A173" t="inlineStr">
        <is>
          <t>in-905e98cd09d60d6c</t>
        </is>
      </c>
      <c r="B173" t="inlineStr">
        <is>
          <t>Applied Scientist II, Prime Video Personalization and Discovery Science</t>
        </is>
      </c>
      <c r="C173" t="inlineStr">
        <is>
          <t>Amazon.com</t>
        </is>
      </c>
      <c r="D173" t="inlineStr">
        <is>
          <t>indeed</t>
        </is>
      </c>
      <c r="E173" t="inlineStr"/>
      <c r="F173" t="inlineStr"/>
      <c r="G173" t="inlineStr">
        <is>
          <t>New York, NY, US</t>
        </is>
      </c>
      <c r="H173" s="1" t="n">
        <v>46047</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4">
      <c r="A174" t="inlineStr">
        <is>
          <t>in-4e71351d227a13de</t>
        </is>
      </c>
      <c r="B174" t="inlineStr">
        <is>
          <t>Applied Scientist II, Prime Video Personalization and Discovery Science</t>
        </is>
      </c>
      <c r="C174" t="inlineStr">
        <is>
          <t>Amazon.com</t>
        </is>
      </c>
      <c r="D174" t="inlineStr">
        <is>
          <t>indeed</t>
        </is>
      </c>
      <c r="E174" t="inlineStr"/>
      <c r="F174" t="inlineStr"/>
      <c r="G174" t="inlineStr">
        <is>
          <t>Seattle, WA, US</t>
        </is>
      </c>
      <c r="H174" s="1" t="n">
        <v>46047</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5">
      <c r="A175" t="inlineStr">
        <is>
          <t>in-6abe8dfd61221301</t>
        </is>
      </c>
      <c r="B175" t="inlineStr">
        <is>
          <t>Applied Scientist II, Prime Video Personalization and Discovery Science</t>
        </is>
      </c>
      <c r="C175" t="inlineStr">
        <is>
          <t>Amazon.com</t>
        </is>
      </c>
      <c r="D175" t="inlineStr">
        <is>
          <t>indeed</t>
        </is>
      </c>
      <c r="E175" t="inlineStr"/>
      <c r="F175" t="inlineStr"/>
      <c r="G175" t="inlineStr">
        <is>
          <t>Sunnyvale, CA, US</t>
        </is>
      </c>
      <c r="H175" s="1" t="n">
        <v>46047</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6">
      <c r="A176" t="inlineStr">
        <is>
          <t>in-837355c9eeae5daa</t>
        </is>
      </c>
      <c r="B176" t="inlineStr">
        <is>
          <t>Applied Scientist, Amazon Connect</t>
        </is>
      </c>
      <c r="C176" t="inlineStr">
        <is>
          <t>Amazon Web Services</t>
        </is>
      </c>
      <c r="D176" t="inlineStr">
        <is>
          <t>indeed</t>
        </is>
      </c>
      <c r="E176" t="inlineStr"/>
      <c r="F176" t="inlineStr"/>
      <c r="G176" t="inlineStr">
        <is>
          <t>New York, NY, US</t>
        </is>
      </c>
      <c r="H176" s="1" t="n">
        <v>46047</v>
      </c>
      <c r="I17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7">
      <c r="A177" t="inlineStr">
        <is>
          <t>in-16d12fd610bb1096</t>
        </is>
      </c>
      <c r="B177" t="inlineStr">
        <is>
          <t>Applied Scientist, Amazon Connect</t>
        </is>
      </c>
      <c r="C177" t="inlineStr">
        <is>
          <t>Amazon Web Services</t>
        </is>
      </c>
      <c r="D177" t="inlineStr">
        <is>
          <t>indeed</t>
        </is>
      </c>
      <c r="E177" t="inlineStr"/>
      <c r="F177" t="inlineStr"/>
      <c r="G177" t="inlineStr">
        <is>
          <t>Seattle, WA, US</t>
        </is>
      </c>
      <c r="H177" s="1" t="n">
        <v>46047</v>
      </c>
      <c r="I177"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8">
      <c r="A178" t="inlineStr">
        <is>
          <t>in-5e93303afbb31a6c</t>
        </is>
      </c>
      <c r="B178" t="inlineStr">
        <is>
          <t>Applied Scientist, Safety ML</t>
        </is>
      </c>
      <c r="C178" t="inlineStr">
        <is>
          <t>Amazon.com</t>
        </is>
      </c>
      <c r="D178" t="inlineStr">
        <is>
          <t>indeed</t>
        </is>
      </c>
      <c r="E178" t="inlineStr"/>
      <c r="F178" t="inlineStr"/>
      <c r="G178" t="inlineStr">
        <is>
          <t>Seattle, WA, US</t>
        </is>
      </c>
      <c r="H178" s="1" t="n">
        <v>46037</v>
      </c>
      <c r="I1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79">
      <c r="A179" t="inlineStr">
        <is>
          <t>in-084b8dd800ed126b</t>
        </is>
      </c>
      <c r="B179" t="inlineStr">
        <is>
          <t>Applied Scientist, Safety ML</t>
        </is>
      </c>
      <c r="C179" t="inlineStr">
        <is>
          <t>Amazon.com</t>
        </is>
      </c>
      <c r="D179" t="inlineStr">
        <is>
          <t>indeed</t>
        </is>
      </c>
      <c r="E179" t="inlineStr"/>
      <c r="F179" t="inlineStr"/>
      <c r="G179" t="inlineStr">
        <is>
          <t>San Francisco, CA, US</t>
        </is>
      </c>
      <c r="H179" s="1" t="n">
        <v>46037</v>
      </c>
      <c r="I1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80">
      <c r="A180" t="inlineStr">
        <is>
          <t>in-948fc6d03a2ecb38</t>
        </is>
      </c>
      <c r="B180" t="inlineStr">
        <is>
          <t>Principal Applied Scientist, Measurement, AdTech and Data Science, Ads Performance Measurement</t>
        </is>
      </c>
      <c r="C180" t="inlineStr">
        <is>
          <t>Amazon.com</t>
        </is>
      </c>
      <c r="D180" t="inlineStr">
        <is>
          <t>indeed</t>
        </is>
      </c>
      <c r="E180" t="inlineStr"/>
      <c r="F180" t="inlineStr"/>
      <c r="G180" t="inlineStr">
        <is>
          <t>Palo Alto, CA, US</t>
        </is>
      </c>
      <c r="H180" s="1" t="n">
        <v>46037</v>
      </c>
      <c r="I180"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81">
      <c r="A181" t="inlineStr">
        <is>
          <t>in-a2bb0eb9f1e2d1e5</t>
        </is>
      </c>
      <c r="B181" t="inlineStr">
        <is>
          <t>Principal Applied Scientist, Measurement, AdTech and Data Science, Ads Performance Measurement</t>
        </is>
      </c>
      <c r="C181" t="inlineStr">
        <is>
          <t>Amazon.com</t>
        </is>
      </c>
      <c r="D181" t="inlineStr">
        <is>
          <t>indeed</t>
        </is>
      </c>
      <c r="E181" t="inlineStr"/>
      <c r="F181" t="inlineStr"/>
      <c r="G181" t="inlineStr">
        <is>
          <t>Seattle, WA, US</t>
        </is>
      </c>
      <c r="H181" s="1" t="n">
        <v>46037</v>
      </c>
      <c r="I181"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82">
      <c r="A182" t="inlineStr">
        <is>
          <t>in-607d75ec3c748320</t>
        </is>
      </c>
      <c r="B182" t="inlineStr">
        <is>
          <t>Principal Applied Scientist, Measurement, AdTech and Data Science, Ads Performance Measurement</t>
        </is>
      </c>
      <c r="C182" t="inlineStr">
        <is>
          <t>Amazon.com</t>
        </is>
      </c>
      <c r="D182" t="inlineStr">
        <is>
          <t>indeed</t>
        </is>
      </c>
      <c r="E182" t="inlineStr"/>
      <c r="F182" t="inlineStr"/>
      <c r="G182" t="inlineStr">
        <is>
          <t>New York, NY, US</t>
        </is>
      </c>
      <c r="H182" s="1" t="n">
        <v>46037</v>
      </c>
      <c r="I182"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83">
      <c r="A183" t="inlineStr">
        <is>
          <t>in-cbc1e53c77de5081</t>
        </is>
      </c>
      <c r="B183" t="inlineStr">
        <is>
          <t>Applied Scientist, LLM Code Agents, Kiro Science</t>
        </is>
      </c>
      <c r="C183" t="inlineStr">
        <is>
          <t>Amazon.com</t>
        </is>
      </c>
      <c r="D183" t="inlineStr">
        <is>
          <t>indeed</t>
        </is>
      </c>
      <c r="E183" t="inlineStr"/>
      <c r="F183" t="inlineStr"/>
      <c r="G183" t="inlineStr">
        <is>
          <t>Santa Clara, CA, US</t>
        </is>
      </c>
      <c r="H183" s="1" t="n">
        <v>46035</v>
      </c>
      <c r="I18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84">
      <c r="A184" t="inlineStr">
        <is>
          <t>in-a3070bfd4c6661ea</t>
        </is>
      </c>
      <c r="B184" t="inlineStr">
        <is>
          <t>Applied Scientist, LLM Code Agents, Kiro Science</t>
        </is>
      </c>
      <c r="C184" t="inlineStr">
        <is>
          <t>Amazon.com</t>
        </is>
      </c>
      <c r="D184" t="inlineStr">
        <is>
          <t>indeed</t>
        </is>
      </c>
      <c r="E184" t="inlineStr"/>
      <c r="F184" t="inlineStr"/>
      <c r="G184" t="inlineStr">
        <is>
          <t>Seattle, WA, US</t>
        </is>
      </c>
      <c r="H184" s="1" t="n">
        <v>46035</v>
      </c>
      <c r="I184"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85">
      <c r="A185" t="inlineStr">
        <is>
          <t>in-16aee54d24439515</t>
        </is>
      </c>
      <c r="B185" t="inlineStr">
        <is>
          <t>Applied Scientist II, Prime Video Personalization and Discovery Science</t>
        </is>
      </c>
      <c r="C185" t="inlineStr">
        <is>
          <t>Amazon.com</t>
        </is>
      </c>
      <c r="D185" t="inlineStr">
        <is>
          <t>indeed</t>
        </is>
      </c>
      <c r="E185" t="inlineStr"/>
      <c r="F185" t="inlineStr"/>
      <c r="G185" t="inlineStr">
        <is>
          <t>Sunnyvale, CA, US</t>
        </is>
      </c>
      <c r="H185" s="1" t="n">
        <v>46034</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6">
      <c r="A186" t="inlineStr">
        <is>
          <t>in-7cf10ad23bb64810</t>
        </is>
      </c>
      <c r="B186" t="inlineStr">
        <is>
          <t>Applied Scientist II, Prime Video Personalization and Discovery Science</t>
        </is>
      </c>
      <c r="C186" t="inlineStr">
        <is>
          <t>Amazon.com</t>
        </is>
      </c>
      <c r="D186" t="inlineStr">
        <is>
          <t>indeed</t>
        </is>
      </c>
      <c r="E186" t="inlineStr"/>
      <c r="F186" t="inlineStr"/>
      <c r="G186" t="inlineStr">
        <is>
          <t>Seattle, WA, US</t>
        </is>
      </c>
      <c r="H186" s="1" t="n">
        <v>46034</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7">
      <c r="A187" t="inlineStr">
        <is>
          <t>in-741efb904d14d0f9</t>
        </is>
      </c>
      <c r="B187" t="inlineStr">
        <is>
          <t>Applied Scientist, Alexa Smart Home</t>
        </is>
      </c>
      <c r="C187" t="inlineStr">
        <is>
          <t>Amazon.com</t>
        </is>
      </c>
      <c r="D187" t="inlineStr">
        <is>
          <t>indeed</t>
        </is>
      </c>
      <c r="E187" t="inlineStr"/>
      <c r="F187" t="inlineStr"/>
      <c r="G187" t="inlineStr">
        <is>
          <t>Sunnyvale, CA, US</t>
        </is>
      </c>
      <c r="H187" s="1" t="n">
        <v>46033</v>
      </c>
      <c r="I18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8">
      <c r="A188" t="inlineStr">
        <is>
          <t>in-6b3da3422149ed90</t>
        </is>
      </c>
      <c r="B188" t="inlineStr">
        <is>
          <t>Applied Scientist, Alexa Smart Home</t>
        </is>
      </c>
      <c r="C188" t="inlineStr">
        <is>
          <t>Amazon.com</t>
        </is>
      </c>
      <c r="D188" t="inlineStr">
        <is>
          <t>indeed</t>
        </is>
      </c>
      <c r="E188" t="inlineStr"/>
      <c r="F188" t="inlineStr"/>
      <c r="G188" t="inlineStr">
        <is>
          <t>Seattle, WA, US</t>
        </is>
      </c>
      <c r="H188" s="1" t="n">
        <v>46033</v>
      </c>
      <c r="I18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9">
      <c r="A189" t="inlineStr">
        <is>
          <t>in-46880216f33452b0</t>
        </is>
      </c>
      <c r="B189" t="inlineStr">
        <is>
          <t>Applied Scientist, AWS Applied AI Solutions</t>
        </is>
      </c>
      <c r="C189" t="inlineStr">
        <is>
          <t>Amazon Web Services</t>
        </is>
      </c>
      <c r="D189" t="inlineStr">
        <is>
          <t>indeed</t>
        </is>
      </c>
      <c r="E189" t="inlineStr"/>
      <c r="F189" t="inlineStr"/>
      <c r="G189" t="inlineStr">
        <is>
          <t>Seattle, WA, US</t>
        </is>
      </c>
      <c r="H189" s="1" t="n">
        <v>46030</v>
      </c>
      <c r="I18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0">
      <c r="A190" t="inlineStr">
        <is>
          <t>in-f9990a0bff9f060d</t>
        </is>
      </c>
      <c r="B190" t="inlineStr">
        <is>
          <t>Applied Scientist, AWS Applied AI Solutions</t>
        </is>
      </c>
      <c r="C190" t="inlineStr">
        <is>
          <t>Amazon Web Services</t>
        </is>
      </c>
      <c r="D190" t="inlineStr">
        <is>
          <t>indeed</t>
        </is>
      </c>
      <c r="E190" t="inlineStr"/>
      <c r="F190" t="inlineStr"/>
      <c r="G190" t="inlineStr">
        <is>
          <t>New York, NY, US</t>
        </is>
      </c>
      <c r="H190" s="1" t="n">
        <v>46030</v>
      </c>
      <c r="I19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1">
      <c r="A191" t="inlineStr">
        <is>
          <t>in-b35cf14e93f275c8</t>
        </is>
      </c>
      <c r="B191" t="inlineStr">
        <is>
          <t>Senior Data Scientist, Amazon Global Logistics</t>
        </is>
      </c>
      <c r="C191" t="inlineStr">
        <is>
          <t>Amazon.com</t>
        </is>
      </c>
      <c r="D191" t="inlineStr">
        <is>
          <t>indeed</t>
        </is>
      </c>
      <c r="E191" t="inlineStr"/>
      <c r="F191" t="inlineStr"/>
      <c r="G191" t="inlineStr">
        <is>
          <t>Bellevue, WA, US</t>
        </is>
      </c>
      <c r="H191" s="1" t="n">
        <v>46029</v>
      </c>
      <c r="I191"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192">
      <c r="A192" t="inlineStr">
        <is>
          <t>in-ccf97588d61f2c91</t>
        </is>
      </c>
      <c r="B192" t="inlineStr">
        <is>
          <t>Senior Data Scientist, Amazon Global Logistics</t>
        </is>
      </c>
      <c r="C192" t="inlineStr">
        <is>
          <t>Amazon.com</t>
        </is>
      </c>
      <c r="D192" t="inlineStr">
        <is>
          <t>indeed</t>
        </is>
      </c>
      <c r="E192" t="inlineStr"/>
      <c r="F192" t="inlineStr"/>
      <c r="G192" t="inlineStr">
        <is>
          <t>Boston, MA, US</t>
        </is>
      </c>
      <c r="H192" s="1" t="n">
        <v>46029</v>
      </c>
      <c r="I192"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193">
      <c r="A193" t="inlineStr">
        <is>
          <t>in-0c70edde3af00463</t>
        </is>
      </c>
      <c r="B193" t="inlineStr">
        <is>
          <t>Applied Scientist II, Prime Video Personalization and Discovery Science</t>
        </is>
      </c>
      <c r="C193" t="inlineStr">
        <is>
          <t>Amazon.com</t>
        </is>
      </c>
      <c r="D193" t="inlineStr">
        <is>
          <t>indeed</t>
        </is>
      </c>
      <c r="E193" t="inlineStr"/>
      <c r="F193" t="inlineStr"/>
      <c r="G193" t="inlineStr">
        <is>
          <t>New York, NY, US</t>
        </is>
      </c>
      <c r="H193" s="1" t="n">
        <v>46028</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4">
      <c r="A194" t="inlineStr">
        <is>
          <t>in-62254fb7360468f3</t>
        </is>
      </c>
      <c r="B194" t="inlineStr">
        <is>
          <t>Applied Scientist II, Prime Video Personalization and Discovery Science</t>
        </is>
      </c>
      <c r="C194" t="inlineStr">
        <is>
          <t>Amazon.com</t>
        </is>
      </c>
      <c r="D194" t="inlineStr">
        <is>
          <t>indeed</t>
        </is>
      </c>
      <c r="E194" t="inlineStr"/>
      <c r="F194" t="inlineStr"/>
      <c r="G194" t="inlineStr">
        <is>
          <t>Sunnyvale, CA, US</t>
        </is>
      </c>
      <c r="H194" s="1" t="n">
        <v>46028</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5">
      <c r="A195" t="inlineStr">
        <is>
          <t>in-611d8fcbd6002021</t>
        </is>
      </c>
      <c r="B195" t="inlineStr">
        <is>
          <t>Applied Scientist II, Prime Video Personalization and Discovery Science</t>
        </is>
      </c>
      <c r="C195" t="inlineStr">
        <is>
          <t>Amazon.com</t>
        </is>
      </c>
      <c r="D195" t="inlineStr">
        <is>
          <t>indeed</t>
        </is>
      </c>
      <c r="E195" t="inlineStr"/>
      <c r="F195" t="inlineStr"/>
      <c r="G195" t="inlineStr">
        <is>
          <t>Seattle, WA, US</t>
        </is>
      </c>
      <c r="H195" s="1" t="n">
        <v>46028</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6">
      <c r="A196" t="inlineStr">
        <is>
          <t>in-24d6ffa995752312</t>
        </is>
      </c>
      <c r="B196" t="inlineStr">
        <is>
          <t>Senior Applied Scientist, Distributed SQL</t>
        </is>
      </c>
      <c r="C196" t="inlineStr">
        <is>
          <t>Amazon Web Services</t>
        </is>
      </c>
      <c r="D196" t="inlineStr">
        <is>
          <t>indeed</t>
        </is>
      </c>
      <c r="E196" t="inlineStr"/>
      <c r="F196" t="inlineStr"/>
      <c r="G196" t="inlineStr">
        <is>
          <t>East Palo Alto, CA, US</t>
        </is>
      </c>
      <c r="H196" s="1" t="n">
        <v>46012</v>
      </c>
      <c r="I19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97">
      <c r="A197" t="inlineStr">
        <is>
          <t>in-6c9376e3c4df48cb</t>
        </is>
      </c>
      <c r="B197" t="inlineStr">
        <is>
          <t>Senior Applied Scientist, Distributed SQL</t>
        </is>
      </c>
      <c r="C197" t="inlineStr">
        <is>
          <t>Amazon Web Services</t>
        </is>
      </c>
      <c r="D197" t="inlineStr">
        <is>
          <t>indeed</t>
        </is>
      </c>
      <c r="E197" t="inlineStr"/>
      <c r="F197" t="inlineStr"/>
      <c r="G197" t="inlineStr">
        <is>
          <t>Seattle, WA, US</t>
        </is>
      </c>
      <c r="H197" s="1" t="n">
        <v>46012</v>
      </c>
      <c r="I19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98">
      <c r="A198" t="inlineStr">
        <is>
          <t>in-5dd004f1f5f50661</t>
        </is>
      </c>
      <c r="B198" t="inlineStr">
        <is>
          <t>Applied Scientist, Delivery Foundation Model</t>
        </is>
      </c>
      <c r="C198" t="inlineStr">
        <is>
          <t>Amazon.com</t>
        </is>
      </c>
      <c r="D198" t="inlineStr">
        <is>
          <t>indeed</t>
        </is>
      </c>
      <c r="E198" t="inlineStr"/>
      <c r="F198" t="inlineStr"/>
      <c r="G198" t="inlineStr">
        <is>
          <t>Santa Clara, CA, US</t>
        </is>
      </c>
      <c r="H198" s="1" t="n">
        <v>46009</v>
      </c>
      <c r="I19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99">
      <c r="A199" t="inlineStr">
        <is>
          <t>in-418b7365951a1879</t>
        </is>
      </c>
      <c r="B199" t="inlineStr">
        <is>
          <t>Applied Scientist, Delivery Foundation Model</t>
        </is>
      </c>
      <c r="C199" t="inlineStr">
        <is>
          <t>Amazon.com</t>
        </is>
      </c>
      <c r="D199" t="inlineStr">
        <is>
          <t>indeed</t>
        </is>
      </c>
      <c r="E199" t="inlineStr"/>
      <c r="F199" t="inlineStr"/>
      <c r="G199" t="inlineStr">
        <is>
          <t>Bellevue, WA, US</t>
        </is>
      </c>
      <c r="H199" s="1" t="n">
        <v>46009</v>
      </c>
      <c r="I1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200">
      <c r="A200" t="inlineStr">
        <is>
          <t>in-9ef902da7013ff4d</t>
        </is>
      </c>
      <c r="B200" t="inlineStr">
        <is>
          <t>Principal Applied Scientist, Kiro Science</t>
        </is>
      </c>
      <c r="C200" t="inlineStr">
        <is>
          <t>Amazon Web Services</t>
        </is>
      </c>
      <c r="D200" t="inlineStr">
        <is>
          <t>indeed</t>
        </is>
      </c>
      <c r="E200" t="inlineStr"/>
      <c r="F200" t="inlineStr"/>
      <c r="G200" t="inlineStr">
        <is>
          <t>New York, NY, US</t>
        </is>
      </c>
      <c r="H200" s="1" t="n">
        <v>45999</v>
      </c>
      <c r="I20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1">
      <c r="A201" t="inlineStr">
        <is>
          <t>in-2a04c7007e6a592b</t>
        </is>
      </c>
      <c r="B201" t="inlineStr">
        <is>
          <t>Principal Applied Scientist, Kiro Science</t>
        </is>
      </c>
      <c r="C201" t="inlineStr">
        <is>
          <t>Amazon Web Services</t>
        </is>
      </c>
      <c r="D201" t="inlineStr">
        <is>
          <t>indeed</t>
        </is>
      </c>
      <c r="E201" t="inlineStr"/>
      <c r="F201" t="inlineStr"/>
      <c r="G201" t="inlineStr">
        <is>
          <t>Santa Clara, CA, US</t>
        </is>
      </c>
      <c r="H201" s="1" t="n">
        <v>45999</v>
      </c>
      <c r="I20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2">
      <c r="A202" t="inlineStr">
        <is>
          <t>in-11147eead4ed2c51</t>
        </is>
      </c>
      <c r="B202" t="inlineStr">
        <is>
          <t>Principal Applied Scientist, Sponsored Products and Brands</t>
        </is>
      </c>
      <c r="C202" t="inlineStr">
        <is>
          <t>Amazon.com</t>
        </is>
      </c>
      <c r="D202" t="inlineStr">
        <is>
          <t>indeed</t>
        </is>
      </c>
      <c r="E202" t="inlineStr"/>
      <c r="F202" t="inlineStr"/>
      <c r="G202" t="inlineStr">
        <is>
          <t>New York, NY, US</t>
        </is>
      </c>
      <c r="H202" s="1" t="n">
        <v>45979</v>
      </c>
      <c r="I20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in-34e7660167af5e10</t>
        </is>
      </c>
      <c r="B203" t="inlineStr">
        <is>
          <t>Principal Applied Scientist, Sponsored Products and Brands</t>
        </is>
      </c>
      <c r="C203" t="inlineStr">
        <is>
          <t>Amazon.com</t>
        </is>
      </c>
      <c r="D203" t="inlineStr">
        <is>
          <t>indeed</t>
        </is>
      </c>
      <c r="E203" t="inlineStr"/>
      <c r="F203" t="inlineStr"/>
      <c r="G203" t="inlineStr">
        <is>
          <t>Seattle, WA, US</t>
        </is>
      </c>
      <c r="H203" s="1" t="n">
        <v>45979</v>
      </c>
      <c r="I20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in-4325df9150f3f41a</t>
        </is>
      </c>
      <c r="B204" t="inlineStr">
        <is>
          <t>Sr. Applied Scientist, Sponsored Products</t>
        </is>
      </c>
      <c r="C204" t="inlineStr">
        <is>
          <t>Amazon.com</t>
        </is>
      </c>
      <c r="D204" t="inlineStr">
        <is>
          <t>indeed</t>
        </is>
      </c>
      <c r="E204" t="inlineStr"/>
      <c r="F204" t="inlineStr"/>
      <c r="G204" t="inlineStr">
        <is>
          <t>New York, NY, US</t>
        </is>
      </c>
      <c r="H204" s="1" t="n">
        <v>45976</v>
      </c>
      <c r="I20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5">
      <c r="A205" t="inlineStr">
        <is>
          <t>in-a2471138b4e49dae</t>
        </is>
      </c>
      <c r="B205" t="inlineStr">
        <is>
          <t>Sr. Applied Scientist, Sponsored Products</t>
        </is>
      </c>
      <c r="C205" t="inlineStr">
        <is>
          <t>Amazon.com</t>
        </is>
      </c>
      <c r="D205" t="inlineStr">
        <is>
          <t>indeed</t>
        </is>
      </c>
      <c r="E205" t="inlineStr"/>
      <c r="F205" t="inlineStr"/>
      <c r="G205" t="inlineStr">
        <is>
          <t>Arlington, VA, US</t>
        </is>
      </c>
      <c r="H205" s="1" t="n">
        <v>45976</v>
      </c>
      <c r="I20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6">
      <c r="A206" t="inlineStr">
        <is>
          <t>in-d21f533b0158dcdd</t>
        </is>
      </c>
      <c r="B206" t="inlineStr">
        <is>
          <t>Sr. Applied Scientist, Sponsored Products</t>
        </is>
      </c>
      <c r="C206" t="inlineStr">
        <is>
          <t>Amazon.com</t>
        </is>
      </c>
      <c r="D206" t="inlineStr">
        <is>
          <t>indeed</t>
        </is>
      </c>
      <c r="E206" t="inlineStr"/>
      <c r="F206" t="inlineStr"/>
      <c r="G206" t="inlineStr">
        <is>
          <t>Seattle, WA, US</t>
        </is>
      </c>
      <c r="H206" s="1" t="n">
        <v>45976</v>
      </c>
      <c r="I20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7">
      <c r="A207" t="inlineStr">
        <is>
          <t>in-a16c917c7f7632dc</t>
        </is>
      </c>
      <c r="B207" t="inlineStr">
        <is>
          <t>Applied Scientist, AWS Agentic AI</t>
        </is>
      </c>
      <c r="C207" t="inlineStr">
        <is>
          <t>Amazon Web Services</t>
        </is>
      </c>
      <c r="D207" t="inlineStr">
        <is>
          <t>indeed</t>
        </is>
      </c>
      <c r="E207" t="inlineStr"/>
      <c r="F207" t="inlineStr"/>
      <c r="G207" t="inlineStr">
        <is>
          <t>Seattle, WA, US</t>
        </is>
      </c>
      <c r="H207" s="1" t="n">
        <v>45962</v>
      </c>
      <c r="I20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in-e67fdd2c19b9c30f</t>
        </is>
      </c>
      <c r="B208" t="inlineStr">
        <is>
          <t>Applied Scientist, AWS Agentic AI</t>
        </is>
      </c>
      <c r="C208" t="inlineStr">
        <is>
          <t>Amazon Web Services</t>
        </is>
      </c>
      <c r="D208" t="inlineStr">
        <is>
          <t>indeed</t>
        </is>
      </c>
      <c r="E208" t="inlineStr"/>
      <c r="F208" t="inlineStr"/>
      <c r="G208" t="inlineStr">
        <is>
          <t>Santa Clara, CA, US</t>
        </is>
      </c>
      <c r="H208" s="1" t="n">
        <v>45962</v>
      </c>
      <c r="I20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in-57bde09e1f822e51</t>
        </is>
      </c>
      <c r="B209" t="inlineStr">
        <is>
          <t>Applied Scientist, AWS Agentic AI</t>
        </is>
      </c>
      <c r="C209" t="inlineStr">
        <is>
          <t>Amazon Web Services</t>
        </is>
      </c>
      <c r="D209" t="inlineStr">
        <is>
          <t>indeed</t>
        </is>
      </c>
      <c r="E209" t="inlineStr"/>
      <c r="F209" t="inlineStr"/>
      <c r="G209" t="inlineStr">
        <is>
          <t>New York, NY, US</t>
        </is>
      </c>
      <c r="H209" s="1" t="n">
        <v>45962</v>
      </c>
      <c r="I20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in-97be5513c08008af</t>
        </is>
      </c>
      <c r="B210" t="inlineStr">
        <is>
          <t>Applied Scientist, Prime Video - Content Understanding, Localization &amp; Enrichment Team</t>
        </is>
      </c>
      <c r="C210" t="inlineStr">
        <is>
          <t>Amazon.com</t>
        </is>
      </c>
      <c r="D210" t="inlineStr">
        <is>
          <t>indeed</t>
        </is>
      </c>
      <c r="E210" t="inlineStr"/>
      <c r="F210" t="inlineStr"/>
      <c r="G210" t="inlineStr">
        <is>
          <t>San Francisco, CA, US</t>
        </is>
      </c>
      <c r="H210" s="1" t="n">
        <v>45943</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11">
      <c r="A211" t="inlineStr">
        <is>
          <t>in-ce68175dfc9aee5b</t>
        </is>
      </c>
      <c r="B211" t="inlineStr">
        <is>
          <t>Applied Scientist, Prime Video - Content Understanding, Localization &amp; Enrichment Team</t>
        </is>
      </c>
      <c r="C211" t="inlineStr">
        <is>
          <t>Amazon.com</t>
        </is>
      </c>
      <c r="D211" t="inlineStr">
        <is>
          <t>indeed</t>
        </is>
      </c>
      <c r="E211" t="inlineStr"/>
      <c r="F211" t="inlineStr"/>
      <c r="G211" t="inlineStr">
        <is>
          <t>Seattle, WA, US</t>
        </is>
      </c>
      <c r="H211" s="1" t="n">
        <v>45943</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12">
      <c r="A212" t="inlineStr">
        <is>
          <t>in-a6fbc7b71bf45780</t>
        </is>
      </c>
      <c r="B212" t="inlineStr">
        <is>
          <t>Principal Applied Scientist, Advertiser Growth, Amazon Sponsored Products &amp; Brands</t>
        </is>
      </c>
      <c r="C212" t="inlineStr">
        <is>
          <t>Amazon.com</t>
        </is>
      </c>
      <c r="D212" t="inlineStr">
        <is>
          <t>indeed</t>
        </is>
      </c>
      <c r="E212" t="inlineStr"/>
      <c r="F212" t="inlineStr"/>
      <c r="G212" t="inlineStr">
        <is>
          <t>New York, NY, US</t>
        </is>
      </c>
      <c r="H212" s="1" t="n">
        <v>45942</v>
      </c>
      <c r="I21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in-30b8a28ffa8d5396</t>
        </is>
      </c>
      <c r="B213" t="inlineStr">
        <is>
          <t>Principal Applied Scientist, Advertiser Growth, Amazon Sponsored Products &amp; Brands</t>
        </is>
      </c>
      <c r="C213" t="inlineStr">
        <is>
          <t>Amazon.com</t>
        </is>
      </c>
      <c r="D213" t="inlineStr">
        <is>
          <t>indeed</t>
        </is>
      </c>
      <c r="E213" t="inlineStr"/>
      <c r="F213" t="inlineStr"/>
      <c r="G213" t="inlineStr">
        <is>
          <t>Palo Alto, CA, US</t>
        </is>
      </c>
      <c r="H213" s="1" t="n">
        <v>45942</v>
      </c>
      <c r="I21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in-a4e3fc40298ed0b3</t>
        </is>
      </c>
      <c r="B214" t="inlineStr">
        <is>
          <t>Principal Applied Scientist, Advertiser Growth, Amazon Sponsored Products &amp; Brands</t>
        </is>
      </c>
      <c r="C214" t="inlineStr">
        <is>
          <t>Amazon.com</t>
        </is>
      </c>
      <c r="D214" t="inlineStr">
        <is>
          <t>indeed</t>
        </is>
      </c>
      <c r="E214" t="inlineStr"/>
      <c r="F214" t="inlineStr"/>
      <c r="G214" t="inlineStr">
        <is>
          <t>Seattle, WA, US</t>
        </is>
      </c>
      <c r="H214" s="1" t="n">
        <v>45942</v>
      </c>
      <c r="I21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in-4590f9c72111b71a</t>
        </is>
      </c>
      <c r="B215" t="inlineStr">
        <is>
          <t>Applied Scientist, Workplace Health &amp; Safety</t>
        </is>
      </c>
      <c r="C215" t="inlineStr">
        <is>
          <t>Amazon.com</t>
        </is>
      </c>
      <c r="D215" t="inlineStr">
        <is>
          <t>indeed</t>
        </is>
      </c>
      <c r="E215" t="inlineStr"/>
      <c r="F215" t="inlineStr"/>
      <c r="G215" t="inlineStr">
        <is>
          <t>Bellevue, WA, US</t>
        </is>
      </c>
      <c r="H215" s="1" t="n">
        <v>45917</v>
      </c>
      <c r="I21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in-704d545314d5de38</t>
        </is>
      </c>
      <c r="B216" t="inlineStr">
        <is>
          <t>Applied Scientist, Workplace Health &amp; Safety</t>
        </is>
      </c>
      <c r="C216" t="inlineStr">
        <is>
          <t>Amazon.com</t>
        </is>
      </c>
      <c r="D216" t="inlineStr">
        <is>
          <t>indeed</t>
        </is>
      </c>
      <c r="E216" t="inlineStr"/>
      <c r="F216" t="inlineStr"/>
      <c r="G216" t="inlineStr">
        <is>
          <t>Nashville, TN, US</t>
        </is>
      </c>
      <c r="H216" s="1" t="n">
        <v>45917</v>
      </c>
      <c r="I21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in-7d6d19ae8a3e0663</t>
        </is>
      </c>
      <c r="B217" t="inlineStr">
        <is>
          <t>Sr. Applied Scientist, Prime Video - Personalization and Discovery Science</t>
        </is>
      </c>
      <c r="C217" t="inlineStr">
        <is>
          <t>Amazon.com</t>
        </is>
      </c>
      <c r="D217" t="inlineStr">
        <is>
          <t>indeed</t>
        </is>
      </c>
      <c r="E217" t="inlineStr"/>
      <c r="F217" t="inlineStr"/>
      <c r="G217" t="inlineStr">
        <is>
          <t>New York, NY, US</t>
        </is>
      </c>
      <c r="H217" s="1" t="n">
        <v>45896</v>
      </c>
      <c r="I2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18">
      <c r="A218" t="inlineStr">
        <is>
          <t>in-97c06ce7ec056008</t>
        </is>
      </c>
      <c r="B218" t="inlineStr">
        <is>
          <t>Sr. Applied Scientist, Prime Video - Personalization and Discovery Science</t>
        </is>
      </c>
      <c r="C218" t="inlineStr">
        <is>
          <t>Amazon.com</t>
        </is>
      </c>
      <c r="D218" t="inlineStr">
        <is>
          <t>indeed</t>
        </is>
      </c>
      <c r="E218" t="inlineStr"/>
      <c r="F218" t="inlineStr"/>
      <c r="G218" t="inlineStr">
        <is>
          <t>Sunnyvale, CA, US</t>
        </is>
      </c>
      <c r="H218" s="1" t="n">
        <v>45896</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19">
      <c r="A219" t="inlineStr">
        <is>
          <t>in-d908f5c50641aeca</t>
        </is>
      </c>
      <c r="B219" t="inlineStr">
        <is>
          <t>Sr. Applied Scientist, Prime Video - Personalization and Discovery Science</t>
        </is>
      </c>
      <c r="C219" t="inlineStr">
        <is>
          <t>Amazon.com</t>
        </is>
      </c>
      <c r="D219" t="inlineStr">
        <is>
          <t>indeed</t>
        </is>
      </c>
      <c r="E219" t="inlineStr"/>
      <c r="F219" t="inlineStr"/>
      <c r="G219" t="inlineStr">
        <is>
          <t>Seattle, WA, US</t>
        </is>
      </c>
      <c r="H219" s="1" t="n">
        <v>45896</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0">
      <c r="A220" t="inlineStr">
        <is>
          <t>in-e74615e0cc70fc16</t>
        </is>
      </c>
      <c r="B220" t="inlineStr">
        <is>
          <t>Sr. Applied Scientist, Amazon Advertising</t>
        </is>
      </c>
      <c r="C220" t="inlineStr">
        <is>
          <t>Amazon.com</t>
        </is>
      </c>
      <c r="D220" t="inlineStr">
        <is>
          <t>indeed</t>
        </is>
      </c>
      <c r="E220" t="inlineStr"/>
      <c r="F220" t="inlineStr"/>
      <c r="G220" t="inlineStr">
        <is>
          <t>Palo Alto, CA, US</t>
        </is>
      </c>
      <c r="H220" s="1"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in-a8e8a50a09181b0e</t>
        </is>
      </c>
      <c r="B221" t="inlineStr">
        <is>
          <t>Sr. Applied Scientist, Amazon Advertising</t>
        </is>
      </c>
      <c r="C221" t="inlineStr">
        <is>
          <t>Amazon.com</t>
        </is>
      </c>
      <c r="D221" t="inlineStr">
        <is>
          <t>indeed</t>
        </is>
      </c>
      <c r="E221" t="inlineStr"/>
      <c r="F221" t="inlineStr"/>
      <c r="G221" t="inlineStr">
        <is>
          <t>Arlington, VA, US</t>
        </is>
      </c>
      <c r="H221" s="1" t="n">
        <v>45851</v>
      </c>
      <c r="I2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in-77b3f84d2a589ebe</t>
        </is>
      </c>
      <c r="B222" t="inlineStr">
        <is>
          <t>Sr. Applied Scientist, Amazon Advertising</t>
        </is>
      </c>
      <c r="C222" t="inlineStr">
        <is>
          <t>Amazon.com</t>
        </is>
      </c>
      <c r="D222" t="inlineStr">
        <is>
          <t>indeed</t>
        </is>
      </c>
      <c r="E222" t="inlineStr"/>
      <c r="F222" t="inlineStr"/>
      <c r="G222" t="inlineStr">
        <is>
          <t>Seattle, WA, US</t>
        </is>
      </c>
      <c r="H222" s="1" t="n">
        <v>45851</v>
      </c>
      <c r="I2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in-c0ca4ff591b81e57</t>
        </is>
      </c>
      <c r="B223" t="inlineStr">
        <is>
          <t>Sr. Applied Scientist, Amazon Advertising</t>
        </is>
      </c>
      <c r="C223" t="inlineStr">
        <is>
          <t>Amazon.com</t>
        </is>
      </c>
      <c r="D223" t="inlineStr">
        <is>
          <t>indeed</t>
        </is>
      </c>
      <c r="E223" t="inlineStr"/>
      <c r="F223" t="inlineStr"/>
      <c r="G223" t="inlineStr">
        <is>
          <t>Simi Valley, CA, US</t>
        </is>
      </c>
      <c r="H223" s="1" t="n">
        <v>45851</v>
      </c>
      <c r="I2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in-3d306d19274cfb2e</t>
        </is>
      </c>
      <c r="B224" t="inlineStr">
        <is>
          <t>Sr. Applied Scientist, Amazon Advertising</t>
        </is>
      </c>
      <c r="C224" t="inlineStr">
        <is>
          <t>Amazon.com</t>
        </is>
      </c>
      <c r="D224" t="inlineStr">
        <is>
          <t>indeed</t>
        </is>
      </c>
      <c r="E224" t="inlineStr"/>
      <c r="F224" t="inlineStr"/>
      <c r="G224" t="inlineStr">
        <is>
          <t>Los Angeles, CA, US</t>
        </is>
      </c>
      <c r="H224" s="1" t="n">
        <v>45851</v>
      </c>
      <c r="I2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in-74e203b2ef9bbfb3</t>
        </is>
      </c>
      <c r="B225" t="inlineStr">
        <is>
          <t>Sr. Applied Scientist, Amazon Advertising</t>
        </is>
      </c>
      <c r="C225" t="inlineStr">
        <is>
          <t>Amazon.com</t>
        </is>
      </c>
      <c r="D225" t="inlineStr">
        <is>
          <t>indeed</t>
        </is>
      </c>
      <c r="E225" t="inlineStr"/>
      <c r="F225" t="inlineStr"/>
      <c r="G225" t="inlineStr">
        <is>
          <t>Austin, TX, US</t>
        </is>
      </c>
      <c r="H225" s="1" t="n">
        <v>45851</v>
      </c>
      <c r="I2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in-e2492082071b1086</t>
        </is>
      </c>
      <c r="B226" t="inlineStr">
        <is>
          <t>Sr. Applied Scientist, Amazon Advertising</t>
        </is>
      </c>
      <c r="C226" t="inlineStr">
        <is>
          <t>Amazon.com</t>
        </is>
      </c>
      <c r="D226" t="inlineStr">
        <is>
          <t>indeed</t>
        </is>
      </c>
      <c r="E226" t="inlineStr"/>
      <c r="F226" t="inlineStr"/>
      <c r="G226" t="inlineStr">
        <is>
          <t>New York, NY, US</t>
        </is>
      </c>
      <c r="H226" s="1" t="n">
        <v>45851</v>
      </c>
      <c r="I2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in-96e0a6a0faf83dc0</t>
        </is>
      </c>
      <c r="B227" t="inlineStr">
        <is>
          <t>Sr. Applied Scientist, Amazon Advertising</t>
        </is>
      </c>
      <c r="C227" t="inlineStr">
        <is>
          <t>Amazon.com</t>
        </is>
      </c>
      <c r="D227" t="inlineStr">
        <is>
          <t>indeed</t>
        </is>
      </c>
      <c r="E227" t="inlineStr"/>
      <c r="F227" t="inlineStr"/>
      <c r="G227" t="inlineStr">
        <is>
          <t>West Hollywood, CA, US</t>
        </is>
      </c>
      <c r="H227" s="1" t="n">
        <v>45851</v>
      </c>
      <c r="I2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in-b854b6121c14a7bc</t>
        </is>
      </c>
      <c r="B228" t="inlineStr">
        <is>
          <t>Applied Scientist, Prime Video - Personalization and Discovery Science</t>
        </is>
      </c>
      <c r="C228" t="inlineStr">
        <is>
          <t>Amazon.com</t>
        </is>
      </c>
      <c r="D228" t="inlineStr">
        <is>
          <t>indeed</t>
        </is>
      </c>
      <c r="E228" t="inlineStr"/>
      <c r="F228" t="inlineStr"/>
      <c r="G228" t="inlineStr">
        <is>
          <t>New York, NY, US</t>
        </is>
      </c>
      <c r="H228" s="1" t="n">
        <v>45845</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9">
      <c r="A229" t="inlineStr">
        <is>
          <t>in-49cbc9640b299014</t>
        </is>
      </c>
      <c r="B229" t="inlineStr">
        <is>
          <t>Applied Scientist, Prime Video - Personalization and Discovery Science</t>
        </is>
      </c>
      <c r="C229" t="inlineStr">
        <is>
          <t>Amazon.com</t>
        </is>
      </c>
      <c r="D229" t="inlineStr">
        <is>
          <t>indeed</t>
        </is>
      </c>
      <c r="E229" t="inlineStr"/>
      <c r="F229" t="inlineStr"/>
      <c r="G229" t="inlineStr">
        <is>
          <t>Sunnyvale, CA, US</t>
        </is>
      </c>
      <c r="H229" s="1" t="n">
        <v>45845</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0">
      <c r="A230" t="inlineStr">
        <is>
          <t>in-b87058ccb4a0d490</t>
        </is>
      </c>
      <c r="B230" t="inlineStr">
        <is>
          <t>Applied Scientist, Prime Video - Personalization and Discovery Science</t>
        </is>
      </c>
      <c r="C230" t="inlineStr">
        <is>
          <t>Amazon.com</t>
        </is>
      </c>
      <c r="D230" t="inlineStr">
        <is>
          <t>indeed</t>
        </is>
      </c>
      <c r="E230" t="inlineStr"/>
      <c r="F230" t="inlineStr"/>
      <c r="G230" t="inlineStr">
        <is>
          <t>Seattle, WA, US</t>
        </is>
      </c>
      <c r="H230" s="1" t="n">
        <v>45845</v>
      </c>
      <c r="I2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1">
      <c r="A231" t="inlineStr">
        <is>
          <t>in-456d155dc48dcd10</t>
        </is>
      </c>
      <c r="B231" t="inlineStr">
        <is>
          <t>Sr. Data Scientist, Amazon Leo Global Planning, Amazon Leo</t>
        </is>
      </c>
      <c r="C231" t="inlineStr">
        <is>
          <t>Amazon.com</t>
        </is>
      </c>
      <c r="D231" t="inlineStr">
        <is>
          <t>indeed</t>
        </is>
      </c>
      <c r="E231" t="inlineStr"/>
      <c r="F231" t="inlineStr"/>
      <c r="G231" t="inlineStr">
        <is>
          <t>Bellevue, WA, US</t>
        </is>
      </c>
      <c r="H231" s="1" t="n">
        <v>45830</v>
      </c>
      <c r="I23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232">
      <c r="A232" t="inlineStr">
        <is>
          <t>in-875b4c2a3bdd2cab</t>
        </is>
      </c>
      <c r="B232" t="inlineStr">
        <is>
          <t>Sr. Data Scientist, Amazon Leo Global Planning, Amazon Leo</t>
        </is>
      </c>
      <c r="C232" t="inlineStr">
        <is>
          <t>Amazon.com</t>
        </is>
      </c>
      <c r="D232" t="inlineStr">
        <is>
          <t>indeed</t>
        </is>
      </c>
      <c r="E232" t="inlineStr"/>
      <c r="F232" t="inlineStr"/>
      <c r="G232" t="inlineStr">
        <is>
          <t>Redmond, WA, US</t>
        </is>
      </c>
      <c r="H232" s="1" t="n">
        <v>45830</v>
      </c>
      <c r="I232"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233">
      <c r="A233" t="inlineStr">
        <is>
          <t>in-fbd0f40a4c40b4e6</t>
        </is>
      </c>
      <c r="B233" t="inlineStr">
        <is>
          <t>Sr. Applied Scientist, AGI Info</t>
        </is>
      </c>
      <c r="C233" t="inlineStr">
        <is>
          <t>Amazon.com</t>
        </is>
      </c>
      <c r="D233" t="inlineStr">
        <is>
          <t>indeed</t>
        </is>
      </c>
      <c r="E233" t="inlineStr"/>
      <c r="F233" t="inlineStr"/>
      <c r="G233" t="inlineStr">
        <is>
          <t>Bellevue, WA, US</t>
        </is>
      </c>
      <c r="H233" s="1" t="n">
        <v>45811</v>
      </c>
      <c r="I233"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234">
      <c r="A234" t="inlineStr">
        <is>
          <t>in-16243c91f658ddcc</t>
        </is>
      </c>
      <c r="B234" t="inlineStr">
        <is>
          <t>Sr. Applied Scientist, AGI Info</t>
        </is>
      </c>
      <c r="C234" t="inlineStr">
        <is>
          <t>Amazon.com</t>
        </is>
      </c>
      <c r="D234" t="inlineStr">
        <is>
          <t>indeed</t>
        </is>
      </c>
      <c r="E234" t="inlineStr"/>
      <c r="F234" t="inlineStr"/>
      <c r="G234" t="inlineStr">
        <is>
          <t>Sunnyvale, CA, US</t>
        </is>
      </c>
      <c r="H234" s="1" t="n">
        <v>45811</v>
      </c>
      <c r="I234"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235">
      <c r="A235" t="inlineStr">
        <is>
          <t>in-c15463e34f9a6de9</t>
        </is>
      </c>
      <c r="B235" t="inlineStr">
        <is>
          <t>Principal Applied Scientist, Delivery Foundation Model</t>
        </is>
      </c>
      <c r="C235" t="inlineStr">
        <is>
          <t>Amazon.com</t>
        </is>
      </c>
      <c r="D235" t="inlineStr">
        <is>
          <t>indeed</t>
        </is>
      </c>
      <c r="E235" t="inlineStr"/>
      <c r="F235" t="inlineStr"/>
      <c r="G235" t="inlineStr">
        <is>
          <t>Bellevue, WA, US</t>
        </is>
      </c>
      <c r="H235" s="1" t="n">
        <v>45810</v>
      </c>
      <c r="I2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6">
      <c r="A236" t="inlineStr">
        <is>
          <t>in-6acc260248e8fa0e</t>
        </is>
      </c>
      <c r="B236" t="inlineStr">
        <is>
          <t>Principal Applied Scientist, Delivery Foundation Model</t>
        </is>
      </c>
      <c r="C236" t="inlineStr">
        <is>
          <t>Amazon.com</t>
        </is>
      </c>
      <c r="D236" t="inlineStr">
        <is>
          <t>indeed</t>
        </is>
      </c>
      <c r="E236" t="inlineStr"/>
      <c r="F236" t="inlineStr"/>
      <c r="G236" t="inlineStr">
        <is>
          <t>Santa Clara, CA, US</t>
        </is>
      </c>
      <c r="H236" s="1" t="n">
        <v>45810</v>
      </c>
      <c r="I2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7">
      <c r="A237" t="inlineStr">
        <is>
          <t>in-7da5c13d8867cca2</t>
        </is>
      </c>
      <c r="B237" t="inlineStr">
        <is>
          <t>Principal Applied Scientist, Delivery Foundation Model</t>
        </is>
      </c>
      <c r="C237" t="inlineStr">
        <is>
          <t>Amazon.com</t>
        </is>
      </c>
      <c r="D237" t="inlineStr">
        <is>
          <t>indeed</t>
        </is>
      </c>
      <c r="E237" t="inlineStr"/>
      <c r="F237" t="inlineStr"/>
      <c r="G237" t="inlineStr">
        <is>
          <t>Austin, TX, US</t>
        </is>
      </c>
      <c r="H237" s="1" t="n">
        <v>45810</v>
      </c>
      <c r="I2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8">
      <c r="A238" t="inlineStr">
        <is>
          <t>in-5d6b9fa875367985</t>
        </is>
      </c>
      <c r="B238" t="inlineStr">
        <is>
          <t>Principal Applied Scientist, Delivery Foundation Model</t>
        </is>
      </c>
      <c r="C238" t="inlineStr">
        <is>
          <t>Amazon.com</t>
        </is>
      </c>
      <c r="D238" t="inlineStr">
        <is>
          <t>indeed</t>
        </is>
      </c>
      <c r="E238" t="inlineStr"/>
      <c r="F238" t="inlineStr"/>
      <c r="G238" t="inlineStr">
        <is>
          <t>New York, NY, US</t>
        </is>
      </c>
      <c r="H238" s="1" t="n">
        <v>45810</v>
      </c>
      <c r="I2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9">
      <c r="A239" t="inlineStr">
        <is>
          <t>in-7261f2dc2810c26e</t>
        </is>
      </c>
      <c r="B239" t="inlineStr">
        <is>
          <t>Senior Applied Scientist, Delivery Foundation Model</t>
        </is>
      </c>
      <c r="C239" t="inlineStr">
        <is>
          <t>Amazon.com</t>
        </is>
      </c>
      <c r="D239" t="inlineStr">
        <is>
          <t>indeed</t>
        </is>
      </c>
      <c r="E239" t="inlineStr"/>
      <c r="F239" t="inlineStr"/>
      <c r="G239" t="inlineStr">
        <is>
          <t>Bellevue, WA, US</t>
        </is>
      </c>
      <c r="H239" s="1" t="n">
        <v>45806</v>
      </c>
      <c r="I23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in-2581d949933459d6</t>
        </is>
      </c>
      <c r="B240" t="inlineStr">
        <is>
          <t>Senior Applied Scientist, Delivery Foundation Model</t>
        </is>
      </c>
      <c r="C240" t="inlineStr">
        <is>
          <t>Amazon.com</t>
        </is>
      </c>
      <c r="D240" t="inlineStr">
        <is>
          <t>indeed</t>
        </is>
      </c>
      <c r="E240" t="inlineStr"/>
      <c r="F240" t="inlineStr"/>
      <c r="G240" t="inlineStr">
        <is>
          <t>Santa Clara, CA, US</t>
        </is>
      </c>
      <c r="H240" s="1" t="n">
        <v>45806</v>
      </c>
      <c r="I24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in-77f4d74291ee204f</t>
        </is>
      </c>
      <c r="B241" t="inlineStr">
        <is>
          <t>Senior Applied Scientist, Delivery Foundation Model</t>
        </is>
      </c>
      <c r="C241" t="inlineStr">
        <is>
          <t>Amazon.com</t>
        </is>
      </c>
      <c r="D241" t="inlineStr">
        <is>
          <t>indeed</t>
        </is>
      </c>
      <c r="E241" t="inlineStr"/>
      <c r="F241" t="inlineStr"/>
      <c r="G241" t="inlineStr">
        <is>
          <t>New York, NY, US</t>
        </is>
      </c>
      <c r="H241" s="1" t="n">
        <v>45806</v>
      </c>
      <c r="I24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in-7a2fdcfe2f514e66</t>
        </is>
      </c>
      <c r="B242" t="inlineStr">
        <is>
          <t>Sr. Applied Scientist - Privacy, Privacy Engineering</t>
        </is>
      </c>
      <c r="C242" t="inlineStr">
        <is>
          <t>Amazon.com</t>
        </is>
      </c>
      <c r="D242" t="inlineStr">
        <is>
          <t>indeed</t>
        </is>
      </c>
      <c r="E242" t="inlineStr"/>
      <c r="F242" t="inlineStr"/>
      <c r="G242" t="inlineStr">
        <is>
          <t>San Francisco, CA, US</t>
        </is>
      </c>
      <c r="H242" s="1" t="n">
        <v>45787</v>
      </c>
      <c r="I24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in-2cff79f2f7d5ba5a</t>
        </is>
      </c>
      <c r="B243" t="inlineStr">
        <is>
          <t>Sr. Applied Scientist - Privacy, Privacy Engineering</t>
        </is>
      </c>
      <c r="C243" t="inlineStr">
        <is>
          <t>Amazon.com</t>
        </is>
      </c>
      <c r="D243" t="inlineStr">
        <is>
          <t>indeed</t>
        </is>
      </c>
      <c r="E243" t="inlineStr"/>
      <c r="F243" t="inlineStr"/>
      <c r="G243" t="inlineStr">
        <is>
          <t>Santa Clara, CA, US</t>
        </is>
      </c>
      <c r="H243" s="1" t="n">
        <v>45787</v>
      </c>
      <c r="I24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in-90568d121cd31c3a</t>
        </is>
      </c>
      <c r="B244" t="inlineStr">
        <is>
          <t>Sr. Applied Scientist - Privacy, Privacy Engineering</t>
        </is>
      </c>
      <c r="C244" t="inlineStr">
        <is>
          <t>Amazon.com</t>
        </is>
      </c>
      <c r="D244" t="inlineStr">
        <is>
          <t>indeed</t>
        </is>
      </c>
      <c r="E244" t="inlineStr"/>
      <c r="F244" t="inlineStr"/>
      <c r="G244" t="inlineStr">
        <is>
          <t>Seattle, WA, US</t>
        </is>
      </c>
      <c r="H244" s="1" t="n">
        <v>45787</v>
      </c>
      <c r="I24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in-6520ac104199dbe7</t>
        </is>
      </c>
      <c r="B245" t="inlineStr">
        <is>
          <t>Sr. Applied Scientist - Privacy, Privacy Engineering</t>
        </is>
      </c>
      <c r="C245" t="inlineStr">
        <is>
          <t>Amazon.com</t>
        </is>
      </c>
      <c r="D245" t="inlineStr">
        <is>
          <t>indeed</t>
        </is>
      </c>
      <c r="E245" t="inlineStr"/>
      <c r="F245" t="inlineStr"/>
      <c r="G245" t="inlineStr">
        <is>
          <t>Sunnyvale, CA, US</t>
        </is>
      </c>
      <c r="H245" s="1" t="n">
        <v>45787</v>
      </c>
      <c r="I24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in-67c70a6a15ea65b5</t>
        </is>
      </c>
      <c r="B246" t="inlineStr">
        <is>
          <t>Principal Applied Scientist, Delivery Foundation Model</t>
        </is>
      </c>
      <c r="C246" t="inlineStr">
        <is>
          <t>Amazon.com</t>
        </is>
      </c>
      <c r="D246" t="inlineStr">
        <is>
          <t>indeed</t>
        </is>
      </c>
      <c r="E246" t="inlineStr"/>
      <c r="F246" t="inlineStr"/>
      <c r="G246" t="inlineStr">
        <is>
          <t>New York, NY, US</t>
        </is>
      </c>
      <c r="H246" s="1" t="n">
        <v>45757</v>
      </c>
      <c r="I2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47">
      <c r="A247" t="inlineStr">
        <is>
          <t>in-3a8e27a63f36d5d1</t>
        </is>
      </c>
      <c r="B247" t="inlineStr">
        <is>
          <t>Principal Applied Scientist, Delivery Foundation Model</t>
        </is>
      </c>
      <c r="C247" t="inlineStr">
        <is>
          <t>Amazon.com</t>
        </is>
      </c>
      <c r="D247" t="inlineStr">
        <is>
          <t>indeed</t>
        </is>
      </c>
      <c r="E247" t="inlineStr"/>
      <c r="F247" t="inlineStr"/>
      <c r="G247" t="inlineStr">
        <is>
          <t>Bellevue, WA, US</t>
        </is>
      </c>
      <c r="H247" s="1" t="n">
        <v>45757</v>
      </c>
      <c r="I2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48">
      <c r="A248" t="inlineStr">
        <is>
          <t>in-7c4dc3249c590c87</t>
        </is>
      </c>
      <c r="B248" t="inlineStr">
        <is>
          <t>Principal Applied Scientist, Delivery Foundation Model</t>
        </is>
      </c>
      <c r="C248" t="inlineStr">
        <is>
          <t>Amazon.com</t>
        </is>
      </c>
      <c r="D248" t="inlineStr">
        <is>
          <t>indeed</t>
        </is>
      </c>
      <c r="E248" t="inlineStr"/>
      <c r="F248" t="inlineStr"/>
      <c r="G248" t="inlineStr">
        <is>
          <t>Santa Clara, CA, US</t>
        </is>
      </c>
      <c r="H248" s="1" t="n">
        <v>45757</v>
      </c>
      <c r="I2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li-4134650573</t>
        </is>
      </c>
      <c r="B2" t="inlineStr">
        <is>
          <t>Data Scientist, Product Analytics</t>
        </is>
      </c>
      <c r="C2" t="inlineStr">
        <is>
          <t>Meta</t>
        </is>
      </c>
      <c r="D2" t="inlineStr">
        <is>
          <t>linkedin</t>
        </is>
      </c>
      <c r="E2" t="inlineStr"/>
      <c r="F2" t="inlineStr"/>
      <c r="G2" t="inlineStr"/>
      <c r="H2" t="inlineStr"/>
      <c r="I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li-4120822668</t>
        </is>
      </c>
      <c r="B3" t="inlineStr">
        <is>
          <t>Data Scientist, Product Analytics</t>
        </is>
      </c>
      <c r="C3" t="inlineStr">
        <is>
          <t>Meta</t>
        </is>
      </c>
      <c r="D3" t="inlineStr">
        <is>
          <t>linkedin</t>
        </is>
      </c>
      <c r="E3" t="inlineStr"/>
      <c r="F3" t="inlineStr"/>
      <c r="G3" t="inlineStr">
        <is>
          <t>New York, NY</t>
        </is>
      </c>
      <c r="H3" t="inlineStr"/>
      <c r="I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li-4120822583</t>
        </is>
      </c>
      <c r="B4" t="inlineStr">
        <is>
          <t>Data Scientist, Product Analytics</t>
        </is>
      </c>
      <c r="C4" t="inlineStr">
        <is>
          <t>Meta</t>
        </is>
      </c>
      <c r="D4" t="inlineStr">
        <is>
          <t>linkedin</t>
        </is>
      </c>
      <c r="E4" t="inlineStr"/>
      <c r="F4" t="inlineStr"/>
      <c r="G4" t="inlineStr">
        <is>
          <t>Menlo Park, CA</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li-4120825428</t>
        </is>
      </c>
      <c r="B5" t="inlineStr">
        <is>
          <t>Data Scientist, Product Analytics</t>
        </is>
      </c>
      <c r="C5" t="inlineStr">
        <is>
          <t>Meta</t>
        </is>
      </c>
      <c r="D5" t="inlineStr">
        <is>
          <t>linkedin</t>
        </is>
      </c>
      <c r="E5" t="inlineStr"/>
      <c r="F5" t="inlineStr"/>
      <c r="G5" t="inlineStr">
        <is>
          <t>Seattle, WA</t>
        </is>
      </c>
      <c r="H5" t="inlineStr"/>
      <c r="I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li-4120824568</t>
        </is>
      </c>
      <c r="B6" t="inlineStr">
        <is>
          <t>Data Scientist, Product Analytics</t>
        </is>
      </c>
      <c r="C6" t="inlineStr">
        <is>
          <t>Meta</t>
        </is>
      </c>
      <c r="D6" t="inlineStr">
        <is>
          <t>linkedin</t>
        </is>
      </c>
      <c r="E6" t="inlineStr"/>
      <c r="F6" t="inlineStr"/>
      <c r="G6" t="inlineStr">
        <is>
          <t>Sunnyvale, CA</t>
        </is>
      </c>
      <c r="H6" t="inlineStr"/>
      <c r="I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li-4120824560</t>
        </is>
      </c>
      <c r="B7" t="inlineStr">
        <is>
          <t>Data Scientist, Product Analytics</t>
        </is>
      </c>
      <c r="C7" t="inlineStr">
        <is>
          <t>Meta</t>
        </is>
      </c>
      <c r="D7" t="inlineStr">
        <is>
          <t>linkedin</t>
        </is>
      </c>
      <c r="E7" t="inlineStr"/>
      <c r="F7" t="inlineStr"/>
      <c r="G7" t="inlineStr">
        <is>
          <t>Seattle, WA</t>
        </is>
      </c>
      <c r="H7" t="inlineStr"/>
      <c r="I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li-4317578152</t>
        </is>
      </c>
      <c r="B8" t="inlineStr">
        <is>
          <t>Data Scientist</t>
        </is>
      </c>
      <c r="C8" t="inlineStr">
        <is>
          <t>AE Studio</t>
        </is>
      </c>
      <c r="D8" t="inlineStr">
        <is>
          <t>linkedin</t>
        </is>
      </c>
      <c r="E8" t="inlineStr"/>
      <c r="F8" t="inlineStr"/>
      <c r="G8" t="inlineStr"/>
      <c r="H8" t="inlineStr"/>
      <c r="I8" t="inlineStr">
        <is>
          <t>AE Studio builds products, platforms, and internal ventures that increase agency for all conscious beings. We combine world\-class software engineering, AI expertise, and product design to ship ambitious projects that matter.
**About The Role**
 As a Data Scientist at AE Studio, you’ll work on a mix of client projects and internal research initiatives. You’ll solve real\-world problems, help build meaningful products, and contribute to groundbreaking AI alignment research. Your work will involve building data\-driven solutions, leveraging machine learning models, and using your creativity to deliver results that matter.
 In addition to client projects, you’ll have the opportunity to propose and pursue
 **high\-impact research projects** 
 , especially those aligned with our mission of increasing agency. Promising projects could even become prioritized skunkworks initiatives.
 We want problem\-solvers who are adaptable, collaborative, and excited to push boundaries. If this sounds like you, let’s talk.
**About You**
 You thrive on solving challenging problems and bring a mix of technical expertise, creativity, and humor to your work. You enjoy working independently but also love collaborating with a team that shares your passion for making a difference.
**Required Skills And Experience**
* Fluency in Python..
* Experience with LLM lifecycle: prompt design/engineering, prompting techniques (RAG, few\-shot, CoT, etc.), vector databases, multimodality, fine\-tuning, and evaluation.
* Proven data science experience: You’ve been a key contributor to impactful projects and know how to deliver results with real\-life outcomes.
* Statistical \&amp; causal ML fundamentals: expertise in experimental design, uncertainty quantification, and rigorous model evaluation across tabular, time\-series, and foundation\-model fine\-tuning tasks.
* Deep learning experience: Expertise in building/training NLP or computer vision models with PyTorch, TensorFlow, or JAX.
* Agile \&amp; AI\-powered development: You run lean Kanban/Scrum cycles and leverage AI\-powered tools like Cursor to prototype quickly and ship high\-impact solutions.
* Growth mindset: You embrace challenges, value progress over perfection, and constantly seek to improve.
* Self\-management: You can work independently, take ownership of projects, and deliver without constant oversight.
* Product and UX understanding: You care about delivering a seamless, user\-friendly experience.
* Effective communication in English: Clear, concise, and maybe even witty communication is essential.
**Bonus Points for**
* Self\-managed projects: Ideally something that you helped develop from zero and shipped to real users.
* Startup experience: You thrive in dynamic environments and enjoy taking on new challenges.
* Client relationship management: Experience managing clients and delivering excellent results.
* Passion for AI alignment: You care deeply about humanity’s future and want to help navigate the challenges of advancing AI.
**What We Offer**
* Remote\-first culture: Work from anywhere, or join us in one of our offices.
* Flexible schedules: We care about outcomes, not micromanagement.
* Competitive pay: Regular performance\-based raises and a diversified employee equity program.
* Opportunities for growth: Work on cutting\-edge R\&amp;D and propose projects that could become our next skunkworks focus.
* Supportive environment: A team that collaborates, mentors, and shares knowledge.
* Perks: Health insurance, free lunches (at the office), weekly knowledge\-sharing talks, and an annual team retreat.
 Salary range from $120k/year to $220k/year (if you're based in LA). Not in the range? That's fine, you can still apply and our team may fit you in a more senior position that we're not actively hiring for right now, since we are growing fast and may have other openings soon.
**Equity**
 Working at AE means receiving equity in some of our client projects and in the Skunkworks projects we incubate. The equity granted is priced at a value of $0 when you receive it. If it were otherwise, you’d be forced to pay taxes. But to be clear, there are no free lunches, only the choice of who pays for your sandwich.
 At AE, the equity you receive is not free to AE. We invest millions annually in Skunkworks projects \- paying our employees to build technology for which no client pays a bill. We receive equity from certain clients, which means we accept less in terms of our billable rate. We then pass that equity on to our employees. Sure it’s priced at $0 on day 1 \- a call option on a stock trading at $100 with a strike price of $100 is priced at $0 today for tax purposes, but you’d want to receive that option. If you received that option on a dozen stocks, you’d be fairly confident that some of them would be worth a lot more than $0\.
 Offering this equity (by investing in Skunkworks or offering clients a lower rate) comes out of AE’s margins. Theoretically, we should be lowering salaries to compensate. But we’re competitive on that front as well. Over the long\-term, we believe AE employees who stick around are likely to fare extremely well monetarily (no legal promises). We think long\-term. You should too when you choose your employer.
**We are looking to hire people who think long term** 
 . People create
 **exponentially more value here in their 3rd or 4th year** 
 rather than their 1st or 2nd, and that only increases. The value you create leads to more equity issued every year, and you retain it while you remain at AE or at a Skunkworks co that spins out, in order to free up equity for others, which is how we afford to be generous with the equity.
* Disclaimer: If you leave AE on good terms, you can retain 20% of your equity if you continue to send leads our way, share our core values, etc. If you leave AE for your own AE\-incubated Skunkworks project (or someone else’s), you retain 100% of your equity. Folks create exponentially more value here in their 3rd and 4th years than their 1st or 2nd \- we want folks who think long\-term like we do.</t>
        </is>
      </c>
    </row>
    <row r="9">
      <c r="A9" t="inlineStr">
        <is>
          <t>li-4307901770</t>
        </is>
      </c>
      <c r="B9" t="inlineStr">
        <is>
          <t>Senior Data Scientist, Consumer</t>
        </is>
      </c>
      <c r="C9" t="inlineStr">
        <is>
          <t>Reddit, Inc.</t>
        </is>
      </c>
      <c r="D9" t="inlineStr">
        <is>
          <t>linkedin</t>
        </is>
      </c>
      <c r="E9" t="inlineStr"/>
      <c r="F9" t="inlineStr"/>
      <c r="G9" t="inlineStr"/>
      <c r="H9" t="inlineStr"/>
      <c r="I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**Location: US remote\-friendly or any office location \- SF, LA, CHI, NY**
 The Data Science Team at Reddit is growing and we are looking for experienced Data Scientists to partner with our cross\-functional partners (Product, Engineering, Designer, Marketing, Business Development etc.) to help us build and improve the systems that continuously drive our user and revenue growth.
 As a Senior Data Scientist on the team, you will have the opportunity to play a significant role in driving the success of key product areas at Reddit (Consumer, Ads, Safety etc.). You will lead and contribute to defining the product strategy through measurement and metrics design, experimentation and causal analyses, supporting product decisions via deep data analyses, and research.
 This person will be an industry technical leader with a solid technical background, strong business acumen, and excellent cross\-functional stakeholders management skills. You will go through a general Data Scientists hiring process and get matched to the product area that best fits your background and interest.
**Responsibilities**
* Develop action\-oriented insights to drive the product strategy through observational causal analysis and experiment meta\-analysis, and clearly communicate results to stakeholders up to the C\-suite to take action based on the recommendations
* Uplevel experimentation practices on the team through guiding design, execution, and deep dive analyses to maximize learnings from A/B tests
* Create new ETLs, tables, dashboards, and other self\-serve tools to enable other data scientists and cross\-functional partners to find and interact with data seamlessly
* Design, evaluate, and/or measure team\-level KPIs to enable quarterly goal setting and demonstrate team impact
* Regularly engage with stakeholders to gather feedback and share progress on work at all stages to ensure alignment between DS and other teams on business goals and outcomes
* Mentor more junior data scientists and business partners in data science best practices and methods to increase data literacy and improve decision making
**Required Qualifications**
* Advanced degree (Masters or Ph.D.) in a quantitative field such as: Statistics, Mathematics, Physics, Economics, or Operations Research
* For M.S. holders: 5\+ years of industry experience in applied science or data science roles
* For Ph.D. holders: 4\+ years of industry experience in applied science or data science roles
* Expertise in querying relational databases (SQL) and programming languages (e.g., R / Python)
* Deep understanding of online experimentation (A/B testing), causal inference, and statistical techniques
* Comfortable in innovative and fast\-paced environments, and a bias toward action
* Strong technical communication / data storytelling skills and demonstrated ability to discuss complex topics with technical and non\-technical audiences alike
* Able to tackle ambiguous and undefined problems by creating an action plan, getting feedback, and iterating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0">
      <c r="A10" t="inlineStr">
        <is>
          <t>li-4299308352</t>
        </is>
      </c>
      <c r="B10" t="inlineStr">
        <is>
          <t>Senior Data Scientist, Ads</t>
        </is>
      </c>
      <c r="C10" t="inlineStr">
        <is>
          <t>Reddit, Inc.</t>
        </is>
      </c>
      <c r="D10" t="inlineStr">
        <is>
          <t>linkedin</t>
        </is>
      </c>
      <c r="E10" t="inlineStr"/>
      <c r="F10" t="inlineStr"/>
      <c r="G10" t="inlineStr"/>
      <c r="H10" t="inlineStr"/>
      <c r="I1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 Design, develop, and apply DS solutions to inform improvements in advertiser experience and Reddit's ad platform
* Analyze large\-scale datasets to identify trends, patterns, and insights that can be used to improve the effectiveness of our advertising platform
* Collaborate with product managers and engineers to define product requirements and translate them into data science solutions
* Develop ML models \&amp; DS methods to improve anomaly detection, prediction, \&amp; pattern recognition
* Communicate findings and recommendations to stakeholders across the organization
* Stay up\-to\-date on the latest advancements in machine learning and data science
* Mentor and guide junior data scientists on the team
**Qualifications**
* Advanced degree (Masters or Ph.D.) in a quantitative field such as: Statistics, Mathematics, Physics, Economics, or Operations Research
* For M.S. holders: 5\+ years of industry experience in applied science or data science roles
* For Ph.D. holders: 4\+ years of industry experience in applied science or data science roles
* Platform experience and a deep understanding of the ads ecosystem
* Strong understanding of statistical modeling, machine learning algorithms, causal inference and experimental design
* Experience with large\-scale data processing and analysis using tools such as Spark, Hadoop, or Hive; knowledge of BigQuery a plus
* Proficiency in Python or R and experience with machine learning libraries such as scikit\-learn, TensorFlow, or PyTorch
* Experience with SQL and relational databases
* Excellent communication and presentation skills
* Passion for Reddit and the online advertising industry
**Bonus Points**
* Experience with online advertising and ad tech
* Experience with causal inference and A/B testing
* Contributions to open\-source projects or publications in relevant conferences or journals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1">
      <c r="A11" t="inlineStr">
        <is>
          <t>li-4325819332</t>
        </is>
      </c>
      <c r="B11" t="inlineStr">
        <is>
          <t>Data Scientist II, Translational Research</t>
        </is>
      </c>
      <c r="C11" t="inlineStr">
        <is>
          <t>Tempus AI</t>
        </is>
      </c>
      <c r="D11" t="inlineStr">
        <is>
          <t>linkedin</t>
        </is>
      </c>
      <c r="E11" t="inlineStr"/>
      <c r="F11" t="inlineStr"/>
      <c r="G11" t="inlineStr">
        <is>
          <t>Redwood City, CA</t>
        </is>
      </c>
      <c r="H11" t="inlineStr"/>
      <c r="I11"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proprietary data and platform connect an entire ecosystem of real\-world data to deliver real\-time, actionable insights to researchers. Our data empowers researchers to better characterize and understand disease, and to drive better outcomes through precise, individualized care.
 The Scientific and Technological Solutions team is seeking a driven, intellectually curious member to bridge the gap between our cutting\-edge analytical platform and the complex research questions of our clients. This role is central to client success and adoption of the Tempus Data Platform. You will serve as the primary technical and scientific resource, ensuring our clients can seamlessly integrate their research with our data and platform to derive meaningful, scientific answers.
**Key Responsibilities**
* Client Onboarding \&amp; Education: Lead the technical and scientific onboarding process for new clients, ensuring a smooth transition onto the Tempus Data Ecosystem and analytical platform.
* Scientific Problem Solving: Engage with clients (primarily researchers and scientists) to deeply understand their specific scientific hypotheses and questions (e.g., biomarker discovery, target identification, clinical trial design).
* Platform Guidance \&amp; Solutioning: Translate client scientific needs into actionable steps on the Tempus analytical platform. This includes designing workflows, structuring queries, and guiding the analysis of complex datasets (genomic, clinical, imaging).
* Technical Optimization: Identify and implement technological solutions and workflow improvements to make the client experience on the platform as easy, efficient, and intuitive as possible.
* Feedback Loop: Act as the voice of the client, collaborating closely with Tempus Product, Engineering, and Data Science teams to prioritize features and resolve technical challenges.
* Documentation \&amp; Training: Create high\-quality technical documentation, tutorials, and training materials for clients on platform features and best practices for scientific analysis.
**Qualifications**
**Required Skills \&amp; Experience**
* Advanced Scientific Degree: A Master’s or Ph.D. in a relevant scientific field (e.g., Computational Biology, Bioinformatics, Genomics, Data Science, or a related life science discipline).
* Data Analysis Proficiency: Demonstrated experience working with and analyzing large\-scale biomedical datasets (e.g., Next\-Generation Sequencing data, clinical trial data, real\-world data).
* Technical Fluency: Hands\-on experience with analytical tools and languages relevant to biomedical research. Having R coding experience is required. Knowing additional languages such Python and SQL and familiarity with cloud environments like AWS/GCP is a great added bonus .
* Team work: Proven ability to work collaboratively in a team environment and thrive in a fast\-paced environment, willing to shift priorities seamlessly.
* Client\-Facing Experience: Excellent written and verbal communication skills with a proven ability to explain complex technical and scientific concepts to both technical and non\-technical audiences.
* Problem\-Solving Mindset: A strong track record of identifying inefficiencies or scientific roadblocks and developing pragmatic, user\-friendly solutions.
**Preferred (Bonus) Qualifications**
* Experience in the biotech, pharma, or healthcare technology space.
* Familiarity with distributed computing environments and modern analytical platforms.
* Direct experience with oncology research.
* Experience with R package development.
* Experience with: Pandas, NumPy, SciPy, Scikit\-learn, Jupyter Notebooks, RStudio, R Package development, tidyverse, ggplot, Git, matplotlib, seaborn, HTML5, CSS3, JavaScript, D3, Plot.ly, Flask, Dask, Docker, AWS.
 CHI: $80,000\-$120,000 USD
 NYC/SF: $90,000\-$135,000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12">
      <c r="A12" t="inlineStr">
        <is>
          <t>li-4376644866</t>
        </is>
      </c>
      <c r="B12" t="inlineStr">
        <is>
          <t>Associate Director, AI Data Scientist</t>
        </is>
      </c>
      <c r="C12" t="inlineStr">
        <is>
          <t>SoTalent</t>
        </is>
      </c>
      <c r="D12" t="inlineStr">
        <is>
          <t>linkedin</t>
        </is>
      </c>
      <c r="E12" t="inlineStr"/>
      <c r="F12" t="inlineStr"/>
      <c r="G12" t="inlineStr">
        <is>
          <t>Palo Alto, CA</t>
        </is>
      </c>
      <c r="H12" t="inlineStr"/>
      <c r="I12" t="inlineStr">
        <is>
          <t>A international biopharmaceutical company focused on advancing innovative therapies for individuals living with serious medical conditions. With a strong presence in oncology and neuroscience, the organization combines scientific expertise with a patient\-centered approach to drive progress across clinical development and digital health initiatives. Headquartered in Dublin, the company operates globally with teams dedicated to research, manufacturing, and commercialization.
 Position Overview
 We are seeking an Associate Director of AI \&amp; Data Science to lead the design and deployment of advanced artificial intelligence solutions supporting Clinical Development and Digital Health programs. This role will drive the application of machine learning (ML), artificial intelligence (AI), and generative AI (GenAI) technologies to enhance clinical trial execution, medical documentation processes, and patient\-centered digital tools.
 This is a strategic and hands\-on leadership role requiring both technical depth and the ability to collaborate effectively across scientific, medical, and operational teams.
 Key Responsibilities
* Lead development and implementation of AI/ML solutions to improve clinical trial operations, including patient recruitment, retention, monitoring, and automated data workflows
* Oversee the design of generative AI applications to support automated creation of clinical documents (e.g., study reports, protocols, patient narratives, medical summaries)
* Develop digital healthcare applications leveraging real\-world data and patient engagement technologies
* Build predictive models and generative AI systems using diverse healthcare data sources such as clinical trial datasets, electronic health records, wearable device data, patient\-reported outcomes, and health economics data
* Collaborate with cross\-functional stakeholders across Clinical Operations, Clinical Development, Medical Affairs, Real\-World Evidence, and Data Science teams
* Establish and maintain partnerships with external experts, technology providers, and research collaborators
* Ensure AI initiatives meet regulatory, compliance, and data privacy requirements
* Promote knowledge sharing and best practices across data science and R\&amp;D functions
 Qualifications
* Advanced degree (MS or PhD) in Data Science, Computer Science, Biostatistics, or related quantitative field
* 7–10 years of professional experience, including at least 3 years applying AI/ML methods to healthcare or clinical research data
* Strong programming skills in Python, R, or similar languages
* Experience with modern machine learning frameworks such as PyTorch or TensorFlow
* Hands\-on experience with generative AI technologies and large language model architectures
* Background in natural language processing for medical text analysis and generation
* Familiarity with cloud platforms (e.g., AWS) and MLOps or model deployment practices
* Strong stakeholder engagement and cross\-functional collaboration skills
* Ability to translate healthcare challenges into scalable AI\-driven solutions
 Experience in digital health product development or AI implementation within healthcare environments is considered an advantage.</t>
        </is>
      </c>
    </row>
    <row r="13">
      <c r="A13" t="inlineStr">
        <is>
          <t>li-4378440182</t>
        </is>
      </c>
      <c r="B13" t="inlineStr">
        <is>
          <t>Data Scientist I – Applied AI</t>
        </is>
      </c>
      <c r="C13" t="inlineStr">
        <is>
          <t>RemoteHunter</t>
        </is>
      </c>
      <c r="D13" t="inlineStr">
        <is>
          <t>linkedin</t>
        </is>
      </c>
      <c r="E13" t="inlineStr"/>
      <c r="F13" t="inlineStr"/>
      <c r="G13" t="inlineStr"/>
      <c r="H13" t="inlineStr"/>
      <c r="I13" t="inlineStr">
        <is>
          <t>About the Opportunity:
 The organization provides services and software for standards\-based health\-information exchange, focusing on improving public health and quality of care. The role supports data\-informed decision\-making by designing and building AI\-powered applications and tools using existing AI models and Cloud infrastructure to enhance public health and health data interoperability.
 Responsibilities:
 • Use analytic and visualization techniques to provide actionable insights
 • Design, prototype, build, and maintain AI\-powered tools using Python and existing models such as LLMs and embeddings
 • Iterate on prompts and workflows based on testing and feedback; support deployment and operation
 • Stay updated with emerging data\-science and AI/machine learning tools and best practices
 • Access, combine, and analyze large, complex datasets; clean and wrangle data with guidance
 • Ensure quality, integrity, and security of data
 • Create visualizations and perform analyses using statistical and machine learning techniques
 • Present findings to technical and non\-technical audiences with support as needed
 • Work independently on most tasks; seek guidance for complex responsibilities
 • Communicate results effectively to clients, management, and staff
 • Translate client and business needs into formal requirements
 Requirements:
 • Associate''s degree and at least three years of relevant experience, or bachelor’s degree and at least one year of relevant experience in data science, computer science, statistics, applied mathematics, or related field
 • Proficiency in Python
 • Familiarity with analytic software (e.g., R, Databricks), Cloud platforms (Azure, AWS), and big\-data technologies (e.g., Spark)
 • Basic Cloud literacy including understanding containers and serverless; proficiency with APIs and SDKs (e.g., OpenAI, Azure, AWS)
 • Familiarity with AI concepts related to data applications (e.g., RAG, LangChain/LangGraph, Vector DBs)
 • Ability to work independently on general tasks
 • Competence in applying various data\-analytics approaches
 • Ability to complete a Level 5 Position of Public Trust background investigation if required
 Preferred qualifications:
 • Bachelor’s degree with at least five years of relevant experience, or master’s degree with three years of relevant experience
 • Experience with large\-dataset analysis for public health entities such as CDC or CMS
 Benefits \&amp; Perks:
 • Flexible remote work with in\-person collaboration during key events such as annual meetings
 • Equal opportunity employer, providing fair consideration regardless of protected status
 • Must reside in the United States
 Compensation:
 • $75,000 to $95,000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
      <c r="A14" t="inlineStr">
        <is>
          <t>li-4325976806</t>
        </is>
      </c>
      <c r="B14" t="inlineStr">
        <is>
          <t>Data Scientist II, Translational Research</t>
        </is>
      </c>
      <c r="C14" t="inlineStr">
        <is>
          <t>Tempus AI</t>
        </is>
      </c>
      <c r="D14" t="inlineStr">
        <is>
          <t>linkedin</t>
        </is>
      </c>
      <c r="E14" t="inlineStr"/>
      <c r="F14" t="inlineStr"/>
      <c r="G14" t="inlineStr">
        <is>
          <t>Boston, MA</t>
        </is>
      </c>
      <c r="H14" t="inlineStr"/>
      <c r="I14"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proprietary data and platform connect an entire ecosystem of real\-world data to deliver real\-time, actionable insights to researchers. Our data empowers researchers to better characterize and understand disease, and to drive better outcomes through precise, individualized care.
 The Scientific and Technological Solutions team is seeking a driven, intellectually curious member to bridge the gap between our cutting\-edge analytical platform and the complex research questions of our clients. This role is central to client success and adoption of the Tempus Data Platform. You will serve as the primary technical and scientific resource, ensuring our clients can seamlessly integrate their research with our data and platform to derive meaningful, scientific answers.
**Key Responsibilities**
* Client Onboarding \&amp; Education: Lead the technical and scientific onboarding process for new clients, ensuring a smooth transition onto the Tempus Data Ecosystem and analytical platform.
* Scientific Problem Solving: Engage with clients (primarily researchers and scientists) to deeply understand their specific scientific hypotheses and questions (e.g., biomarker discovery, target identification, clinical trial design).
* Platform Guidance \&amp; Solutioning: Translate client scientific needs into actionable steps on the Tempus analytical platform. This includes designing workflows, structuring queries, and guiding the analysis of complex datasets (genomic, clinical, imaging).
* Technical Optimization: Identify and implement technological solutions and workflow improvements to make the client experience on the platform as easy, efficient, and intuitive as possible.
* Feedback Loop: Act as the voice of the client, collaborating closely with Tempus Product, Engineering, and Data Science teams to prioritize features and resolve technical challenges.
* Documentation \&amp; Training: Create high\-quality technical documentation, tutorials, and training materials for clients on platform features and best practices for scientific analysis.
**Qualifications**
**Required Skills \&amp; Experience**
* Advanced Scientific Degree: A Master’s or Ph.D. in a relevant scientific field (e.g., Computational Biology, Bioinformatics, Genomics, Data Science, or a related life science discipline).
* Data Analysis Proficiency: Demonstrated experience working with and analyzing large\-scale biomedical datasets (e.g., Next\-Generation Sequencing data, clinical trial data, real\-world data).
* Technical Fluency: Hands\-on experience with analytical tools and languages relevant to biomedical research. Having R coding experience is required. Knowing additional languages such Python and SQL and familiarity with cloud environments like AWS/GCP is a great added bonus .
* Team work: Proven ability to work collaboratively in a team environment and thrive in a fast\-paced environment, willing to shift priorities seamlessly.
* Client\-Facing Experience: Excellent written and verbal communication skills with a proven ability to explain complex technical and scientific concepts to both technical and non\-technical audiences.
* Problem\-Solving Mindset: A strong track record of identifying inefficiencies or scientific roadblocks and developing pragmatic, user\-friendly solutions.
**Preferred (Bonus) Qualifications**
* Experience in the biotech, pharma, or healthcare technology space.
* Familiarity with distributed computing environments and modern analytical platforms.
* Direct experience with oncology research.
* Experience with R package development.
* Experience with: Pandas, NumPy, SciPy, Scikit\-learn, Jupyter Notebooks, RStudio, R Package development, tidyverse, ggplot, Git, matplotlib, seaborn, HTML5, CSS3, JavaScript, D3, Plot.ly, Flask, Dask, Docker, AWS.
 CHI: $80,000\-$120,000 USD
 NYC/SF: $90,000\-$135,000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15">
      <c r="A15" t="inlineStr">
        <is>
          <t>li-4378437561</t>
        </is>
      </c>
      <c r="B15" t="inlineStr">
        <is>
          <t>Data Scientist</t>
        </is>
      </c>
      <c r="C15" t="inlineStr">
        <is>
          <t>Wiraa</t>
        </is>
      </c>
      <c r="D15" t="inlineStr">
        <is>
          <t>linkedin</t>
        </is>
      </c>
      <c r="E15" t="inlineStr"/>
      <c r="F15" t="inlineStr"/>
      <c r="G15" t="inlineStr"/>
      <c r="H15" t="inlineStr"/>
      <c r="I15" t="inlineStr">
        <is>
          <t>About the Company
 PTx, a division of AGCO, is a pioneering leader in the development and delivery of precision agriculture hardware, software, and cloud\-based platforms that connect every corner of the farm. With a focus on innovation and sustainability, PTx provides solutions tailored to meet the evolving needs of modern agriculture. Our commitment is to empower farmers with cutting\-edge technology that enhances productivity, efficiency, and environmental stewardship. Operating in a hybrid and remote work environment, we foster a collaborative culture that values diversity, inclusion, and continuous learning. As part of AGCO, a global leader in agricultural machinery and precision technology, PTx leverages extensive industry expertise to deliver solutions that help feed the world sustainably.
 About the Role
 We are seeking a detail\-oriented and business\-focused Data Scientist to join our growing Business Intelligence team. In this role, you will play a critical part in enabling data\-driven decision\-making across the organization. Your responsibilities will include transforming complex datasets into intuitive dashboards, reports, and predictive models that provide actionable insights. You will collaborate closely with cross\-functional teams and stakeholders to understand key performance indicators (KPIs), identify operational gaps, and uncover opportunities for strategic improvement. The ideal candidate will possess a strong blend of analytical skills and business acumen, with the ability to communicate complex findings clearly to non\-technical audiences. This position offers an exciting opportunity to influence strategic initiatives and drive innovation within the agricultural technology space.
 Qualifications
* Bachelor’s or M.S. degree in Data Science, Business Analytics, Statistics, Computer Science, or a related field
* Proven experience in Business Intelligence, analytics, or data science supporting business operations
* Proficiency in BI tools such as Tableau and Domo
* Strong SQL skills for data extraction, cleaning, and manipulation
* Experience with Python or R for statistical analysis and machine learning
* Hands\-on experience with Databricks Lakehouse platform, including Delta tables, Spark SQL, notebooks, and workflows
* Ability to integrate and model data from ERP, CRM, and operational systems using SQL, APIs, and flat files
* Knowledge of ETL/ELT patterns in modern Lakehouse architectures
* Experience developing semantic layers, curated datasets, and scalable reporting frameworks
* Understanding of forecasting, segmentation, and statistical techniques
* Strong problem\-solving skills, attention to detail, and excellent communication abilities
 Responsibilities
* Partner with business leaders to understand KPIs, performance drivers, and reporting requirements
* Develop, maintain, and enhance dashboards, scorecards, and automated reporting tools to support daily operational decisions
* Conduct in\-depth analyses to identify trends, operational gaps, and areas for improvement
* Build predictive and descriptive models to enhance forecasting accuracy and performance measurement
* Translate complex data findings into clear, concise insights and actionable recommendations for stakeholders
* Ensure data accuracy, consistency, and reliability across multiple systems by collaborating with IT and cloud teams
* Optimize data pipelines and improve data availability within BI platforms
* Design and implement scalable reporting frameworks and curated datasets for various business needs
* Stay updated on industry best practices and emerging technologies in data science and analytics
 Benefits
* Health care and wellness plans
* Dental and vision coverage
* Flexible and virtual work options where available
* 401(k) Savings Plan with company match
* Employee Stock Purchase Plan with discounted stock options
* Paid holidays and paid time off
* Health savings and flexible spending accounts
* Reimbursement for continuing education and professional development
* Life insurance and supplemental insurance plans
 Your Compensation
 This position offers a competitive salary range of $54,797 to $110,000, commensurate with experience. Additionally, employees are eligible for a performance\-based bonus of up to 8% of their annual compensation.
 Your Workplace
 As a valued member of the PTx team, you will have the opportunity to work either from our Westminster, CO location or from Tremont, IL, with options for hybrid or remote work arrangements, depending on business needs and personal preferences.
 Our Commitment to Inclusion
 We are dedicated to fostering an inclusive environment that celebrates diversity and promotes equal opportunity. We believe that a diverse workforce enhances innovation and better serves our global community. We are committed to recruiting, developing, and retaining individuals from all backgrounds, experiences, and perspectives to build a stronger, more dynamic team.</t>
        </is>
      </c>
    </row>
    <row r="16">
      <c r="A16" t="inlineStr">
        <is>
          <t>li-4376657799</t>
        </is>
      </c>
      <c r="B16" t="inlineStr">
        <is>
          <t>Data Scientist</t>
        </is>
      </c>
      <c r="C16" t="inlineStr">
        <is>
          <t>PT. Sumber Bunga Sawit Lestari</t>
        </is>
      </c>
      <c r="D16" t="inlineStr">
        <is>
          <t>linkedin</t>
        </is>
      </c>
      <c r="E16" t="inlineStr"/>
      <c r="F16" t="inlineStr"/>
      <c r="G16" t="inlineStr"/>
      <c r="H16" t="inlineStr"/>
      <c r="I16" t="inlineStr">
        <is>
          <t>📌
 **Data Scientist** 
**Job Overview** 
 We are looking for a highly analytical and innovative
 **Data Scientist** 
 to leverage data to drive strategic business decisions. This role involves building predictive models, conducting advanced statistical analysis, and translating complex datasets into actionable insights that improve performance and product outcomes.
**Key Responsibilities** 
* Analyze structured and unstructured datasets to uncover trends and patterns
* Develop, validate, and deploy machine learning models
* Design experiments and A/B tests to evaluate business hypotheses
* Perform statistical analysis and data mining
* Collaborate with cross\-functional teams to solve business problems
* Communicate insights through dashboards, reports, and presentations
* Improve data quality and optimize analytical processes
* Stay updated on the latest advancements in data science and AI
**Requirements** 
* Bachelor’s or Master’s degree in Data Science, Statistics, Computer Science, Mathematics, or related field
* Strong proficiency in Python or R
* Solid understanding of statistics, probability, and machine learning algorithms
* Experience with SQL and data querying
* Experience with data visualization tools (Tableau, Power BI, etc.)
* Strong problem\-solving and analytical thinking skills
* Good communication skills to present complex findings clearly
**Nice to Have (Optional)** 
* Experience with deep learning frameworks (TensorFlow, PyTorch)
* Familiarity with big data technologies (Spark, Hadoop)
* Experience with cloud platforms (AWS, GCP, Azure)
* Knowledge of MLOps and model deployment workflows
**What We Offer** 
* Opportunity to work on impactful, data\-driven projects
* Collaborative and innovation\-focused environment
* Competitive compensation and career growth opportunities
* Access to modern tools and large\-scale datasets</t>
        </is>
      </c>
    </row>
    <row r="17">
      <c r="A17" t="inlineStr">
        <is>
          <t>li-4376647867</t>
        </is>
      </c>
      <c r="B17" t="inlineStr">
        <is>
          <t>Senior Data Scientist</t>
        </is>
      </c>
      <c r="C17" t="inlineStr">
        <is>
          <t>Exacta Solutions Ltd</t>
        </is>
      </c>
      <c r="D17" t="inlineStr">
        <is>
          <t>linkedin</t>
        </is>
      </c>
      <c r="E17" t="inlineStr"/>
      <c r="F17" t="inlineStr"/>
      <c r="G17" t="inlineStr"/>
      <c r="H17" t="inlineStr"/>
      <c r="I17" t="inlineStr">
        <is>
          <t>**Please note:** 
 This role is remote within the U.S., with the added opportunity
 **(and requirement)** 
 to spend
 **3 months each year working from an attractive Latin American location.** 
 LinkedIn’s posting settings do not allow us to reflect this accurately.
 Our client, a leading provider of sportsbook solutions is seeking an experienced Senior Sports Data Scientist to join their growing R\&amp;D team.
**About The Job** 
 You bring strong analytical and technical skills, passion for sports, and a desire to use data to improve our tools and products.
 This role is centered on a deep curiosity about sports data as it pertains to simulation models and sports predictions. You will work as part of a growing R\&amp;D team at the forefront of the business’ ambitions to provide faster, smarter and more elegant products to our clients and internal users alike. Your data shaping and feature engineering will fuel our ‘Train Station’ internal Neural Networks, and your sports\-savvy will help us to verify our work and grow as a department and company.
**Responsibilities** 
* Analyze large sports and odds datasets to extract insights and help us improve our pipelines and models.
* Design, build, and maintain data shaping and feature engineering workflows.
* Ensure data quality, consistency, and reliability across competitions, seasons, and data sources.
* Utilize our in\-house neural network protocol, and verify and augment its results.
* Collaborate with developers, traders and stakeholders to improve our models, offerings, and sports\-data IQ.
**Requirements** 
* Background and professional experience in data science.
* Familiarity with Python for data analysis and modeling.
* Availability to work onsite in 3 months of the year in LATAM.
**Preferred Qualifications** 
* Experience or expertise with Matlab, Excel, SQL, C\#, or other programming languages.
* Experience or expertise in gaming, gambling, games of chance (e.g., poker, backgammon, Magic: The Gathering), or classic strategy games (e.g., chess, Go).
* Professional English</t>
        </is>
      </c>
    </row>
    <row r="18">
      <c r="A18" t="inlineStr">
        <is>
          <t>li-4081292176</t>
        </is>
      </c>
      <c r="B18" t="inlineStr">
        <is>
          <t>Senior Data Scientist, Cost Prediction</t>
        </is>
      </c>
      <c r="C18" t="inlineStr">
        <is>
          <t>Xometry</t>
        </is>
      </c>
      <c r="D18" t="inlineStr">
        <is>
          <t>linkedin</t>
        </is>
      </c>
      <c r="E18" t="inlineStr"/>
      <c r="F18" t="inlineStr"/>
      <c r="G18" t="inlineStr">
        <is>
          <t>North Bethesda, MD</t>
        </is>
      </c>
      <c r="H18" t="inlineStr"/>
      <c r="I18"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adding a Senior Data Scientist to our cost prediction team. The ideal candidate will have a passion for using machine learning tools and techniques to construct, optimize, and evaluate predictive models that predict the likelihood of different business outcomes. Additionally, this person will use their knowledge of probability and statistics to make defensible statistical inferences from data.
**Responsibilities:**
* Use data science and machine learning principles to develop effective predictive models using 3D data
* Write software to prepare, clean, and sample data for use in developing predictive models
* Use cloud resources (e.g., Amazon Web Services) to prepare and process data
* Query and extract data from databases (Snowflake and MongoDB)
* Use data analysis and visualization tools (examples include SQL, Python, Jupyter Notebooks, and Looker) to inform the business strategy
* Relentlessly iterate solutions within a fast\-paced environment where ambiguity is the norm
* Solve challenging, uncharted problems
* Work in an environment that thrives on teamwork and continuous learning opportunities
**Requirements:**
* Bachelor’s degree required; degree in applied math, computer science, natural sciences or engineering preferred
* M.S. or PhD in a related field highly desired
* 5\+ years of experience with machine learning, statistical modeling, and optimization techniques
* 2\+ years of experience in 3D deep learning; Mesh, Volumetric, and/or Point Clouds
* Fluent in Python (pandas, numpy, SciPy, and scikit\-learn preferred)
* Proficient in linear algebra and statistics
* Familiar with scientific software principals, e.g. versioning systems, reproducibility, code deployment
* Experience in the manufacturing industry is desired
* Must be a US Citizen or Green Card holder (ITAR)
 The estimated base salary range for new hires into this role is $140,000\- $182,000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19">
      <c r="A19" t="inlineStr">
        <is>
          <t>li-4325829328</t>
        </is>
      </c>
      <c r="B19" t="inlineStr">
        <is>
          <t>Data Scientist II, Translational Research</t>
        </is>
      </c>
      <c r="C19" t="inlineStr">
        <is>
          <t>Tempus AI</t>
        </is>
      </c>
      <c r="D19" t="inlineStr">
        <is>
          <t>linkedin</t>
        </is>
      </c>
      <c r="E19" t="inlineStr"/>
      <c r="F19" t="inlineStr"/>
      <c r="G19" t="inlineStr">
        <is>
          <t>Chicago, IL</t>
        </is>
      </c>
      <c r="H19" t="inlineStr"/>
      <c r="I19"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Tempus' proprietary data and platform connect an entire ecosystem of real\-world data to deliver real\-time, actionable insights to researchers. Our data empowers researchers to better characterize and understand disease, and to drive better outcomes through precise, individualized care.
 The Scientific and Technological Solutions team is seeking a driven, intellectually curious member to bridge the gap between our cutting\-edge analytical platform and the complex research questions of our clients. This role is central to client success and adoption of the Tempus Data Platform. You will serve as the primary technical and scientific resource, ensuring our clients can seamlessly integrate their research with our data and platform to derive meaningful, scientific answers.
**Key Responsibilities**
* Client Onboarding \&amp; Education: Lead the technical and scientific onboarding process for new clients, ensuring a smooth transition onto the Tempus Data Ecosystem and analytical platform.
* Scientific Problem Solving: Engage with clients (primarily researchers and scientists) to deeply understand their specific scientific hypotheses and questions (e.g., biomarker discovery, target identification, clinical trial design).
* Platform Guidance \&amp; Solutioning: Translate client scientific needs into actionable steps on the Tempus analytical platform. This includes designing workflows, structuring queries, and guiding the analysis of complex datasets (genomic, clinical, imaging).
* Technical Optimization: Identify and implement technological solutions and workflow improvements to make the client experience on the platform as easy, efficient, and intuitive as possible.
* Feedback Loop: Act as the voice of the client, collaborating closely with Tempus Product, Engineering, and Data Science teams to prioritize features and resolve technical challenges.
* Documentation \&amp; Training: Create high\-quality technical documentation, tutorials, and training materials for clients on platform features and best practices for scientific analysis.
**Qualifications**
**Required Skills \&amp; Experience**
* Advanced Scientific Degree: A Master’s or Ph.D. in a relevant scientific field (e.g., Computational Biology, Bioinformatics, Genomics, Data Science, or a related life science discipline).
* Data Analysis Proficiency: Demonstrated experience working with and analyzing large\-scale biomedical datasets (e.g., Next\-Generation Sequencing data, clinical trial data, real\-world data).
* Technical Fluency: Hands\-on experience with analytical tools and languages relevant to biomedical research. Having R coding experience is required. Knowing additional languages such Python and SQL and familiarity with cloud environments like AWS/GCP is a great added bonus .
* Team work: Proven ability to work collaboratively in a team environment and thrive in a fast\-paced environment, willing to shift priorities seamlessly.
* Client\-Facing Experience: Excellent written and verbal communication skills with a proven ability to explain complex technical and scientific concepts to both technical and non\-technical audiences.
* Problem\-Solving Mindset: A strong track record of identifying inefficiencies or scientific roadblocks and developing pragmatic, user\-friendly solutions.
**Preferred (Bonus) Qualifications**
* Experience in the biotech, pharma, or healthcare technology space.
* Familiarity with distributed computing environments and modern analytical platforms.
* Direct experience with oncology research.
* Experience with R package development.
* Experience with: Pandas, NumPy, SciPy, Scikit\-learn, Jupyter Notebooks, RStudio, R Package development, tidyverse, ggplot, Git, matplotlib, seaborn, HTML5, CSS3, JavaScript, D3, Plot.ly, Flask, Dask, Docker, AWS.
 CHI: $80,000\-$120,000 USD
 NYC/SF: $90,000\-$135,000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20">
      <c r="A20" t="inlineStr">
        <is>
          <t>li-4376656326</t>
        </is>
      </c>
      <c r="B20" t="inlineStr">
        <is>
          <t>Senior Manager - Data Scientist</t>
        </is>
      </c>
      <c r="C20" t="inlineStr">
        <is>
          <t>SoTalent</t>
        </is>
      </c>
      <c r="D20" t="inlineStr">
        <is>
          <t>linkedin</t>
        </is>
      </c>
      <c r="E20" t="inlineStr"/>
      <c r="F20" t="inlineStr"/>
      <c r="G20" t="inlineStr">
        <is>
          <t>Princeton, NJ</t>
        </is>
      </c>
      <c r="H20" t="inlineStr"/>
      <c r="I20" t="inlineStr">
        <is>
          <t>**Senior Manager, Biomarker Data Science \&amp; AI** 
 📍
 **Princeton \| Hybrid** 
**The opportunity** 
 A global biopharmaceutical organization is building a
 **new, cutting\-edge Drug Development Data Science \&amp; Biomarker team** 
 and is seeking a
 **Senior Manager, Biomarker Data Science \&amp; AI** 
 to help shape the future of precision medicine.
 This is a
 **hands\-on leadership role** 
 for an experienced data scientist with strong
 **computational, statistical, and biological expertise** 
 , capable of translating complex multimodal data into actionable insights that accelerate drug development and biomarker strategy.
**What you’ll do** 
* Develop and apply
 **computational and statistical methods** 
 for patient stratification using
 **multimodal data** 
 (clinical, omics, and real\-world data)
* Partner with
 **translational, clinical, and statistical scientists** 
 to define and execute biomarker strategies across development programs
* Contribute to the design, review, and execution of
 **clinical protocols and statistical analysis plans (SAPs)** 
 with a biomarker focus
* Execute biomarker analyses using
 **clinical trial datasets and real\-world evidence**
* Perform advanced statistical analyses of
 **high\-dimensional omics data** 
 (e.g. gene expression, sequencing)
* Design and validate
 **predictive biomarkers and precision medicine approaches**
* Develop, implement, and scale
 **machine learning and deep learning models** 
 for longitudinal and time\-to\-event data
* Optimize and validate
 **biomarker assays** 
 for use in clinical trials
* Translate innovative analytical approaches into
 **robust, production\-ready workflows**
* Collaborate cross\-functionally with clinicians, statisticians, translational scientists, IT, and data science teams
* Manage resources and priorities to deliver
 **high\-quality outputs on multiple concurrent projects**
**What you’ll bring** 
* **PhD** 
 in Computational Biology, Biostatistics, Statistics, Computer Science, or related field
 **plus 1\+ years’ experience** 
 ,
* **or** 
 Master’s degree with
 **3\+ years’ industry experience**
* Strong experience analyzing data from
 **omics or molecular assays**
* Solid understanding of
 **molecular biology and disease pathways**
* Proven experience in
 **biomarker data analysis** 
 using clinical trial and/or electronic health record data
* Hands\-on expertise in
 **AI/ML methods** 
 applied to pharma or biomedical R\&amp;D
* Proficiency in
 **Python, R, SQL** 
 , and
 **cloud platforms**
* Experience building models for
 **high\-dimensional, high\-throughput datasets**
* Ability to work independently while thriving in
 **cross\-functional, fast\-paced environments**
* Excellent communication, data visualization, and stakeholder engagement skills
**Why this role** 
* Be part of a
 **newly formed, high\-impact data science and biomarker function**
* Influence
 **global drug development strategy** 
 from early discovery through clinical development
* Work on
 **precision medicine and predictive biomarkers** 
 at scale
* Combine
 **hands\-on technical work** 
 with strategic leadership
* Collaborate with world\-class scientific and clinical teams
**Working model \&amp; compensation** 
* **Hybrid working model**
* Competitive base salary
 **(location\-dependent)** 
 plus
 **annual bonus and equity opportunities**
* Comprehensive benefits supporting health, wellbeing, flexibility, and long\-term growth</t>
        </is>
      </c>
    </row>
    <row r="21">
      <c r="A21" t="inlineStr">
        <is>
          <t>li-4378635021</t>
        </is>
      </c>
      <c r="B21" t="inlineStr">
        <is>
          <t>Data Scientist</t>
        </is>
      </c>
      <c r="C21" t="inlineStr">
        <is>
          <t>Core4ce</t>
        </is>
      </c>
      <c r="D21" t="inlineStr">
        <is>
          <t>linkedin</t>
        </is>
      </c>
      <c r="E21" t="inlineStr"/>
      <c r="F21" t="inlineStr"/>
      <c r="G21" t="inlineStr">
        <is>
          <t>Ohio, United States</t>
        </is>
      </c>
      <c r="H21" t="inlineStr"/>
      <c r="I21" t="inlineStr">
        <is>
          <t>Information Technology \-\-\&gt; Data Analytics
 WPAFB, OH
 ID: 1143\-383
 Full\-Time/Regular
 We are seeking a skilled Data Scientist / Machine Learning Engineer to develop advanced analytics and machine learning solutions that drive meaningful insights for our customers. In this role, you will design and test algorithms, build data\-driven experiments, and collaborate closely with SMEs and developers to transform data into actionable intelligence. This position is ideal for someone who excels at both innovative research and practical implementation.
**Key Responsibilities**
* Algorithm Development: Develop machine learning, data mining, statistical, and graph\-based algorithms to analyze complex data sets and uncover meaningful patterns.
* Model Evaluation: Test, validate, and down\-select algorithms to determine the best\-performing models for customer requirements.
* Experimental Design \&amp; Data Generation: Design experiments and creating synthetic or simulated data when training/example data sets are limited or unavailable.
* Data Visualization \&amp; Reporting: Produce clear reports, dashboards, and visualizations that communicate data insights to customers and stakeholders in an intuitive manner.
* Automation \&amp; SME Collaboration: Work with subject matter experts to convert manual analytic workflows into efficient, automated analytics solutions.
* Cross\-Functional Development: Collaborate with software developers to ensure algorithms are properly implemented, optimized, and integrated into production systems.
* This position is designed to be flexible, with responsibilities evolving to meet business needs and enable individual growth.
**Required Qualifications**
* Active TS\-SCI security clearance with the ability to obtain a CI poly.
* Experience designing, training, and validating machine learning models and statistical algorithms.
* Proficiency with Python, R, or similar languages used for analytics and model development.
* Hands\-on experience with data visualization tools (e.g., Tableau, Power BI, matplotlib, seaborn).
* Strong understanding of experimental design and data generation strategies.
* Ability to communicate complex analytic concepts to both technical and non\-technical audiences.
* Demonstrated ability to work collaboratively across multidisciplinary teams.
* Degree in Mathematics/Statistics, Computer Science, or a relevant domain field.
* BA/BS degree with 10\+ years of relevant experience, OR
* MA/MS degree with 8\+ years of relevant experience, OR
* PhD degree with 5\+ years of relevant experience
**Why Work for Us?**
 Core4ce is a team of innovators, self\-starters, and critical thinkers—driven by a shared mission to strengthen national security and advance warfighting outcomes.
**We Offer**
* 401(k) with 100% company match on the first 6% deferred, with immediate vesting
* Comprehensive medical, dental, and vision coverage—employee portion paid 100% by Core4ce
* Unlimited access to training and certifications, with no pre\-set cap on eligible professional development
* Tuition assistance for job\-related degrees and courses
* Paid parental leave, PTO that grows with tenure, and generous holiday schedules
* Got a big idea? At Core4ce, The Forge gives every employee the chance to propose bold innovations and help bring them to life with internal backing.
 Join us to build a career that matters—supported by a company that invests in you.
*All qualified applicants will receive consideration for employment without regard to race, color, religion, sex (including pregnancy), national origin, disability, veteran status, age, genetic information, or other legally protected status.*</t>
        </is>
      </c>
    </row>
    <row r="22">
      <c r="A22" t="inlineStr">
        <is>
          <t>li-4379583533</t>
        </is>
      </c>
      <c r="B22" t="inlineStr">
        <is>
          <t>Data Scientist</t>
        </is>
      </c>
      <c r="C22" t="inlineStr">
        <is>
          <t>Cushman &amp; Wakefield</t>
        </is>
      </c>
      <c r="D22" t="inlineStr">
        <is>
          <t>linkedin</t>
        </is>
      </c>
      <c r="E22" t="inlineStr"/>
      <c r="F22" t="inlineStr"/>
      <c r="G22" t="inlineStr">
        <is>
          <t>Creve Coeur, MO</t>
        </is>
      </c>
      <c r="H22" t="inlineStr"/>
      <c r="I22" t="inlineStr">
        <is>
          <t>**Job Title**
 Data Scientist
**Job Description Summary**
**Job Description**
 The Lead Data Engineer helps architect and lead the development of enterprise\-scale data platforms and advanced analytics solutions across multiple business units and subject areas. In addition, they assist the project delivery team with scoping and planning integration projects and contribute to the design, implementation, and support of the data artifacts in the data lakehouse and databases. This role combines deep technical expertise with leadership and mentoring responsibilities, driving innovation and best practices across the data engineering function.
**Key Responsibilities**
* Partner with business leadership to identify impactful areas for the application of AI and ML.
* Lead Data science and Data driven Analytics engagements across clients covering various sectors.
* Design and optimize ML models for predictive analytics and prescriptive analytics enabled solutions
* Explore cutting\-edge techniques in AI and ML to enhance model performance.
* Maintain generative AI models along with development and updating of code and process documentation
* Partner with data stewards to improve data availability and quality while ensuring compliance
* Partner with technology teams to deploy AI and ML solutions in scalable environments.
* Use business intelligence tools for better visualization and transparency of data driven insights
* Managing a team of data engineers, data scientists, and analytics professionals to deliver data\-driven insights and solutions to support business decision\-making]
* Track latest AI innovations and build relevant PoCs to further our capabilities
* Participate in organization building, hiring, partnerships, conferences etc.
**Essential Knowledge \&amp; Experience**
* Preferred: Experience in Databricks
* Advanced statistics \&amp; machine learning (e.g., causal inference, experimentation, forecasting, NLP, recommender systems, or deep learning—depending on the company)
* Strong programming skills
* Python or R (production\-quality code)
* SQL mastery (complex queries, performance tuning)
* Experience deploying models to production
* Model lifecycle, monitoring, retraining, data drift
* Solid data engineering awareness
* Data pipelines, feature stores, cloud platforms (Azure/ML flow)
**Desirable Knowledge \&amp; Experience**
* Hands\-on experience with machine learning pipelines or integrating data engineering with advanced analytics and AI workflows.
* Familiarity with data governance frameworks, including data lineage, cataloging, and compliance (e.g., GDPR, HIPAA).
* Background in delivering data\-driven solutions for commercial real estate applications
* Degree in IT, Engineering, computer sciences, business IT degree or in any quantitative discipline
**Skills \&amp; Personal Qualities**
* Strong communicator in English, both verbal and written, with the ability to engage effectively across global teams and all levels of the organisation.
* Analytical and curious mindset, driven to solve complex problems and understand intricate technical systems and architectures.
* Organised and detail\-oriented, with a diligent, quality\-focused approach and a strong sense of ownership.
* Collaborative and proactive, able to build relationships, resolve conflicts, and contribute meaningfully within cross\-functional teams.
* Adaptable and dependable, capable of managing multiple priorities, meeting deadlines, and working independently or as part of a team.
* Continuous learner, demonstrating initiative in technical self\-improvement and staying current with evolving tools and practices.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candidate’s experience and qualifications.
 The company will not pay less than minimum wage for this role.
 The compensation for the position is: $ 72,165\.00 \- $84,900\.00
 Cushman \&amp; Wakefield is an Equal Opportunity employer to all protected groups, including protected veterans and individuals with disabilities. Discrimination of any type will not be tolerated.
 In compliance with the Americans with Disabilities Act Amendments Act (ADAAA), if you have a disability and would like to request an accommodation in order to apply for a position at Cushman \&amp; Wakefield, please call the ADA line at
 **1\-888\-365\-5406** 
 or email
 **HRServices@cushwake.com** 
 . Please refer to the job title and job location when you contact us.
 INCO: “Cushman \&amp; Wakefield”</t>
        </is>
      </c>
    </row>
    <row r="23">
      <c r="A23" t="inlineStr">
        <is>
          <t>li-4272844069</t>
        </is>
      </c>
      <c r="B23" t="inlineStr">
        <is>
          <t>Data Scientist III (Ops &amp; Fleet)</t>
        </is>
      </c>
      <c r="C23" t="inlineStr">
        <is>
          <t>Republic Services</t>
        </is>
      </c>
      <c r="D23" t="inlineStr">
        <is>
          <t>linkedin</t>
        </is>
      </c>
      <c r="E23" t="inlineStr"/>
      <c r="F23" t="inlineStr"/>
      <c r="G23" t="inlineStr">
        <is>
          <t>Phoenix, AZ</t>
        </is>
      </c>
      <c r="H23" t="inlineStr"/>
      <c r="I23" t="inlineStr">
        <is>
          <t>**POSITION SUMMARY:** 
 The Data Scientist III drives internal data analytics projects. Projects will vary from short explorations of our data to longer\-term implementations of advanced predictive and machine learning models. The Data Scientist III constantly explores our existing data while seeking out new data to consume. They apply analytical and data science methods to real world datasets to solve ongoing business problems. The Data Scientist III effectively communicates both technical and analytical concepts across all levels of the organization, and they influence the roadmap and decision\-making through presentation of data\-based recommendations.
**Principal Responsibilities**
* Performs time\-series analyses, hypothesis testing, and causal analyses to statistically assess relative impact and extract trends across all relevant functional areas.
* Researches and resolves data inquiries and requests.
* Provides insights and serves as a subject matter expert for department data.
* Documents requirements for data science and reporting projects.
* Supports the development of standard data analyses, reports, and dashboards.
* Collaborates with other teams to gather data and build relationships.
* Transforms data into actionable insights and recommendations.
* Designs experiments and interprets the results to draw detailed and actionable conclusions.
* Builds statistical models to enhance understanding of trends and predicts future performance.
* Finds new opportunities and novel applications for our core internal data.
* Translates and champions our Machine Learning and advanced analytics capabilities for non\-technical audiences.
* Participates in end\-to\-end data science project lifecycle – data mining and exploration, model development and evaluation, solution deployment in production, measurement, and tracking.
* Designs, validates, and evaluates solutions using R, Python, SQL and other programming tools.
* Educates and mentors team members on best practices for data analytics including data science techniques, statistical programming languages and packages, and data preparation.
* Performs other job\-related duties as assigned or apparent.
**Knowledge / Skills / Abilities**
* Proficiency with programming in Python or R in data science and/or statistical analytics settings.
* Proficiency with relational databases and the ability to write SQL queries.
* Proficiency with Excel and PowerBI.
* Proficiency with cloud computer environments (e.g. AWS).
**Qualifications**
* Master’s degree preferred.
* 5 years of demonstrated experience working with large databases to perform complex analysis.
* 5 years of demonstrated experience with statistics and multivariate analytical techniques including multivariate regression, logistic regression, cluster analysis, design of experiments, machine learning, and decision trees.
* Demonstrated expertise building and deploying machine learning/AI models in a cloud computing environment (e.g., AWS) and/or enterprise IT environment.
* Demonstrated expertise with common commercial analytics topics (e.g., pricing optimization, customer segmentation, customer churn/lifetime value, etc.) or operational analytics topics (e.g., logistics analytics, route optimization, maintenance optimization, etc.).
**Minimum Qualifications**
* Bachelor’s Degree in an analytical field (Mathematics, Computer Science, Information Management, Statistics, Engineering).
* 5 years of experience with advanced programming in Python or R and SQL, conducting complex statistical analysis and building machine learning algorithms with large databases in cloud computing environments.
**Role Highlights**
* Prior lead/mentor experience is required, experience as a Data Scientist preferred.
* Knowledge of logistics, supply chain, and fleet management a plus. Applied experience with experimental design, time series modeling, and optimization preferred.
* Collaborates with business leaders to define a roadmap of data science deliverables.
* Leads the team in defining and developing production\-ready solutions.
* Role is based in Phoenix, AZ.
**Rewarding Compensation And Benefits**
 Eligible employees can elect to participate in:
* Comprehensive medical benefits coverage, dental plans and vision coverage.
* Health care and dependent care spending accounts.
* Short\- and long\-term disability.
* Life insurance and accidental death \&amp; dismemberment insurance.
* Employee and Family Assistance Program (EAP).
* Employee discount programs.
* Retirement plan with a generous company match.
*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
**About The Company**
 Republic Services, Inc. (NYSE: RSG) is a leader in the environmental services industry. We provide customers with the most complete set of products and services, including recycling, waste, special waste, hazardous waste and field services. 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We protect the livelihoods of our colleagues and communities.
* Committed to Serve: We go above and beyond to exceed our customers’ expectations.
* Environmentally Responsible: We take action to improve our environment.
* Driven: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t>
        </is>
      </c>
    </row>
    <row r="24">
      <c r="A24" t="inlineStr">
        <is>
          <t>li-4379587307</t>
        </is>
      </c>
      <c r="B24" t="inlineStr">
        <is>
          <t>Data Scientist IV</t>
        </is>
      </c>
      <c r="C24" t="inlineStr">
        <is>
          <t>Nexus Consulting</t>
        </is>
      </c>
      <c r="D24" t="inlineStr">
        <is>
          <t>linkedin</t>
        </is>
      </c>
      <c r="E24" t="inlineStr"/>
      <c r="F24" t="inlineStr"/>
      <c r="G24" t="inlineStr">
        <is>
          <t>New York, United States</t>
        </is>
      </c>
      <c r="H24" t="inlineStr"/>
      <c r="I24" t="inlineStr">
        <is>
          <t>* **Role:** 
 Data Scientist IV
* **Location:** 
 100% Remote (Global)
* **Compensation:** 
 USD 105–125 per hour
**Overview** 
 We are seeking an experienced
 **Data Scientist IV** 
 to drive innovation through advanced analytics and modeling of high\-dimensional biosensor data. This role will contribute directly to biosensing research and development, enabling next\-generation product improvements and prototype development.
 The ideal candidate combines strong statistical and machine learning expertise with hands\-on experience in hardware sensor data, signal processing, and experimental analysis.
**Key Responsibilities** 
 Advanced Data Analysis \&amp; Modeling
* Execute, debug, and optimize distributed compute workflows for large\-scale metric computation and modeling
* Apply statistical analysis, machine learning, and advanced mathematical methods to uncover patterns in biosensor datasets
* Design and develop predictive models to extract actionable insights from real\-world sensor data
**Signal Processing \&amp; Sensor Analytics** 
* Analyze time\-domain signals and/or medical imaging data
* Apply signal processing techniques to improve data interpretation and model performance
* Support hardware sensor data analysis and prototype validation
**Experimentation \&amp; Hypothesis Testing** 
* Generate and test hypotheses through structured product experimentation
* Interpret experimental results to inform product and R\&amp;D strategy
**Cross\-Functional Collaboration** 
* Partner with engineering teams to translate analytical prototypes into scalable product solutions
* Provide technical guidance for large\-scale deployment of models and analytics frameworks
**Visualization \&amp; Communication** 
* Develop visualizations to communicate insights clearly to technical and non\-technical stakeholders
* Present findings from statistical and machine learning analyses to diverse audiences
**Minimum Qualifications** 
* Master’s or PhD in Computer Science, Statistics, Neuroscience, Biomedical Engineering, or related field
* 3\+ years of experience in data extraction, manipulation, and visualization
* Strong proficiency in Python, R, MATLAB, and/or SQL
* Experience working with large\-scale datasets
* Strong understanding of data structures and algorithms
**Required Technical Skills** 
* Experience with hardware sensor data and real\-world signal analysis
* Signal processing expertise (time\-domain signals and/or medical imaging systems)
* Scientific computing libraries: NumPy, SciPy, Pandas, Scikit\-learn, dplyr, caret
* Data visualization tools: Matplotlib, Pyplot, seaborn, ggplot2
* Machine learning and predictive modeling techniques
**Core Competencies** 
* Advanced Statistical Analysis
* Machine Learning \&amp; Predictive Modeling
* Signal Processing
* Experimental Design
* Distributed Compute Workflows
* Cross\-Functional Technical Collaboration
**Work Environment** 
* Onsite in New York City
* Research\-driven, data\-intensive environment
* Close collaboration with hardware and engineering teams
**Equal Opportunity Statement** 
 We are an equal opportunity employer and consider all qualified applicants without regard to legally protected characteristics. Reasonable accommodations are available upon request.
**APPLY NOW!**</t>
        </is>
      </c>
    </row>
    <row r="25">
      <c r="A25" t="inlineStr">
        <is>
          <t>li-4322401267</t>
        </is>
      </c>
      <c r="B25" t="inlineStr">
        <is>
          <t>Senior Manager, Data Scientist</t>
        </is>
      </c>
      <c r="C25" t="inlineStr">
        <is>
          <t>Summit Therapeutics, Inc.</t>
        </is>
      </c>
      <c r="D25" t="inlineStr">
        <is>
          <t>linkedin</t>
        </is>
      </c>
      <c r="E25" t="inlineStr"/>
      <c r="F25" t="inlineStr"/>
      <c r="G25" t="inlineStr">
        <is>
          <t>Princeton, NJ</t>
        </is>
      </c>
      <c r="H25" t="inlineStr"/>
      <c r="I25" t="inlineStr">
        <is>
          <t>**Location:** 
 Princeton, NJ onsite
**About Summit**
 Summit Therapeutics Inc. is a biopharmaceutical oncology company with a mission focused on improving quality of life, increasing potential duration of life, and resolving serious unmet medical needs. At Summit, we believe in building a team of world class professionals who are passionate about this mission, and it is our people who drive this mission to reality. Summit’s core values include integrity, passion for excellence, purposeful urgency, collaboration, and our commitment to people. Our employees are truly the heart and soul of our culture, and they are invaluable in shaping our journey toward excellence.
 Summit’s Team Is Inspired To Touch And Help Change Lives Through Summit’s Clinical Studies In The Field Of Oncology. Summit Has Multiple Global Phase 3 Clinical Studies, Including
**Non\-small Cell Lung Cancer (NSCLC)**
* HARMONi: Phase 3 clinical study which was intended to evaluate ivonescimab combined with chemotherapy compared to placebo plus chemotherapy in patients with EGFR\-mutated, locally advanced or metastatic non\-squamous NSCLC who were previously treated with a 3rd generation EGFR TKI.
* HARMONi\-3: Phase 3 clinical study which is intended to evaluate ivonescimab combined with chemotherapy compared to pembrolizumab combined with chemotherapy in patients with first\-line metastatic NSCLC.
* HARMONi\-7: Phase 3 clinical study which is intended to evaluate ivonescimab monotherapy compared to pembrolizumab monotherapy in patients with first\-line metastatic NSCLC.
**Colorectal Cancer (CRC)**
* HARMONi\-GI3: Phase 3 clinical study intended to evaluate ivonescimab in combination with chemotherapy compared with bevacizumab plus chemotherapy.
*Ivonescimab is an investigational therapy not presently approved by any regulatory authority other than China’s National Medical Products Administration (NMPA). Summit is headquartered in Miami, Florida, and has additional offices in California, New Jersey, the UK, and Ireland.*
**Overview Of Role**
 The Senior Manager, Data Scientist role is part of the Commercial Operations team supporting the U.S. Business Unit—which includes, but is not limited to, Sales, Marketing, and Market Access. This team enables key business functions and strategic initiatives through data integration, reporting, and advanced analytics.
 This position provides a unique opportunity for broad exposure across the U.S. commercial organization by contributing to the development of advanced analytics solutions. A core focus of the role will involve executing analytics on a variety of data sources—including patient claims, EDI shipment data, and unstructured datasets—as well as supporting future machine learning initiatives.
**Role And Responsibilities**
* Design and implement advanced analytical models (e.g., predictive modeling, segmentation, optimization, machine learning) using diverse datasets such as claims, outlet\-level sales data, EDI, hub data, real\-world data (RWD), specialty pharmacy/distributor data, EMR, and internal commercial datasets.
* Develop and validate algorithms to identify patient journeys, adherence patterns, and treatment pathways.
* Contribute to an evolving data science practice, including problem framing, data exploration and preparation, data integration, machine learning model development, and production.
* Create scoring frameworks (e.g., HCP opportunity models, payer access risk scores, patient conversion likelihood).
* Build statistical and machine learning models for both proof\-of\-concept and production environments using Python, R, and SQL.
* Partner with stakeholders across the U.S. commercial teams to translate business needs into data\-driven and machine learning solutions.
* Communicate advantages, limitations, and implications of analytical approaches to non\-technical audiences.
* Share technical insights and solutions through design reviews, pair programming, code/model reviews, and team knowledge\-sharing sessions.
* Conduct exploratory analysis of new datasets, generate descriptive statistics, identify trends and insights, and propose data engineering opportunities for integration.
* Utilize one or more commercial or open\-source analysis platforms daily (e.g., Jupyter Notebook, RStudio, Posit, Microsoft Azure, Neo4j).
* All other duties as assigned.
**Experience, Education And Specialized Knowledge And Skills**
* Experience in biotech, pharmaceuticals, or life sciences required
* Bachelor’s degree in Data Science, Computer Science, Mathematics, or a related field required; advanced degree preferred.
* Minimum 5\+ years of relevant experience with a bachelor’s degree, or 3\+ years with a master’s degree, contributing to or executing data science projects. Industry experience in customer behavior prediction, customer journey analytics, marketing analytics, or social network analysis is preferred.
* Demonstrated proficiency in Python and/or R.
* Strong SQL skills with hands\-on experience working with relational databases; experience with graph databases and Cypher is a plus.
* Familiarity with machine learning and statistical modeling techniques
* Strong communication and cross\-functional collaboration skills
* Experience developing solutions using text analytics, customer journey analytics, marketing analytics, or recommendation engines.
* Proven ability to explain statistical and machine learning concepts to business stakeholders in clear and meaningful terms.
* Knowledge of statistical and data mining techniques such as hierarchical clustering, network analysis, regression, random forests, text mining, NLP, and data visualization.
 The pay range for this role is $153,000\-$180,000 annually.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bonus, stock, benefits and/or other applicable variable compensation.
 Summit does not accept referrals from employment businesses and/or employment agencies in respect of the vacancies posted on this site. All employment businesses/agencies are required to contact Summit’s Talent Acquisition team at recruiting@smmttx.com to obtain prior written authorization before referring any candidates to Summit.</t>
        </is>
      </c>
    </row>
    <row r="26">
      <c r="A26" t="inlineStr">
        <is>
          <t>li-4342363676</t>
        </is>
      </c>
      <c r="B26" t="inlineStr">
        <is>
          <t>Staff Data Scientist, Ads Performance</t>
        </is>
      </c>
      <c r="C26" t="inlineStr">
        <is>
          <t>Pinterest</t>
        </is>
      </c>
      <c r="D26" t="inlineStr">
        <is>
          <t>linkedin</t>
        </is>
      </c>
      <c r="E26" t="inlineStr"/>
      <c r="F26" t="inlineStr"/>
      <c r="G26" t="inlineStr">
        <is>
          <t>San Francisco, CA</t>
        </is>
      </c>
      <c r="H26" t="inlineStr"/>
      <c r="I2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Understanding and improving how we optimize ads through the ads delivery funnel to Pinners is fundamental to Pinterest’s long\-term success. We’re looking for a data scientist to join our team in pushing the boundaries in ads optimization. You will be a key member of an organization of talented data scientists innovating on ads delivery.
**What You’ll Do**
* Strategy: Evolve our strategy by working closely with product and engineering leaders to build on past learnings and shape our platform's future.
* Experimentation: Improve our experimentation capabilities and tools for assessing our ad delivery system, advise on best practices, identify flaws, and build tools and frameworks for experiment analysis.
* Leadership: Lead and mentor peers, improving team output through continuous, candid feedback that recognizes strengths and identifies areas for growth. Be a technical leader for junior data scientists.
* Communication: Clearly and concisely communicate complex analytical findings and insights to stakeholders with varying technical backgrounds.
* Continuous Learning: Stay informed on the latest developments in data science, causal inference, and advertising technology to drive innovation.
**What We’re Looking For**
* 8\+ years of combined post\-graduate academic and industry experience applying scientific methods to solve real\-world problems on web\-scale data
* Direct involvement in the evaluation, refinement, and deployment of ads optimization models for ads delivery systems.
* Proficiency in leveraging large datasets for performance analysis and gap identification.
* Proven ability to apply scientific methods to solve real\-world problems on web\-scale data
* Expertise in SQL and Python
* Strong business and product sense: delight in shaping vague questions into well\-defined analyses and success metrics that drive business decisions
* Excellent communication skills: able to lead initiatives across multiple product areas and communicate findings with leadership and product teams
* Experience leading key technical projects and substantially influencing the scope and output of others
* Experience in digital ad delivery stacks preferred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 times per week and therefore needs to be in a commutable distance from one of the following offices: San Francisco, CA or Seattle, WA.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$164,695—$339,078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7">
      <c r="A27" t="inlineStr">
        <is>
          <t>li-4370181152</t>
        </is>
      </c>
      <c r="B27" t="inlineStr">
        <is>
          <t>Senior Associate - Data Scientist</t>
        </is>
      </c>
      <c r="C27" t="inlineStr">
        <is>
          <t>New York Life Insurance Company</t>
        </is>
      </c>
      <c r="D27" t="inlineStr">
        <is>
          <t>linkedin</t>
        </is>
      </c>
      <c r="E27" t="inlineStr"/>
      <c r="F27" t="inlineStr"/>
      <c r="G27" t="inlineStr">
        <is>
          <t>New York, NY</t>
        </is>
      </c>
      <c r="H27" t="inlineStr"/>
      <c r="I27" t="inlineStr">
        <is>
          <t>**Location Designation:** 
 Hybrid \- 3 days per week
 As part of the Artificial Intelligence \&amp; Data (AI\&amp;D) organization, you will contribute to New York Life’s digital transformation by developing and deploying AI and machine learning solutions that enhance efficiency and improve client, agent, and employee experiences.
 This role will support the development of AI solutions, spanning traditional Machine Learning, Generative AI, and Agentic AI. The role focuses on building core technical skills, learning enterprise AI practices, and delivering well\-defined components of AI solutions. You will collaborate closely with Data Scientists, Engineers, and product and technology partners while developing an understanding of model lifecycle management, responsible AI principles, and New York Life’s technology ecosystem.
**What You’ll Do**
* Execute AI/ML initiatives in partnership with data, technology, product and business teams.
* Deliver business\-aligned OKRs, ensuring AI initiatives are outcome\-driven and tied to enterprise value creation.
* Contribute to the end\-to\-end model lifecycle: data exploration, feature development, model training/validation, deployment, monitoring, and iteration.
* Develop and help operationalize models using AWS (e.g., SageMaker, Bedrock) and modern data platforms (Snowflake, Databricks), ensuring quality, security, and scalability; partner with ML engineers for large\-scale production deployment and scaling.
* Assist in designing and evaluating agentic/AI\-powered solutions that automate routine business tasks with human\-in\-the\-loop checkpoints, escalation thresholds, and safety guardrails.
* Assit in implementing and refining LLM/RAG approaches (vector stores, embeddings, retrieval optimization, prompt orchestration) with evaluators for reliability.
* Ensure AI capabilities are accessible through APIs, dashboards, and integrated workflow applications used by business teams.
* Build lightweight UI prototypes (e.g., Streamlit) to validate usability and support adoption.
* Adhere to model governance, documentation, testing, and CI/CD best practices in partnership with MLOps.
**What You’ll Bring**
* Advanced degree in Computer Science, Data Science, Machine Learning, AI, Engineering, Mathematics, Statistics, or a related quantitative field.
* 3\-5 years of hands\-on experience applying data, analytics, machine learning, or AI solutions to real\-world business problems.
* Foundational knowledge of Machine Learning concepts, statistics, and data analysis techniques, with the ability to design and evaluate appropriate models.
* Proficiency in Python and SQL; working knowledge of core software engineering concepts (version control with Git/GitHub), testing and documentation.
* Working knowledge of Generative AI concepts (e.g., LLMs, prompt engineering).
* Exposure to Agentic AI architectures (e.g., tool\-using agents, orchestration frameworks).
* Partner with business stakeholders to communicate model design and outcomes to both technical and non\-technical audiences.
* Strong communication skills and a collaborative mindset.
* Proactive mindset and commitment to continuous learning.
* Experience in Life Insurance industry or consumer finance domains is a plus.
**Pay Transparency**
 Salary Range: $100,000\-$143,000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93351</t>
        </is>
      </c>
    </row>
    <row r="28">
      <c r="A28" t="inlineStr">
        <is>
          <t>li-4304720552</t>
        </is>
      </c>
      <c r="B28" t="inlineStr">
        <is>
          <t>Ld Data Scientist</t>
        </is>
      </c>
      <c r="C28" t="inlineStr">
        <is>
          <t>Medline</t>
        </is>
      </c>
      <c r="D28" t="inlineStr">
        <is>
          <t>linkedin</t>
        </is>
      </c>
      <c r="E28" t="inlineStr"/>
      <c r="F28" t="inlineStr"/>
      <c r="G28" t="inlineStr">
        <is>
          <t>Northbrook, IL</t>
        </is>
      </c>
      <c r="H28" t="inlineStr"/>
      <c r="I28" t="inlineStr">
        <is>
          <t>**Job Summary**
 Medline is seeking a lead data scientist for its Mpower team, responsible for building an AI driven supply chain optimization and resiliency product. As a Lead Data Scientist on the Mpower team, you will drive innovation by building and deploying traditional machine learning and LLM\-based models to optimize supply chain and enhance customer experience. Your work will directly contribute to Mpower’s success and customer satisfaction.
**Job Description**
**MAJOR RESPONSIBILITIES**
* Build traditional machine learning models to optimize process, improve supply chain resiliency, and enhance customer experience
* Design and implement LLM agents
* Collaborate with cross\-functional teams to integrate machine learning solutions into business processes.
* Design and implement end\-to\-end machine learning pipelines that are fully integrated within cloud\-native architectures, ensuring scalability and robustness.
* Continuously monitor, evaluate, and enhance the performance and efficiency of ML systems deployed on cloud infrastructures.
**Minimum Job Requirements**
**Education**
* Bachelor’s degree in computer science, Data Science, AI, Statistics, or a related field.
**Work Experience**
* 5\+ years of experience in data science, delivering end\-to\-end AI/ML solutions in a business environment.
* Proven track record in developing and deploying ML models and GenAI applications.
* Strong experience collaborating cross functionally in a large organization.
* Hands\-on experience with ML frameworks (TensorFlow, PyTorch, Scikit\-learn) and cloud\-based AI services (AWS, Azure, GCP).
* Expertise in exploratory data analysis (EDA), feature engineering, experiment design, and model building.
**Technical Skills**
**Knowledge / Skills / Abilities**
* Proficiency in programming languages such as Python or R for data analysis and machine learning model development.
* Strong expertise in supervised and unsupervised learning techniques including classical machine learning, time series and NLP.
* Hands\-on experience with large language models (LLMs) such as GPT, Claude, or LLaMA, including fine\-tuning and prompt engineering.
* Proficiency in retrieval\-augmented generation (RAG) using vector databases like FAISS or Pinecone.
* Familiarity with GenAI frameworks such as LangChain or LlamaIndex for enterprise applications.
* Experience with cloud\-based AI platforms (Azure OpenAI, AWS Bedrock, Google Vertex AI) for scalable deployment.
* Understanding of model evaluation techniques and guardrails to ensure accuracy, reliability, and compliance.
* Working knowledge of MLOps practices, including model deployment, monitoring, and retraining to maintain long\-term performance.
**Soft Skills**
* Excellent communication and stakeholder management skills, with the ability to convey complex technical concepts in business\-friendly language.
* Strong problem\-solving abilities with a proactive, results\-driven mindset.
* Ability to work effectively in a fast\-paced, matrixed organization with cross\-functional collaboration
**Preferred Job Requirements**
**Education**
 Master’s degree in computer science, Data Science, AI, Statistics, or a related field
 Medline Industries, LP, and its subsidiaries, offer a competitive total rewards package, continuing education \&amp; training, and tremendous potential with a growing worldwide organization.
**The Anticipated Salary Range For This Position**
 $115,440\.00 \- $173,160\.00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29">
      <c r="A29" t="inlineStr">
        <is>
          <t>li-4317230527</t>
        </is>
      </c>
      <c r="B29" t="inlineStr">
        <is>
          <t>Lead Data Scientist</t>
        </is>
      </c>
      <c r="C29" t="inlineStr">
        <is>
          <t>OneMagnify</t>
        </is>
      </c>
      <c r="D29" t="inlineStr">
        <is>
          <t>linkedin</t>
        </is>
      </c>
      <c r="E29" t="inlineStr"/>
      <c r="F29" t="inlineStr"/>
      <c r="G29" t="inlineStr">
        <is>
          <t>Detroit, MI</t>
        </is>
      </c>
      <c r="H29" t="inlineStr"/>
      <c r="I29" t="inlineStr">
        <is>
          <t>OneMagnify is a global performance marketing organization working at the intersection of brand marketing, technology, and analytics. The Company’s core offerings accelerate business, amplify real\-time results, and help set their clients apart from their competitors. OneMagnify partners with clients to design, implement and manage marketing and brand strategies using analytical and predictive data models that provide valuable customer insights to drive higher levels of sales conversion.
 OneMagnify’s commitment to employee growth and development extends far beyond typical approaches. We take great pride in fostering an environment where each of our 700\+ colleagues can thrive and achieve their personal best. OneMagnify has been recognized as a Top Workplace, Best Workplace and Cool Workplace in the United States for 10 consecutive years and recently was recognized as a Top Workplace in India.
 You’ll be joining our RXA Data Science team, a group dedicated to leveraging advanced analytics, predictive modeling, and machine learning to drive smarter marketing and business decisions. As Lead Data Scientist, you will play a critical role in delivering impactful, data\-driven solutions. In this role, you will bridge strategy and execution—translating complex business problems into analytically sound solutions while ensuring technical excellence, timely delivery, and cross\-functional collaboration.
 The Lead Data Scientist is responsible for leading the execution of end\-to\-end data science projects, from scoping and modeling to operationalization and insight delivery. You will partner with clients, internal teams, and technical stakeholders to develop and deploy scalable solutions that drive measurable business value.
**What you'll do:**
* Lead the design, development, and deployment of statistical models, machine learning algorithms, and custom analytics solutions
* Collaborate consistently with team members to understand the purpose, focus, and objectives of each data analysis project, ensuring alignment and meaningful support
* Translate client goals into clear modeling strategies, project plans, and deliverables
* Guide the development of production\-level model pipelines using tools such as Databricks and Azure ML
* Collaborate with engineering, marketing, and strategic partners to integrate models into real\-world applications
* Monitor and improve model performance, ensuring high standards for reliability and business relevance
* Present complex analytical results to technical and non\-technical audiences in a clear, actionable format
* Support innovation by identifying new tools, methods, and data sources—including the use of Snowflake for modern data architecture
* Promote best practices in model governance, data ethics, and responsible AI
**What you need:**
* Minimum 5\-7 years of experience in data science, analytics, or predictive modeling
* Experience leading all aspects of sophisticated data science initiatives with a solid foundation in technical strategy and execution
* Strong programming skills in Python, R, or SAS for modeling and data analysis
* Advanced SQL capabilities and experience working in cloud\-based environments (e.g., Azure, AWS)
* Hands\-on experience with Databricks, Azure Machine Learning, and Snowflake strongly preferred
* Experience applying the modeling rigor and documentation standards required in regulated industries such as financial services is a strong plus
* Expertise in regression, classification, clustering, A/B testing, and audience segmentation
* Proficiency with Tableau, Power BI, and Excel for data visualization and communication
* Strong communication skills and the ability to translate complex technical findings into business insight
* Bachelor’s degree in Data Science, Statistics, Computer Science, or a related quantitative field (Master’s preferred)
**Benefits**
 We offer a comprehensive benefits package including medical, dental, 401(k), paid holidays, vacations, and more.
**About Us**
 Whether it’s awareness, advocacy, engagement, or efficacy, we move brands forward with work that connects with audiences and delivers results. Through meaningful analytics, engaging communications and innovative technology solutions, we help clients tackle their most ambitious projects and overcome their biggest challenges.
**We are an equal opportunity employer**
 We believe that Innovative ideas and solutions start with unique perspectives. That’s why we’re committed to providing every employee a workplace that’s free of discrimination and intolerance. We’re proud to be an equal opportunity employer and actively search for like\-minded people to join our team.
 We will ensure that individuals with disabilities are provided reasonable accommodation to participate in the job application or interview process, to perform job functions, and to receive benefits and privileges of employment. Please contact us to request accommodation.</t>
        </is>
      </c>
    </row>
    <row r="30">
      <c r="A30" t="inlineStr">
        <is>
          <t>li-4378015023</t>
        </is>
      </c>
      <c r="B30" t="inlineStr">
        <is>
          <t>Lead Data Scientist</t>
        </is>
      </c>
      <c r="C30" t="inlineStr">
        <is>
          <t>Blend</t>
        </is>
      </c>
      <c r="D30" t="inlineStr">
        <is>
          <t>linkedin</t>
        </is>
      </c>
      <c r="E30" t="inlineStr"/>
      <c r="F30" t="inlineStr"/>
      <c r="G30" t="inlineStr">
        <is>
          <t>Columbia, MD</t>
        </is>
      </c>
      <c r="H30" t="inlineStr"/>
      <c r="I30" t="inlineStr">
        <is>
          <t>**Company Description**
**About Blend360:** 
 Blend360 is a premier AI services provider, committed to co\-creating meaningful impact for our clients through the power of data science, AI, technology, and people. With a mission to fuel bold visions, we tackle significant challenges by seamlessly aligning human expertise with artificial intelligence. We are dedicated to unlocking value and fostering innovation for our clients by harnessing world\-class talent and data\-driven strategies. We believe that the power of people and AI can have a transformative impact on the world, creating more fulfilling work and innovative solutions for our people and clients.
**Job Description**
 We are looking for a lead data scientist who is passionate about managing the successful delivery of machine learning models and algorithms to solve our clients’ business problems (mainly in sales \&amp; marketing use cases); someone who has data science expertise and can help our clients create insights, and develop recommendations to impact our clients business outcome.
**Main Responsibilities**
* Use data to provide recommendations for the products and services that best fit individual customers, along with the associated value proposition
* Work with team leaders to get client input \&amp; feedback, translate clients business problem into a solvable Data Science exercise, formulate different approaches, outline pros and cons for each approach, get alignment on approaches, deliverables, and overall timeline with clients.
* Work closely with analytic teams to develop complex algorithms and statistical predictive models to evaluate scenarios and potential future outcomes; leverage problem solving / analytical skills, quantitative expertise, programming and data analysis to identify potential risks related to existing portfolios as well as new products and develop methodologies for tracking and reporting them
* Perform analyses of structured and unstructured data to solve multiple and complex business problems utilizing advanced data science and machine learning techniques and specialized industry expertise and develop analyses and models based on complex energy market indicators and cost components
* Applies analytical rigor \&amp; statistical methods to analyze large amounts of data, using advanced statistical techniques
* Manage large \&amp; complex analytical projects: data exploration, model building, performance evaluation \&amp; testing
* Collaborate w/business partners to develop technical/business approaches and new/enhanced technical tools
* Interacts with internal and external peers and management to share highly complex information related to areas of expertise and/or to gain acceptance of new or enhanced technology / business solutions
**Qualifications**
* MS degree in quantitative studies, such as Statistics, Math, Operation Research, Economics, Advanced Analytics, Computer Science, Engineering
* Strong quantitative and analytics background, including advanced\-level skillset in predictive modelling, statistical analysis, machine learning, text mining, geo\-spatial analytics, time series forecasting, optimization.
* 4\- 5 years of professional experience working in FiServ, Insurance, Hospitality and Retail industries on applying data science and analytics in sales and marketing applications.
* Familiarity with digital marketing ecosystem. Experience in email marketing, digital marketing, and call center analytics and direct marketing are preferred.
* Experience with one or more Advanced Data Science software languages (Python, R)
* Experience with structured or un\-structured data analysis and tools (SQL, Spark, Tableau, Power BI tools)
* Experience with cloud\-based platforms (AWS, Azure, Google)
* Demonstrated ability to communicate technical ideas and results to non\-technical clients in written and verbal form
* Strong organizational, management and leadership skills. Experience managing and mentoring junior resources across different geo\-locations.</t>
        </is>
      </c>
    </row>
    <row r="31">
      <c r="A31" t="inlineStr">
        <is>
          <t>li-4307566670</t>
        </is>
      </c>
      <c r="B31" t="inlineStr">
        <is>
          <t>Vice President - AML Business Analyst Data Scientist</t>
        </is>
      </c>
      <c r="C31" t="inlineStr">
        <is>
          <t>BNP Paribas</t>
        </is>
      </c>
      <c r="D31" t="inlineStr">
        <is>
          <t>linkedin</t>
        </is>
      </c>
      <c r="E31" t="inlineStr"/>
      <c r="F31" t="inlineStr"/>
      <c r="G31" t="inlineStr">
        <is>
          <t>Jersey City, NJ</t>
        </is>
      </c>
      <c r="H31" t="inlineStr"/>
      <c r="I31" t="inlineStr">
        <is>
          <t>**Business Overview:**
 The U.S. Financial Security Transaction Monitoring Optimization Department's AML Business Analyst \- Data Scientist is responsible for tuning and optimization, develop AI/ML based AML solutions, capturing business requirements, assisting on the user acceptance testing of a variety of platforms including Actimize based AML monitoring models, as well as, various other AML, KYC, and Sanctions systems as required. Act as a Business/Systems Analyst, Specification Writer, Implementation Support Resource and Subject Matter Advisor, engaging a diverse set of Business groups (Compliance, Business, Risk, etc.) and Technology groups to deliver solutions for Financial Compliance/Regulatory Reporting needs.
 Candidate Success Factors:
 Candidates are measured on the following four performance drivers, which will dictate how individual impact is considered on the Americas platform:
* Results and Impact
+ Able to influence peers and team.
+ Demonstrates good judgement when making decisions of high complexity and impact.
+ Exercise appropriate autonomy in the execution and delivery of work.
+ Responsible for driving outcomes, which have meaningful effect on team or department.
* Leadership and Collaboration:
+ Creates trust with colleagues.
+ Acts in leadership capacity for projects, processes, or programs.
* Client, Customer and Stakeholder Focus:
+ Able to build relationships with a mix of colleagues and clients.
+ Interacts regularly with management and department leaders.
+ Demonstrates the ability to influence stakeholders at the team level.
* Compliance Culture and Conduct:
+ Takes full responsibility for personal actions and demonstrates courage in facing problems and conflicts.
+ Perceived as a person of high moral character; upholds corporate values and displays high ethical standards.
 Responsibilities:
* Perform statistical analysis to tune and optimize thresholds and alert scores for new model implementations and existing models including but not limited to negative testing, hypothesis testing, various regression analysis techniques, clustering analysis, tests for activity and behavior variances and other sensitivity and productivity analyses.
* Develop Artificial Intelligence/Machine learning based AML solutions and calibrate them on a regular interval.
* Make recommendations to improve AML monitoring by conceptualizing and developing new risk models or alternative mechanisms like reports and Operational\-Controls to address emerging trends and red flags and to mitigate potential risks arising from the use of existing ones used for transaction monitoring.
* Evaluate existing models and scenarios; conducting model and scenario tuning, optimization and validation.
* Rationalize and document business rules, thresholds, parameters and scoring methodology of the system.
* Conceptualize and develop new rules/models to address emerging trends and red flags.
* Partner with various teams within Compliance, Risk and IT globally for project implementation, to assess impact across the program (like Data Governance, Model Implementation, Red Flag Coverage Assessment, Reporting, Control\-Oversight, Policies, Procedures and Training) and to ensure consistency in AML processes without compromising on local coverage requirements.
* Ensure detailed and exhaustive testing of both data and display through UAT test plans, scenarios, scripts and procedures based on business requirements and/or functional specifications of various AML reports, platforms and systems (case management, negative news, etc.).
* Ensure that governance and control\-oversight framework (including RACI) are being adhered to in BAU tasks as well as ongoing projects (like changes and updates to systems, system modifications. lists updates and platform upgrades); propose and implement if the framework doesn’t exist.
 Minimum Required Qualifications:
* Bachelor’s degree (or beyond) with outstanding academic credentials
* 5 – 8 years of relevant industry experience
* Professional experience at a large financial institution or financial services data types
* Understanding of statistics, different distributions, hypothesis testing, regression etc.
* Self\-sufficiency in SQL (functions, procedures and packages)
* Data analytics and mining
* Excellent Analytical, oral and written communication skills—the ability to communicate with varied audiences and stakeholders (IT, senior management, etc.)
* Excellent interpersonal skills necessary to work effectively with colleagues
 Preferred Qualifications:
* AML Data Analytics/science professional that can apply data analysis and statistical modeling techniques to improve a business process and present recommendations, not just results, in a non\-technical, business\-friendly way for consideration by Compliance senior management stakeholders
* Experience with data visualization tools like Tableau, Spotfire, Qlikview, Power BI
* ACAMS certified
* Experience with AML transaction monitoring tools like Actimize, Mantas, Norkom etc.
* Good understanding of AML processes and relevant regulatory issues
* Must possess the ability to research and resolve issues independently while working across teams to acquire information
* Ability to manage multiple priorities and tasks with the skills to adapt to changes in a fast\-paced environment
 FINRA Registrations Required:
* Not Applicable
**CFTC Swap Dealer Associated Person (if yes, NFA Swaps Proficiency Program is required):**
* Not Applicable
 SEC Security\-Based Swap Dealer Associated Person:
* Not Applicable
 While the description above describes our ideal candidate, we encourage applicants to apply even if they do not fully meet the complete list of qualifications noted.
 The expected starting salary range for this position is between $120000 to $185000 annually. The actual salary may vary based upon several factors including, but not limited to, relevant skills/experience, time in role, base salary of internal peers, prior performance, business line, and geographic/office location.
 In addition, our comprehensive benefits package aims to support our employees in various aspects of their lives. From healthcare and wellness programs to retirement plans and childcare services, we prioritize the well\-being and growth of our employees. Our benefits include medical, dental and vision coverage, a 401(k) Savings Plan, backup childcare, life, accident and disability insurance, mental health support and paid time off. Additional details about our benefits offerings, inclusive of eligibility for a discretionary bonus, will be provided during the hiring process.
 About BNP Paribas:
 BNP Paribas is a leading bank in Europe with an international reach across the US, EMEA and APAC. It has a presence in 65 countries, with nearly 190,000 employees. The bank employs over 3,500 people in offices in the US across 10 states including New York, Jersey City, Chesterbrook, PA, San Francisco, Boston, Chicago, Denver, Miami, and Washington, DC. BNP Paribas has built a strong and diversified presence to support its client base. We continue to grow and strengthen our commitment to the US market through our Corporate \&amp; Institutional Banking activities. We are one of a few non\-US banks to offer a full value chain for our clients, from trading to financing, and clearing and custody in the US with the international footprint and capacity to deliver both globally and locally. Leveraging the strength of our European roots, our network can support clients in virtually every region of the world, enabling more connectivity and efficiency wherever our clients conduct business. We take pride in our expertise and our ability to adapt while constantly looking ahead to create a more sustainable world.
 As an international company with a global footprint, the unique cultures and viewpoints of our team members are an integral part of the fabric of BNP Paribas. We are a company with a purpose \- to be a responsible and sustainable global leader. We aim to create an environment where our employees feel empowered to drive change, make an impact and be true to themselves. We employ talented individuals from a wide variety of backgrounds, locally and globally, and are inspired by our employees who help us in cultivating a diverse, equitable and inclusive workplace through initiatives such as our Diversity, Equity \&amp; Inclusion (DEI) Leadership Forum and Employee Resource Group (ERG) communities. We strive to be a workplace where all team members can grow and thrive and offer robust training, development, and mentoring opportunities to make that vision a reality. Our leaders are deeply committed to DEI and highly accessible to our employees, consistently soliciting feedback on how we can continue to support our employees to reach their highest potential.
 BNP Paribas. The Bank for a Changing World \- https://usa.bnpparibas/en/homepage/join\-us/our\-opportunities/
 BNP Paribas is committed to providing a work environment that fosters diversity, inclusion, and equal employment opportunity without regard to race, color, gender, age, creed, sex, religion, national origin, disability (physical or mental), marital status, citizenship, ancestry, sexual orientation, gender identity and gender expression, or any other legally protected status.
 Protect yourself from fraudulent job postings. Emails about jobs at BNP Paribas will always come from addresses ending @bnpparibas.com @us.bnpparibas.com, @ca.bnpparibas.com, or @br.bnpparibas.com. You should be suspicious of emails regarding employment with BNP Paribas coming from any other domains and should not respond. BNP Paribas will never send payments to or request payments from candidates for positions posted by BNP Paribas.</t>
        </is>
      </c>
    </row>
    <row r="32">
      <c r="A32" t="inlineStr">
        <is>
          <t>li-4364014730</t>
        </is>
      </c>
      <c r="B32" t="inlineStr">
        <is>
          <t>Principal Applied Scientist, Kiro Science</t>
        </is>
      </c>
      <c r="C32" t="inlineStr">
        <is>
          <t>Amazon Web Services (AWS)</t>
        </is>
      </c>
      <c r="D32" t="inlineStr">
        <is>
          <t>linkedin</t>
        </is>
      </c>
      <c r="E32" t="inlineStr"/>
      <c r="F32" t="inlineStr"/>
      <c r="G32" t="inlineStr">
        <is>
          <t>New York, United States</t>
        </is>
      </c>
      <c r="H32" t="inlineStr"/>
      <c r="I32" t="inlineStr">
        <is>
          <t>**Description**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**Company** 
 \- Amazon Development Center U.S., Inc.
 Job ID: A3161064</t>
        </is>
      </c>
    </row>
    <row r="33">
      <c r="A33" t="inlineStr">
        <is>
          <t>li-4300118295</t>
        </is>
      </c>
      <c r="B33" t="inlineStr">
        <is>
          <t>Senior Applied Scientist, AWS Marketplace &amp; Partner Services</t>
        </is>
      </c>
      <c r="C33" t="inlineStr">
        <is>
          <t>Amazon Web Services (AWS)</t>
        </is>
      </c>
      <c r="D33" t="inlineStr">
        <is>
          <t>linkedin</t>
        </is>
      </c>
      <c r="E33" t="inlineStr"/>
      <c r="F33" t="inlineStr"/>
      <c r="G33" t="inlineStr">
        <is>
          <t>Austin, TX</t>
        </is>
      </c>
      <c r="H33" t="inlineStr"/>
      <c r="I33" t="inlineStr">
        <is>
          <t>**Description**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**Basic Qualifications**
* 3\+ years of building machine learning models or developing algorithms for business application experience
* Experience programming in Java, C\+\+, Python or related language
**Preferred Qualifications**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A3082145</t>
        </is>
      </c>
    </row>
    <row r="34">
      <c r="A34" t="inlineStr">
        <is>
          <t>li-4378288757</t>
        </is>
      </c>
      <c r="B34" t="inlineStr">
        <is>
          <t>Senior Data Scientist - Social Analytics</t>
        </is>
      </c>
      <c r="C34" t="inlineStr">
        <is>
          <t>Jobs via Dice</t>
        </is>
      </c>
      <c r="D34" t="inlineStr">
        <is>
          <t>linkedin</t>
        </is>
      </c>
      <c r="E34" t="inlineStr"/>
      <c r="F34" t="inlineStr"/>
      <c r="G34" t="inlineStr">
        <is>
          <t>Redmond, WA</t>
        </is>
      </c>
      <c r="H34" t="inlineStr"/>
      <c r="I34" t="inlineStr">
        <is>
          <t>**Overview**
 We're building a
 **Frontier Marketing** 
 organization that learns fast and executes with precision and agility through AI\-powered insights. Our
 **Marketing Analytics** 
 team builds AI and advanced analytics models that enable us to create intelligent tools that empower marketers with the data\-driven insights they need to optimize marketing impact and deliver rich recommendations for sellers to drive opportunities in their accounts. To accelerate this transformation to Frontier marketing, we are looking for a
 **Data Scientist \- Social Analytics** 
 who is excited to work with largescale social and behavioral data and apply analytical and social network techniques to real business problems. This role is designed for an individual contributor who can independently execute well\-scoped analytical problems, apply established methods, and deliver insights that inform marketing and communications decisions, with guidance from senior data scientists.
 You are a curious data scientist who enjoys working with complex, noisy data and uncovering patterns in how people and communities interact. You are comfortable applying analytical techniques to social and behavioral datasets and are eager to deepen your skills in social network analysis, experimentation, and storytelling with data.
 You thrive in a collaborative, matrixed environment and enjoy partnering with analysts, data scientists, and business stakeholders. While you benefit from guidance on problem framing and approach, you can take ownership of execution, manage your work, and deliver high\-quality analyses that drive impact.
 You care about rigor and clarity, and you're motivated by turning fast moving social data into insights that help teams make better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Own and deliver complex social analytics problem spaces end\-to\-end, leveraging strong analytic judgement while framing ambiguous business questions into clear analytical objectives and success measures
 Apply advanced social network analysis methods (graph analytics, community detection, influence/diffusion modeling) and statistical techniques to understand engagement, behavior, and diffusion patterns to develop actionable insights
 Evaluate and extract insights from noisy, large\-scale and unstructured data, developing new methods to improve analytical quality and relevance
 Collaborate with analysts and partners to translate data science solutions into scalable, self\-serve analytics experiences
 Drive execution independently, with minimal guidance, identifying key risks, dependencies, and trade\-offs to ensure timely, high\-impact delivery.
 Partner directly with marketing, public relations, and product stakeholders to translate business questions into data science approaches, influencing decisions through explaining trade\-offs and implications of data science results
 Communicate complex findings clearly through narratives, visualizations, and executive\-ready materials, translating technical results into business terms and clear recommendations
 Serve as a technical thought leader and mentor across the team by setting high standards for data science quality, documentation and reproducibility, raising the overall bar for rigor and creativity.
**Qualifications**
**Required/minimum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3\+ years of experience ingesting, cleaning, and analyzing largescale social media data, including unstructured and semi\-structured signals (e.g., posts, comments, engagement metadata), with attention to data quality, bias, and analytical fitness for use.
* 3\+ years of experience applying social network analysis algorithms including community detection, centrality metrics, influence propagation models, graph\-based clustering methods.
* 3\+ years of experience applying statistical or machine learning techniques to social or behavioral analytics problems.
* 3\+ years of experience with advanced visualization techniques for social analytics and tools such as PowerBI.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5">
      <c r="A35" t="inlineStr">
        <is>
          <t>li-4370032685</t>
        </is>
      </c>
      <c r="B35" t="inlineStr">
        <is>
          <t>Staff Data Scientist</t>
        </is>
      </c>
      <c r="C35" t="inlineStr">
        <is>
          <t>CSC Generation</t>
        </is>
      </c>
      <c r="D35" t="inlineStr">
        <is>
          <t>linkedin</t>
        </is>
      </c>
      <c r="E35" t="inlineStr"/>
      <c r="F35" t="inlineStr"/>
      <c r="G35" t="inlineStr"/>
      <c r="H35" t="inlineStr"/>
      <c r="I35" t="inlineStr">
        <is>
          <t>CSC Generation is the AI\-native holding company re\-engineering omni\-channel retail. We acquire iconic brands and transform them with Genesis—our operating platform unifying a Data Fabric, Automation Engine, proprietary tools, and shared services—to modernize operations, elevate customer experience, and expand margins.
 With $1B\+ in revenue across 13 brands, our portfolio includes Sur La Table, Backcountry, One Kings Lane, and more—premier home and outdoor banners that double as real\-world innovation hubs. CSC Generation continues to grow through M\&amp;A, revitalizing companies with strong brand recognition and loyal customers.
 We are looking for a
 **Staff Data Scientist** 
 to lead the development of production\-grade machine learning solutions that drive measurable business impact.
 This is a
 **senior individual contributor role** 
 requiring deep technical expertise, independent judgment, and the ability to influence cross\-functional teams. You will own complex, ambiguous problems end\-to\-end, from problem framing through deployment and iteration.
**Key Responsibilities – Technical Leadership:**
* Lead the design and development of ML systems that solve complex, ambiguous business problems
* Make sound technical decisions on model architecture, evaluation methodology, and tradeoffs
* Set standards for model validation, testing, and monitoring across the team
* Identify when "good enough" is appropriate vs. when deeper investment is warranted
* Debug and troubleshoot models that fail in production \- understand why they fail, not just that they fail
**Key Responsibilities – End\-to\-End Model Development \&amp; Evaluation:**
* Frame business problems as well\-defined ML tasks with clear success criteria
* Build robust predictive models (classification, regression, time series, causal inference)
* Implement rigorous train/validation/test methodology to ensure real\-world generalization
* Identify and prevent data leakage, overfitting, and other failure modes before they reach production
* Define metrics that align model performance with actual business outcomes
* Conduct holdout testing on true out\-of\-sample data \- recognize when CV metrics are misleading
* Design and analyze experiments to measure causal impact
* Communicate model limitations, uncertainty, and risk to technical and non\-technical stakeholders
**Key Responsibilities – Influence \&amp; Collaboration:**
* Partner with product, engineering, and business teams to ensure ML solutions solve real problems
* Translate complex technical concepts into actionable recommendations for stakeholders
* Contribute to hiring and technical interviews
**Required Qualifications:**
* MS in a quantitative field (Statistics, Computer Science, Operations Research or related discipline)
* 7\+ years applied ML / data science experience
* Expert\-level proficiency in Python / R, and SQL
* Familiarity with cloud data \&amp; ML platforms (GCP/Vertex AI, AWS/SageMaker)
* Proven track record of building production ML systems that delivered measurable business impact
* Deep understanding of model evaluation methodology, experimental design, and causal inference
* Ability to work with messy, incomplete, real\-world data and make pragmatic tradeoffs
* Strong communication and influence skills
* Self\-directed and autonomous
**Preferred Qualifications:**
* Hands\-on experience in e\-commerce retail and pricing
* PhD in a quantitative field
* Track record of mentoring junior data scientists and leading technical projects
**What We're NOT Looking For**
* Someone who only knows how to call .fit() and .predict() without understanding the underlying mechanics
* Someone who builds black\-box models they can't explain, debug, or defend
* Someone who needs detailed instructions or hand\-holding for ambiguous problems
* Someone who over\-engineers solutions when a simple approach would suffice
 For US\-based candidates, this posting is intended for candidates that reside in the following states:
 AZ, DE, FL, GA, IN, LA, MI, MS, MO, NV, NC, OK, PA, TN, TX, UT, WV, WI, and WY.
 Our preference is for candidates who reside near our hubs in Northwest Indiana, Austin, Texas, and Toronto, Ontario.
 Washington state applicants only: If you believe that this job posting does not comply with applicable Washington state law, please notify us by sending an email to \[email protected] .
 The CSC family of brands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provincial,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Washington state applicants only: If you believe that this job posting does not comply with applicable Washington state law, please notify us by sending an email to \[email protected] .
 It is unlawful in Massachusetts to require or administer a lie\-detector test as a condition of employment or continued employment. An employer who violates this law shall be subject to criminal penalties and civil liability.
 The CSC family of brands is committed to providing reasonable accommodations for qualified individuals with disabilities in our job application procedures. If you need assistance or an accommodation due to a disability, please contact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
      <c r="A36" t="inlineStr">
        <is>
          <t>li-4378298717</t>
        </is>
      </c>
      <c r="B36" t="inlineStr">
        <is>
          <t>Data Scientist - Social Analytics</t>
        </is>
      </c>
      <c r="C36" t="inlineStr">
        <is>
          <t>Jobs via Dice</t>
        </is>
      </c>
      <c r="D36" t="inlineStr">
        <is>
          <t>linkedin</t>
        </is>
      </c>
      <c r="E36" t="inlineStr"/>
      <c r="F36" t="inlineStr"/>
      <c r="G36" t="inlineStr">
        <is>
          <t>Redmond, WA</t>
        </is>
      </c>
      <c r="H36" t="inlineStr"/>
      <c r="I36" t="inlineStr">
        <is>
          <t>**Overview**
 We're building a
 **Frontier Marketing** 
 organization that learns fast and executes with precision and agility through AI\-powered insights. Our
 **Marketing Analytics** 
 team builds AI and advanced analytics models that enable us to create intelligent tools that empower marketers with the data\-driven insights they need to optimize marketing impact and deliver rich recommendations for sellers to drive opportunities in their accounts. To accelerate this transformation to Frontier marketing, we are looking for a
 **Data Scientist \- Social Analytics** 
 who is excited to work with largescale social and behavioral data and apply analytical and social network techniques to real business problems. This role is designed for an individual contributor who can independently execute well\-scoped analytical problems, apply established methods, and deliver insights that inform marketing and communications decisions, with guidance from senior data scientists.
 You are a curious data scientist who enjoys working with complex, noisy data and uncovering patterns in how people and communities interact. You are comfortable applying analytical techniques to social and behavioral datasets and are eager to deepen your skills in social network analysis, experimentation, and storytelling with data.
 You thrive in a collaborative, matrixed environment and enjoy partnering with analysts, data scientists, and business stakeholders. While you benefit from guidance on problem framing and approach, you can take ownership of execution, manage your work, and deliver high\-quality analyses that drive impact.
 You care about rigor and clarity, and you're motivated by turning fast moving social data into insights that help teams make better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Execute well\-defined social analytics projects, translating business questions into analytical approaches with guidance from senior data scientists
* Apply social analytics and social network analysis techniques (e.g., graph analytics, community detection, centrality analysis, influence or diffusion concepts) to understand engagement and behavioral patterns
* Analyze large\-scale, noisy, and unstructured social media data, contributing to incremental improvements in data quality, feature engineering, and analytical relevance
* Develop analytical outputs, metrics, and visualizations that support marketing, public relations, and product decision\-making
* Collaborate with analysts and senior data scientists to contribute to scalable and self\-serve analytics solutions
* Communicate findings clearly through written summaries, presentations, and visualizations, translating technical results into business\-friendly insights
* Follow established best practices for data science quality, documentation, and reproducibility, and contribute to shared team standards and learnings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1\+ years of experience ingesting, cleaning, and analyzing large\-scale social media data, including unstructured and semi\-structured signals (e.g., posts, comments, engagement metadata), with attention to data quality, bias, and analytical fitness for use
* 1\+ years of experience with social network analysis algorithms including community detection, centrality metrics, influence propagation models, graph\-based clustering methods
* 1\+ years of experience applying statistical or machine learning techniques to social or behavioral analytics problems
* 1\+ years of experience with advanced visualization techniques for social analytics and tools such as PowerBI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
      <c r="A37" t="inlineStr">
        <is>
          <t>li-4297313562</t>
        </is>
      </c>
      <c r="B37" t="inlineStr">
        <is>
          <t>AI/ML Scientist II</t>
        </is>
      </c>
      <c r="C37" t="inlineStr">
        <is>
          <t>Dentsply Sirona</t>
        </is>
      </c>
      <c r="D37" t="inlineStr">
        <is>
          <t>linkedin</t>
        </is>
      </c>
      <c r="E37" t="inlineStr"/>
      <c r="F37" t="inlineStr"/>
      <c r="G37" t="inlineStr">
        <is>
          <t>Waltham, MA</t>
        </is>
      </c>
      <c r="H37" t="inlineStr"/>
      <c r="I37" t="inlineStr">
        <is>
          <t>Dentsply Sirona is the world’s largest manufacturer of professional dental products and technologies, with a 130\-year history of innovation and service to the dental industry and patients worldwide. Dentsply Sirona develops, manufactures, and markets a comprehensive solutions offering including dental and oral health products as well as other consumable medical devices under a strong portfolio of world class brands. Dentsply Sirona’s products provide innovative, high\-quality and effective solutions to advance patient care and deliver better and safer dentistry. Dentsply Sirona’s global headquarters is located in Charlotte, North Carolina. The company’s shares are listed in the United States on NASDAQ under the symbol XRAY.
**Bringing out the best in people**
 As advanced as dentistry is today, we are dedicated to making it even better. Our people have a passion for innovation and are committed to applying it to improve dental care. We live and breathe high performance, working as one global team, bringing out the best in each other for the benefit of dental patients, and the professionals who serve them. If you want to grow and develop as a part of a team that is shaping an industry, then we’re looking for the best to join us.
**Working At Dentsply Sirona You Are Able To**
**Develop faster** 
 \- with our commitment to the best professional development.
**Perform better** 
 \- as part of a high\-performance, empowering culture.
**Shape an industry** 
 \- with a market leader that continues to drive innovation.
**Make a difference** 
 \-by helping improve oral health worldwide.
 Dentsply Sirona is looking for a scientist with AI product development experience. The candidate will join a team working on cutting edge applications of machine learning (ML) and AI. They will work on applying the forefront of AI research to Dentsply Sirona’s medical applications. Candidates will get to create novel products for customers of Dentsply Sirona’s cloud\-based platform and help further our mission – To transform dentistry and improve oral health globally.
 This is a hybrid position which requires working in the Waltham,MA office at least one day per week.
**Primary Job Responsibilities**
* Investigate applying new AI research to areas such as 3D medical image analysis, 3D reconstruction, AI treatment planning and other topics
* Work independently on AI tasks
* Contributes to the development of machine learning models
* Gather and prepare data for projects and clinical studies
* Conduct literature reviews and implement algorithms and frameworks
* Test and validate models
* Communicate progress and findings within the team
* Contribute to technical discussions
* Clearly communicates research findings and ideas to peers, both verbally and in writing
* Follow the current state\-of\-the\-art technology (literature surveys, or attends conferences)
**Education**
* Master's degree or PhD in Computer Science or equivalent
**Years And Type Of Experience**
* 2 to 4 years of experience with a Masters or 0 to 3 years of experience with a PhD in applying AI and machine learning algorithms to real\-world problems
* Experience with complex technical projects across teams
* Proficiency in machine learning concepts, programming and data analysis
* Experience in 3D medical image analysis is a plus
* Experience in medical device development is a plus
**Key Skills, Knowledge \&amp; Capabilities**
* Excellent written, verbal presentation, and communication skills
* Experience working in a global team
* Experience in working in the cloud
* Experience in one of the ML model development libraries: TensorFlow, PyTorch, scikit\-learn, etc.
 The base salary for this role located in Massachusetts is between $115,000 \- $130,000\. Actual compensation is influenced by a wide array of factors including but not limited to skill set, level of experience, and specific office location.
 Dentsply Sirona is an Equal Opportunity/ Affirmative Action employer. All qualified applicants will receive consideration for employment without regard to race, color, religion, sex, national origin, age, sexual orientation, disability, or protected Veteran status. We appreciate your interest in Dentsply Sirona.
 If you need assistance with completing the online application due to a disability, please send an accommodation request to careers@dentsplysirona.com. Please be sure to include “Accommodation Request” in the subject.
**For California Residents**
 We may collect the following categories of personal information in connection with the submission of your resume or application materials to us for employment, and if hired, your employment with us: identifiers (e.g., name, address, email address, birthdate); personal records (e.g., telephone number, signature, education information, criminal background information, passport number and visa information); consumer characteristics (e.g., sex, marital status, veteran status, race, disability, sexual orientation); professional or employment information (e.g., resume, cover letter, employment history, background check forms, references, certifications, transcripts and languages spoken); and inferences from personal information collected (e.g., a profile reflecting abilities and aptitudes).
 The above categories of personal information are collected for the following business purposes: performing recruitment and hiring services; processing interactions and transactions (e.g., to comply with federal and state laws requiring us to maintain certain records, managing the workforce); and security (e.g., detecting security incidents, protecting against fraudulent or illegal activity).
 For additional details and questions, contact us at careers@dentsplysirona.com</t>
        </is>
      </c>
    </row>
    <row r="38">
      <c r="A38" t="inlineStr">
        <is>
          <t>li-4379571785</t>
        </is>
      </c>
      <c r="B38" t="inlineStr">
        <is>
          <t>Data Scientist</t>
        </is>
      </c>
      <c r="C38" t="inlineStr">
        <is>
          <t>Best Job Tool</t>
        </is>
      </c>
      <c r="D38" t="inlineStr">
        <is>
          <t>linkedin</t>
        </is>
      </c>
      <c r="E38" t="inlineStr"/>
      <c r="F38" t="inlineStr"/>
      <c r="G38" t="inlineStr"/>
      <c r="H38" t="inlineStr"/>
      <c r="I38" t="inlineStr">
        <is>
          <t>**About The Company**
 Jobot is a leading organization committed to leveraging innovative technology solutions to drive enterprise growth and operational excellence. With a strong presence across multiple industries, Jobot specializes in harnessing advanced data analytics, artificial intelligence, and machine learning to deliver measurable value to its clients. The company prides itself on fostering an inclusive and diverse work environment that encourages collaboration, continuous learning, and professional development. As a reputable employer, Jobot emphasizes integrity, innovation, and a customer\-centric approach in all its endeavors, making it an ideal place for talented professionals seeking impactful careers in the tech and analytics space.
**About The Role**
 The position of Raw Data Wrangling \- Advanced Analytics at Jobot is a critical role designed for a skilled Data Scientist with expertise in managing and transforming large datasets to facilitate sophisticated analysis and modeling. This onsite role, based in The Woodlands, requires a dedicated professional who can work four days a week in a dynamic environment. The successful candidate will play a vital part in ingesting, cleaning, and organizing vast volumes of data from diverse sources, enabling the organization to make data\-driven decisions at an enterprise level. The role offers a competitive salary range of $110,000 to $125,000 annually, along with stock options and performance bonuses, reflecting the company's commitment to rewarding talent and dedication.
**Qualifications**
 The ideal candidate should possess a strong educational background in Data Science, Computer Science, Statistics, or a related field. Proven experience in data wrangling, advanced analytics, and machine learning is essential. Proficiency in programming languages such as Python and Spark/PySpark is required, along with expertise in SQL, MySQL, and SparkSQL for efficient data querying and manipulation. Familiarity with data visualization tools like Tableau and Databricks is highly desirable. Knowledge of cloud platforms, particularly AWS Glue, will be advantageous. Candidates should also have experience applying statistical models such as Linear Regression, Generalized Linear Models (GLM), and Random Forest algorithms. Experience with Generative AI (GenAI) and Large Language Models (LLMs) is a plus. Strong problem\-solving skills, attention to detail, and the ability to work collaboratively within a team are critical for success in this role.
**Responsibilities**
 The Data Scientist will be responsible for ingesting, cleaning, and transforming large datasets from multiple sources to enable advanced analytics and machine learning applications. This includes designing and implementing data pipelines using Python, Spark, and AWS Glue, ensuring data quality and consistency. The role involves developing and deploying predictive models such as Linear Regression, GLMs, and Random Forests to identify patterns and generate insights that support strategic decision\-making. The candidate will collaborate with engineering and business teams to understand data requirements and translate them into actionable analytics solutions. Creating interactive dashboards and visualizations using Tableau to communicate findings effectively is also part of the responsibilities. Additionally, the Data Scientist will stay abreast of emerging AI and machine learning technologies, integrating innovative solutions like GenAI and LLMs to enhance analytical capabilities. Maintaining documentation, adhering to data governance standards, and ensuring compliance with company policies are integral aspects of this role.
**Benefits**
 Jobot offers a comprehensive benefits package designed to support the health, well\-being, and professional growth of its employees. Benefits include competitive salary packages, stock options, and performance\-based bonuses. The company provides health insurance coverage, including medical, dental, and vision plans, along with retirement savings options. Employees have access to ongoing training and development programs to enhance their skills and career progression. The organization promotes a flexible work environment, encouraging work\-life balance through supportive policies. Additionally, employees enjoy a collaborative and inclusive workplace culture that values diversity and innovation. Opportunities for advancement within the company are plentiful, supported by mentorship programs and leadership development initiatives.
 Equal Opportunity
 Jobot is an Equal Opportunity Employer committed to fostering an inclusive environment for all employees and applicants. The company values diversity and does not discriminate based on race, color, sex, sexual orientation, gender identity, religion, national origin, age (40 and over), disability, military status, genetic information, or any other protected characteristic under applicable federal, state, or local laws. Jobot prohibits harassment or discrimination of any kind and ensures all qualified candidates receive fair consideration for employment. The organization complies with all relevant laws regarding employment practices and background checks, considering qualified candidates with criminal histories in accordance with applicable regulations. By applying for this position, you acknowledge and agree to the company's policies on equal opportunity and privacy.</t>
        </is>
      </c>
    </row>
    <row r="39">
      <c r="A39" t="inlineStr">
        <is>
          <t>li-4376662150</t>
        </is>
      </c>
      <c r="B39" t="inlineStr">
        <is>
          <t>Data Scientist</t>
        </is>
      </c>
      <c r="C39" t="inlineStr">
        <is>
          <t>PT Phoenix Resources International</t>
        </is>
      </c>
      <c r="D39" t="inlineStr">
        <is>
          <t>linkedin</t>
        </is>
      </c>
      <c r="E39" t="inlineStr"/>
      <c r="F39" t="inlineStr"/>
      <c r="G39" t="inlineStr"/>
      <c r="H39" t="inlineStr"/>
      <c r="I39" t="inlineStr">
        <is>
          <t>📌 Data Scientist
 Job Overview
 We are looking for a highly analytical and innovative Data Scientist to leverage data to drive strategic business decisions. This role involves building predictive models, conducting advanced statistical analysis, and translating complex datasets into actionable insights that improve performance and product outcomes.
* Key Responsibilities
 Analyze structured and unstructured datasets to uncover trends and patterns
* Develop, validate, and deploy machine learning models
* Design experiments and A/B tests to evaluate business hypotheses
* Perform statistical analysis and data mining
* Collaborate with cross\-functional teams to solve business problems
* Communicate insights through dashboards, reports, and presentations
* Improve data quality and optimize analytical processes
* Stay updated on the latest advancements in data science and AI
* Requirements
 Bachelor’s or Master’s degree in Data Science, Statistics, Computer Science, Mathematics, or related field
* Strong proficiency in Python or R
* Solid understanding of statistics, probability, and machine learning algorithms
* Experience with SQL and data querying
* Experience with data visualization tools (Tableau, Power BI, etc.)
* Strong problem\-solving and analytical thinking skills
* Good communication skills to present complex findings clearly
* Nice to Have (Optional)
 Experience with deep learning frameworks (TensorFlow, PyTorch)
* Familiarity with big data technologies (Spark, Hadoop)
* Experience with cloud platforms (AWS, GCP, Azure)
* Knowledge of MLOps and model deployment workflows
* What We Offer
 Opportunity to work on impactful, data\-driven projects
* Collaborative and innovation\-focused environment
* Competitive compensation and career growth opportunities
* Access to modern tools and large\-scale datasets</t>
        </is>
      </c>
    </row>
    <row r="40">
      <c r="A40" t="inlineStr">
        <is>
          <t>li-4378437899</t>
        </is>
      </c>
      <c r="B40" t="inlineStr">
        <is>
          <t>AI Data Scientist</t>
        </is>
      </c>
      <c r="C40" t="inlineStr">
        <is>
          <t>FetchJobs.co</t>
        </is>
      </c>
      <c r="D40" t="inlineStr">
        <is>
          <t>linkedin</t>
        </is>
      </c>
      <c r="E40" t="inlineStr"/>
      <c r="F40" t="inlineStr"/>
      <c r="G40" t="inlineStr"/>
      <c r="H40" t="inlineStr"/>
      <c r="I40" t="inlineStr">
        <is>
          <t>**About The Company**
 Jazz Pharmaceuticals is a global biopharmaceutical company dedicated to transforming the lives of patients and their families through innovative medical solutions. Headquartered in Dublin, Ireland, the company specializes in developing and commercializing medicines for serious and complex diseases, often with limited or no existing therapeutic options. With a diverse portfolio that includes leading therapies for sleep disorders, epilepsy, and an expanding range of oncology treatments, Jazz Pharmaceuticals is committed to advancing science\-driven research and development. The organization operates research and development laboratories, manufacturing facilities, and employs a talented workforce across multiple countries, all focused on delivering impactful healthcare solutions worldwide. For more information, please visit our official website.
**About The Role**
 The Principal AI Data Scientist at Jazz Pharmaceuticals will play a pivotal role in supporting the design, development, and implementation of cutting\-edge artificial intelligence (AI), machine learning (ML), and Generative AI (GenAI) solutions. This position focuses on enhancing clinical trial execution and digital healthcare initiatives within Jazz’s Research and Development division. The successful candidate will collaborate with cross\-functional teams to leverage healthcare data sources, including clinical trials, electronic health records, wearable devices, and patient\-reported outcomes, to create predictive and generative models that drive innovation and improve patient outcomes. This role requires a strategic thinker with strong technical expertise and the ability to translate complex AI solutions into tangible business value, ensuring compliance with regulatory standards and data privacy regulations.
**Qualifications**
 The ideal candidate will possess an advanced degree (MS or PhD) in Data Science, Computer Science, Biostatistics, or a related field, with three to five years of relevant professional experience. At least one year of experience applying AI/ML techniques specifically within healthcare or clinical research environments is preferred. Demonstrated expertise in programming languages such as Python or R, along with proficiency in modern ML frameworks like PyTorch and TensorFlow, is essential. Knowledge of generative AI technologies, including large language models (LLMs), natural language processing (NLP), and their applications in medical text analysis, is highly desirable. Familiarity with digital healthcare tools design and development, cloud\-based platforms such as AWS, code version control, and MLOps deployment approaches will be advantageous. Candidates should have excellent stakeholder management skills, the ability to understand healthcare challenges, and adapt AI solutions accordingly.
**Responsibilities**
* Support the development and deployment of AI, ML, and GenAI solutions aimed at optimizing clinical trial operations, including patient recruitment, retention, real\-time data monitoring, and automated data collection systems.
* Lead the creation of GenAI applications for automating clinical trial documentation, such as medical reports, protocols, clinical study reports, and patient narratives.
* Design and implement digital healthcare applications that serve as medical and scientific tools, explore real\-world evidence (RWE) generation, and enhance patient engagement strategies.
* Develop predictive models and generative AI solutions utilizing diverse healthcare datasets, including electronic health records, wearable device data, and patient\-reported outcomes.
* Collaborate with clinical operations, data science, medical affairs, RWE teams, and patient groups to identify challenges and deliver AI\-driven solutions that add value.
* Ensure all AI initiatives comply with regulatory standards and data privacy regulations, maintaining ethical and legal standards.
* Foster knowledge sharing within the Jazz Data Science community and across the broader Research and Development teams to promote best practices and innovative thinking.
**Benefits**
 Jazz Pharmaceuticals offers a comprehensive benefits package designed to support the health, well\-being, and professional development of our employees. Successful candidates will have access to medical, dental, and vision insurance plans, a retirement savings program, and flexible paid vacation policies. We also provide opportunities for continuous learning and career growth through training programs and development initiatives. Our work environment encourages collaboration, innovation, and inclusion, ensuring employees feel valued and empowered to contribute to meaningful healthcare advancements.
 Equal Opportunity
 Jazz Pharmaceuticals is an equal opportunity and affirmative action employer. We are committed to creating a diverse and inclusive workplace where all qualified applicants receive consideration for employment without regard to race, color, religion, sex, national origin, disability status, protected veteran status, or any other characteristic protected by law. We believe that diverse perspectives foster innovation and drive our mission to improve patient lives worldwide.</t>
        </is>
      </c>
    </row>
    <row r="41">
      <c r="A41" t="inlineStr">
        <is>
          <t>li-4379715156</t>
        </is>
      </c>
      <c r="B41" t="inlineStr">
        <is>
          <t>Sr. Data Scientist, Commercial Analytics</t>
        </is>
      </c>
      <c r="C41" t="inlineStr">
        <is>
          <t>Cedar</t>
        </is>
      </c>
      <c r="D41" t="inlineStr">
        <is>
          <t>linkedin</t>
        </is>
      </c>
      <c r="E41" t="inlineStr"/>
      <c r="F41" t="inlineStr"/>
      <c r="G41" t="inlineStr"/>
      <c r="H41" t="inlineStr"/>
      <c r="I41"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**Background:** 
 Cedar is a patient payment and engagement platform that leverages data science, consumer\-centric design and technology to improve the healthcare experience for patients. The Data Science team plays a critical role in achieving Cedar's vision. We ensure data and insights are accessible and trusted by all internal and external stakeholders to enable data\-driven decision\-making. Through analytics, descriptive analyses, and statistical models, we consistently aim to better understand patients' needs, identify improvement opportunities, and influence the product development process. We run experiments to test our various hypotheses and measure our progress. We build ML models and embed them into our web app to deliver a personalized patient experience.
 To do this, we have built an open, supportive, and collaborative team culture. "Love thy teammate" is one of our Data Science values, and we live into this value by operating from a mindset of curiosity, possibility, and the best intentions of each of our team members. As a team, we are dedicated to continually growing our technical excellence and collaborative excellence equally.
 We are also not doing this alone; we partner with the other Makers teams (Product, Engineering, Design, and User Research) to grow our impact. We also work with Commercial teams to evangelize our vision to clients and get market feedback on which pain points are the most urgent to solve.
**The Role:** 
 We're seeking a Senior Data Scientist to join our Commercial Analytics team and lead the development of an internal agentic intelligence product— Cedar's next\-generation analytics platform that transforms how health systems understand and optimize their revenue cycle operations. The Commercial Analytics team's goal is to enable our internal and external clients to understand, appreciate, and extract the maximum value from their Cedar relationships and products. The team's ambition is to satisfy and delight Cedar's clients through access to data and insights that:
* Help them build trust in Cedar's products and recognize the value they deliver
* Empower them to take advantage of Cedar's varying features and levers to maximize value
* Enable them to proactively identify and resolve revenue cycle issues before they become costly problems
 Today, health systems rely on static dashboards and manual analyst support to answer even routine questions about collection rates, payment plan defaults, and AR aging. We're building a platform that changes that — one where clients and internal teams can ask questions in natural language, receive instant answers with automated root cause analysis, and take action the same day. This role sits at the center of that build.
 As a Senior Data Scientist, you will be viewed as a force multiplier for your squad, displaying leadership and beginning to have an impact beyond your own tasks. You will lead squad\-level projects, mentor junior team members, and drive decision\-making within your team. You will develop deep expertise in Cedar's data ecosystem and Revenue Cycle Management domain, translating complex business problems into scalable analytics products that serve Cedar's client base.
**Key Responsibilities:** 
* Architect and build the decoupled semantic layer that powers RCM Intelligence — extracting metric definitions into a queryable format (MetricFlow/dbt Semantic Layer) that serves dashboards, natural language queries, and agentic systems from a single source of truth
* Design and develop metric frameworks and root cause analysis capabilities, including metric trees that decompose performance changes (e.g., why did metric X drop?) into their contributing factors — enabling clients and internal technical teams to self\-serve answers that today require hours of analyst work
* Execute ambiguous, complex projects independently, proactively asking for help when needed, and translating client needs into structured analytical solutions
* Lead and execute sophisticated ad\-hoc analyses using Python and SQL, then translate findings into scalable, parameterized data products that serve all clients rather than being rebuilt one\-off
* Develop and optimize production data pipelines in dbt, ensuring consistent metric definitions and data quality across Cedar's Bronze → Silver → Gold architecture
* Serve as a thought partner to Technical Account Managers and Client Managers, using internal data products to surface proactive insights that strengthen client relationships and reduce reactive fire drills
* Partner with Data Engineers to implement robust infrastructure that supports the platform's analytical requirements and ensures scalability
* Present and communicate platform capabilities, analytical findings, and methodology to commercial stakeholders and clients — translating technical concepts for non\-technical audiences
* Identify and advocate for opportunities to enhance Revenue Cycle Management Intelligence's impact, including features that reduce manual analyst work and increase client self\-service
**Skills and Experience:** 
* 5–7\+ years of experience in analytical roles with demonstrated impact on business outcomes, preferably in healthcare, fintech, or B2B SaaS
* Deep proficiency in SQL and dbt, including production pipeline development and semantic layer modeling — experience with MetricFlow or dbt Semantic Layer a strong plus
* Experience building client\-facing analytics products or BI tools, particularly those requiring parameterization across different client configurations
* Proficiency in Python for data analysis, notebook\-based exploration, and analytical prototyping
* Ability to translate complex business problems and domain requirements into structured analytical approaches and scalable data products
* Strong presentation and communication skills, with the ability to influence decision\-making and articulate technical concepts to diverse audiences
* Analytical ability and understanding of statistical methods for measuring business impact
* Experience decomposing ambiguous problems and executing solutions independently with a proactive, ownership\-driven mindset
* Familiarity with NLP, agentic analytics, or LLM\-powered BI tools (e.g., natural language querying, automated root cause analysis) is a plus
* Experience with modern agentic or AI\-native BI platforms (e.g., Omni, Lightdash, Hex, or similar) in a production analytics environment is a plus
* Experience mentoring junior team members is a plus
* Knowledge of healthcare revenue cycle management — AR aging, payment plans, collections, patient financial experience — is a plus
* Experience with Snowflake or cloud data warehouse environments in a production setting is a plus
**Compensation Range and Benefits** 
* Salary/Hourly Rate Range\*: $178,500 \- $210,000
* This role is equity eligible
* This role offers a competitive benefits and wellness package
 \*Subject to location, experience, and education
*CR1*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42">
      <c r="A42" t="inlineStr">
        <is>
          <t>li-4379582571</t>
        </is>
      </c>
      <c r="B42" t="inlineStr">
        <is>
          <t>Data Scientist</t>
        </is>
      </c>
      <c r="C42" t="inlineStr">
        <is>
          <t>Michigan Medicine</t>
        </is>
      </c>
      <c r="D42" t="inlineStr">
        <is>
          <t>linkedin</t>
        </is>
      </c>
      <c r="E42" t="inlineStr"/>
      <c r="F42" t="inlineStr"/>
      <c r="G42" t="inlineStr">
        <is>
          <t>Ann Arbor, MI</t>
        </is>
      </c>
      <c r="H42" t="inlineStr"/>
      <c r="I42"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BMC2 is a collaborative consortium dedicated to improving the quality of care and outcomes in patients who undergo cardiovascular procedures across the State of Michigan. BMC2 is developing a new heart failure registry, which will take a population health\-based approach to measuring outcomes and improving quality of care for patients with heart failure. The new registry will bring together diverse stakeholders including patients, specialists, primary care physicians, and pharmacists. Support for BMC2 is provided by Blue Cross and Blue Shield of Michigan and Blue Care Network as part of the BCBSM Value Partnerships Program.
 We seek a Data Architect Lead (Data Scientist) to drive the design and optimization of our registrys data infrastructure, analytics, and reporting capabilities. This is a unique opportunity to blend data science, architecture, and biomedical expertise in a collaborative and mission\-driven environment.
 Under limited direction, the Data Scientist will design and construct relational databases for data warehousing of the new BMC2 Heart Failure Registry. This role will develop data modeling and is responsible for data acquisition; access analysis and design; and archive, recovery, and load strategy design. Working with the BMC2 senior programming team, the Data Scientist will be responsible for designing and deploying a new model for data flow and ensuring its alignment with overarching quality goals.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Designs and leads development of the data model and infrastructure, with a focus on scalable, secure, and interoperable solutions.
* Designs advanced workflows for extracting, transforming, and loading (ETL) clinical data utilizing FHIR protocols?to capture core clinical variables across heterogeneous EHR systems.
* Ensures seamless integration of new data sources with existing warehouse structures and optimizes data pipelines for high performance and functionality.
* Establishes rigorous processes for data acquisition, validation, integration, and storage from multiple sites, ensuring data harmonization across varied clinical systems.
* Applies sophisticated machine learning and predictive analytics methods to generate actionable insights and support population health management.
* Plan, conduct and supervise assignments involving multiple or one project.
* Review progress and evaluate results. Schedule and supervise project work. Evaluate progress and results and recommend changes in procedures as needed.
* Exercise authority to make independent decisions on matters of significance, free from immediate direction, within the scope of their responsibilities.
 Required Qualifications\*
* Masters or PhD in Computer Science, Data Science, Statistics, or related field or equivalent professional experience.
* 5\-8 experience in managing data from complex, relational databases, preferably within the healthcare environment.
* Proven expertise in extracting, transforming, and harmonizing EHR data using APIs specifically utilizing FHIR standards and other healthcare interoperability protocols.
* Significant familiarity with healthcare data standards (HL7, FHIR, ICD/LOINC codes, REDCap, Epic/Clarity preferred).
* Demonstrated knowledge of HIPAA, security, and regulatory requirements.
* Experience with Git\-based version control workflows.
* Familiarity with Linux\-based server environments.
* Ability to work independently, prioritize work effectively, and make sound technical decisions.
* Effective written and verbal communication skills that bridge various stakeholders to establish trusting relationships.
* Balance long\-term architectural thinking with practical, delivery\-focused execution.
* Demonstrated growth mindset to actively seek opportunities to learn, adapt, and apply new skills and knowledge to enhance team and personal performance.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**Why Work at BMC2**
* Mission\-driven Impact: Contribute to improving cardiovascular care and outcomes for thousands of patients across Michigan, making a real difference in patients lives.
* Collaborative Environment: BMC2 brings together multidisciplinary healthcare professionals physicians, nurses, coordinators, administrators, payers, and quality leaders from across the state to share ideas, best practices, and innovative solutions.
* Statewide Impact: Play a part in projects that drive change not just locally, but at a statewide level, working with patients, hospitals, and partners from many communities.
* Commitment to Integrity and Quality: The BMC2 Coordinating Center emphasizes transparency, trust, and quality improvement, making it a great environment for those who value integrity and high standards.
* Supportive Culture: Work within a supportive team that values lived experiences in all forms and the professional growth of its members.
* Reputation: Be affiliated with an established and respected organization, known nationally \&amp; internationally for advancing patient care.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43">
      <c r="A43" t="inlineStr">
        <is>
          <t>li-3594987830</t>
        </is>
      </c>
      <c r="B43" t="inlineStr">
        <is>
          <t>Data Scientist</t>
        </is>
      </c>
      <c r="C43" t="inlineStr">
        <is>
          <t>Sandhills Global</t>
        </is>
      </c>
      <c r="D43" t="inlineStr">
        <is>
          <t>linkedin</t>
        </is>
      </c>
      <c r="E43" t="inlineStr"/>
      <c r="F43" t="inlineStr"/>
      <c r="G43" t="inlineStr">
        <is>
          <t>Lincoln, NE</t>
        </is>
      </c>
      <c r="H43" t="inlineStr"/>
      <c r="I43" t="inlineStr">
        <is>
          <t>DESCRIPTION:
 The Data Scientist may be responsible for any of the following tasks: Analyzing data that is collected in our current and future products and services, Develop statistical and machine learning models using state of the art Machine Learning and AI technologies, Visualize insights for business actions and collaborate with Software Developers to implement into our products and services. The Data Scientist would need to be able to apply the data analysis, models, and software to the markets our products are in for us to better serve our customers. The Data Scientist must have good communication and organization skills, along with a working knowledge of day\-to\-day operations and priorities within their department and the company. Assume other duties as assigned.
 Now offering a 4\.5\-day workweek!
 QUALIFICATIONS:
* Completed Post Secondary Degree in Data Science, Mathematics or Statistics preferred or any other quantitative discipline
* Strong proficiencies in Python or R, and various libraries/packages
* Ability to gain knowledge of the products and customers of the Auction and Heavy Equipment industries
* Technical understanding regarding data models, database design and development, data mining and segmentation techniques
* General understanding of Machine Learning and AI tools and frameworks
* Knowledge of statistics and experience using statistical packages for analyzing large datasets
* Strong analytical skills with the ability to collect, organize, analyze, and disseminate significant amounts of information with attention to detail and accuracy
* Experience with SQL, stored procedures, or APIs preferred
* Knowledge of Data Ops and Data Management tools, such as Docker, Jenkins and Spark.
* Adept at generating reports and presenting findings in an understandable manner
* Excellent oral and written communication skills
* Able to work independently and communicate within a team environment
* Results oriented
* Flexible and open to change
* Stable and progressive work history
* Professional appearance and demeanor
* Ability to travel by air and ground \-\- valid driver’s license required
* Able to work with minimal supervision
* In Office Position. 4\.5 day regular work week. Ability to commute daily to local office is required.</t>
        </is>
      </c>
    </row>
    <row r="44">
      <c r="A44" t="inlineStr">
        <is>
          <t>li-4378459171</t>
        </is>
      </c>
      <c r="B44" t="inlineStr">
        <is>
          <t>Marketing Data Scientist</t>
        </is>
      </c>
      <c r="C44" t="inlineStr">
        <is>
          <t>Wiraa</t>
        </is>
      </c>
      <c r="D44" t="inlineStr">
        <is>
          <t>linkedin</t>
        </is>
      </c>
      <c r="E44" t="inlineStr"/>
      <c r="F44" t="inlineStr"/>
      <c r="G44" t="inlineStr"/>
      <c r="H44" t="inlineStr"/>
      <c r="I44" t="inlineStr">
        <is>
          <t>About the Company
 Shape a brighter financial future with us. We are a next\-generation financial services company and a leading national bank committed to transforming the way individuals interact with personal finance. Our innovative, mobile\-first technology platform empowers millions of members to achieve their financial goals through tailored solutions and seamless digital experiences. As industry leaders navigating an unprecedented transformation, we take pride in making a meaningful impact on people's lives every day. Our core values guide our mission to foster financial literacy, accessibility, and trust, positioning us at the forefront of the financial services sector. Join us to invest in your career, grow professionally, and be part of a forward\-thinking organization dedicated to excellence and innovation.
 About the Role
 We are seeking a highly motivated Data Scientist to join our Marketing Data Science (MDS) team. This role is pivotal in enabling data\-driven decision\-making across our marketing organization through advanced analytics, modeling, experimentation, and measurement. The successful candidate will support the development and maintenance of an automated, end\-to\-end marketing offer measurement and reporting framework. This framework tracks offer setup, execution, fulfillment, and post\-campaign validation across all product lines, ensuring accurate offer execution, operational monitoring, and compliance readiness.
 The role involves close collaboration with senior team members to ensure the reliability and efficiency of offer reporting systems. The ideal candidate is passionate about building high\-quality data products, working within established frameworks, and collaborating cross\-functionally to deliver consistent and accurate insights. This position offers an exciting opportunity to contribute to the optimization of marketing campaigns and enhance operational workflows, directly impacting our ability to deliver exceptional value to our members.
 Qualifications
* Bachelor’s degree in Computer Science, Mathematics, Statistics, Engineering, or a related quantitative field
* 2–4 years of experience in data science, analytics, or data engineering roles supporting marketing, growth, or product analytics
* Proficiency in SQL and working knowledge of Python for data analysis and pipeline development
* Experience building or maintaining dashboards and self\-serve reporting solutions (e.g., Tableau or similar BI tools)
* Familiarity with modern data stacks and workflow tools such as dbt, Airflow, and cloud data warehouses (e.g., Snowflake), or a strong willingness to learn
* Experience working with structured datasets and applying business logic consistently across reporting outputs
* Ability to adhere to established standards while suggesting improvements for data quality and efficiency
* Strong attention to detail with a focus on operational data accuracy
* Effective communication skills and ability to collaborate with cross\-functional teams
* Curiosity, reliability, and a growth mindset with an interest in taking on increasing responsibilities over time
 Responsibilities
* Build and maintain automated reporting pipelines, dashboards, and datasets to support marketing campaigns and offer tracking
* Implement standardized logic for offer eligibility, fulfillment, and payout validation across multiple campaigns
* Perform routine data quality checks and monitor data pipelines to ensure accuracy, completeness, and timeliness
* Investigate and resolve data discrepancies, delays, or failures related to offer reporting and fulfillment
* Support ongoing enhancements and maintenance of self\-serve dashboards used by Marketing, Product, and Compliance teams
* Assist in extending reporting frameworks to accommodate time\-sensitive or non\-standard reporting needs
* Document data definitions, business logic, and reporting processes to ensure transparency and consistency
* Collaborate with cross\-functional teams to gather requirements, validate outputs, and improve reporting systems
 Benefits
* Competitive salary commensurate with experience and skills
* Comprehensive health, dental, and vision insurance plans
* Retirement savings plans with company contributions
* Generous paid time off and holiday policies
* Opportunities for professional development and continuous learning
* Flexible work arrangements where applicable
* Inclusive and supportive work environment that values diversity
 Equal Opportunity
 We are an equal employment opportunity employer. We celebrate diversity and are committed to creating an inclusive environment for all employees and applicants. We do not discriminate based on race, color, religion, sex, gender identity, gender expression, sexual orientation, national origin, age, disability, medical condition, marital status, veteran status, or any other protected characteristic under applicable law. We consider qualified applicants with arrest and conviction records in accordance with the San Francisco Fair Chance Ordinance.</t>
        </is>
      </c>
    </row>
    <row r="45">
      <c r="A45" t="inlineStr">
        <is>
          <t>li-4322260150</t>
        </is>
      </c>
      <c r="B45" t="inlineStr">
        <is>
          <t>Sr Data Scientist</t>
        </is>
      </c>
      <c r="C45" t="inlineStr">
        <is>
          <t>GM Financial</t>
        </is>
      </c>
      <c r="D45" t="inlineStr">
        <is>
          <t>linkedin</t>
        </is>
      </c>
      <c r="E45" t="inlineStr"/>
      <c r="F45" t="inlineStr"/>
      <c r="G45" t="inlineStr">
        <is>
          <t>Fort Worth, TX</t>
        </is>
      </c>
      <c r="H45" t="inlineStr"/>
      <c r="I45" t="inlineStr">
        <is>
          <t>**Job Description**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**Responsibilities**
**About the role:**
 The Senior Data Scientist is responsible for implementing the design, development, deployment, and maintenance of predictive/prescriptive/statistical models in originations, collections, risk, pricing, fraud, customer experience and marketing; Modeling with expertise in forecasting, optimization, data mining, analysis, and analyzing complex datasets; Conducting studies with the use of descriptive and supervised machine learning methods and advanced statistical methods using innovative and the latest advanced technique and algorithms; Summarizing, reporting, and providing polished presentations of findings to a variety of internal clients as well as working with other departments to achieve the overall company objectives; Lead in the production of research and analysis to quantify the impact of internal and external environments on portfolio performance. The Senior Data Scientist is the subject matter expert with an in\-depth knowledge of quantitative methods and diligent knowledge of data sources and tools.
**In This Role You Will**
* ﻿Provides leadership, coaching, and/or mentoring to Data Scientists I and II
* Performs research, analysis, and modeling on organizational data
* Assists in analyzing key metrics and performing data analysis
* Build technical knowledge to support research and analytic responsibilities including advanced techniques and algorithms
* Conducts research projects, incorporate project design, data collection and analysis, summarizing findings, developing recommendations and effectively communicating to leadership the impact to the business
* Develop and apply algorithms or models to key business metrics with the goal of improving operations or answering business questions
* Presents findings and analysis for use in decision making
* Ensure that the delivered products meet the business needs of the company
* Partners with and provide recommendations to business leadership on the appropriate application of analytics to business strategies and effectively communicate analysis and implications to senior leadership
* Prioritize tasks and meet project deadlines in a fast\-paced work environment
**Qualifications**
**What makes you an ideal candidate?**
* ﻿Strong quantitative, analytical and data interpretation skills with a solid foundation of mathematics, probability, and statistics
* Ability to identify and understand business issues and map these issues into quantitative questions
* Advanced knowledge and demonstrated understanding of applied methodologies including least squares regression, logistic regression, sampling methodologies, time series, survival analysis, cluster analysis, categorical data analysis, decision trees, multivariate methodologies, non\-parametric techniques, principal components, and linear programming techniques.
* Advanced skills in Python, SAS, SQL, R, JMP, Excel, Word, PowerPoint
* Ability to design and implement model documentation and monitoring protocols
* Comprehensive knowledge and experience with technical systems, datasets, data warehouses, and data analysis techniques
* Efficiently work with large datasets
* Provides leadership, coaching, and/or mentoring to Data Scientists I and II
* Strong written and verbal presentation skills with an ability to communicate effectively with Senior Management by making complex concepts easy to understand
* Ability to be curious, ask questions, explore, and be creative when analyzing data and business problems
* Ability to identify and seek needed information/research skills
* Analytical thinking skills
* Ability to interact collaboratively with internal and external customers
* Capable of managing multiple and varied projects, including the ability to coordinate and balance numerous tasks in a time\-sensitive environment, under pressure
* Strong problem\-solving skills
**Experience**
* 4\+ years as Data Scientist or similar quantitative field required
* High School Diploma or equivalent required
* Master’s Degree or PhD in Statistics, Applied Mathematics, Econometrics, Economics, Operations Research, Industrial Engineering, Computer Science, Physics or similar quantitative field required (a combination of education, certifications, and/or work experience may be considered in lieu of an advanced degree)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office in Fort Worth, Texas</t>
        </is>
      </c>
    </row>
    <row r="46">
      <c r="A46" t="inlineStr">
        <is>
          <t>li-4318382755</t>
        </is>
      </c>
      <c r="B46" t="inlineStr">
        <is>
          <t>Nuuly Senior Data Scientist</t>
        </is>
      </c>
      <c r="C46" t="inlineStr">
        <is>
          <t>Nuuly</t>
        </is>
      </c>
      <c r="D46" t="inlineStr">
        <is>
          <t>linkedin</t>
        </is>
      </c>
      <c r="E46" t="inlineStr"/>
      <c r="F46" t="inlineStr"/>
      <c r="G46" t="inlineStr">
        <is>
          <t>Philadelphia, PA</t>
        </is>
      </c>
      <c r="H46" t="inlineStr"/>
      <c r="I46" t="inlineStr">
        <is>
          <t>Nuuly is seeking a Senior Data Scientist to join the analytics team and help bring data\-driven insights and decision making to functions including buying/planning, logistics, finance, customer service, marketing, and user experience. The analytics team works to solve problems and answer questions that cannot be answered by a dashboard; these often require testing, simulations, model building, causal analysis, and a strong emphasis on data storytelling. Nuuly’s unique business model presents questions that have often not yet been solved for the industry, presenting an opportunity to use data to pave the way forward.
 This is a senior individual contributor role with high visibility, expected to set technical direction and mentor others. You are a strategic problem solver and are able to take ambiguous questions and independently turn them into actionable insights. You are curious and love to immerse yourself in data to drive business value. You are organized and attentive to detail, and value precisely and clearly documenting analyses. You are an organization\-wide thought leader, always on the forefront of new technologies and data science \&amp; machine learning approaches. You enjoy acting as a technical mentor to analysts, providing guidance on code quality, analytical approaches, and strategic thinking. You enjoy being a liaison among the URBN data community, leveraging the shared expertise of a highly technical team of data scientists with the business\-facing analytics team.
**Role Responsibilities**
* Lead analytics initiatives that shape business strategy, especially in high\-priority domains like inventory optimization and planning. Over time, flex across domains (e.g., marketing, logistics, finance), becoming a trusted strategic partner across the org.
* Bring data science capabilities, such as ML modeling and advanced statistical concepts, to the Nuuly analytics team.
* Design and run experiments (e.g., A/B tests, causal inference studies) to measure the impact of strategic initiatives and inform decision\-making at scale.
* Conduct complex analyses independently in Google BigQuery (SQL) and Python. Run simulations and conduct statistical analyses on test results.
* Serve as a liaison between technical and non\-technical stakeholders, translating data into insights.
+ Work with stakeholders to understand the meaning \&amp; intent behind their questions, not just perform question\-and\-answer services. Partner with stakeholders to inform strategy, suggesting new approaches, introducing new metrics to better understand the business, etc.
**Role Qualifications**
* 4\+ years in a data science or applied ML role, preferably with consumer\-facing or e\-commerce applications
* Advanced proficiency in Python and SQL
* Strong statistical and analytical skills (e.g., hypothesis testing, distributional analysis, uncertainty estimation)
* Experience with a wide range of ML techniques (e.g., tree\-based models, clustering, neural networks, time series forecasting) and model evaluation (troubleshooting, metrics, benchmarking)
* Strong familiarity with ML tools and libraries (e.g., scikit\-learn, TensorFlow, PyTorch, Jupyter Notebooks)
* Ability to translate business problems into technical solutions and communicate findings clearly to technical and non\-technical stakeholders
**Additional**
* Strong interest in learning the Nuuly business
* Positive attitude and excellent interpersonal and communication skills
* Self\-motivated and able to deliver on tasks
* Ability to think critically and develop creative solutions to complex problems
**Preferred Skills**
* Master’s or PhD in Computer Science, Statistics, Data Science, or a related quantitative field
* Experience working with Google Cloud Platform or other cloud infrastructure (e.g., GCS, BigQuery, Compute Engine)
* Familiarity with orchestration and ML workflow tools (e.g., MLflow, Airflow, Kubernetes)
* Experience in retail, fashion, logistics, or subscription services
**AI/LLM Proficiency**
* Practical experience using Large Language Models (ChatGPT, Claude, etc.) for work tasks
* Understanding of prompt engineering and how to provide effective context to AI tools
* Familiarity with structured AI guidance methods (system prompts, rules files, agent configurations)
* Knowledge of AI tool integration concepts (MCP, connectors, agentic workflows)
* Ability to identify opportunities where AI can drive efficiency improvements
**The Perks**
 URBN offers comprehensive Perks \&amp; Benefits to employees. Availability and eligibility to specific benefits may be subject to your location and employment status. Benefits include medical, dental, vision, PTO, generous employee discounts, retirement savings and much more! For additional information visit www.urbn.com/work\-with\-us/benefits
**EEO Statement**
 URBN celebrates diversity and is committed to creating an inclusive environment for all employees. We are proud to provide equal employment opportunities (EEO) to all employees and applicants for employment without regard to race, color, sex (including gender, pregnancy, sexual orientation, and gender identity or expression), religion, creed, age, physical or mental disability, national origin or ancestry, ethnicity, citizenship, service in the uniformed services, genetic information, or any other protected characteristic as established by law. We believe strongly in fostering a safe, fair and respectful work environment. To ensure compliance with our non\-discrimination and anti\-harassment policies, we offer anti\-harassment training to managers and employees.</t>
        </is>
      </c>
    </row>
    <row r="47">
      <c r="A47" t="inlineStr">
        <is>
          <t>li-4359228070</t>
        </is>
      </c>
      <c r="B47" t="inlineStr">
        <is>
          <t>Senior Data Scientist, Marketing</t>
        </is>
      </c>
      <c r="C47" t="inlineStr">
        <is>
          <t>Rockstar Games</t>
        </is>
      </c>
      <c r="D47" t="inlineStr">
        <is>
          <t>linkedin</t>
        </is>
      </c>
      <c r="E47" t="inlineStr"/>
      <c r="F47" t="inlineStr"/>
      <c r="G47" t="inlineStr">
        <is>
          <t>Manhattan, NY</t>
        </is>
      </c>
      <c r="H47" t="inlineStr"/>
      <c r="I47"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on the lookout for a passionate Senior Data Scientist of Marketing who possesses a passion for videogames and creating valuable insights from a variety of data sources.
 This is a full\-time, in\-office position based out of Rockstar’s NYC headquarters in Downtown Manhattan.
**What We Do**
* The Rockstar Analytics team provides insights and actionable results to a wide variety of stakeholders across the organization in support of their decision making.
* We perform complex analyses, build reporting solutions, and help develop data that drives forward actionable, efficient insight delivery to help inform decisions across multiple stakeholder groups and development projects.
**Responsibilities**
* Assure Rockstar’s ongoing competitive advantage through statistical analysis, machine learning, and useful monitoring reports to identify patterns and predict outcomes.
* Partner with marketing stakeholders to define business objectives, translate those objectives into data questions, and identify the appropriate analytical solution to drive insights and data\-informed business decisions.
* Build self\-service reporting and other data products that provide flexibility for business stakeholders to investigate questions while maintaining accuracy, efficiency, and clarity in results.
* Drive creation and adoption of predictive models for marketing campaign performance, leading implementation across stakeholders.
* Generate marketing reports, dashboards, and insights collaborating with the marketing analytics team, across analytics teams, and with our stakeholders.
* Evaluate performance of marketing campaigns, collating data across multiple marketing channels.
* Generate insights at scale, prioritizing automation of reports and data standardization.
* Possess subject matter expertise for Marketing Analytics and build the team’s analytics capabilities.
* Use machine learning for predictive modeling of our player and marketing channel data to help inform targeting strategies and campaign goals.
* Maintain and enhance existing marketing reports, ensuring accuracy, consistency, and relevance to executive stakeholders.
**Requirements**
* 5\+ years of experience in data science or similar role within the gaming, marketing, finance, or technology fields required.
* 4\+ years of experience working with SQL, Python, and/or PySpark to perform exploratory analyses with optimized queries.
* 4\+ years of experience in data visualization and hands on working with complex data.
* 2\+ years of experience developing machine learning models to solve complex business problems.
* Excellent written and verbal communication skills with the ability to communicate and visualize complex information in a meaningful way to a variety of audiences.
* Strong interpersonal skills with the ability to develop and maintain relations with diverse teams and stakeholders, at all hierarchal levels.
* Ability to work directly with a variety of stakeholders to understand their needs and provide relevant and actionable solutions.
* Ability to draw inferences from disparate pieces of data, identifying key findings and linking to business strategies or objectives.
**PLUSES**
 Please note that these are desirable skills and are not required to apply for the position.
* Experience with Snowflake and/or Databricks.
* Game industry experience strongly desired.
* Experience with marketing data and deliverables preferred.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The pay range for this position in New York State (inclusive of New York City)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 NY Base Pay Range
 $121,400—$161,800 USD</t>
        </is>
      </c>
    </row>
    <row r="48">
      <c r="A48" t="inlineStr">
        <is>
          <t>li-4328928568</t>
        </is>
      </c>
      <c r="B48" t="inlineStr">
        <is>
          <t>Applied Scientist LMTS</t>
        </is>
      </c>
      <c r="C48" t="inlineStr">
        <is>
          <t>Salesforce</t>
        </is>
      </c>
      <c r="D48" t="inlineStr">
        <is>
          <t>linkedin</t>
        </is>
      </c>
      <c r="E48" t="inlineStr"/>
      <c r="F48" t="inlineStr"/>
      <c r="G48" t="inlineStr">
        <is>
          <t>San Francisco, CA</t>
        </is>
      </c>
      <c r="H48" t="inlineStr"/>
      <c r="I4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Join an agile team with deep startup roots. We operate as a high\-velocity 'startup\-within\-Salesforce,' following our recent acquisition. You’ll be managed by the same founders and engineers who built the original company, offering the autonomy of a small team backed by the global scale and trust of Salesforce. You will have the unique opportunity to build a '0 to 1' product with the founding team, while leveraging Salesforce's world\-class Data Cloud and security infrastructure to drive immediate global impact at scale.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****The Impact You Will Have****
 As a Lead Applied Scientist for the Agentforce Supply Chain Foundational model team, you will be instrumental in the development of a novel foundational model that we are building for complex tabular datasets.
* Develop, implement, and deploy AI models to solve real\-world complex problems in global supply chain and manufacturing.
* Apply and build upon state\-of\-the\-art machine learning technologies, stay\-up\-to\-date with current developments in the AI field, and use your expertise to inspire AI applications across the organization.
* Collaborate with cross\-functional teams including Engineering, Design, Product Management, and industry experts to build high\-quality product features that can be used by major companies around the world.
* Establish and scale robust evaluation frameworks by creating domain\-specific benchmarks and automated testing suites; implement production telemetry pipelines to monitor real\-world model performance, data drift, and system health.
**Requirements**
* Masters/PhD in Computer Science or quantitative field with research in AI
* 5\-7\+ years of industry or post\-Masters/PhD experience developing, building, and deploying Machine Learning models for real\-world scenarios
* Strong experience in deep learning and graphs or network theory. Experience with at least one other form of machine learning, such as natural language processing, reinforcement learning, computer vision, LLMs, etc.
* Deep expertise in training large\-scale models across distributed systems using frameworks like PyTorch Distributed (DDP/FSDP), DeepSpeed, or TorchTitan on GPU clusters.
* Proficiency with Python and PyTorch, Tensorflow, or JAX
* Demonstrated ability not only to use state\-of\-the\-art machine learning techniques but also to innovate upon them.
* End\-to\-End MLOps Proficiency: Hands\-on experience building and maintaining production\-grade ML pipelines using tools such as Kubeflow, Airflow, or MLflow for experiment tracking, versioning, and automated retraining.
**Preferred Qualifications**
* Experience with supply chain, manufacturing, or related problems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49">
      <c r="A49" t="inlineStr">
        <is>
          <t>li-4369024265</t>
        </is>
      </c>
      <c r="B49" t="inlineStr">
        <is>
          <t>Lead/Principal Applied Scientist</t>
        </is>
      </c>
      <c r="C49" t="inlineStr">
        <is>
          <t>Salesforce</t>
        </is>
      </c>
      <c r="D49" t="inlineStr">
        <is>
          <t>linkedin</t>
        </is>
      </c>
      <c r="E49" t="inlineStr"/>
      <c r="F49" t="inlineStr"/>
      <c r="G49" t="inlineStr">
        <is>
          <t>Seattle, WA</t>
        </is>
      </c>
      <c r="H49" t="inlineStr"/>
      <c r="I4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AgentForce Data Science team powers the core Large Language Models (LLMs) behind Salesforce’s production\-grade AI agents. Our work directly impacts millions of users by enabling trustworthy, scalable, and high\-performance AI systems across customer support, sales, marketing, analytics, and internal productivity workflows.
 We operate at the intersection of cutting\-edge research and real\-world deployment, owning the full model development lifecycle—from research ideation and training to fine\-tuning, evaluation, continuous learning, and production rollout.
****Role Overview****
 We are seeking a strong Lead/Principal Applied Scientist to drive advanced LLM research and model development for AgentForce’s production services. This role requires hands\-on involvement across the full model development lifecycle, in addition to technical leadership and mentorship.
 The ideal candidate is both a strong individual contributor and a technical leader, serving as a primary point of contact (POC) for major AI initiatives while shaping long\-term research and modeling strategy.
****Key Responsibilities****
****Research, Modeling \&amp; Hands\-On Execution****
* Own and execute hands\-on work across the full model development lifecycle, including data preparation, model training, fine\-tuning, evaluation, iteration, and deployment readiness.
* Lead end\-to\-end research initiatives on LLM training, fine\-tuning, alignment, and optimization for production use cases.
* Design, implement, and iterate on reinforcement learning (RL) and continuous learning pipelines (e.g., RLHF, RLAIF, offline/online feedback loops).
* Conduct rigorous experimentation, ablation studies, and failure analysis to drive measurable model improvements.
* Translate research prototypes into production\-grade models that meet latency, scalability, reliability, and safety requirements.
****Technical Leadership****
* Serve as the technical POC for complex AgentForce AI projects, driving alignment across research, engineering, product, and platform teams.
* Define best practices for model training, fine\-tuning, evaluation, and release readiness.
* Influence architectural and modeling decisions across the AgentForce AI stack.
****Mentorship \&amp; Thought Leadership****
* Mentor junior scientists and engineers through direct technical guidance and code\-level reviews.
* Foster a culture of strong scientific rigor, reproducibility, and ownership.
* Contribute to Salesforce’s external research presence through publications, talks, and collaborations
**Required Qualifications**
****Education \&amp; Research Background****
* PhD in Computer Science, Machine Learning, AI, or a related field.
* Strong publication record in top\-tier venues (e.g., NeurIPS, ICML, ICLR, ACL, EMNLP) or equivalent industry research impact. \[Nice to have]
****Core Technical \&amp; Hands\-On Requirements****
* Demonstrated hands\-on experience owning the full model development lifecycle, not limited to research or design.
* Deep expertise in large\-scale model training and fine\-tuning, especially for LLMs.
* Strong background in reinforcement learning, preference learning, or human\-in\-the\-loop learning.
* Experience building and maintaining continuous learning systems using real\-world feedback signals.
* Solid understanding of model evaluation, alignment, and robustness in production environments.
****Coding \&amp; Tooling****
* Advanced proficiency in Python, with significant hands\-on coding experience.
* Deep experience with PyTorch, TensorFlow or similar deep learning packages.
* Practical experience with modern LLM tooling, such as:
+ Hugging Face (Transformers, Accelerate, PEFT)
+ Distributed training frameworks (DeepSpeed, FSDP, etc.)
+ ML orchestration and scaling tools (Ray, Kubernetes, internal platforms)
* Strong data analysis and experimentation skills (NumPy, Pandas, custom evaluation pipelines).
**Leadership \&amp; Collaboration**
* Experience mentoring and developing junior researchers or engineers.
* Strong communication skills across research, engineering, and executive stakeholders
**Preferred Qualifications**
* Experience deploying and iterating on models in production, high\-availability systems.
* Background in enterprise AI, agentic systems, or LLM platforms at scale.
* Familiarity with trust, safety, or governance frameworks for AI systems.
* Experience with large\-scale distributed compute environments (multi\-GPU / multi\-node training).
****Why Join AgentForce?****
* Work on mission\-critical LLM systems at massive scale.
* Own models end\-to\-end, from research to production impact.
* Shape the future of enterprise\-grade AI agents.
* Collaborate with world\-class researchers and engineers.
* See your research ship, scale, and matter.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$313,700 annually. In select cities within the San Francisco and New York City metropolitan area, the base salary range for this role is $207,800 \- $344,700 annually. The range represents base salary only, and does not include company bonus, incentive for sales roles, equity or benefits, as applicable.</t>
        </is>
      </c>
    </row>
    <row r="50">
      <c r="A50" t="inlineStr">
        <is>
          <t>li-4379586759</t>
        </is>
      </c>
      <c r="B50" t="inlineStr">
        <is>
          <t>Data Engineer (Data Scientist 3)</t>
        </is>
      </c>
      <c r="C50" t="inlineStr">
        <is>
          <t>HII</t>
        </is>
      </c>
      <c r="D50" t="inlineStr">
        <is>
          <t>linkedin</t>
        </is>
      </c>
      <c r="E50" t="inlineStr"/>
      <c r="F50" t="inlineStr"/>
      <c r="G50" t="inlineStr">
        <is>
          <t>Fairfax, VA</t>
        </is>
      </c>
      <c r="H50" t="inlineStr"/>
      <c r="I50" t="inlineStr">
        <is>
          <t>Requisition Number: 27366
 Required Travel: 0 \- 10%
 Employment Type: Full Time/Salaried/Exempt
 Anticipated Salary Range: $118,987\.00 \- $169,982\.00
 Security Clearance: TS/SCI
 Level of Experience: Mid
 This opportunity resides with Warfare Systems (WS),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Come Join HII! Where Hard Stuff is Done Right!
 HII \- Mission Technologies is currently seeking an Intermediate\-level Data Engineer to work out of Fairfax, VA in support of the DoD/DoW Advana War Data Platform data integration and analytics environment designed to aggregate operational, intelligence, logistics, and sensor data from multiple domains, enable Joint All\-Domain Command and Control (JADC2\) by providing a common data fabric, and support AI/ML applications for predictive analytics, targeting, and mission planning.
 This position is contingent on contract award
 Responsibilities: I want to and can do that!
* Builds and maintains War Data Platform (WDP) Core Integration ingestion, transformation, and storage pipelines supporting operational analytics across Unclassified and NIPR, Secret and SIPR, and Top Secret and JWICS enclaves.
* Develops automated processing flows using Apache Airflow, Spark, AWS Glue, and Kafka to support reliable data movement into medallion\-architecture zones.
* Implements data connections, schema mappings, and structured interfaces to support enterprise data marketplaces and downstream tooling teams.
* Applies data quality controls using rule engines, profiling utilities, and anomaly\-detection checks to validate accuracy, completeness, and consistency at the source and lake layers.
* Configures encryption, access policies, and data\-handling rules to meet DoD cybersecurity requirements for mission environments.
* Executes Tier\-2 and Tier\-3 support actions, performing incident diagnosis, SLA tracking, and pipeline restoration tasks.
* Builds utilities for standardized inbound and outbound data acquisition, supporting analytics teams, application developers, and operational mission users.
* Documents data pipelines, workflows, storage models, and dependency chains in repositories such as Confluence, GitLab, and SharePoint.
* Produces operational metrics capturing throughput, failure rates, restart patterns, and quality scores to guide engineering improvements.
* Collaborates with platform, infrastructure, and data governance teams to incorporate architectural updates, security changes, and tool enhancements into ongoing operations, strengthening stability and mission value across all War Data Platform (WDP) Core Integration enclaves.
 Requirements: I have already done that or have it!
* 5 years relevant experience with Bachelors in related field; 3 years relevant experience with Masters in related field; 0 years experience with PhD or Juris Doctorate in related field; or High School Diploma or equivalent and 9 years relevant experience.
* Familiarity with automated processing flow tools such as Apache Airflow, Spark, AWS Glue, and Kafka and documenting data pipelines in repositories like Confluence, GitLab and/or SharePoint.
* Must be Top Secret/SCI eligible
* US Citizenship
**Preferred Requirements**
* Familiarity with Advana architecture, Palantir Foundry, or similar data integration platforms
* Experience with data governance frameworks and metadata management
* Agile/SAFe delivery experience in secure environments
 Physical Requirements
 May require working in an office, industrial, shipboard, or laboratory environment. Capable of climbing ladders and tolerating confined spaces and extreme temperature variances.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51">
      <c r="A51" t="inlineStr">
        <is>
          <t>li-4369022299</t>
        </is>
      </c>
      <c r="B51" t="inlineStr">
        <is>
          <t>Lead/Principal Applied Scientist</t>
        </is>
      </c>
      <c r="C51" t="inlineStr">
        <is>
          <t>Salesforce</t>
        </is>
      </c>
      <c r="D51" t="inlineStr">
        <is>
          <t>linkedin</t>
        </is>
      </c>
      <c r="E51" t="inlineStr"/>
      <c r="F51" t="inlineStr"/>
      <c r="G51" t="inlineStr">
        <is>
          <t>Bellevue, WA</t>
        </is>
      </c>
      <c r="H51" t="inlineStr"/>
      <c r="I5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AgentForce Data Science team powers the core Large Language Models (LLMs) behind Salesforce’s production\-grade AI agents. Our work directly impacts millions of users by enabling trustworthy, scalable, and high\-performance AI systems across customer support, sales, marketing, analytics, and internal productivity workflows.
 We operate at the intersection of cutting\-edge research and real\-world deployment, owning the full model development lifecycle—from research ideation and training to fine\-tuning, evaluation, continuous learning, and production rollout.
****Role Overview****
 We are seeking a strong Lead/Principal Applied Scientist to drive advanced LLM research and model development for AgentForce’s production services. This role requires hands\-on involvement across the full model development lifecycle, in addition to technical leadership and mentorship.
 The ideal candidate is both a strong individual contributor and a technical leader, serving as a primary point of contact (POC) for major AI initiatives while shaping long\-term research and modeling strategy.
****Key Responsibilities****
****Research, Modeling \&amp; Hands\-On Execution****
* Own and execute hands\-on work across the full model development lifecycle, including data preparation, model training, fine\-tuning, evaluation, iteration, and deployment readiness.
* Lead end\-to\-end research initiatives on LLM training, fine\-tuning, alignment, and optimization for production use cases.
* Design, implement, and iterate on reinforcement learning (RL) and continuous learning pipelines (e.g., RLHF, RLAIF, offline/online feedback loops).
* Conduct rigorous experimentation, ablation studies, and failure analysis to drive measurable model improvements.
* Translate research prototypes into production\-grade models that meet latency, scalability, reliability, and safety requirements.
****Technical Leadership****
* Serve as the technical POC for complex AgentForce AI projects, driving alignment across research, engineering, product, and platform teams.
* Define best practices for model training, fine\-tuning, evaluation, and release readiness.
* Influence architectural and modeling decisions across the AgentForce AI stack.
****Mentorship \&amp; Thought Leadership****
* Mentor junior scientists and engineers through direct technical guidance and code\-level reviews.
* Foster a culture of strong scientific rigor, reproducibility, and ownership.
* Contribute to Salesforce’s external research presence through publications, talks, and collaborations
**Required Qualifications**
****Education \&amp; Research Background****
* PhD in Computer Science, Machine Learning, AI, or a related field.
* Strong publication record in top\-tier venues (e.g., NeurIPS, ICML, ICLR, ACL, EMNLP) or equivalent industry research impact. \[Nice to have]
****Core Technical \&amp; Hands\-On Requirements****
* Demonstrated hands\-on experience owning the full model development lifecycle, not limited to research or design.
* Deep expertise in large\-scale model training and fine\-tuning, especially for LLMs.
* Strong background in reinforcement learning, preference learning, or human\-in\-the\-loop learning.
* Experience building and maintaining continuous learning systems using real\-world feedback signals.
* Solid understanding of model evaluation, alignment, and robustness in production environments.
****Coding \&amp; Tooling****
* Advanced proficiency in Python, with significant hands\-on coding experience.
* Deep experience with PyTorch, TensorFlow or similar deep learning packages.
* Practical experience with modern LLM tooling, such as:
+ Hugging Face (Transformers, Accelerate, PEFT)
+ Distributed training frameworks (DeepSpeed, FSDP, etc.)
+ ML orchestration and scaling tools (Ray, Kubernetes, internal platforms)
* Strong data analysis and experimentation skills (NumPy, Pandas, custom evaluation pipelines).
**Leadership \&amp; Collaboration**
* Experience mentoring and developing junior researchers or engineers.
* Strong communication skills across research, engineering, and executive stakeholders
**Preferred Qualifications**
* Experience deploying and iterating on models in production, high\-availability systems.
* Background in enterprise AI, agentic systems, or LLM platforms at scale.
* Familiarity with trust, safety, or governance frameworks for AI systems.
* Experience with large\-scale distributed compute environments (multi\-GPU / multi\-node training).
****Why Join AgentForce?****
* Work on mission\-critical LLM systems at massive scale.
* Own models end\-to\-end, from research to production impact.
* Shape the future of enterprise\-grade AI agents.
* Collaborate with world\-class researchers and engineers.
* See your research ship, scale, and matter.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$313,700 annually. In select cities within the San Francisco and New York City metropolitan area, the base salary range for this role is $207,800 \- $344,700 annually. The range represents base salary only, and does not include company bonus, incentive for sales roles, equity or benefits, as applicable.</t>
        </is>
      </c>
    </row>
    <row r="52">
      <c r="A52" t="inlineStr">
        <is>
          <t>li-4337128962</t>
        </is>
      </c>
      <c r="B52" t="inlineStr">
        <is>
          <t>Senior/Lead Applied Scientist, Responsible AI</t>
        </is>
      </c>
      <c r="C52" t="inlineStr">
        <is>
          <t>Salesforce</t>
        </is>
      </c>
      <c r="D52" t="inlineStr">
        <is>
          <t>linkedin</t>
        </is>
      </c>
      <c r="E52" t="inlineStr"/>
      <c r="F52" t="inlineStr"/>
      <c r="G52" t="inlineStr">
        <is>
          <t>Palo Alto, CA</t>
        </is>
      </c>
      <c r="H52" t="inlineStr"/>
      <c r="I5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seeking a forward\-thinking and accomplished Applied Scientist with deep expertise in AI fairness, accountability, transparency, and explainability (FATE). In this high\-impact role, you will operate at the forefront of responsible AI development, working closely with research scientists and engineers in AI Research, as well as cross\-functional partners in Responsible AI, Agentforce, and other teams across Salesforce.
 You will lead the design and implementation of Trust Layer models, as well as RAI tools and frameworks that ensure our AI systems are fair, accountable, and transparent. Using advanced machine learning techniques, you’ll generate actionable insights, drive research excellence, and support responsible AI practices across the full development lifecycle—from experimentation to production deployment.
 We’re looking for a principled and collaborative thought leader who is passionate about bridging the gap between innovation and ethical implementation. You will engage with interdisciplinary teams, strategic partners, vendors, and customers while upholding Salesforce’s core values: trust, customer success, equality, innovation, and sustainability.
 Check out our website to learn more about the Salesforce AI Research team https://www.salesforceairesearch.com
**Job Responsibilities**
* Build state\-of\-the\-art LLM safeguards for enterprise.
* Analyze data and models to identify potential trust and safety issues; define testing protocols for different data types and model architectures; recommend mitigation strategies, tooling investments, and safe thresholds for deployment.
* Define technical goals and guide research/engineering teams on responsible AI best practices. Offer development support and thought leadership on critical ethical tradeoffs in algorithmic design.
* Contribute to the development and adoption of libraries and tools that support evaluation, testing, and mitigation of risks. Build features that enhance explainability and user trust in model outputs.
* Collaborate with industry leaders in similar positions in peer organizations on ways to improve the state of responsible AI development.
**Minimum Qualifications**
* Practical experience in machine learning
* MS or Ph.D. in a quantitative discipline with 3\+ years of industrial experience, or a BS in a quantitative discipline with 5\+ years of industrial experience.
* Fluent in building/prototyping machine learning models and algorithms and wrangling large datasets.
* Proficient in using Python and common machine learning frameworks (e.g., TensorFlow, PyTorch) and AI tools to implement models and algorithms.
* Up to date on the evolution of trusted AI and ability to meet both state\-of\-the\-art and global standards for evaluation, particularly in generative AI.
* Experience working across teams of engineers, data scientists, and researchers.
* Strong communication skills. Comfortable presenting ideas to peers, cross\-functional groups, and executives in multiple formats, from slide decks to informal chats.
* Builds trusted relationships across all levels, both internally and externally. Thoughtfully challenges the status quo to enhance team productivity, effectiveness, and culture while maintaining strong, positive partnerships.
* Ability to creatively prioritize, stage, and sequence solutions to challenging/complex problems.
* Demonstrated experience with actually shipping code, getting data science into production.
* Passion for the idea that technology can be a force for social good and for ethics and fairness.
**Preferred Qualifications**
* Strong experience leading multi\-disciplinary teams driving significant business results.
* Knowledge of enterprise SaaS space.
* Experience with designing and building micro\-services, familiar with Kubernetes/containerization/RESTful API/gRPC, etc.
* Proficient in SQL, shell scripting, and Unix/Linux command\-line tools.
* Strong publications at top AI conferences.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$313,700 annually. In select cities within the San Francisco and New York City metropolitan area, the base salary range for this role is $178,900 \- $344,700 annually. The range represents base salary only, and does not include company bonus, incentive for sales roles, equity or benefits, as applicable.</t>
        </is>
      </c>
    </row>
    <row r="53">
      <c r="A53" t="inlineStr">
        <is>
          <t>li-4379594014</t>
        </is>
      </c>
      <c r="B53" t="inlineStr">
        <is>
          <t>Transmission &amp; Distribution Data Scientist II, Salt Lake City, UT or Portland, OR #112341</t>
        </is>
      </c>
      <c r="C53" t="inlineStr">
        <is>
          <t>Pacific Power</t>
        </is>
      </c>
      <c r="D53" t="inlineStr">
        <is>
          <t>linkedin</t>
        </is>
      </c>
      <c r="E53" t="inlineStr"/>
      <c r="F53" t="inlineStr"/>
      <c r="G53" t="inlineStr">
        <is>
          <t>Salt Lake City, UT</t>
        </is>
      </c>
      <c r="H53" t="inlineStr"/>
      <c r="I53" t="inlineStr">
        <is>
          <t>Apply now »
**Date:** 
 Mar 1, 2026
**Location:** 
 SALT LAKE CITY, UT, US, 84116
**Company:** 
 PacifiCorp
**POWER YOUR GREATNESS**
 PacifiCorp is seeking customer\-centric candidates to grow and sustain our commitment to a culture of customer service excellence, environmental sustainability and diversity, equity and inclusion.
**General Purpose**
 Provides technical support on complex and business critical projects related to wildfire mitigation, asset performance, and T\&amp;D Operations across six states. Leverages large data sets including weather, environmental, outage, vegetation, and grid attributes to inform long term risk analysis and aid in decision making. Works alongside senior leadership to develop tools and analysis and inform the future of data driven decisions. Develops presentations for senior management and recommends and implements changes to meet company goals.
**Responsibilities**
* Conduct research studies and technical analyses in areas of specialized data science to support company objectives including wildfire risk modeling and analysis, electric service reliability analysis, and ad hoc projects in support of electric operations program teams.
* Support data science projects, processes, or systems over the life cycle of the project, including project identification, scope development, implementation, and long\-term operations and maintenance.
* Collaborate with engineering, operations, and regulatory teams to analyze complex problems, identify issues, innovate and deliver solutions consistent with schedules established.
* Provide technical expertise across business units to support functions such as wildfire mitigation and reliability within the T\&amp;D Operations organization.
* Develop detailed computational analysis, including data science, computer modeling, and scripting and tool development, and integrate methods and products within and across company software products.
* Participate in government, industry, collegiate and other applicable associations or work groups which have the ability to influence or set policy impacting the future of our utility.
* Determine methods and techniques for obtaining results.
* Support data literacy and scripting knowledge development across the team.
* Strong customer service focus.
**Requirements**
* Bachelor’s degree in Data Science, Analytics, Statistics, Math, or Engineering from an accredited college/university.
* A minimum of 3 years’ experience in a power/utility/energy industry or related professional experience.
* Demonstrated experience in Python (or related language)
* Knowledge of SQL query construction and optimization
* Technical writing skills.
* Ability to communicate complex data in a simple, actionable way through visualizations.
* Ability to review scientific literature and incorporate knowledge into ongoing projects.
* Ability to work cross functionally and support multiple departments.
* Demonstrated project management skills.
* Knowledge of industry best practices for data science and data governance.
**Preferences**
* Experience in Python (or related language) and associated libraries for machine learning.
* Experience with time series modeling and forecasting.
* Experience working with public utility commissions (PUCs) and their requirements/regulations.
* Experience working in the utilities, risk management, or wildfire mitigation sector.
* Proficiency with Microsoft Azure Machine Learning environment.
* Experience with C\#, Spark, or R.
* Understanding of the Company’s business and relevant policies, procedures, and practices.
* Experience with wildfire science or wildfire\-related analytics use cases strongly preferred.
* Experience using ESRI toolsets including ArcGIS Pro and QGIS.
* Experience utilizing Python geospatial packages such as matplotlib, shapely, and other relevant spatial tools.
 Additional Information
 Req Id: 112341
 Company Code: PacifiCorp
 Primary Location: SALT LAKE CITY
 Department: Power Delivery
 Schedule: FT
 Personnel Subarea: Exempt
 Hiring Range: $88,800\-$122,100
 This position is eligible for an annual discretionary performance incentive bonus of up to 12\.00% of salary.
 Benefits: Health care, retirement, paid time off, tuition assistance, paid short\-term and long\-term disability, paid bereavement leave. For more information, please visit: https://careers.pacificorp.com/content/New\-Benefits\-Page/?locale\=en\_US
 Employees must be able to perform the essential functions of the position with or without an accommodation.
 At PacifiCorp,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Unless otherwise required by law, all offers of employment are contingent upon the successful completion of a background check and drug screening including for marijuana. While marijuana is legal in several states, including Oregon, a positive test for positions in Oregon may disqualify a candidate. The company complies with the laws of Washington and California and only obtains and considers positive tests for marijuana in safety\-sensitive positions or those covered by U.S. Department of Transportation regulations.
**Nearest Major Market:** 
 Salt Lake City
**Career Segment:** 
 Research Scientist, Power Systems, Sustainability, Technical Writer, GIS, Science, Energy, Technology
 Apply now »</t>
        </is>
      </c>
    </row>
    <row r="54">
      <c r="A54" t="inlineStr">
        <is>
          <t>li-4379706990</t>
        </is>
      </c>
      <c r="B54" t="inlineStr">
        <is>
          <t>Senior AI/ML Scientist - Remote</t>
        </is>
      </c>
      <c r="C54" t="inlineStr">
        <is>
          <t>Experian</t>
        </is>
      </c>
      <c r="D54" t="inlineStr">
        <is>
          <t>linkedin</t>
        </is>
      </c>
      <c r="E54" t="inlineStr"/>
      <c r="F54" t="inlineStr"/>
      <c r="G54" t="inlineStr">
        <is>
          <t>California, CA</t>
        </is>
      </c>
      <c r="H54" t="inlineStr"/>
      <c r="I54" t="inlineStr">
        <is>
          <t>Job Posting \- Salary Range: $133,109 \- $239,596
**Company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Experian is looking for a Senior Data Scientist to join our Global Analytics team within Experian Software Solutions. This is an exciting opportunity for someone to work on impactful AI and machine learning projects, contribute to solutions, and grow alongside experienced scientists and engineers. You will help build and support machine learning models and AI systems that power Experian's products and services. You will work remotely and report to the Senior Director of Analytics and AI.
**You'll Have Opportunity To**
* Architect and implement a closed\-loop learning system integrating synthetic data generation, automated pattern discovery, and scenario\-based stress testing
* Develop GenAI\-powered data mining algorithms to identify latent structures, cross\-domain patterns, and evolving risk signals across credit, transactional, and fraud datasets.
* Lead bias diagnosis and counterfactual testing to ensure fairness and regulatory compliance under stress scenarios.
* Collaborate with risk, compliance, and fraud teams to align AI\-driven insights with business objectives and regulatory standards.
* Create dynamic segmentation models that evolve with customer states and macroeconomic conditions.
* Stay current with advancements in AI/ML and proactively integrate emerging technologies into Experian's solutions
**Qualifications**
* 7\+ years of experience in AI/ML, with hands\-on expertise in building, deploying and monitoring models at scale
* Strong knowledge of modern language models (Transformers, GPT APIs, SLMs, RLHF), and agent\-based architectures
* Proficiency in Python, TensorFlow, PyTorch, and colud\-based ML platform
* Advanced degree (MS or PhD) in computer science, AL/ML or related field
* Experience with machine learning algorithms and processes (such as xgboost, GANs, Clustering, Graph Algorithms, Reinforcement Learning)
**Benefits/Perks**
**Additional Information**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55">
      <c r="A55" t="inlineStr">
        <is>
          <t>li-4379711083</t>
        </is>
      </c>
      <c r="B55" t="inlineStr">
        <is>
          <t>Data Scientist (REMOTE)</t>
        </is>
      </c>
      <c r="C55" t="inlineStr">
        <is>
          <t>Lensa</t>
        </is>
      </c>
      <c r="D55" t="inlineStr">
        <is>
          <t>linkedin</t>
        </is>
      </c>
      <c r="E55" t="inlineStr"/>
      <c r="F55" t="inlineStr"/>
      <c r="G55" t="inlineStr">
        <is>
          <t>Charlotte, NC</t>
        </is>
      </c>
      <c r="H55" t="inlineStr"/>
      <c r="I5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56">
      <c r="A56" t="inlineStr">
        <is>
          <t>li-4379721334</t>
        </is>
      </c>
      <c r="B56" t="inlineStr">
        <is>
          <t>Lead Data Scientist - Remote</t>
        </is>
      </c>
      <c r="C56" t="inlineStr">
        <is>
          <t>Experian</t>
        </is>
      </c>
      <c r="D56" t="inlineStr">
        <is>
          <t>linkedin</t>
        </is>
      </c>
      <c r="E56" t="inlineStr"/>
      <c r="F56" t="inlineStr"/>
      <c r="G56" t="inlineStr">
        <is>
          <t>California, CA</t>
        </is>
      </c>
      <c r="H56" t="inlineStr"/>
      <c r="I56" t="inlineStr">
        <is>
          <t>Job Posting \- Salary Range: $153,075 \- $275,535
**Company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**Job description**
 Experian is looking for a Lead Data Scientist to join our Global Analytics team within Experian Software Solutions. This is an exciting opportunity for someone to work on impactful AI and machine learning projects, contribute to solutions, and grow alongside experienced scientists and engineers. You will help build and support machine learning models and AI systems that power Experian's products and services. You will work remotely and report to the Senior Director of Analytics and AI.
* Perform comprehensive evaluations of data assets across the full credit and fraud lifecycle, ensuring strong regulatory compliance and risk governance.
* Conduct rigorous benchmarking and champion/challenger analyses to compare external data assets against internal attributes, scores, and predictive models, ensuring measurable lift, ROI and benefits.
* Develop advanced machine learning solutions and algorithms to solve complex analytical challenges.
* Lead the design, development, and deployment of advanced AI/ML systems with a focus on multi\-agent and intelligent systems.
* Collaborate cross\-functionally with engineering, product, and analytics teams to translate cutting\-edge research into impactful solutions.
* Stay current with advancements in AI/ML and proactively integrate emerging technologies into Experian's solutions
**Qualifications**
**Qualifications**
* 10\+ years of experience driving data science, credit risk and advanced analytics initiatives at scale within financial services industry
* Advanced degree in statistics, data science, AI/ML or related field
* Expertise with machine learning algorithms and processes (such as xgboost, GANs, hyperparameter tuning, clustering, graph algorithms)
* Expertise in knowledge of modern language models (Transformers, GPT APIs, SLMs, RLHF), and agent\-based architectures
* Proficiency in Python, PyTorch, and distributed computing frameworks (e.g., Spark, AWS)
**Benefits/Perks**
**Additional Information**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57">
      <c r="A57" t="inlineStr">
        <is>
          <t>li-4286980133</t>
        </is>
      </c>
      <c r="B57" t="inlineStr">
        <is>
          <t>Data Scientist</t>
        </is>
      </c>
      <c r="C57" t="inlineStr">
        <is>
          <t>Agentio</t>
        </is>
      </c>
      <c r="D57" t="inlineStr">
        <is>
          <t>linkedin</t>
        </is>
      </c>
      <c r="E57" t="inlineStr"/>
      <c r="F57" t="inlineStr"/>
      <c r="G57" t="inlineStr">
        <is>
          <t>New York, NY</t>
        </is>
      </c>
      <c r="H57" t="inlineStr"/>
      <c r="I57"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 has raised
 **$56M to date** 
 at a
 **$340M valuation** 
 , including a recent
 **Series B led by Forerunner** 
**,** 
 which followed our Series A within a calendar year. Our investors also include
 **Benchmark, Craft, and AlleyCorp** 
 . Agentio has been named to
 **Forbes’ Next Billion Dollar Startups, 2025** 
 , and our platform is already used and loved by the world’s leading marketers and creators. We are just getting started!
 Data is Our Growth Engine
 Our platform routes budgets to the right creators, at the right price, with clear attribution. We ingest rich first\-party signals across creative briefs, audiences, content, and outcomes; link them to conversions; and train LLM\-driven ranking and pricing models that guide every step—from discovery and acceptance likelihood to pacing and scale. Each campaign feeds back new data, creating a compounding learning loop that makes matching, forecasting, and measurement more efficient with every use.
 We’re expanding our data practice and hiring foundational teammates. Whether you analyze behavior, model outcomes, run experiments, or build robust data and ML tooling, you’ll have an immediate impact—shaping product decisions, improving measurement, and delivering the pipelines and services that power the platform.
 At Agentio, data drives decisions—what we build, how we price, and where we scale—so creators and brands win together. If you’re curious, collaborative, and excited to own outcomes in a fast\-moving environment, let’s talk.
 You
* Nimble, hungry, humble, and adaptive to change
* Excited to learn and grow in a fast\-paced environment
* Proven track record of applying analytical/statistical methods to tackle real\-world problems using big data.
* A true problem\-solver and self\-starter, with incredible ambition and drive
* Competitive and highly motivated to exceed expectations
* Ready to roll up your sleeves, get things done, and work harder than you’ve likely ever worked before — with far greater reward
* A positive, honest, empathetic, and curious teammate
* You understand that Agentio is building in\-person, and is in\-office 5 days/week
 What You'll Get
* The opportunity to build a first\-of\-its kind business as an early team\-member and make a meaningful impact in the way brands share their stories and creators live off their work.
* Crash\-course in what it takes to scale a start\-up with first\-hand exposure to the different foundational business drivers and needs.
* The chance to work with an exceptional team and help build our engineering culture
* A collaborative, transparent, and engaging work environment.
 Benefits \&amp; Perks
* Flexible PTO – Take the time you need to recharge
* Comprehensive Health Coverage – Top medical plan through Aetna
* Dental \&amp; Vision Plans – Protect your smile and your sight with coverage from Guardian
* 401(k) Retirement Plan – Invest in your future while you build your career
* $100 Monthly Lifestyle Credit – Use it to shop with our amazing Agentio Brand Partners
* Free Lunch 5x a week!
* Gym in the building! – Your workout, right downstairs</t>
        </is>
      </c>
    </row>
    <row r="58">
      <c r="A58" t="inlineStr">
        <is>
          <t>li-4379747297</t>
        </is>
      </c>
      <c r="B58" t="inlineStr">
        <is>
          <t>Data Scientist 3</t>
        </is>
      </c>
      <c r="C58" t="inlineStr">
        <is>
          <t>Gormat</t>
        </is>
      </c>
      <c r="D58" t="inlineStr">
        <is>
          <t>linkedin</t>
        </is>
      </c>
      <c r="E58" t="inlineStr"/>
      <c r="F58" t="inlineStr"/>
      <c r="G58" t="inlineStr">
        <is>
          <t>Annapolis Junction, MD</t>
        </is>
      </c>
      <c r="H58" t="inlineStr"/>
      <c r="I58" t="inlineStr">
        <is>
          <t>Gormat is seeking a Data Scientist who is familiar with Agentic AI, RAG, and Machine Learning model training in addition to the customer's enterprise data processing pipeline. You will be working to integrate AI into malware detection and malware analysis capabilities.
**The Level 3 Data Scientist shall possess the following capabilities:**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DOD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DOD collection, processing, storage and analytic capabilities and limitations.
* AI/ML experience combined with CNE familiarity. Support the CNO community. Assess LLMs for effectiveness and applicability to CNE capability integration. Math and statistics background. Data normalization and visualization. Python required.
**Qualifications**
* Bachelor's Degree with 10 years of relevant experience.
* Associates degree with 12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**TS/SCI With Polygraph Is Required.**
***Job Posted by ApplicantPro***</t>
        </is>
      </c>
    </row>
    <row r="59">
      <c r="A59" t="inlineStr">
        <is>
          <t>li-4379734269</t>
        </is>
      </c>
      <c r="B59" t="inlineStr">
        <is>
          <t>Senior Data Scientist</t>
        </is>
      </c>
      <c r="C59" t="inlineStr">
        <is>
          <t>Definitive Healthcare</t>
        </is>
      </c>
      <c r="D59" t="inlineStr">
        <is>
          <t>linkedin</t>
        </is>
      </c>
      <c r="E59" t="inlineStr"/>
      <c r="F59" t="inlineStr"/>
      <c r="G59" t="inlineStr">
        <is>
          <t>Framingham, MA</t>
        </is>
      </c>
      <c r="H59" t="inlineStr"/>
      <c r="I59" t="inlineStr">
        <is>
          <t>**About Definitive Healthcare:**
 At Definitive Healthcare (NASDAQ: DH), we're passionate about turning data, analytics, and expertise into meaningful intelligence that helps our customers achieve success and shape the future of healthcare. We empower them to uncover the right markets, opportunities, and people—paving the way for smarter decisions and greater impact.
 Headquartered just outside of Boston, Massachusetts, Definitive Healthcare operates across North America, Europe, and India, supporting a growing global client base of more than 2,400 customers since our founding in 2011\.
 We're also a great place to work. In 2024 and 2025, we earned multiple workplace honors, including Built In's 100 Best Places to Work in Boston (both years), a Stevie Bronze Award for Great Employers, and recognition as a Great Place to Work in India.
 We foster a collaborative, inclusive culture where diverse perspectives drive innovation. Through programs like DefinitiveCares and our employee\-led affinity groups we strive to promote connection, education, and inclusion.
 We are looking for a
 **Senior Data Scientist** 
 to help shape the next generation of analytics that power our products. This role is ideal for someone who thrives at the intersection of data science, product innovation, and healthcare commercialization.
**About the Role**
 As a Senior Data Scientist, you will design, develop, and operationalize advanced analytics that enhance the value of Definitive Healthcare's proprietary datasets. You'll lead strategic product initiatives, build scalable models, and translate complex data into actionable insights that support our clients' commercial strategy goals.
 You will also mentor junior team members, guide analytic frameworks, and collaborate closely with product, engineering, and subject matter experts to bring new capabilities to market.
**What You'll Do**
* Transform complex data into clear insights by synthesizing large datasets into compelling narratives, frameworks, and recommendations that drive client value.
* Develop scalable analytics and models (e.g., forecasting, segmentation, NLP, ML pipelines) that integrate directly into Definitive Healthcare products.
* Lead strategic product enhancements, including defining project plans, managing timelines, and ensuring high quality execution.
* Build deep domain expertise in healthcare markets, therapeutic areas, and commercial strategy to inform product innovation.
* Oversee quantitative analysis and guide methodological decisions to ensure rigor, accuracy, and scalability.
* Mentor and coach junior data scientists, providing technical guidance, feedback, and support for professional growth.
* Collaborate cross functionally with product managers, engineers, and commercial strategy experts to align analytics with product and business goals.
* Promote best practices in modeling, documentation, reproducibility, and knowledge sharing across the data science organization.
* Contribute to thought leadership by supporting internal research, whitepapers, and analytic frameworks that elevate Definitive Healthcare's market presence.
**What You Bring**
* BA/BS in Statistics, Computer Science, Engineering, Mathematics, or related field; MS or PhD preferred.
* 5\+ years of experience applying machine learning, NLP, or advanced analytics—ideally within life sciences, healthcare, or commercial strategy.
* Expert proficiency in Python, SQL, and Jupyter Notebook environments.
* Hands‑on experience with PySpark for building scalable data pipelines, processing large datasets, and optimizing distributed analytics workflows in cloud environments.
* Strong working knowledge of cloud based data environments (Azure preferred; AWS or GCP acceptable).
* Demonstrated experience with quantitative modeling, forecasting, segmentation, and analytic frameworks.
* Domain experience in Commercial Strategy, Market Access, or Pricing is highly desirable.
* Exceptional communication skills, including the ability to translate technical concepts for nontechnical audiences.
* Strong project management skills with the ability to lead complex initiatives and collaborate across teams.
* High motivation, strong work ethic, and comfort working in a fast paced, deadline driven environment.
* Proficiency with Microsoft Office tools, especially PowerPoint and Excel.
**Compensation and Benefits:**
 The salary range for this position is $112,000 – $210,000 per year, which represents the base pay the company reasonably and in good faith expects to pay for this role. Actual compensation will depend on relevant experience, skills, and qualifications.
 This role is also eligible to participate in the company's annual bonus program, subject to individual and company performance.
 All employees receive standard benefits, including medical, dental, and vision coverage, unlimited paid time off, and participation in the company's 401(k) plan with employer contribution.
**Why we love Definitive, and why you will too!**
* Industry leading products
* Work hard, and have fun doing it
* Incredibly fast growth means limitless opportunity
* Flexible and dynamic culture
* Work alongside some of the most talented and dedicated teammates
* Definitive Cares, our community service group, gives all of us a chance to give back
* Competitive benefits package including great healthcare benefits and a 401(k) match
**What our Employees are saying about us on Glassdoor:**
 "Great Work atmosphere, great work life balance, excellent company to work for, amazing top notch product, incredible customer service, lots of tools to help you succeed."
* Business Development Manager
 "Great team. Amazing growth. Employees are treated very well."
* Research Analyst
 "I have waited 36 years to work at a dream job for a dream company and I am so happy to have finally got there."
* Profile Analyst
***If you don't fit all of these qualifications, but believe you're still a great fit, feel free to apply and tell us why in your cover letter.***
***If you are a California, Colorado, New York City or Washington resident and this role is a remote role, you can receive additional information about the compensation and benefits for this role, which we will provide upon request.***
***Definitive Hiring Philosophy***
*Definitive Healthcare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 growing, exciting working environment – we encourage you to apply!*
***Privacy**
 Your privacy is important to us. Please review our
 **Candidate Privacy Notice** 
 which tells you how we use and process your personal information.*
***Please note:** 
 All communications regarding the hiring process at Definitive Healthcare will come directly from one of our corporate recruiters or coordinators using an @definitivehc.com email address. We do not advertise open roles on Facebook and will never request money transfers or ask candidates to purchase equipment with a promise of reimbursement. If you receive any suspicious communication, please contact careers@definitivehc.com to verify your status in the application process.*</t>
        </is>
      </c>
    </row>
    <row r="60">
      <c r="A60" t="inlineStr">
        <is>
          <t>li-4378462205</t>
        </is>
      </c>
      <c r="B60" t="inlineStr">
        <is>
          <t>Data Scientist I</t>
        </is>
      </c>
      <c r="C60" t="inlineStr">
        <is>
          <t>RemoteHunter</t>
        </is>
      </c>
      <c r="D60" t="inlineStr">
        <is>
          <t>linkedin</t>
        </is>
      </c>
      <c r="E60" t="inlineStr"/>
      <c r="F60" t="inlineStr"/>
      <c r="G60" t="inlineStr"/>
      <c r="H60" t="inlineStr"/>
      <c r="I60"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1">
      <c r="A61" t="inlineStr">
        <is>
          <t>li-4378465213</t>
        </is>
      </c>
      <c r="B61" t="inlineStr">
        <is>
          <t>Data Scientist I – Applied AI</t>
        </is>
      </c>
      <c r="C61" t="inlineStr">
        <is>
          <t>RemoteHunter</t>
        </is>
      </c>
      <c r="D61" t="inlineStr">
        <is>
          <t>linkedin</t>
        </is>
      </c>
      <c r="E61" t="inlineStr"/>
      <c r="F61" t="inlineStr"/>
      <c r="G61" t="inlineStr"/>
      <c r="H61" t="inlineStr"/>
      <c r="I61" t="inlineStr">
        <is>
          <t>About the Opportunity:
 The organization provides services and software for standards\-based health\-information exchange, focusing on improving public health and quality of care. The role supports data\-informed decision\-making by designing and building AI\-powered applications and tools using existing AI models and Cloud infrastructure to enhance public health and health data interoperability.
 Responsibilities:
 • Use analytic and visualization techniques to provide actionable insights
 • Design, prototype, build, and maintain AI\-powered tools using Python and existing models such as LLMs and embeddings
 • Iterate on prompts and workflows based on testing and feedback; support deployment and operation
 • Stay updated with emerging data\-science and AI/machine learning tools and best practices
 • Access, combine, and analyze large, complex datasets; clean and wrangle data with guidance
 • Ensure quality, integrity, and security of data
 • Create visualizations and perform analyses using statistical and machine learning techniques
 • Present findings to technical and non\-technical audiences with support as needed
 • Work independently on most tasks; seek guidance for complex responsibilities
 • Communicate results effectively to clients, management, and staff
 • Translate client and business needs into formal requirements
 Requirements:
 • Associate''s degree and at least three years of relevant experience, or bachelor’s degree and at least one year of relevant experience in data science, computer science, statistics, applied mathematics, or related field
 • Proficiency in Python
 • Familiarity with analytic software (e.g., R, Databricks), Cloud platforms (Azure, AWS), and big\-data technologies (e.g., Spark)
 • Basic Cloud literacy including understanding containers and serverless; proficiency with APIs and SDKs (e.g., OpenAI, Azure, AWS)
 • Familiarity with AI concepts related to data applications (e.g., RAG, LangChain/LangGraph, Vector DBs)
 • Ability to work independently on general tasks
 • Competence in applying various data\-analytics approaches
 • Ability to complete a Level 5 Position of Public Trust background investigation if required
 Preferred qualifications:
 • Bachelor’s degree with at least five years of relevant experience, or master’s degree with three years of relevant experience
 • Experience with large\-dataset analysis for public health entities such as CDC or CMS
 Benefits \&amp; Perks:
 • Flexible remote work with in\-person collaboration during key events such as annual meetings
 • Equal opportunity employer, providing fair consideration regardless of protected status
 • Must reside in the United States
 Compensation:
 • $75,000 to $95,000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2">
      <c r="A62" t="inlineStr">
        <is>
          <t>li-4378470282</t>
        </is>
      </c>
      <c r="B62" t="inlineStr">
        <is>
          <t>AI Data Scientist</t>
        </is>
      </c>
      <c r="C62" t="inlineStr">
        <is>
          <t>FetchJobs.co</t>
        </is>
      </c>
      <c r="D62" t="inlineStr">
        <is>
          <t>linkedin</t>
        </is>
      </c>
      <c r="E62" t="inlineStr"/>
      <c r="F62" t="inlineStr"/>
      <c r="G62" t="inlineStr"/>
      <c r="H62" t="inlineStr"/>
      <c r="I62" t="inlineStr">
        <is>
          <t>**About The Company**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for more information.
**About The Role**
 The Principal, AI Data Scientist will play a pivotal role in supporting the implementation of innovative, complex, and transformative AI, Machine Learning (ML), and Generative AI (GenAI) solutions within Jazz Pharmaceuticals. This position focuses on enhancing clinical trial execution and advancing digital healthcare initiatives across Jazz Research and Development. The successful candidate will collaborate with cross\-functional teams to develop AI\-driven tools that optimize clinical operations, improve patient engagement, and generate real\-world evidence. This role requires a deep understanding of healthcare data, AI technologies, and regulatory standards to ensure solutions are effective, compliant, and aligned with the company's strategic objectives. The Principal AI Data Scientist will also facilitate knowledge sharing within the organization, contributing to the ongoing advancement of AI capabilities across the enterprise.
**Qualifications**
 The ideal candidate will possess an advanced degree (MS or PhD) in Data Science, Computer Science, Biostatistics, or a related field. They should have 3 to 5 years of professional experience, including at least 1 year applying AI/ML techniques specifically to healthcare or clinical research data. Demonstrated experience with generative AI technologies, including large language models (LLMs), is essential. Familiarity with digital healthcare tools, natural language processing (NLP), and the development of AI solutions for medical text analysis and generation is highly desirable. Candidates should have strong programming skills in Python, R, or similar languages, and experience with modern ML frameworks such as PyTorch and TensorFlow. Knowledge of cloud platforms, particularly AWS, along with experience in code version control and MLOps deployment approaches, will be advantageous. Excellent stakeholder management and communication skills, along with the ability to adapt AI solutions to healthcare challenges, are critical for success.
**Responsibilities**
* Support the development and implementation of AI, ML, and GenAI solutions aimed at optimizing clinical trial operations, including patient recruitment, retention, real\-time data monitoring, and automated data collection systems.
* Lead efforts in creating GenAI applications for automating clinical trial documentation such as medical reports, study protocols, and patient narratives to streamline workflows and improve accuracy.
* Design and develop digital healthcare applications that serve as medical and scientific tools, facilitate real\-world evidence generation, and enhance patient engagement strategies.
* Build predictive models and generative AI solutions utilizing diverse healthcare data sources, including clinical trial data, electronic health records, wearable device data, patient\-reported outcomes, and HEOR data.
* Collaborate with multidisciplinary teams across clinical operations, data science, medical affairs, RWE, and patient groups to identify business challenges and deliver AI\-driven solutions that create value.
* Ensure all AI solutions comply with regulatory requirements and data privacy standards, maintaining high ethical and legal standards.
* Promote knowledge sharing within Jazz Data Science teams and across Research and Development to foster innovation and continuous improvement in AI capabilities.
**Benefits**
 Jazz Pharmaceuticals offers a comprehensive benefits package designed to support the health, well\-being, and professional growth of our employees. Successful candidates will be eligible for medical, dental, and vision insurance plans, along with a retirement savings plan to help secure their financial future. We also provide flexible paid vacation policies to promote work\-life balance, along with opportunities for continuous learning and development. Our benefits program is tailored to meet the diverse needs of our global workforce, ensuring that employees feel valued and supported throughout their careers with us.
 Equal Opportunity
 Jazz Pharmaceuticals is an equal opportunity and affirmative action employer. We are committed to fostering an inclusive environment where all qualified applicants receive consideration for employment without regard to race, color, religion, sex, national origin, disability status, protected veteran status, or any characteristic protected by law. We believe diversity enhances our ability to innovate and deliver impactful medicines to patients worldwide. All employment decisions are made based on business needs, job requirements, and individual qualifications.</t>
        </is>
      </c>
    </row>
    <row r="63">
      <c r="A63" t="inlineStr">
        <is>
          <t>li-4378453426</t>
        </is>
      </c>
      <c r="B63" t="inlineStr">
        <is>
          <t>Data Scientist</t>
        </is>
      </c>
      <c r="C63" t="inlineStr">
        <is>
          <t>Haystack</t>
        </is>
      </c>
      <c r="D63" t="inlineStr">
        <is>
          <t>linkedin</t>
        </is>
      </c>
      <c r="E63" t="inlineStr"/>
      <c r="F63" t="inlineStr"/>
      <c r="G63" t="inlineStr"/>
      <c r="H63" t="inlineStr"/>
      <c r="I63" t="inlineStr">
        <is>
          <t>**Data Scientist \| Washington, DC \| Hybrid \| $77,600 \- $176,000** 
 We're working with a leading global defense and intelligence consultancy on this exciting opportunity to solve high\-stakes challenges across national security and global health. Use your expertise in Python, machine learning, and predictive modeling to unlock secrets within massive, disparate datasets and drive mission\-critical decision\-making.
 As a Data Scientist, you will sit at the intersection of AI innovation and real\-world impact. You’ll be tasked with transforming structured and unstructured data—ranging from fraud detection patterns to cancer research—into objective answers for elite clients in both the private and public sectors.
**The Role** 
 • Lead data exploration and mining initiatives to find the "information puzzle" pieces within complex, data\-rich client environments.
 • Develop and deploy custom algorithms and automated analytic software using Python, R, and SQL to solve global challenges.
 • Build robust ETL pipelines and data schemas, leveraging APIs to ingest and condition data for large\-scale analysis.
 • Create high\-impact data visualizations and dashboards using tools like Tableau, PowerBI, ArcGIS, and libraries such as Seaborn or Matplotlib.
 • Collaborate with cross\-functional teams to integrate machine learning methods and predictive modeling into production\-ready systems.
**What You'll Need** 
 • Active TS/SCI Clearance (TS/SCI with Polygraph preferred) and a Bachelor’s degree in Data Science or Computer Science (or 4\+ years of relevant experience).
 • Deep proficiency in statistical programming (Python, R, SQL) and version control tools like Git, GitHub, or GitLab.
 • Proven experience in ETL pipeline creation, querying APIs, and designing schemas for complex data storage.
 • Strong knowledge of machine learning methods and the ability to design sophisticated automated analytic techniques.
 • Bonus points for experience with Intelligence Community data (GEOINT, OSINT, SIGINT) and DevOps/CI/CD workflows using Jenkins.
**What's On Offer** 
 • Competitive salary range ($77k \- $176k) with performance\-based recognition awards.
 • Comprehensive wellness coverage including health, life, and disability insurance, plus a robust retirement and financial benefits package.
 • Extensive professional growth opportunities with tuition assistance and specialized internal development programs.
 • People\-first culture featuring hybrid work flexibility and generous paid leave to support your total well\-being.
**Apply via Haystack today!**</t>
        </is>
      </c>
    </row>
    <row r="64">
      <c r="A64" t="inlineStr">
        <is>
          <t>li-4379709610</t>
        </is>
      </c>
      <c r="B64" t="inlineStr">
        <is>
          <t>Data Scientist</t>
        </is>
      </c>
      <c r="C64" t="inlineStr">
        <is>
          <t>Talent Bridge</t>
        </is>
      </c>
      <c r="D64" t="inlineStr">
        <is>
          <t>linkedin</t>
        </is>
      </c>
      <c r="E64" t="inlineStr"/>
      <c r="F64" t="inlineStr"/>
      <c r="G64" t="inlineStr">
        <is>
          <t>Charlotte, NC</t>
        </is>
      </c>
      <c r="H64" t="inlineStr"/>
      <c r="I64" t="inlineStr">
        <is>
          <t>* **Title:** 
 Data Scientist
* **Location:** 
 United States
* **Category:** 
 Data Science / Cybersecurity
* **Employment Type:** 
 Full\-Time
**Role** 
 One of our clients is hiring a Data Scientist to design, deploy, and continuously optimize machine learning models powering next\-generation fraud detection, cybersecurity threat detection, behavioral risk scoring, and anomaly identification systems.
 This is a high\-visibility, enterprise\-impact role where models directly influence billions of dollars in fraud prevention annually and defend against sophisticated cyber threats.
**About the Company** 
 One of our clients is a leading enterprise operating in a highly regulated financial and cybersecurity environment. The organization leverages advanced analytics, large\-scale data infrastructure, and real\-time decisioning systems to protect customers, transactions, and digital assets.
**About the Role** 
 You will work with massive, high\-velocity datasets including transaction streams, authentication events, network telemetry, device fingerprints, threat intelligence feeds, and enriched behavioral data.
 Operating under strict regulatory and privacy constraints, you will architect and productionize machine learning systems that deliver sub\-second risk predictions during payment authorization, login flows, and other high\-risk interactions.
 You will also act as a senior technical advisor to leadership, influencing enterprise\-wide analytics and security strategy.
**Key Responsibilities** 
**Machine Learning \&amp; Model Development** 
* Research, design, and productionize models for fraud detection, anomaly detection, behavioral biometrics, account takeover prevention, network intrusion detection, and synthetic identity fraud
* Apply supervised, unsupervised, and semi\-supervised learning techniques
* Optimize performance for imbalanced classification and time\-series modeling
* Implement ensemble and advanced statistical techniques
**Real\-Time Decisioning \&amp; Engineering** 
* Build and maintain real\-time and near\-real\-time scoring pipelines
* Deploy models via APIs, Kafka consumers, Spark Streaming, or low\-latency serving platforms
* Ensure sub\-second response times during critical transaction flows
**Enterprise Strategy \&amp; Advisory** 
* Serve as a technical advisor to leadership across security, engineering, and infrastructure domains
* Translate strategic business objectives into scalable technical solutions
* Lead resolution of complex, cross\-functional technical challenges
* Recommend emerging technologies and best practices to enhance competitive advantage
**Data \&amp; Infrastructure Collaboration** 
* Work with large\-scale data platforms (Snowflake, Databricks, BigQuery)
* Partner with engineering teams to optimize data pipelines and experimentation frameworks
* Maintain ML lifecycle tools (MLflow, Weights \&amp; Biases, etc.)
**Ideal Qualifications** 
* 7\+ years of engineering or applied data science experience
* Strong Python proficiency (pandas, scikit\-learn, XGBoost/LightGBM/CatBoost, PyTorch/TensorFlow, PySpark)
* Deep understanding of imbalanced classification, anomaly detection, time\-series analysis, and ensemble modeling
* Experience deploying ML models in real\-time production environments
* Strong SQL skills and experience with large\-scale data warehouses/lakehouses
* Proven track record of measurable fraud loss reduction or detection rate improvements
* Experience operating in regulated environments with strict compliance standards
**Why This Role?** 
* Enterprise\-scale impact protecting billions in transactions
* Exposure to cutting\-edge fraud and cybersecurity threats
* High\-level visibility and advisory responsibility
* Opportunity to architect real\-time ML systems at scale
* Influence over long\-term analytics and technology strategy
**Apply Now**</t>
        </is>
      </c>
    </row>
    <row r="65">
      <c r="A65" t="inlineStr">
        <is>
          <t>li-4377961921</t>
        </is>
      </c>
      <c r="B65" t="inlineStr">
        <is>
          <t>Lead Data Scientist</t>
        </is>
      </c>
      <c r="C65" t="inlineStr">
        <is>
          <t>Vensure Employer Solutions</t>
        </is>
      </c>
      <c r="D65" t="inlineStr">
        <is>
          <t>linkedin</t>
        </is>
      </c>
      <c r="E65" t="inlineStr"/>
      <c r="F65" t="inlineStr"/>
      <c r="G65" t="inlineStr">
        <is>
          <t>Houston, TX</t>
        </is>
      </c>
      <c r="H65" t="inlineStr"/>
      <c r="I65" t="inlineStr">
        <is>
          <t>**Lead Data Scientist** 
**No visa sponsorships supported**
**Open to relocation if someone needs to relocate**
**Must Haves:**
 Project Lead Experience
 Building Data Sets
 Presenting to A\-C level executives
 Must have Cogito experience
 AWS Certification is a MUST
**Technical Foundation:** 
 Machine Learning \&amp; Statistical Modeling: Hands\-on experience building custom ML models (beyond exploratory analysis)
 Programming Proficiency: Python/R (3\-4/5 level), Strong SQL (3\-4/5\+)
 Statistics: Hypothesis testing, A/B testing, advanced statistical methods
 GenAI/LLM Experience: Recent projects with generative AI technologies. Good to have, esp. for Lead.
 Healthcare Systems: EPIC Knowledge , this is a must.
**MINIMUM QUALIFICATIONS**
**Education:** 
 Bachelor’s Degree in science, engineering, computer science, mathematics, statistics, or related STEM field required.
 **Master’s Degree in Data Science preferred.**
**Licenses/Certifications:** 
 (None)
**Experience / Knowledge / Skills:**
* Seven
 **(7\) years** 
 of experience in data science is
 **required**
* Professional experience in
 **hospital setting, medical informatics, healthcare information technology/finance/revenue cycle data management, or Electronic Health Record (EHR) data management is preferred**
* Business analytical skills (process flows, procedures, spreadsheets, modeling, etc.), technical expertise, mathematical skills and good understanding of design and architecture principles are required
* Possesses deep understanding of a variety of machine learning techniques (clustering, decision tree learning, artificial neural networks, etc.) and their real\-world advantages/drawbacks
* Proficient understanding of advanced statistical techniques and concepts (regression, properties of distributions, statistical tests and proper usage, etc.) and experience with applications
* Ability to communicate, gather requirements and execute storytelling with data
* Possesses
 **advanced level knowledge of the data science project life cycle**
* Proficient programming skills in addition to a working knowledge and experience of statistical analysis tools
* Demonstrates proficiency in problem solving, analytical reasoning and decision\-making skills
* Demonstrates proficiency in identifying and seeking needed information to perform problem/situation analysis
* Advanced level of understanding and experience in researching and resolving data issues with a logical, instinctive, and problem\-solving mentality working with large, complex and incomplete sources
* Exhibits strong project management skills, with an ability to work independently on multiple projects with competing priorities and a strong commitment to meeting goals and deadlines
* Advanced understanding of SQL database management tools
* Exceptional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data science methods – time series forecasting, linear regression, A/B testing, statistical testing, Clustering, etc.
* Superior customer service in the form of first\-rate work products and project management
* Strong ability to manage challenging client situations
* Strong ability to troubleshoot and recommend solutions
* Strong ability to translate complex information for a wide range of stakeholders
**PRINCIPAL ACCOUNTABILITIES**
* Leads high priority projects that impact the organization.
* Leads complex issues and problems, and refers more complex issues to higher\-level staff.
* Provides technical supervision/mentoring to other data scientists and trains the broader audience on data science developments.
* Provides leadership, coaching, and/or mentoring to subordinate group.
* Develops custom data models and algorithms to apply to data sets.
* Develops and applies algorithms or models to key business metrics with the goal of improving operations or answering business questions. Provides findings and analysis for use in decision making.
* Performs research, analysis, and modeling on organizational data.
* Maintains existing models and evaluates their goodness of fit.
* Provides in\-depth data insights from structured and unstructured data for complex business problems through use of advanced analytics techniques, predictive modeling, data mining/visualization and pattern analysis tools.
* Develops and tests hypotheses and communicates findings in clear, precise and actionable manner to project and leadership teams.
* Works closely with teams to identify, understand, and resolve data issues and improve efficiency, productivity and scalability of data processes.
* Assists with the evaluation of data science vendors and tools.
* Ensures safe care to patients, staff and visitors; adheres to all Memorial Hermann policies, procedures, and standards within budgetary specifications including time management, supply management, productivity and quality of service.
*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 Demonstrates commitment to caring for every member of our community by creating compassionate and personalized experiences. Models Memorial Hermann’s service standards by providing safe, caring, personalized and efficient experiences to patients and colleagues.
* Other duties as assigned.
**Benefits** 
* Dental Insurance
* Medical Insurance
* Vision Insurance
* Life Insurance
* Retirement
* Equity
* Paid Time Off</t>
        </is>
      </c>
    </row>
    <row r="66">
      <c r="A66" t="inlineStr">
        <is>
          <t>li-4379704648</t>
        </is>
      </c>
      <c r="B66" t="inlineStr">
        <is>
          <t>Director, Data Scientist - US Card (Mainstreet Acquisitions)</t>
        </is>
      </c>
      <c r="C66" t="inlineStr">
        <is>
          <t>Capital One</t>
        </is>
      </c>
      <c r="D66" t="inlineStr">
        <is>
          <t>linkedin</t>
        </is>
      </c>
      <c r="E66" t="inlineStr"/>
      <c r="F66" t="inlineStr"/>
      <c r="G66" t="inlineStr">
        <is>
          <t>Richmond, VA</t>
        </is>
      </c>
      <c r="H66" t="inlineStr"/>
      <c r="I66"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Card data science team is responsible for the critical models that underlie our underwriting policies for the Capital One Card business. We work directly with the analyst teams that manage our core credit card business to innovate and provide the best possible products and experiences for our customers.
 In this role, you will lead a horizontal effort to transform how we build and train the next generation of models, accelerating our speed to market through improved data infrastructure, and creating novel insights by leveraging cutting edge machine learning and AI techniques to innovate how credit forecasting works at Capital One.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****Basic Qualifications:****
* Currently has, or is in the process of obtaining one of the following with an expectation that the required degree will be obtained on or before the scheduled start date :
+ A Bachelor's Degree in a quantitative field (Statistics, Economics, Operations Research, Analytics, Mathematics, Computer Science, or a related quantitative field) plus 9 years of experience performing data analytics
+ A Master's Degree in a quantitative field (Statistics, Economics, Operations Research, Analytics, Mathematics, Computer Science, or a related quantitative field) or an MBA with a quantitative concentration plus 7 years of experience performing data analytics
+ A PHD in a quantitative field (Statistics, Economics, Operations Research, Analytics, Mathematics, Computer Science, or a related quantitative field) plus 4 years of experience performing data analytics
* At least 4 years of experience leveraging open source programming languages for large scale data analysis
* At least 4 years of experience working with machine learning
* At least 4 years of experience utilizing relational databases
****Preferred Qualifications:****
* PhD in “STEM” field (Science, Technology, Engineering, or Mathematics) plus 5 years of experience in data analytics
* At least 1 year of experience working with AWS
* At least 3 year of experience managing people
* At least 5 years of experience in Python, Scala, or R for large scale data analysis
* At least 5 years of experience with machine learning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Dir, Data Science
 McLean, VA: $269,100 \- $307,200 for Dir, Data Science
 New York, NY: $293,600 \- $335,100 for Dir, Data Science
 Richmond, VA: $244,700 \- $279,200 for Dir,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7">
      <c r="A67" t="inlineStr">
        <is>
          <t>li-4379711083</t>
        </is>
      </c>
      <c r="B67" t="inlineStr">
        <is>
          <t>Data Scientist (REMOTE)</t>
        </is>
      </c>
      <c r="C67" t="inlineStr">
        <is>
          <t>Lensa</t>
        </is>
      </c>
      <c r="D67" t="inlineStr">
        <is>
          <t>linkedin</t>
        </is>
      </c>
      <c r="E67">
        <f>HYPERLINK("https://www.linkedin.com/jobs/view/4379711083", "https://www.linkedin.com/jobs/view/4379711083")</f>
        <v/>
      </c>
      <c r="F67" t="inlineStr"/>
      <c r="G67" t="inlineStr">
        <is>
          <t>Charlotte, NC</t>
        </is>
      </c>
      <c r="H67" t="inlineStr"/>
      <c r="I6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68">
      <c r="A68" t="inlineStr">
        <is>
          <t>li-4379747297</t>
        </is>
      </c>
      <c r="B68" t="inlineStr">
        <is>
          <t>Data Scientist 3</t>
        </is>
      </c>
      <c r="C68" t="inlineStr">
        <is>
          <t>Gormat</t>
        </is>
      </c>
      <c r="D68" t="inlineStr">
        <is>
          <t>linkedin</t>
        </is>
      </c>
      <c r="E68">
        <f>HYPERLINK("https://www.linkedin.com/jobs/view/4379747297", "https://www.linkedin.com/jobs/view/4379747297")</f>
        <v/>
      </c>
      <c r="F68" t="inlineStr"/>
      <c r="G68" t="inlineStr">
        <is>
          <t>Annapolis Junction, MD</t>
        </is>
      </c>
      <c r="H68" t="inlineStr"/>
      <c r="I68" t="inlineStr">
        <is>
          <t>Gormat is seeking a Data Scientist who is familiar with Agentic AI, RAG, and Machine Learning model training in addition to the customer's enterprise data processing pipeline. You will be working to integrate AI into malware detection and malware analysis capabilities.
**The Level 3 Data Scientist shall possess the following capabilities:**
* Foundations: (Mathematical, Computational, Statistical).
* Data Processing: (Data management and curation, data description and visualization, workflow and reproducibility).
* Modeling, Inference, and Prediction: (Data modeling and assessment, domain\-specific considerations).
*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DOD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DOD collection, processing, storage and analytic capabilities and limitations.
* AI/ML experience combined with CNE familiarity. Support the CNO community. Assess LLMs for effectiveness and applicability to CNE capability integration. Math and statistics background. Data normalization and visualization. Python required.
**Qualifications**
* Bachelor's Degree with 10 years of relevant experience.
* Associates degree with 12 years of relevant experience.
* Bachelor's 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 Relevant experience must be in designing/implementing machine learning, data science, advanced analytical algorithms, programming (skill in at least one high\-level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Experience in more than one area is strongly preferred.
**TS/SCI With Polygraph Is Required.**
***Job Posted by ApplicantPro***</t>
        </is>
      </c>
    </row>
    <row r="69">
      <c r="A69" t="inlineStr">
        <is>
          <t>li-4368810454</t>
        </is>
      </c>
      <c r="B69" t="inlineStr">
        <is>
          <t>Lead Data Scientist</t>
        </is>
      </c>
      <c r="C69" t="inlineStr">
        <is>
          <t>kadence</t>
        </is>
      </c>
      <c r="D69" t="inlineStr">
        <is>
          <t>linkedin</t>
        </is>
      </c>
      <c r="E69">
        <f>HYPERLINK("https://www.linkedin.com/jobs/view/4368810454", "https://www.linkedin.com/jobs/view/4368810454")</f>
        <v/>
      </c>
      <c r="F69" t="inlineStr"/>
      <c r="G69" t="inlineStr"/>
      <c r="H69" t="inlineStr"/>
      <c r="I69" t="inlineStr">
        <is>
          <t>**Lead Data Scientist – Fraud Detection \&amp; Financial Risk** 
**Series B Fintech \| US (Remote / USA)** 
**Company Overview** 
 We’re partnering with a Series B fintech building some of the most advanced fraud detection and financial risk systems in the market. Their platform helps protect leading financial institutions (and their customers) from increasingly sophisticated fraud through real\-time machine learning and production\-grade decisioning.
**The Role** 
 This team is scaling quickly and hiring across multiple levels. The work sits directly in the critical path of the product — you’ll be solving adversarial, high\-stakes problems where model performance has immediate real\-world outcomes.
 You’ll work on challenges across anomaly detection, behavioral modelling, and large\-scale data processing, with meaningful ownership from experimentation through to production.
**What You’ll Be Doing** 
* Building and deploying real\-time ML models for fraud detection and risk assessment
* Designing anomaly detection systems to identify emerging fraud patterns
* Developing behavioral models across multiple data sources and signals
* Partnering closely with engineering to productionise models at scale (monitoring, iteration, reliability)
* Working with external stakeholders to understand evolving threat landscapes and requirements
* Owning technical decisions and being able to clearly defend modelling approaches in high\-impact environments
**What They’re Looking For** 
* 7\+ years of hands\-on data science experience (openings range from mid\-level through staff)
* Strong background in fraud detection, risk modelling, identity, or security\-focused data science
* Experience deploying and monitoring models in production environments
* Strong Python \+ SQL foundations (modern ML tooling experience expected)
* Ability to communicate clearly with both technical and non\-technical stakeholders
* Comfortable operating in fast\-paced environments where the work has direct customer and business impact
**Nice to Have** 
* Fintech or financial services exposure is ideal
* Graph ML, time series modelling, ensemble methods, or sequential behaviour modelling experience
* Familiarity with regulated environments and risk constraints
* Track record of improving model performance post\-deployment
**Why This One Is Worth a Look** 
 This is a genuinely high\-impact DS role where fraud science is core to the company’s success. The bar is high, but the scope, ownership, and technical depth are as well \- and the team is building at serious scale.</t>
        </is>
      </c>
    </row>
    <row r="70">
      <c r="A70" t="inlineStr">
        <is>
          <t>li-4379734269</t>
        </is>
      </c>
      <c r="B70" t="inlineStr">
        <is>
          <t>Senior Data Scientist</t>
        </is>
      </c>
      <c r="C70" t="inlineStr">
        <is>
          <t>Definitive Healthcare</t>
        </is>
      </c>
      <c r="D70" t="inlineStr">
        <is>
          <t>linkedin</t>
        </is>
      </c>
      <c r="E70">
        <f>HYPERLINK("https://www.linkedin.com/jobs/view/4379734269", "https://www.linkedin.com/jobs/view/4379734269")</f>
        <v/>
      </c>
      <c r="F70" t="inlineStr"/>
      <c r="G70" t="inlineStr">
        <is>
          <t>Framingham, MA</t>
        </is>
      </c>
      <c r="H70" t="inlineStr"/>
      <c r="I70" t="inlineStr">
        <is>
          <t>**About Definitive Healthcare:**
 At Definitive Healthcare (NASDAQ: DH), we're passionate about turning data, analytics, and expertise into meaningful intelligence that helps our customers achieve success and shape the future of healthcare. We empower them to uncover the right markets, opportunities, and people—paving the way for smarter decisions and greater impact.
 Headquartered just outside of Boston, Massachusetts, Definitive Healthcare operates across North America, Europe, and India, supporting a growing global client base of more than 2,400 customers since our founding in 2011\.
 We're also a great place to work. In 2024 and 2025, we earned multiple workplace honors, including Built In's 100 Best Places to Work in Boston (both years), a Stevie Bronze Award for Great Employers, and recognition as a Great Place to Work in India.
 We foster a collaborative, inclusive culture where diverse perspectives drive innovation. Through programs like DefinitiveCares and our employee\-led affinity groups we strive to promote connection, education, and inclusion.
 We are looking for a
 **Senior Data Scientist** 
 to help shape the next generation of analytics that power our products. This role is ideal for someone who thrives at the intersection of data science, product innovation, and healthcare commercialization.
**About the Role**
 As a Senior Data Scientist, you will design, develop, and operationalize advanced analytics that enhance the value of Definitive Healthcare's proprietary datasets. You'll lead strategic product initiatives, build scalable models, and translate complex data into actionable insights that support our clients' commercial strategy goals.
 You will also mentor junior team members, guide analytic frameworks, and collaborate closely with product, engineering, and subject matter experts to bring new capabilities to market.
**What You'll Do**
* Transform complex data into clear insights by synthesizing large datasets into compelling narratives, frameworks, and recommendations that drive client value.
* Develop scalable analytics and models (e.g., forecasting, segmentation, NLP, ML pipelines) that integrate directly into Definitive Healthcare products.
* Lead strategic product enhancements, including defining project plans, managing timelines, and ensuring high quality execution.
* Build deep domain expertise in healthcare markets, therapeutic areas, and commercial strategy to inform product innovation.
* Oversee quantitative analysis and guide methodological decisions to ensure rigor, accuracy, and scalability.
* Mentor and coach junior data scientists, providing technical guidance, feedback, and support for professional growth.
* Collaborate cross functionally with product managers, engineers, and commercial strategy experts to align analytics with product and business goals.
* Promote best practices in modeling, documentation, reproducibility, and knowledge sharing across the data science organization.
* Contribute to thought leadership by supporting internal research, whitepapers, and analytic frameworks that elevate Definitive Healthcare's market presence.
**What You Bring**
* BA/BS in Statistics, Computer Science, Engineering, Mathematics, or related field; MS or PhD preferred.
* 5\+ years of experience applying machine learning, NLP, or advanced analytics—ideally within life sciences, healthcare, or commercial strategy.
* Expert proficiency in Python, SQL, and Jupyter Notebook environments.
* Hands‑on experience with PySpark for building scalable data pipelines, processing large datasets, and optimizing distributed analytics workflows in cloud environments.
* Strong working knowledge of cloud based data environments (Azure preferred; AWS or GCP acceptable).
* Demonstrated experience with quantitative modeling, forecasting, segmentation, and analytic frameworks.
* Domain experience in Commercial Strategy, Market Access, or Pricing is highly desirable.
* Exceptional communication skills, including the ability to translate technical concepts for nontechnical audiences.
* Strong project management skills with the ability to lead complex initiatives and collaborate across teams.
* High motivation, strong work ethic, and comfort working in a fast paced, deadline driven environment.
* Proficiency with Microsoft Office tools, especially PowerPoint and Excel.
**Compensation and Benefits:**
 The salary range for this position is $112,000 – $210,000 per year, which represents the base pay the company reasonably and in good faith expects to pay for this role. Actual compensation will depend on relevant experience, skills, and qualifications.
 This role is also eligible to participate in the company's annual bonus program, subject to individual and company performance.
 All employees receive standard benefits, including medical, dental, and vision coverage, unlimited paid time off, and participation in the company's 401(k) plan with employer contribution.
**Why we love Definitive, and why you will too!**
* Industry leading products
* Work hard, and have fun doing it
* Incredibly fast growth means limitless opportunity
* Flexible and dynamic culture
* Work alongside some of the most talented and dedicated teammates
* Definitive Cares, our community service group, gives all of us a chance to give back
* Competitive benefits package including great healthcare benefits and a 401(k) match
**What our Employees are saying about us on Glassdoor:**
 "Great Work atmosphere, great work life balance, excellent company to work for, amazing top notch product, incredible customer service, lots of tools to help you succeed."
* Business Development Manager
 "Great team. Amazing growth. Employees are treated very well."
* Research Analyst
 "I have waited 36 years to work at a dream job for a dream company and I am so happy to have finally got there."
* Profile Analyst
***If you don't fit all of these qualifications, but believe you're still a great fit, feel free to apply and tell us why in your cover letter.***
***If you are a California, Colorado, New York City or Washington resident and this role is a remote role, you can receive additional information about the compensation and benefits for this role, which we will provide upon request.***
***Definitive Hiring Philosophy***
*Definitive Healthcare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 growing, exciting working environment – we encourage you to apply!*
***Privacy**
 Your privacy is important to us. Please review our
 **Candidate Privacy Notice** 
 which tells you how we use and process your personal information.*
***Please note:** 
 All communications regarding the hiring process at Definitive Healthcare will come directly from one of our corporate recruiters or coordinators using an @definitivehc.com email address. We do not advertise open roles on Facebook and will never request money transfers or ask candidates to purchase equipment with a promise of reimbursement. If you receive any suspicious communication, please contact careers@definitivehc.com to verify your status in the application process.*</t>
        </is>
      </c>
    </row>
    <row r="71">
      <c r="A71" t="inlineStr">
        <is>
          <t>li-4378470282</t>
        </is>
      </c>
      <c r="B71" t="inlineStr">
        <is>
          <t>AI Data Scientist</t>
        </is>
      </c>
      <c r="C71" t="inlineStr">
        <is>
          <t>FetchJobs.co</t>
        </is>
      </c>
      <c r="D71" t="inlineStr">
        <is>
          <t>linkedin</t>
        </is>
      </c>
      <c r="E71">
        <f>HYPERLINK("https://www.linkedin.com/jobs/view/4378470282", "https://www.linkedin.com/jobs/view/4378470282")</f>
        <v/>
      </c>
      <c r="F71">
        <f>HYPERLINK("https://www.fetchjobs.co/job-description-usg/3077067048?src=LinkedIn&amp;urlHash=NC1P", "https://www.fetchjobs.co/job-description-usg/3077067048?src=LinkedIn&amp;urlHash=NC1P")</f>
        <v/>
      </c>
      <c r="G71" t="inlineStr"/>
      <c r="H71" t="inlineStr"/>
      <c r="I71" t="inlineStr">
        <is>
          <t>**About The Company**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for more information.
**About The Role**
 The Principal, AI Data Scientist will play a pivotal role in supporting the implementation of innovative, complex, and transformative AI, Machine Learning (ML), and Generative AI (GenAI) solutions within Jazz Pharmaceuticals. This position focuses on enhancing clinical trial execution and advancing digital healthcare initiatives across Jazz Research and Development. The successful candidate will collaborate with cross\-functional teams to develop AI\-driven tools that optimize clinical operations, improve patient engagement, and generate real\-world evidence. This role requires a deep understanding of healthcare data, AI technologies, and regulatory standards to ensure solutions are effective, compliant, and aligned with the company's strategic objectives. The Principal AI Data Scientist will also facilitate knowledge sharing within the organization, contributing to the ongoing advancement of AI capabilities across the enterprise.
**Qualifications**
 The ideal candidate will possess an advanced degree (MS or PhD) in Data Science, Computer Science, Biostatistics, or a related field. They should have 3 to 5 years of professional experience, including at least 1 year applying AI/ML techniques specifically to healthcare or clinical research data. Demonstrated experience with generative AI technologies, including large language models (LLMs), is essential. Familiarity with digital healthcare tools, natural language processing (NLP), and the development of AI solutions for medical text analysis and generation is highly desirable. Candidates should have strong programming skills in Python, R, or similar languages, and experience with modern ML frameworks such as PyTorch and TensorFlow. Knowledge of cloud platforms, particularly AWS, along with experience in code version control and MLOps deployment approaches, will be advantageous. Excellent stakeholder management and communication skills, along with the ability to adapt AI solutions to healthcare challenges, are critical for success.
**Responsibilities**
* Support the development and implementation of AI, ML, and GenAI solutions aimed at optimizing clinical trial operations, including patient recruitment, retention, real\-time data monitoring, and automated data collection systems.
* Lead efforts in creating GenAI applications for automating clinical trial documentation such as medical reports, study protocols, and patient narratives to streamline workflows and improve accuracy.
* Design and develop digital healthcare applications that serve as medical and scientific tools, facilitate real\-world evidence generation, and enhance patient engagement strategies.
* Build predictive models and generative AI solutions utilizing diverse healthcare data sources, including clinical trial data, electronic health records, wearable device data, patient\-reported outcomes, and HEOR data.
* Collaborate with multidisciplinary teams across clinical operations, data science, medical affairs, RWE, and patient groups to identify business challenges and deliver AI\-driven solutions that create value.
* Ensure all AI solutions comply with regulatory requirements and data privacy standards, maintaining high ethical and legal standards.
* Promote knowledge sharing within Jazz Data Science teams and across Research and Development to foster innovation and continuous improvement in AI capabilities.
**Benefits**
 Jazz Pharmaceuticals offers a comprehensive benefits package designed to support the health, well\-being, and professional growth of our employees. Successful candidates will be eligible for medical, dental, and vision insurance plans, along with a retirement savings plan to help secure their financial future. We also provide flexible paid vacation policies to promote work\-life balance, along with opportunities for continuous learning and development. Our benefits program is tailored to meet the diverse needs of our global workforce, ensuring that employees feel valued and supported throughout their careers with us.
 Equal Opportunity
 Jazz Pharmaceuticals is an equal opportunity and affirmative action employer. We are committed to fostering an inclusive environment where all qualified applicants receive consideration for employment without regard to race, color, religion, sex, national origin, disability status, protected veteran status, or any characteristic protected by law. We believe diversity enhances our ability to innovate and deliver impactful medicines to patients worldwide. All employment decisions are made based on business needs, job requirements, and individual qualifications.</t>
        </is>
      </c>
    </row>
    <row r="72">
      <c r="A72" t="inlineStr">
        <is>
          <t>li-4376122237</t>
        </is>
      </c>
      <c r="B72" t="inlineStr">
        <is>
          <t>Lead Applied Scientist (IR/NLP &amp; Applied AI)</t>
        </is>
      </c>
      <c r="C72" t="inlineStr">
        <is>
          <t>kadence</t>
        </is>
      </c>
      <c r="D72" t="inlineStr">
        <is>
          <t>linkedin</t>
        </is>
      </c>
      <c r="E72">
        <f>HYPERLINK("https://www.linkedin.com/jobs/view/4376122237", "https://www.linkedin.com/jobs/view/4376122237")</f>
        <v/>
      </c>
      <c r="F72" t="inlineStr"/>
      <c r="G72" t="inlineStr"/>
      <c r="H72" t="inlineStr"/>
      <c r="I72" t="inlineStr">
        <is>
          <t>Kadence Talent is partnered with a global software company, looking for a Lead Applied Scientist to drive breakthrough AI solutions from concept to production. This is a senior technical leadership role for someone who can combine deep research expertise with execution discipline, and deliver systems that create measurable business impact.
 You won’t just experiment. You will architect, build, ship, and scale.
**What You’ll Own** 
* Set technical direction and lead delivery of production\-grade AI systems
* Shape long\-term AI strategy in partnership with business and research leadership
* Architect and implement end\-to\-end IR/NLP solutions \- from modeling and experimentation to deployment and iteration
* Translate ambiguous, high\-stakes problems into scalable AI applications
* Drive cross\-functional alignment across Product, Engineering, UX, and business stakeholders
* Develop deep domain expertise in customer workflows, data, and problem spaces
* Establish high standards for scientific rigor, code quality, and operational excellence
* Mentor and elevate scientists and engineers; scale impact through leadership
* Contribute to the external AI community through research, publications, and conference participation
**What You Bring** 
* PhD in a relevant field, or Master’s with equivalent depth of applied experience
* 7\+ years building and shipping IR/NLP systems in commercial environments
* Demonstrated success delivering production AI systems with measurable outcomes
* Strong software engineering capability \- production code, system design, and delivery pipelines
* A bias toward action: ability to architect and prototype solutions rapidly in focused working sessions
* Experience leading applied research teams and scaling influence across organizations
* Exceptional problem\-solving ability and analytical rigor
* Clear, persuasive communicator who can align technical and non\-technical stakeholders
* Proven success operating in agile, fast\-moving environments with tight feedback loops
**Why this is Interesting** 
* Work at the frontier of applied AI with real\-world impact
* Influence strategy, not just execution
* Flexible work model and strong commitment to work\-life balance
* Competitive compensation and comprehensive benefits
* A culture that values ownership, speed, collaboration, and continuous growth</t>
        </is>
      </c>
    </row>
    <row r="73">
      <c r="A73" t="inlineStr">
        <is>
          <t>li-4366918769</t>
        </is>
      </c>
      <c r="B73" t="inlineStr">
        <is>
          <t>Lead Applied Scientist</t>
        </is>
      </c>
      <c r="C73" t="inlineStr">
        <is>
          <t>kadence</t>
        </is>
      </c>
      <c r="D73" t="inlineStr">
        <is>
          <t>linkedin</t>
        </is>
      </c>
      <c r="E73">
        <f>HYPERLINK("https://www.linkedin.com/jobs/view/4366918769", "https://www.linkedin.com/jobs/view/4366918769")</f>
        <v/>
      </c>
      <c r="F73" t="inlineStr"/>
      <c r="G73" t="inlineStr"/>
      <c r="H73" t="inlineStr"/>
      <c r="I73" t="inlineStr">
        <is>
          <t>**Lead / Senior Applied Scientist (NLP \&amp; Generative AI)** 
**Location:** 
 Hybrid or Remote (U.S. / Canada)
**Level:** 
 Senior–Lead IC (hands\-on technical leadership)
**About the Opportunity** 
 My client is a globally respected, mission\-driven technology company operating at massive scale, with products used daily by millions of professionals around the world. They are investing heavily in applied AI and are building a world\-class research\-to\-production organization focused on turning cutting\-edge NLP and Generative AI into real, customer\-facing impact.
 This team sits at the intersection of research, engineering, and product, not an internal R\&amp;D lab detached from reality. The work here directly shapes flagship products and influences how AI is deployed responsibly in high\-stakes, real\-world settings.
 If you’re excited by applied research, ownership, and shipping meaningful AI systems (not just prototypes), this is a rare chance to do that with scale, resources, and long\-term vision.
**What You’ll Work On** 
 As a Lead / Senior Applied Scientist, you’ll be a technical owner driving end\-to\-end AI solutions, from problem definition through production deployment. Your work will include:
* Designing and delivering NLP and Generative AI systems that power real products
* Building and improving information retrieval, RAG pipelines, LLM\-based workflows, and evaluation frameworks
* Translating ambiguous product or customer needs into well\-scoped ML problems
* Owning model development, experimentation, and optimization with a strong focus on quality, robustness, and measurable impact
* Partnering closely with product managers, engineers, and domain experts to ensure solutions are practical and scalable
* Acting as a technical leader and mentor, raising the bar for applied ML across the organization
* Contributing to longer\-term AI strategy and helping define best practices for responsible, production\-grade AI
 This is a hands\-on role. You’ll be writing code, running experiments, and making architectural decisions while also influencing direction and standards.
**What They’re Looking For** 
 They’re looking for someone who combines deep technical strength with strong applied instincts:
* Strong background in machine learning, NLP, and/or Generative AI
* Experience working with LLMs, retrieval systems, ranking, or search
* Comfortable taking models from concept → experiment → production
* Experience designing evaluation metrics and experiments for complex ML systems
* Strong Python skills and experience with modern ML tooling and frameworks
* Ability to communicate clearly across technical and non\-technical stakeholders
* Prior experience in an applied research or product\-focused ML team is a big plus
 A PhD or research background is valued, but practical impact and ownership matter just as much.
**Why This Role Is Compelling** 
* **Real impact:** 
 Your work ships and is used at scale
* **Serious AI investment:** 
 Long\-term commitment to applied AI, not a side project
* **High\-caliber peers:** 
 You’ll work alongside strong scientists and engineers
* **Autonomy \+ support:** 
 Ownership without chaos
* **Stability with ambition:** 
 Big problems, big data, and the resources to do it right</t>
        </is>
      </c>
    </row>
    <row r="74">
      <c r="A74" t="inlineStr">
        <is>
          <t>li-4378453426</t>
        </is>
      </c>
      <c r="B74" t="inlineStr">
        <is>
          <t>Data Scientist</t>
        </is>
      </c>
      <c r="C74" t="inlineStr">
        <is>
          <t>Haystack</t>
        </is>
      </c>
      <c r="D74" t="inlineStr">
        <is>
          <t>linkedin</t>
        </is>
      </c>
      <c r="E74">
        <f>HYPERLINK("https://www.linkedin.com/jobs/view/4378453426", "https://www.linkedin.com/jobs/view/4378453426")</f>
        <v/>
      </c>
      <c r="F74" t="inlineStr"/>
      <c r="G74" t="inlineStr"/>
      <c r="H74" t="inlineStr"/>
      <c r="I74" t="inlineStr">
        <is>
          <t>**Data Scientist \| Washington, DC \| Hybrid \| $77,600 \- $176,000** 
 We're working with a leading global defense and intelligence consultancy on this exciting opportunity to solve high\-stakes challenges across national security and global health. Use your expertise in Python, machine learning, and predictive modeling to unlock secrets within massive, disparate datasets and drive mission\-critical decision\-making.
 As a Data Scientist, you will sit at the intersection of AI innovation and real\-world impact. You’ll be tasked with transforming structured and unstructured data—ranging from fraud detection patterns to cancer research—into objective answers for elite clients in both the private and public sectors.
**The Role** 
 • Lead data exploration and mining initiatives to find the "information puzzle" pieces within complex, data\-rich client environments.
 • Develop and deploy custom algorithms and automated analytic software using Python, R, and SQL to solve global challenges.
 • Build robust ETL pipelines and data schemas, leveraging APIs to ingest and condition data for large\-scale analysis.
 • Create high\-impact data visualizations and dashboards using tools like Tableau, PowerBI, ArcGIS, and libraries such as Seaborn or Matplotlib.
 • Collaborate with cross\-functional teams to integrate machine learning methods and predictive modeling into production\-ready systems.
**What You'll Need** 
 • Active TS/SCI Clearance (TS/SCI with Polygraph preferred) and a Bachelor’s degree in Data Science or Computer Science (or 4\+ years of relevant experience).
 • Deep proficiency in statistical programming (Python, R, SQL) and version control tools like Git, GitHub, or GitLab.
 • Proven experience in ETL pipeline creation, querying APIs, and designing schemas for complex data storage.
 • Strong knowledge of machine learning methods and the ability to design sophisticated automated analytic techniques.
 • Bonus points for experience with Intelligence Community data (GEOINT, OSINT, SIGINT) and DevOps/CI/CD workflows using Jenkins.
**What's On Offer** 
 • Competitive salary range ($77k \- $176k) with performance\-based recognition awards.
 • Comprehensive wellness coverage including health, life, and disability insurance, plus a robust retirement and financial benefits package.
 • Extensive professional growth opportunities with tuition assistance and specialized internal development programs.
 • People\-first culture featuring hybrid work flexibility and generous paid leave to support your total well\-being.
**Apply via Haystack today!**</t>
        </is>
      </c>
    </row>
    <row r="75">
      <c r="A75" t="inlineStr">
        <is>
          <t>li-4317175529</t>
        </is>
      </c>
      <c r="B75" t="inlineStr">
        <is>
          <t>Senior Data Scientist I</t>
        </is>
      </c>
      <c r="C75" t="inlineStr">
        <is>
          <t>hackajob</t>
        </is>
      </c>
      <c r="D75" t="inlineStr">
        <is>
          <t>linkedin</t>
        </is>
      </c>
      <c r="E75">
        <f>HYPERLINK("https://www.linkedin.com/jobs/view/4317175529", "https://www.linkedin.com/jobs/view/4317175529")</f>
        <v/>
      </c>
      <c r="F75">
        <f>HYPERLINK("https://www.hackajob.com/job/87dbeea6-76d5-11f0-a04e-0a757bd4ac89-senior-data-scientist-i?utm_source=LinkedIn&amp;utm_medium=JobAds&amp;utm_term=Automated&amp;utm_campaign=lexisnexis-senior-data-scientist-i&amp;job_name=senior-data-scientist-i&amp;company=lexisnexis&amp;workplace_type=hybrid&amp;city=raleigh&amp;country=united-states&amp;urlHash=oNeI", "https://www.hackajob.com/job/87dbeea6-76d5-11f0-a04e-0a757bd4ac89-senior-data-scientist-i?utm_source=LinkedIn&amp;utm_medium=JobAds&amp;utm_term=Automated&amp;utm_campaign=lexisnexis-senior-data-scientist-i&amp;job_name=senior-data-scientist-i&amp;company=lexisnexis&amp;workplace_type=hybrid&amp;city=raleigh&amp;country=united-states&amp;urlHash=oNeI")</f>
        <v/>
      </c>
      <c r="G75" t="inlineStr">
        <is>
          <t>Raleigh, NC</t>
        </is>
      </c>
      <c r="H75" t="inlineStr"/>
      <c r="I75" t="inlineStr">
        <is>
          <t>***hackajob** 
 is collaborating with
 **LexisNexis** 
 to connect them with exceptional tech professionals for this role.*
**Job Locations:**
* 100% remote
* If located in Raleigh, NC \- hybrid work schedule
**Base Salary Range**
* $93,400\.00 \- $124,600\.00 \- $155,700\.00 USD
* 10% Annual Bonus Incentive
**Role:** 
 Senior Data Scientist 1
* Masters plus 7\-10 years OR PhD with 6\+ years
**Job Description**
 Do you want to help us build further data science capabilities?
 Are you eager to work on the quality of data sources serving our end\-user products?
**About Our Team**
 LexisNexis Legal \&amp; Professional, which serves customers in more than 150 countries with 11,300 employees worldwide, is part of RELX, a global provider of information\-based analytics and decision tools for professional and business customers.
**About The Role**
 As a Senior Data Scientist, you will become a subject matter expert, defining projects and their execution. You will work closely with other data scientists and engineers to design, develop, and deploy cutting\-edge AI solutions. You will lead AI and machine learning model development, analyze extensive datasets, and guide junior team members.
**Responsibilities**
* Work closely with other data scientists and engineers to design, develop, and deploy AI solutions.
* Lead the development of advanced AI and machine learning models to solve complex business problems.
* Analyze large datasets to identify patterns and trends that can inform AI development.
* Collaborate with cross\-functional teams to ensure AI solutions are aligned with business goals and customer needs.
* Evaluate and create new frameworks, defining methodologies and governance.
* Mentor junior data scientists and provide guidance on AI and machine learning best practices.
* Work with product leaders to apply data science solutions.
* Lead small\- to medium\-sized teams (direct or indirect).
**Requirements**
* Advanced degree or Master’s in Computer Science, Mathematics, Statistics, or related field.
* Experience working directly with large language models and transformer\-based architectures, including BERT, RoBERTa, T5, etc.
* Proficiency with big data technologies and tools like Hadoop, Spark, or AWS.
* Experience applying LLMs including ChatGPT, GPT\-3\.5, Claude, Mistral, etc.
* Strong problem\-solving skills, with the ability to lead and mentor junior data scientists.
* Proficient experience with machine learning algorithms such as deep learning, gradient boosting, and random forests.
* Advanced programming skills in Python, R, or other relevant languages for data analysis.
 Work in a Way That Works for You
 We promote a healthy work/life balance across the organization. With numerous well\-being initiatives, shared parental leave, study assistance, and sabbaticals, we will help you meet both your immediate responsibilities and long\-term goals.
**Examples**
* Flexible working hours \- work when you are most productive.
 Working for You
 We know your well\-being and happiness are key to a long and successful career. Benefits include:
* Health Benefits: Comprehensive, multi\-carrier program for medical, dental, and vision
* Retirement Benefits: 401(k) with match and Employee Share Purchase Plan
* Wellbeing: Wellness platform with incentives, Headspace subscription, Employee Assistance Program, and Time\-off Programs
* Short\- and Long\-term Disability, Life and Accidental Death Insurance, Critical Illness, and Hospital Indemnity
* Family Benefits: Bonding and family care leaves, adoption, and surrogacy benefits
* Health Savings, Health Care, Dependent Care, and Commuter Spending Accounts
* Two days paid leave annually to participate in Employee Resource Groups or volunteer for a charity of your choice
**About The Business**
 LexisNexis Legal \&amp; Professional® provides legal, regulatory, and business information and analytics that help customers increase productivity, improve decision\-making, achieve better outcomes, and advance the rule of law worldwide. As a digital pioneer, the company was the first to bring legal and business information online with its Lexis® and Nexis® services.</t>
        </is>
      </c>
    </row>
    <row r="76">
      <c r="A76" t="inlineStr">
        <is>
          <t>li-4377961921</t>
        </is>
      </c>
      <c r="B76" t="inlineStr">
        <is>
          <t>Lead Data Scientist</t>
        </is>
      </c>
      <c r="C76" t="inlineStr">
        <is>
          <t>Vensure Employer Solutions</t>
        </is>
      </c>
      <c r="D76" t="inlineStr">
        <is>
          <t>linkedin</t>
        </is>
      </c>
      <c r="E76">
        <f>HYPERLINK("https://www.linkedin.com/jobs/view/4377961921", "https://www.linkedin.com/jobs/view/4377961921")</f>
        <v/>
      </c>
      <c r="F76" t="inlineStr"/>
      <c r="G76" t="inlineStr">
        <is>
          <t>Houston, TX</t>
        </is>
      </c>
      <c r="H76" t="inlineStr"/>
      <c r="I76" t="inlineStr">
        <is>
          <t>**Lead Data Scientist** 
**No visa sponsorships supported**
**Open to relocation if someone needs to relocate**
**Must Haves:**
 Project Lead Experience
 Building Data Sets
 Presenting to A\-C level executives
 Must have Cogito experience
 AWS Certification is a MUST
**Technical Foundation:** 
 Machine Learning \&amp; Statistical Modeling: Hands\-on experience building custom ML models (beyond exploratory analysis)
 Programming Proficiency: Python/R (3\-4/5 level), Strong SQL (3\-4/5\+)
 Statistics: Hypothesis testing, A/B testing, advanced statistical methods
 GenAI/LLM Experience: Recent projects with generative AI technologies. Good to have, esp. for Lead.
 Healthcare Systems: EPIC Knowledge , this is a must.
**MINIMUM QUALIFICATIONS**
**Education:** 
 Bachelor’s Degree in science, engineering, computer science, mathematics, statistics, or related STEM field required.
 **Master’s Degree in Data Science preferred.**
**Licenses/Certifications:** 
 (None)
**Experience / Knowledge / Skills:**
* Seven
 **(7\) years** 
 of experience in data science is
 **required**
* Professional experience in
 **hospital setting, medical informatics, healthcare information technology/finance/revenue cycle data management, or Electronic Health Record (EHR) data management is preferred**
* Business analytical skills (process flows, procedures, spreadsheets, modeling, etc.), technical expertise, mathematical skills and good understanding of design and architecture principles are required
* Possesses deep understanding of a variety of machine learning techniques (clustering, decision tree learning, artificial neural networks, etc.) and their real\-world advantages/drawbacks
* Proficient understanding of advanced statistical techniques and concepts (regression, properties of distributions, statistical tests and proper usage, etc.) and experience with applications
* Ability to communicate, gather requirements and execute storytelling with data
* Possesses
 **advanced level knowledge of the data science project life cycle**
* Proficient programming skills in addition to a working knowledge and experience of statistical analysis tools
* Demonstrates proficiency in problem solving, analytical reasoning and decision\-making skills
* Demonstrates proficiency in identifying and seeking needed information to perform problem/situation analysis
* Advanced level of understanding and experience in researching and resolving data issues with a logical, instinctive, and problem\-solving mentality working with large, complex and incomplete sources
* Exhibits strong project management skills, with an ability to work independently on multiple projects with competing priorities and a strong commitment to meeting goals and deadlines
* Advanced understanding of SQL database management tools
* Exceptional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data science methods – time series forecasting, linear regression, A/B testing, statistical testing, Clustering, etc.
* Superior customer service in the form of first\-rate work products and project management
* Strong ability to manage challenging client situations
* Strong ability to troubleshoot and recommend solutions
* Strong ability to translate complex information for a wide range of stakeholders
**PRINCIPAL ACCOUNTABILITIES**
* Leads high priority projects that impact the organization.
* Leads complex issues and problems, and refers more complex issues to higher\-level staff.
* Provides technical supervision/mentoring to other data scientists and trains the broader audience on data science developments.
* Provides leadership, coaching, and/or mentoring to subordinate group.
* Develops custom data models and algorithms to apply to data sets.
* Develops and applies algorithms or models to key business metrics with the goal of improving operations or answering business questions. Provides findings and analysis for use in decision making.
* Performs research, analysis, and modeling on organizational data.
* Maintains existing models and evaluates their goodness of fit.
* Provides in\-depth data insights from structured and unstructured data for complex business problems through use of advanced analytics techniques, predictive modeling, data mining/visualization and pattern analysis tools.
* Develops and tests hypotheses and communicates findings in clear, precise and actionable manner to project and leadership teams.
* Works closely with teams to identify, understand, and resolve data issues and improve efficiency, productivity and scalability of data processes.
* Assists with the evaluation of data science vendors and tools.
* Ensures safe care to patients, staff and visitors; adheres to all Memorial Hermann policies, procedures, and standards within budgetary specifications including time management, supply management, productivity and quality of service.
*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 Demonstrates commitment to caring for every member of our community by creating compassionate and personalized experiences. Models Memorial Hermann’s service standards by providing safe, caring, personalized and efficient experiences to patients and colleagues.
* Other duties as assigned.
**Benefits** 
* Dental Insurance
* Medical Insurance
* Vision Insurance
* Life Insurance
* Retirement
* Equity
* Paid Time Off</t>
        </is>
      </c>
    </row>
    <row r="77">
      <c r="A77" t="inlineStr">
        <is>
          <t>li-4378459289</t>
        </is>
      </c>
      <c r="B77" t="inlineStr">
        <is>
          <t>Data Scientist</t>
        </is>
      </c>
      <c r="C77" t="inlineStr">
        <is>
          <t>hackajob</t>
        </is>
      </c>
      <c r="D77" t="inlineStr">
        <is>
          <t>linkedin</t>
        </is>
      </c>
      <c r="E77">
        <f>HYPERLINK("https://www.linkedin.com/jobs/view/4378459289", "https://www.linkedin.com/jobs/view/4378459289")</f>
        <v/>
      </c>
      <c r="F77">
        <f>HYPERLINK("https://www.hackajob.com/job/9a1c3bdc-12ae-11f1-b544-0a05e249917d-data-scientist?utm_source=LinkedIn&amp;utm_medium=JobAds&amp;utm_term=Automated&amp;utm_campaign=mantech-data-scientist&amp;job_name=data-scientist&amp;company=mantech&amp;workplace_type=on-site&amp;city=chantilly&amp;country=united-states&amp;urlHash=ZxNG", "https://www.hackajob.com/job/9a1c3bdc-12ae-11f1-b544-0a05e249917d-data-scientist?utm_source=LinkedIn&amp;utm_medium=JobAds&amp;utm_term=Automated&amp;utm_campaign=mantech-data-scientist&amp;job_name=data-scientist&amp;company=mantech&amp;workplace_type=on-site&amp;city=chantilly&amp;country=united-states&amp;urlHash=ZxNG")</f>
        <v/>
      </c>
      <c r="G77" t="inlineStr">
        <is>
          <t>Chantilly, VA</t>
        </is>
      </c>
      <c r="H77" t="inlineStr"/>
      <c r="I77" t="inlineStr">
        <is>
          <t>***hackajob** 
 is collaborating with
 **MANTECH** 
 to connect them with exceptional tech professionals for this role.*
 MANTECH seeks a talented Cloud Data Scientist with a strong background in artificial intelligence, data analytics, and cloud technologies to join our Data and AI Practice. This position requires full\-time on\-site presence in Chantilly and/or Herndon, VA. The ideal candidate will have hands\-on experience with cloud data\-focused technology stacks and be proficient in Python, JupyterLab, and modern AI methods. The successful candidate will be responsible for building, deploying, and optimizing machine learning and analytics solutions.
**Responsibilities Include But Are Not Limited To**
* Design, build, and deploy machine learning models and analytics solutions.
* Develop and automate data\-driven pipelines, integrating end\-to\-end in\-database machine learning solutions.
* Use advanced Python programming to implement data preprocessing, modeling, and evaluation in JupyterLab environments.
* Collaborate with cross\-functional teams to understand business requirements and translate them into scalable AI/ML solutions.
* Optimize and monitor model performance, ensuring security and compliance with Oracle best practices.
* Contribute to the adoption of AI/ML best practices and innovative analytics strategies within the organization.
* Create thorough documentation and provide knowledge transfer sessions related to OCI\-based machine learning workflows.
**Minimum Qualifications**
* Must possess a Bachelor’s degree in a related field and at least 8 years of experience relevant to the position including 4 years of consulting experience and 2 years of project management leadership experience.
* Experience working with cloud infrastructure service stacks, including Database, Compute, Object Storage, Identity and Access Management, and Key Management.
* Demonstrated expertise in using database technologies in conjunction with AI/ML and data science frameworks.
* Strong proficiency in Python for data science, including frameworks such as scikit\-learn, pandas, numpy, etc.
* Experience working in JupyterLab environments for collaborative AI and analytics work. Solid background in AI/ML algorithms and workflows.
* Experience with complex data analysis and data science tasks using SQL, including data model design.
* Excellent problem\-solving and communication skills.
**Preferred Qualifications**
* Master’s degree in related field preferred.
* Oracle Cloud certifications (OCI Data Science, ADB, etc.).
* Experience with MLOps practices and DevOps in cloud environments.
* Familiarity with secure cloud architectures and enterprise compliance standards.
* Prior experience working in a global enterprise setting.
**Clearance Requirements**
* Must possess a TS/SCI security clearance with Polygraph
**Physical Requirements**
* The person in this position must be able to remain in a stationary position 50% of the time.
* Occasionally move about inside the office to access file cabinets, office machinery, or to communicate with co\-workers, management, and customers, via email, phone, and or virtual communication, which may involve delivering presentations.</t>
        </is>
      </c>
    </row>
    <row r="78">
      <c r="A78" t="inlineStr">
        <is>
          <t>li-4378466232</t>
        </is>
      </c>
      <c r="B78" t="inlineStr">
        <is>
          <t>Senior Data Scientist II</t>
        </is>
      </c>
      <c r="C78" t="inlineStr">
        <is>
          <t>hackajob</t>
        </is>
      </c>
      <c r="D78" t="inlineStr">
        <is>
          <t>linkedin</t>
        </is>
      </c>
      <c r="E78">
        <f>HYPERLINK("https://www.linkedin.com/jobs/view/4378466232", "https://www.linkedin.com/jobs/view/4378466232")</f>
        <v/>
      </c>
      <c r="F78" t="inlineStr"/>
      <c r="G78" t="inlineStr">
        <is>
          <t>Raleigh, NC</t>
        </is>
      </c>
      <c r="H78" t="inlineStr"/>
      <c r="I78" t="inlineStr">
        <is>
          <t>***hackajob** 
 is collaborating with
 **LexisNexis** 
 to connect them with exceptional tech professionals for this role.*
**Job Locations:**
* 100% remote / if located in Raleigh, NC (hybrid work schedule)
**Base Salary Range**
* $102,800 \- $137,000 \- $171,300 USD Annual
* 10% Annual Bonus Incentive
**Position:** 
 Senior Data Scientist I
* Master’s degree plus 4\-6 years experience OR PhD with 3\+ years experience
**Job Description**
 As a Senior Data Scientist II, you will leverage advanced analytical techniques to extract insights from complex data sets. Your role involves developing and implementing innovative algorithms to drive business decisions and enhance predictive modeling. You will collaborate with cross\-functional teams to identify opportunities for data\-driven solutions, contributing to the company's strategic objectives.
**Responsibilities**
* Leading and conducting advanced data analysis to drive business insights and decision\-making.
* Developing and implementing machine learning algorithms to solve complex business problems.
* Building and maintaining scalable data pipelines and infrastructure for optimal data extraction, transformation, and loading.
* Conducting in\-depth analysis and interpretation of results to provide actionable recommendations to stakeholders.
* Collaborating with cross\-functional teams to identify opportunities for leveraging company data to drive business solutions.
**Requirements**
* Have a master's or doctorate in a quantitative field such as Computer Science, Statistics, or Mathematics.
* Have excellent communication skills and the ability to convey information clearly to a wide audience.
* Be a natural problem solver and able to take a lead in collaborating to resolve issues.
* Have experience in leading complex projects and customer relationships.
* Have substantial experience in a Data Scientist role.
* Be adept at working in a dynamic, collaborative environment with a proficient problem\-solving mindset.
* Be proficient in programming languages such as Python, R, or Java.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2026-03-02T04:50:36Z</dcterms:created>
  <dcterms:modified xsi:type="dcterms:W3CDTF">2026-03-02T04:50:37Z</dcterms:modified>
</cp:coreProperties>
</file>