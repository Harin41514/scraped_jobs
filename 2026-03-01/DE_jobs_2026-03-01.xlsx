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in-21c282a1b08ff772</t>
        </is>
      </c>
      <c r="B2" t="inlineStr">
        <is>
          <t>Data Engineer II, AWS Commerce Platform-ADC</t>
        </is>
      </c>
      <c r="C2" t="inlineStr">
        <is>
          <t>Amazon Web Services</t>
        </is>
      </c>
      <c r="D2" t="inlineStr">
        <is>
          <t>indeed</t>
        </is>
      </c>
      <c r="E2" t="inlineStr"/>
      <c r="F2" t="inlineStr"/>
      <c r="G2" t="inlineStr">
        <is>
          <t>Denver, CO, US</t>
        </is>
      </c>
      <c r="H2" s="1" t="n">
        <v>46078</v>
      </c>
      <c r="I2"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3">
      <c r="A3" t="inlineStr">
        <is>
          <t>in-ad77eee6ea13cd34</t>
        </is>
      </c>
      <c r="B3" t="inlineStr">
        <is>
          <t>Data Engineer II, AWS Commerce Platform-ADC</t>
        </is>
      </c>
      <c r="C3" t="inlineStr">
        <is>
          <t>Amazon Web Services</t>
        </is>
      </c>
      <c r="D3" t="inlineStr">
        <is>
          <t>indeed</t>
        </is>
      </c>
      <c r="E3" t="inlineStr"/>
      <c r="F3" t="inlineStr"/>
      <c r="G3" t="inlineStr">
        <is>
          <t>Herndon, VA, US</t>
        </is>
      </c>
      <c r="H3" s="1" t="n">
        <v>46078</v>
      </c>
      <c r="I3"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4">
      <c r="A4" t="inlineStr">
        <is>
          <t>in-97c610f869c31880</t>
        </is>
      </c>
      <c r="B4" t="inlineStr">
        <is>
          <t>Data Engineer II, AWS Commerce Platform-ADC</t>
        </is>
      </c>
      <c r="C4" t="inlineStr">
        <is>
          <t>Amazon Web Services</t>
        </is>
      </c>
      <c r="D4" t="inlineStr">
        <is>
          <t>indeed</t>
        </is>
      </c>
      <c r="E4" t="inlineStr"/>
      <c r="F4" t="inlineStr"/>
      <c r="G4" t="inlineStr">
        <is>
          <t>Arlington, VA, US</t>
        </is>
      </c>
      <c r="H4" s="1" t="n">
        <v>46078</v>
      </c>
      <c r="I4"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5">
      <c r="A5" t="inlineStr">
        <is>
          <t>in-21940e70e68136f4</t>
        </is>
      </c>
      <c r="B5" t="inlineStr">
        <is>
          <t>Data Engineer II, AWS Commerce Platform-ADC</t>
        </is>
      </c>
      <c r="C5" t="inlineStr">
        <is>
          <t>Amazon Web Services</t>
        </is>
      </c>
      <c r="D5" t="inlineStr">
        <is>
          <t>indeed</t>
        </is>
      </c>
      <c r="E5" t="inlineStr"/>
      <c r="F5" t="inlineStr"/>
      <c r="G5" t="inlineStr">
        <is>
          <t>Seattle, WA, US</t>
        </is>
      </c>
      <c r="H5" s="1" t="n">
        <v>46078</v>
      </c>
      <c r="I5"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6">
      <c r="A6" t="inlineStr">
        <is>
          <t>in-65de08a4cd9aa093</t>
        </is>
      </c>
      <c r="B6" t="inlineStr">
        <is>
          <t>Data Engineer II, AWS Commerce Platform-ADC</t>
        </is>
      </c>
      <c r="C6" t="inlineStr">
        <is>
          <t>Amazon Web Services</t>
        </is>
      </c>
      <c r="D6" t="inlineStr">
        <is>
          <t>indeed</t>
        </is>
      </c>
      <c r="E6" t="inlineStr"/>
      <c r="F6" t="inlineStr"/>
      <c r="G6" t="inlineStr">
        <is>
          <t>Jessup, MD, US</t>
        </is>
      </c>
      <c r="H6" s="1" t="n">
        <v>46078</v>
      </c>
      <c r="I6"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
      <c r="A7" t="inlineStr">
        <is>
          <t>in-919770937e398398</t>
        </is>
      </c>
      <c r="B7" t="inlineStr">
        <is>
          <t>Data Engineer II , UTR PLanning Tech</t>
        </is>
      </c>
      <c r="C7" t="inlineStr">
        <is>
          <t>Amazon.com</t>
        </is>
      </c>
      <c r="D7" t="inlineStr">
        <is>
          <t>indeed</t>
        </is>
      </c>
      <c r="E7" t="inlineStr"/>
      <c r="F7" t="inlineStr"/>
      <c r="G7" t="inlineStr">
        <is>
          <t>Nashville, TN, US</t>
        </is>
      </c>
      <c r="H7" s="1" t="n">
        <v>46070</v>
      </c>
      <c r="I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
      <c r="A8" t="inlineStr">
        <is>
          <t>in-72dacd5294a1c0ee</t>
        </is>
      </c>
      <c r="B8" t="inlineStr">
        <is>
          <t>Data Engineer II , UTR PLanning Tech</t>
        </is>
      </c>
      <c r="C8" t="inlineStr">
        <is>
          <t>Amazon.com</t>
        </is>
      </c>
      <c r="D8" t="inlineStr">
        <is>
          <t>indeed</t>
        </is>
      </c>
      <c r="E8" t="inlineStr"/>
      <c r="F8" t="inlineStr"/>
      <c r="G8" t="inlineStr">
        <is>
          <t>Austin, TX, US</t>
        </is>
      </c>
      <c r="H8" s="1" t="n">
        <v>46070</v>
      </c>
      <c r="I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
      <c r="A9" t="inlineStr">
        <is>
          <t>in-ee92c54769fc0065</t>
        </is>
      </c>
      <c r="B9" t="inlineStr">
        <is>
          <t>Data Engineer II , UTR PLanning Tech</t>
        </is>
      </c>
      <c r="C9" t="inlineStr">
        <is>
          <t>Amazon.com</t>
        </is>
      </c>
      <c r="D9" t="inlineStr">
        <is>
          <t>indeed</t>
        </is>
      </c>
      <c r="E9" t="inlineStr"/>
      <c r="F9" t="inlineStr"/>
      <c r="G9" t="inlineStr">
        <is>
          <t>Bellevue, WA, US</t>
        </is>
      </c>
      <c r="H9" s="1" t="n">
        <v>46070</v>
      </c>
      <c r="I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
      <c r="A10" t="inlineStr">
        <is>
          <t>in-5a045d60f2405325</t>
        </is>
      </c>
      <c r="B10" t="inlineStr">
        <is>
          <t>Data Engineer II, UTR PLanning Tech</t>
        </is>
      </c>
      <c r="C10" t="inlineStr">
        <is>
          <t>Amazon.com</t>
        </is>
      </c>
      <c r="D10" t="inlineStr">
        <is>
          <t>indeed</t>
        </is>
      </c>
      <c r="E10" t="inlineStr"/>
      <c r="F10" t="inlineStr"/>
      <c r="G10" t="inlineStr">
        <is>
          <t>Bellevue, WA, US</t>
        </is>
      </c>
      <c r="H10" s="1" t="n">
        <v>46065</v>
      </c>
      <c r="I1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1">
      <c r="A11" t="inlineStr">
        <is>
          <t>in-28a4fb5b366c8f9d</t>
        </is>
      </c>
      <c r="B11" t="inlineStr">
        <is>
          <t>Data Engineer II, UTR PLanning Tech</t>
        </is>
      </c>
      <c r="C11" t="inlineStr">
        <is>
          <t>Amazon.com</t>
        </is>
      </c>
      <c r="D11" t="inlineStr">
        <is>
          <t>indeed</t>
        </is>
      </c>
      <c r="E11" t="inlineStr"/>
      <c r="F11" t="inlineStr"/>
      <c r="G11" t="inlineStr">
        <is>
          <t>Austin, TX, US</t>
        </is>
      </c>
      <c r="H11" s="1" t="n">
        <v>46065</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
      <c r="A12" t="inlineStr">
        <is>
          <t>in-4accf53e89a9d1d2</t>
        </is>
      </c>
      <c r="B12" t="inlineStr">
        <is>
          <t>Data Engineer II, UTR PLanning Tech</t>
        </is>
      </c>
      <c r="C12" t="inlineStr">
        <is>
          <t>Amazon.com</t>
        </is>
      </c>
      <c r="D12" t="inlineStr">
        <is>
          <t>indeed</t>
        </is>
      </c>
      <c r="E12" t="inlineStr"/>
      <c r="F12" t="inlineStr"/>
      <c r="G12" t="inlineStr">
        <is>
          <t>Nashville, TN, US</t>
        </is>
      </c>
      <c r="H12" s="1" t="n">
        <v>46065</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in-24f73a78a8b5f38f</t>
        </is>
      </c>
      <c r="B13" t="inlineStr">
        <is>
          <t>Software Development Manager, Amazon Security Data Engineering</t>
        </is>
      </c>
      <c r="C13" t="inlineStr">
        <is>
          <t>Amazon.com</t>
        </is>
      </c>
      <c r="D13" t="inlineStr">
        <is>
          <t>indeed</t>
        </is>
      </c>
      <c r="E13" t="inlineStr"/>
      <c r="F13" t="inlineStr"/>
      <c r="G13" t="inlineStr">
        <is>
          <t>San Diego, CA, US</t>
        </is>
      </c>
      <c r="H13" s="1" t="n">
        <v>46063</v>
      </c>
      <c r="I13"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4">
      <c r="A14" t="inlineStr">
        <is>
          <t>in-e99fa66407e0f8db</t>
        </is>
      </c>
      <c r="B14" t="inlineStr">
        <is>
          <t>Software Development Manager, Amazon Security Data Engineering</t>
        </is>
      </c>
      <c r="C14" t="inlineStr">
        <is>
          <t>Amazon.com</t>
        </is>
      </c>
      <c r="D14" t="inlineStr">
        <is>
          <t>indeed</t>
        </is>
      </c>
      <c r="E14" t="inlineStr"/>
      <c r="F14" t="inlineStr"/>
      <c r="G14" t="inlineStr">
        <is>
          <t>Herndon, VA, US</t>
        </is>
      </c>
      <c r="H14" s="1" t="n">
        <v>46063</v>
      </c>
      <c r="I14"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5">
      <c r="A15" t="inlineStr">
        <is>
          <t>in-1ebee0912d14bd72</t>
        </is>
      </c>
      <c r="B15" t="inlineStr">
        <is>
          <t>Data Engineer, AMZL Orbit Data Engineering</t>
        </is>
      </c>
      <c r="C15" t="inlineStr">
        <is>
          <t>Amazon.com</t>
        </is>
      </c>
      <c r="D15" t="inlineStr">
        <is>
          <t>indeed</t>
        </is>
      </c>
      <c r="E15" t="inlineStr"/>
      <c r="F15" t="inlineStr"/>
      <c r="G15" t="inlineStr">
        <is>
          <t>Austin, TX, US</t>
        </is>
      </c>
      <c r="H15" s="1" t="n">
        <v>46054</v>
      </c>
      <c r="I1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6">
      <c r="A16" t="inlineStr">
        <is>
          <t>in-09a7a8432c8185b7</t>
        </is>
      </c>
      <c r="B16" t="inlineStr">
        <is>
          <t>Data Engineer, AMZL Orbit Data Engineering</t>
        </is>
      </c>
      <c r="C16" t="inlineStr">
        <is>
          <t>Amazon.com</t>
        </is>
      </c>
      <c r="D16" t="inlineStr">
        <is>
          <t>indeed</t>
        </is>
      </c>
      <c r="E16" t="inlineStr"/>
      <c r="F16" t="inlineStr"/>
      <c r="G16" t="inlineStr">
        <is>
          <t>Bellevue, WA, US</t>
        </is>
      </c>
      <c r="H16" s="1" t="n">
        <v>46054</v>
      </c>
      <c r="I1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
      <c r="A17" t="inlineStr">
        <is>
          <t>in-fde11ae778374105</t>
        </is>
      </c>
      <c r="B17" t="inlineStr">
        <is>
          <t>Data Engineer, AMZL Orbit Data Engineering</t>
        </is>
      </c>
      <c r="C17" t="inlineStr">
        <is>
          <t>Amazon.com</t>
        </is>
      </c>
      <c r="D17" t="inlineStr">
        <is>
          <t>indeed</t>
        </is>
      </c>
      <c r="E17" t="inlineStr"/>
      <c r="F17" t="inlineStr"/>
      <c r="G17" t="inlineStr">
        <is>
          <t>Nashville, TN, US</t>
        </is>
      </c>
      <c r="H17" s="1" t="n">
        <v>46054</v>
      </c>
      <c r="I1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8">
      <c r="A18" t="inlineStr">
        <is>
          <t>in-0648be12cf9dda12</t>
        </is>
      </c>
      <c r="B18" t="inlineStr">
        <is>
          <t>Data Engineer, Denied Party Screening, AWS Compliance &amp; Security Assurance</t>
        </is>
      </c>
      <c r="C18" t="inlineStr">
        <is>
          <t>Amazon.com</t>
        </is>
      </c>
      <c r="D18" t="inlineStr">
        <is>
          <t>indeed</t>
        </is>
      </c>
      <c r="E18" t="inlineStr"/>
      <c r="F18" t="inlineStr"/>
      <c r="G18" t="inlineStr">
        <is>
          <t>Dallas, TX, US</t>
        </is>
      </c>
      <c r="H18" s="1" t="n">
        <v>46029</v>
      </c>
      <c r="I1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9">
      <c r="A19" t="inlineStr">
        <is>
          <t>in-aa3cc8699194f870</t>
        </is>
      </c>
      <c r="B19" t="inlineStr">
        <is>
          <t>Data Engineer, Denied Party Screening, AWS Compliance &amp; Security Assurance</t>
        </is>
      </c>
      <c r="C19" t="inlineStr">
        <is>
          <t>Amazon.com</t>
        </is>
      </c>
      <c r="D19" t="inlineStr">
        <is>
          <t>indeed</t>
        </is>
      </c>
      <c r="E19" t="inlineStr"/>
      <c r="F19" t="inlineStr"/>
      <c r="G19" t="inlineStr">
        <is>
          <t>Seattle, WA, US</t>
        </is>
      </c>
      <c r="H19" s="1" t="n">
        <v>46029</v>
      </c>
      <c r="I1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
      <c r="A20" t="inlineStr">
        <is>
          <t>in-db290297aabc8697</t>
        </is>
      </c>
      <c r="B20" t="inlineStr">
        <is>
          <t>Data Engineer II, AWS Commerce Platform-ADC</t>
        </is>
      </c>
      <c r="C20" t="inlineStr">
        <is>
          <t>Amazon Web Services</t>
        </is>
      </c>
      <c r="D20" t="inlineStr">
        <is>
          <t>indeed</t>
        </is>
      </c>
      <c r="E20" t="inlineStr"/>
      <c r="F20" t="inlineStr"/>
      <c r="G20" t="inlineStr">
        <is>
          <t>Jessup, MD, US</t>
        </is>
      </c>
      <c r="H20" s="1" t="n">
        <v>46078</v>
      </c>
      <c r="I20"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1">
      <c r="A21" t="inlineStr">
        <is>
          <t>in-f4690863585c7364</t>
        </is>
      </c>
      <c r="B21" t="inlineStr">
        <is>
          <t>Data Engineer II, AWS Commerce Platform-ADC</t>
        </is>
      </c>
      <c r="C21" t="inlineStr">
        <is>
          <t>Amazon Web Services</t>
        </is>
      </c>
      <c r="D21" t="inlineStr">
        <is>
          <t>indeed</t>
        </is>
      </c>
      <c r="E21" t="inlineStr"/>
      <c r="F21" t="inlineStr"/>
      <c r="G21" t="inlineStr">
        <is>
          <t>Herndon, VA, US</t>
        </is>
      </c>
      <c r="H21" s="1" t="n">
        <v>46078</v>
      </c>
      <c r="I21"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2">
      <c r="A22" t="inlineStr">
        <is>
          <t>in-6cd37b0da97fa1e5</t>
        </is>
      </c>
      <c r="B22" t="inlineStr">
        <is>
          <t>Data Engineer II, AWS Commerce Platform-ADC</t>
        </is>
      </c>
      <c r="C22" t="inlineStr">
        <is>
          <t>Amazon Web Services</t>
        </is>
      </c>
      <c r="D22" t="inlineStr">
        <is>
          <t>indeed</t>
        </is>
      </c>
      <c r="E22" t="inlineStr"/>
      <c r="F22" t="inlineStr"/>
      <c r="G22" t="inlineStr">
        <is>
          <t>Denver, CO, US</t>
        </is>
      </c>
      <c r="H22" s="1" t="n">
        <v>46078</v>
      </c>
      <c r="I22"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3">
      <c r="A23" t="inlineStr">
        <is>
          <t>in-5480d8b2530a8e2b</t>
        </is>
      </c>
      <c r="B23" t="inlineStr">
        <is>
          <t>Data Engineer II, AWS Commerce Platform-ADC</t>
        </is>
      </c>
      <c r="C23" t="inlineStr">
        <is>
          <t>Amazon Web Services</t>
        </is>
      </c>
      <c r="D23" t="inlineStr">
        <is>
          <t>indeed</t>
        </is>
      </c>
      <c r="E23" t="inlineStr"/>
      <c r="F23" t="inlineStr"/>
      <c r="G23" t="inlineStr">
        <is>
          <t>Seattle, WA, US</t>
        </is>
      </c>
      <c r="H23" s="1" t="n">
        <v>46078</v>
      </c>
      <c r="I23"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4">
      <c r="A24" t="inlineStr">
        <is>
          <t>in-e5136e60baa0cfe3</t>
        </is>
      </c>
      <c r="B24" t="inlineStr">
        <is>
          <t>Data Engineer II, AWS Commerce Platform-ADC</t>
        </is>
      </c>
      <c r="C24" t="inlineStr">
        <is>
          <t>Amazon Web Services</t>
        </is>
      </c>
      <c r="D24" t="inlineStr">
        <is>
          <t>indeed</t>
        </is>
      </c>
      <c r="E24" t="inlineStr"/>
      <c r="F24" t="inlineStr"/>
      <c r="G24" t="inlineStr">
        <is>
          <t>Arlington, VA, US</t>
        </is>
      </c>
      <c r="H24" s="1" t="n">
        <v>46078</v>
      </c>
      <c r="I24" t="inlineStr">
        <is>
          <t>**DESCRIPTION**
---------------
Application deadline: Mar 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25">
      <c r="A25" t="inlineStr">
        <is>
          <t>in-ee6a6cd0019d17e4</t>
        </is>
      </c>
      <c r="B25" t="inlineStr">
        <is>
          <t>Data Engineer II , UTR PLanning Tech</t>
        </is>
      </c>
      <c r="C25" t="inlineStr">
        <is>
          <t>Amazon.com</t>
        </is>
      </c>
      <c r="D25" t="inlineStr">
        <is>
          <t>indeed</t>
        </is>
      </c>
      <c r="E25" t="inlineStr"/>
      <c r="F25" t="inlineStr"/>
      <c r="G25" t="inlineStr">
        <is>
          <t>Nashville, TN, US</t>
        </is>
      </c>
      <c r="H25" s="1" t="n">
        <v>46070</v>
      </c>
      <c r="I2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6">
      <c r="A26" t="inlineStr">
        <is>
          <t>in-b2682c9f1c2acfd9</t>
        </is>
      </c>
      <c r="B26" t="inlineStr">
        <is>
          <t>Data Engineer II , UTR PLanning Tech</t>
        </is>
      </c>
      <c r="C26" t="inlineStr">
        <is>
          <t>Amazon.com</t>
        </is>
      </c>
      <c r="D26" t="inlineStr">
        <is>
          <t>indeed</t>
        </is>
      </c>
      <c r="E26" t="inlineStr"/>
      <c r="F26" t="inlineStr"/>
      <c r="G26" t="inlineStr">
        <is>
          <t>Bellevue, WA, US</t>
        </is>
      </c>
      <c r="H26" s="1" t="n">
        <v>46070</v>
      </c>
      <c r="I2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7">
      <c r="A27" t="inlineStr">
        <is>
          <t>in-8442475200b09bff</t>
        </is>
      </c>
      <c r="B27" t="inlineStr">
        <is>
          <t>Data Engineer II , UTR PLanning Tech</t>
        </is>
      </c>
      <c r="C27" t="inlineStr">
        <is>
          <t>Amazon.com</t>
        </is>
      </c>
      <c r="D27" t="inlineStr">
        <is>
          <t>indeed</t>
        </is>
      </c>
      <c r="E27" t="inlineStr"/>
      <c r="F27" t="inlineStr"/>
      <c r="G27" t="inlineStr">
        <is>
          <t>Austin, TX, US</t>
        </is>
      </c>
      <c r="H27" s="1" t="n">
        <v>46070</v>
      </c>
      <c r="I2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8">
      <c r="A28" t="inlineStr">
        <is>
          <t>in-8129bd9a1b396ce3</t>
        </is>
      </c>
      <c r="B28" t="inlineStr">
        <is>
          <t>Data Engineer II, UTR PLanning Tech</t>
        </is>
      </c>
      <c r="C28" t="inlineStr">
        <is>
          <t>Amazon.com</t>
        </is>
      </c>
      <c r="D28" t="inlineStr">
        <is>
          <t>indeed</t>
        </is>
      </c>
      <c r="E28" t="inlineStr"/>
      <c r="F28" t="inlineStr"/>
      <c r="G28" t="inlineStr">
        <is>
          <t>Austin, TX, US</t>
        </is>
      </c>
      <c r="H28" s="1" t="n">
        <v>46065</v>
      </c>
      <c r="I2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9">
      <c r="A29" t="inlineStr">
        <is>
          <t>in-2ba91f85710acbd8</t>
        </is>
      </c>
      <c r="B29" t="inlineStr">
        <is>
          <t>Data Engineer II, UTR PLanning Tech</t>
        </is>
      </c>
      <c r="C29" t="inlineStr">
        <is>
          <t>Amazon.com</t>
        </is>
      </c>
      <c r="D29" t="inlineStr">
        <is>
          <t>indeed</t>
        </is>
      </c>
      <c r="E29" t="inlineStr"/>
      <c r="F29" t="inlineStr"/>
      <c r="G29" t="inlineStr">
        <is>
          <t>Bellevue, WA, US</t>
        </is>
      </c>
      <c r="H29" s="1" t="n">
        <v>46065</v>
      </c>
      <c r="I2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0">
      <c r="A30" t="inlineStr">
        <is>
          <t>in-1ac745c7971bdb03</t>
        </is>
      </c>
      <c r="B30" t="inlineStr">
        <is>
          <t>Data Engineer II, UTR PLanning Tech</t>
        </is>
      </c>
      <c r="C30" t="inlineStr">
        <is>
          <t>Amazon.com</t>
        </is>
      </c>
      <c r="D30" t="inlineStr">
        <is>
          <t>indeed</t>
        </is>
      </c>
      <c r="E30" t="inlineStr"/>
      <c r="F30" t="inlineStr"/>
      <c r="G30" t="inlineStr">
        <is>
          <t>Nashville, TN, US</t>
        </is>
      </c>
      <c r="H30" s="1" t="n">
        <v>46065</v>
      </c>
      <c r="I3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31">
      <c r="A31" t="inlineStr">
        <is>
          <t>in-b35140b737e0a2fb</t>
        </is>
      </c>
      <c r="B31" t="inlineStr">
        <is>
          <t>Software Development Manager, Amazon Security Data Engineering</t>
        </is>
      </c>
      <c r="C31" t="inlineStr">
        <is>
          <t>Amazon.com</t>
        </is>
      </c>
      <c r="D31" t="inlineStr">
        <is>
          <t>indeed</t>
        </is>
      </c>
      <c r="E31" t="inlineStr"/>
      <c r="F31" t="inlineStr"/>
      <c r="G31" t="inlineStr">
        <is>
          <t>San Diego, CA, US</t>
        </is>
      </c>
      <c r="H31" s="1" t="n">
        <v>46063</v>
      </c>
      <c r="I31"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32">
      <c r="A32" t="inlineStr">
        <is>
          <t>in-805de730205b6ff6</t>
        </is>
      </c>
      <c r="B32" t="inlineStr">
        <is>
          <t>Software Development Manager, Amazon Security Data Engineering</t>
        </is>
      </c>
      <c r="C32" t="inlineStr">
        <is>
          <t>Amazon.com</t>
        </is>
      </c>
      <c r="D32" t="inlineStr">
        <is>
          <t>indeed</t>
        </is>
      </c>
      <c r="E32" t="inlineStr"/>
      <c r="F32" t="inlineStr"/>
      <c r="G32" t="inlineStr">
        <is>
          <t>Herndon, VA, US</t>
        </is>
      </c>
      <c r="H32" s="1" t="n">
        <v>46063</v>
      </c>
      <c r="I32"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33">
      <c r="A33" t="inlineStr">
        <is>
          <t>in-43dba8e4ac563083</t>
        </is>
      </c>
      <c r="B33" t="inlineStr">
        <is>
          <t>Data Engineer, AMZL Orbit Data Engineering</t>
        </is>
      </c>
      <c r="C33" t="inlineStr">
        <is>
          <t>Amazon.com</t>
        </is>
      </c>
      <c r="D33" t="inlineStr">
        <is>
          <t>indeed</t>
        </is>
      </c>
      <c r="E33" t="inlineStr"/>
      <c r="F33" t="inlineStr"/>
      <c r="G33" t="inlineStr">
        <is>
          <t>Nashville, TN, US</t>
        </is>
      </c>
      <c r="H33" s="1" t="n">
        <v>46054</v>
      </c>
      <c r="I3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4">
      <c r="A34" t="inlineStr">
        <is>
          <t>in-a6d1c9c8a33645d6</t>
        </is>
      </c>
      <c r="B34" t="inlineStr">
        <is>
          <t>Data Engineer, AMZL Orbit Data Engineering</t>
        </is>
      </c>
      <c r="C34" t="inlineStr">
        <is>
          <t>Amazon.com</t>
        </is>
      </c>
      <c r="D34" t="inlineStr">
        <is>
          <t>indeed</t>
        </is>
      </c>
      <c r="E34" t="inlineStr"/>
      <c r="F34" t="inlineStr"/>
      <c r="G34" t="inlineStr">
        <is>
          <t>Austin, TX, US</t>
        </is>
      </c>
      <c r="H34" s="1" t="n">
        <v>46054</v>
      </c>
      <c r="I3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5">
      <c r="A35" t="inlineStr">
        <is>
          <t>in-e1640ae3264c6e3e</t>
        </is>
      </c>
      <c r="B35" t="inlineStr">
        <is>
          <t>Data Engineer, AMZL Orbit Data Engineering</t>
        </is>
      </c>
      <c r="C35" t="inlineStr">
        <is>
          <t>Amazon.com</t>
        </is>
      </c>
      <c r="D35" t="inlineStr">
        <is>
          <t>indeed</t>
        </is>
      </c>
      <c r="E35" t="inlineStr"/>
      <c r="F35" t="inlineStr"/>
      <c r="G35" t="inlineStr">
        <is>
          <t>Bellevue, WA, US</t>
        </is>
      </c>
      <c r="H35" s="1" t="n">
        <v>46054</v>
      </c>
      <c r="I3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6">
      <c r="A36" t="inlineStr">
        <is>
          <t>in-720b23246ebb9eb3</t>
        </is>
      </c>
      <c r="B36" t="inlineStr">
        <is>
          <t>Data Engineer, Denied Party Screening, AWS Compliance &amp; Security Assurance</t>
        </is>
      </c>
      <c r="C36" t="inlineStr">
        <is>
          <t>Amazon.com</t>
        </is>
      </c>
      <c r="D36" t="inlineStr">
        <is>
          <t>indeed</t>
        </is>
      </c>
      <c r="E36" t="inlineStr"/>
      <c r="F36" t="inlineStr"/>
      <c r="G36" t="inlineStr">
        <is>
          <t>Seattle, WA, US</t>
        </is>
      </c>
      <c r="H36" s="1" t="n">
        <v>46029</v>
      </c>
      <c r="I3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7">
      <c r="A37" t="inlineStr">
        <is>
          <t>in-e5f9c855e717c58e</t>
        </is>
      </c>
      <c r="B37" t="inlineStr">
        <is>
          <t>Data Engineer, Denied Party Screening, AWS Compliance &amp; Security Assurance</t>
        </is>
      </c>
      <c r="C37" t="inlineStr">
        <is>
          <t>Amazon.com</t>
        </is>
      </c>
      <c r="D37" t="inlineStr">
        <is>
          <t>indeed</t>
        </is>
      </c>
      <c r="E37" t="inlineStr"/>
      <c r="F37" t="inlineStr"/>
      <c r="G37" t="inlineStr">
        <is>
          <t>Dallas, TX, US</t>
        </is>
      </c>
      <c r="H37" s="1" t="n">
        <v>46029</v>
      </c>
      <c r="I3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8">
      <c r="A38" t="inlineStr">
        <is>
          <t>in-2909a0a9230bb0d9</t>
        </is>
      </c>
      <c r="B38" t="inlineStr">
        <is>
          <t>Staff Data Engineer, Data Science Platform</t>
        </is>
      </c>
      <c r="C38" t="inlineStr">
        <is>
          <t>NVIDIA</t>
        </is>
      </c>
      <c r="D38" t="inlineStr">
        <is>
          <t>indeed</t>
        </is>
      </c>
      <c r="E38">
        <f>HYPERLINK("https://www.indeed.com/viewjob?jk=2909a0a9230bb0d9", "https://www.indeed.com/viewjob?jk=2909a0a9230bb0d9")</f>
        <v/>
      </c>
      <c r="F38">
        <f>HYPERLINK("https://nvidia.wd5.myworkdayjobs.com/en-US/NVIDIAExternalCareerSite/job/US-CA-Santa-Clara/Staff-Data-Engineer--Data-Science-Platform_JR2014090", "https://nvidia.wd5.myworkdayjobs.com/en-US/NVIDIAExternalCareerSite/job/US-CA-Santa-Clara/Staff-Data-Engineer--Data-Science-Platform_JR2014090")</f>
        <v/>
      </c>
      <c r="G38" t="inlineStr">
        <is>
          <t>Santa Clara, CA, US</t>
        </is>
      </c>
      <c r="H38" s="2" t="n">
        <v>46081</v>
      </c>
      <c r="I38" t="inlineStr">
        <is>
          <t>At NVIDIA, we pride ourselves on data\-driven decision\-making, and the data science team is at the heart of this initiative. Be part of a team redefining the future of technology with AI. We are looking for an excellent Staff Data engineer with extensive data engineering experience for our data science platform supporting NVIDIA's cloud platform services. Our data science platform serves as the basis for advanced real time data analytics, streaming, data lake, accelerated data processing and MLOps for NVIDIA's cloud services.
What you'll be doing:* Crafting and implementing data platforms that are both scalable and reliable, ensuring flawless performance and robust data processing.
* Design and build data Lakehouse architecture for our customers
* Design and develop enterprise data governance solutions that enable secure, simplified data sharing across the organization.
* Build data engineering agents to optimize and automate data workflows for efficiency and scalability.
* Collaborating with cross\-functional teams to determine the best solutions and successfully implement data\-driven strategies.
* Partner with our other engineering and business teams to integrate your amazing innovations and algorithms into our production systems.
What we need to see:* A Bachelor's degree or equivalent experience in Computer Science, Engineering, or a related field.
* 8\+ years of proven experience in data engineering, with a strong focus on data science platforms.
* Experience owning and architecting peta\-byte scale data platforms.
* Passion about Big data and large scale distributed systems.
* Experience working with Hadoop, Spark and Trino compute and expertise with open table format such as delta lake and/or iceberg etc.
* Expertise in crafting and deploying distributed data lake architectures with integrated data catalogs.
* Excellent SW development skills in one or more: Java/Scala/Python/Go.
Ways to stand out from the crowd:* Contributions to open source
* Experience with operating large scale distributed systems with strong SLAs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li-4120825575</t>
        </is>
      </c>
      <c r="B2" t="inlineStr">
        <is>
          <t>Data Engineer, Product Analytics</t>
        </is>
      </c>
      <c r="C2" t="inlineStr">
        <is>
          <t>Meta</t>
        </is>
      </c>
      <c r="D2" t="inlineStr">
        <is>
          <t>linkedin</t>
        </is>
      </c>
      <c r="E2" t="inlineStr"/>
      <c r="F2" t="inlineStr"/>
      <c r="G2" t="inlineStr"/>
      <c r="H2" t="inlineStr"/>
      <c r="I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li-4120822741</t>
        </is>
      </c>
      <c r="B3" t="inlineStr">
        <is>
          <t>Data Engineer, Product Analytics</t>
        </is>
      </c>
      <c r="C3" t="inlineStr">
        <is>
          <t>Meta</t>
        </is>
      </c>
      <c r="D3" t="inlineStr">
        <is>
          <t>linkedin</t>
        </is>
      </c>
      <c r="E3" t="inlineStr"/>
      <c r="F3" t="inlineStr"/>
      <c r="G3" t="inlineStr">
        <is>
          <t>San Francisco, CA</t>
        </is>
      </c>
      <c r="H3" t="inlineStr"/>
      <c r="I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li-4318538945</t>
        </is>
      </c>
      <c r="B4" t="inlineStr">
        <is>
          <t>Data Engineer</t>
        </is>
      </c>
      <c r="C4" t="inlineStr">
        <is>
          <t>Mercor</t>
        </is>
      </c>
      <c r="D4" t="inlineStr">
        <is>
          <t>linkedin</t>
        </is>
      </c>
      <c r="E4" t="inlineStr"/>
      <c r="F4" t="inlineStr"/>
      <c r="G4" t="inlineStr">
        <is>
          <t>San Francisco, CA</t>
        </is>
      </c>
      <c r="H4" t="inlineStr"/>
      <c r="I4" t="inlineStr">
        <is>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$2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We’re looking for someone who wants to bring a full\-stack perspective to data. As a Software Engineer supporting our Data function, you will be responsible for creating and maintaining pipelines that enable our Data Science, Engineering, and Product teams, and the wider Mercor organization.
 Your focus will be on data reliability, availability, and timeliness, with a focus on collaboration (and significant operational crossover with) our Data Science team and the many partner functions.
**What You’ll Work On**
* Building robust pipelines to ingest, transform, and consolidate data from diverse sources (e.g., MongoDB, Airtable, PostHog, production databases).
* Designing dbt models and transformations to standardize and unify many disparate tables into clean, production\-ready schemas.
* Implementing scalable, fault\-tolerant data workflows with Fivetran, dbt, SQL, and Python.
* Partnering with engineers, data scientists, and business stakeholders to ensure data availability, accuracy, and usability.
* Owning data quality and reliability across the stack, from ingestion through to consumption.
* Continuously improving pipeline performance, monitoring, and scalability.
**What We’re Looking For**
* Proven experience in data engineering, with strong knowledge of SQL, Python, and modern data stack tools (Fivetran, dbt, Snowflake or similar).
* Experience building and maintaining large\-scale ETL/ELT pipelines across heterogeneous sources (databases, analytics platforms, SaaS tools).
* Strong understanding of data modeling, schema design, and transformation best practices.
* Familiarity with data governance, monitoring, and quality assurance.
* Comfort working cross\-functionally with engineering, product, and operations teams.
* Bonus: prior experience supporting machine learning workflows or analytics platforms.
**Why Mercor**
* Impact: Your work powers how the world’s leading AI labs train and test their models.
* Learning: Get early insights into frontier model capabilities months before the market.
* Growth: Work on both infrastructure and research\-adjacent projects with fast paths to ownership.
**Benefits**
* Generous equity grant vested over 4 years
* A $20K relocation bonus (if moving to the Bay Area)
* A $10K housing bonus (if you live within 0\.5 miles of our office)
* A $1K monthly stipend for meals
* Free Equinox membership
* Health insurance
 Compensation Range: $130K \- $500K</t>
        </is>
      </c>
    </row>
    <row r="5">
      <c r="A5" t="inlineStr">
        <is>
          <t>li-4378450100</t>
        </is>
      </c>
      <c r="B5" t="inlineStr">
        <is>
          <t>Graduate Data Platform Engineer</t>
        </is>
      </c>
      <c r="C5" t="inlineStr">
        <is>
          <t>Today Digital</t>
        </is>
      </c>
      <c r="D5" t="inlineStr">
        <is>
          <t>linkedin</t>
        </is>
      </c>
      <c r="E5" t="inlineStr"/>
      <c r="F5" t="inlineStr"/>
      <c r="G5" t="inlineStr">
        <is>
          <t>Manchester, IN</t>
        </is>
      </c>
      <c r="H5" t="inlineStr"/>
      <c r="I5" t="inlineStr">
        <is>
          <t>**About Techtelligence**
 Techtelligence is Today Digital’s next\-generation market intelligence platform, designed to turn first\-party editorial data, behavioural signals, intent data, and expert insight into practical intelligence for technology buyers and vendors.
 The platform underpins UC Today, CX Today, and Today Digital’s emerging data and research products — including insight reports, buyer intelligence, dashboards, surveys, and commercial intelligence offerings.
 Role Overview
 You will help build the data backbone of
 **Techtelligence** 
 .
 This role sits at the intersection of
 **data engineering** 
 and
 **analytics engineering** 
 — transforming raw datasets into structured, production\-ready intelligence assets.
 You will work directly on
 **BigQuery** 
 architecture, curated data models, and transformation logic.
 What You’ll Be Doing
 Data Modelling
* Build curated transformation tables
* Standardise schemas
* Create reusable SQL views
* Implement snapshot logic for trend tracking
 Pipeline Support
* Improve ingestion processes
* Help structure API imports
* Support version\-controlled SQL workflows
 Platform Development
* Help implement dbt or structured transformation frameworks
* Build logic for topic scoring and intent modelling
* Contribute to Signals Index development
 What We’re Looking For
* Recent graduate (Computer Science / Data Engineering / Software Engineering)
* Strong SQL fundamentals
* Understanding of data warehousing concepts
* Experience with Git
* Comfortable learning GCP / BigQuery
* Has built a project beyond coursework (portfolio matters)
 Bonus
* dbt exposure
* Python basics
* Experience with APIs
 ﻿</t>
        </is>
      </c>
    </row>
    <row r="6">
      <c r="A6" t="inlineStr">
        <is>
          <t>li-4359141046</t>
        </is>
      </c>
      <c r="B6" t="inlineStr">
        <is>
          <t>Senior Analytics Engineer</t>
        </is>
      </c>
      <c r="C6" t="inlineStr">
        <is>
          <t>Reddit, Inc.</t>
        </is>
      </c>
      <c r="D6" t="inlineStr">
        <is>
          <t>linkedin</t>
        </is>
      </c>
      <c r="E6" t="inlineStr"/>
      <c r="F6" t="inlineStr"/>
      <c r="G6" t="inlineStr"/>
      <c r="H6" t="inlineStr"/>
      <c r="I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Reddit has a flexible workforce! If you happen to live close to one of our physical office locations, our doors are open so you can come into the office as often as you'd like. Don't live near one of our offices? No worries: You can apply to work remotely in any country in which we have a physical presence
 We are looking for a talented and driven individual to be a key part of our Analytics Engineering team within the Data Science organization, focused on the Sales and Marketing domain. We are looking for someone who can work closely with Data Scientists and members of Sales and Marketing cross\-functional teams to curate, develop, and deploy the right data and analytic tooling to drive Reddit’s business forward and provide a data and tooling foundation that will last decades. Your work will empower thousands of your colleagues to grow our Sales and Marketing reach.
 Successful candidates have a strong track record of understanding and deeply caring about the purpose of data to support business goals, and can act as an effective conduit between Data Producers and Data Consumers. This role sits at the intersection of Data Science and Data Engineering, and the ideal candidate has skills, experience, and passion in both areas.
**Responsibilities**
* Be the Analytics Engineering lead within the Sales and Marketing organization and a key contributor to the success of Data Science data quality, performance, and automation initiatives.
* Be the data steward for Sales and Marketing: architect and improve the collection of underlying data while also creating ETLs, reporting dashboards, data aggregations and other deliverables needed for business tracking, advertiser outreach and acquisition, marketing campaigns, and other data\-driven activities.
* Develop and maintain robust data pipelines and workflows for data ingestion, processing, and transformation. Work closely with engineering to ensure the quality and reliability of these data pipelines.
* Create user\-friendly tools and applications for internal use across Data Science and cross\-functional teams, streamlining data analysis and reporting processes. Drive widespread adoption of these tools and applications with a relentless focus on automation, consistency, and reliability.
* Lead transformational efforts to build a data\-driven culture at Reddit by enabling data self\-service.
* Provide technical guidance, mentorship, coaching and/or training to data scientists and other technical partners.
* Serve as a thought partner for data scientists, engineering managers, and leadership on data foundations, communicating and shaping the data foundations roadmap and strategy for Reddit.
**Required Qualifications**
* Advanced degree in a quantitative discipline such as statistics, operations research, computer science, applied mathematics, economics, or physics
* For M.S. holders: 5\+ years of industry experience working with large\-scale ETL systems (implementation, strategy, and maintenance), building clean, maintainable, code and systems (Python preferred) in a production environment.
* For Ph.D. holders: 4\+ years of industry experience working with large\-scale ETL systems (implementation, strategy, and maintenance), building clean, maintainable, code and systems (Python preferred) in a production environment.
* Experience working in Sales and Marketing domains.
* Strong programming proficiency in Python, SQL, Spark, Scala, etc.
* Experience with data modeling, ETL and ELT concepts, and patterns for efficient data governance. Experience with manipulating massive\-scale structured and unstructured data.
* Experience with data workflows (such as Airflow), data modeling, front\-end or back\-end engineering.
* Experience in data visualization and dashboard design, including tools such as Looker, Tableau, R visualization packages, streamlit, D3, and other libraries, etc.
* Deep understanding of technical and functional designs for relational and MPP Databases.
* Proven track record of cross\-functional execution and collaboration. Excellent communication skills to collaborate with cross\-functional stakeholders at all levels of the company, of differing levels of technical acumen.
* Experience in mentoring junior data scientists and analytics engineers.
* Self\-starter, ability to work independently and autonomously, as well as part of a team.
**Nice To Have**
* Sales and Marketing domain experience
* Past experience collaborating closely with data scientists, sales, and marketing managers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7">
      <c r="A7" t="inlineStr">
        <is>
          <t>li-4336163653</t>
        </is>
      </c>
      <c r="B7" t="inlineStr">
        <is>
          <t>Sr. Data Engineer</t>
        </is>
      </c>
      <c r="C7" t="inlineStr">
        <is>
          <t>MFS Investment Management</t>
        </is>
      </c>
      <c r="D7" t="inlineStr">
        <is>
          <t>linkedin</t>
        </is>
      </c>
      <c r="E7" t="inlineStr"/>
      <c r="F7" t="inlineStr"/>
      <c r="G7" t="inlineStr">
        <is>
          <t>Boston, MA</t>
        </is>
      </c>
      <c r="H7" t="inlineStr"/>
      <c r="I7"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$95,500 \- $137,500
 This position is eligible for competitive incentive bonus.
**Education**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8">
      <c r="A8" t="inlineStr">
        <is>
          <t>li-4137617991</t>
        </is>
      </c>
      <c r="B8" t="inlineStr">
        <is>
          <t>Staff Analytics Engineer</t>
        </is>
      </c>
      <c r="C8" t="inlineStr">
        <is>
          <t>Zocdoc</t>
        </is>
      </c>
      <c r="D8" t="inlineStr">
        <is>
          <t>linkedin</t>
        </is>
      </c>
      <c r="E8" t="inlineStr"/>
      <c r="F8" t="inlineStr"/>
      <c r="G8" t="inlineStr">
        <is>
          <t>New York, NY</t>
        </is>
      </c>
      <c r="H8" t="inlineStr"/>
      <c r="I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Zocdoc is seeking a Staff Analytics Engineer to join a centralized team responsible for defining, creating, and maintaining a scalable and robust analytics layer that powers Zocdoc’s strategic analytics, operations, and reporting capabilities. As a Staff\-level member, you'll lead the design and implementation of complex data transformations and production\-grade data models, establishing standardized datasets that drive critical decision\-making across the organization. Collaborating closely with Product Management, Product Engineering, Data Engineering, and Analytics teams, you'll ensure data solutions are strategically aligned, efficient, and consistently reliable, enabling teams across Zocdoc to rapidly gain meaningful insights from high\-quality data.
**You’ll enjoy this role if you are…**
* Excited about designing and building strategic data products that drive impactful outcomes across the entire organization
* Passionate about solving complex, high\-impact problems using data and analytics at scale
* Committed to setting a high bar for technical excellence and continuously improving whatever you're working on
* A collaborative leader who enjoys working cross\-functionally in a supportive and highly cooperative environment
* Enthusiastic about architecting scalable data solutions using cutting\-edge technologies to support long\-term business strategies
**Your day to day is…**
* Defining and enabling trusted, strategic datasets and analytics solutions that empower data consumers to quickly and reliably gain insights at scale
* Leading efforts to enhance self\-serve analytics across the organization through advanced administration, adoption strategies, and training for analytics tools (Looker and Amplitude)
* Partnering strategically with analysts, product managers, and product engineers to ensure the analytics infrastructure meets evolving business requirements and is robust and maintainable
* Architecting and developing production\-grade data transformations and models using SQL, DBT, and Dagster, ensuring optimal performance, maintainability, scalability, and reliability
* Collaborating closely with data engineering on strategic infrastructure initiatives to enhance data ingestion, processing pipelines, and integration of new data sources
* Driving the establishment and continuous improvement of standards around data governance, security, privacy, quality, and retention, influencing best practices across the organization
**You’ll be successful in this role if you have…**
* 6\+ years of experience as an analytics engineer, data engineer, or similar role
* 3\+ years of experience using DBT \&amp; DBT Core, with a strong understanding of data modeling and data warehousing concepts
* Expertise in writing performant SQL, especially within cloud\-based data warehouses like Snowflake, and have strong Looker developer skills, with an emphasis on LookML modeling and overall project design
* Experience managing the administration and/or adoption of data visualization tools (e.g. Looker) and event\-based analytics/user journey tools (e.g. Amplitude)
* Ability to navigate ambiguity and work with urgency in a fast\-moving environment with multiple stakeholders
* Good communication skills across all levels of stakeholders (business \&amp; technical) with the ability to influence and build consensus
* Proficiency with Python
* Experience with Dagster or other orchestration tools
* Experience utilizing AI Codegen to improve the efficiency of your workflow
* Experience with data governance principles, KPI management, and supporting data operations for business intelligence
**Benefits**
* Flexible, hybrid work environment at our convenient Soho location
* Unlimited Vacation
* 100% paid employee health benefit options (including medical, dental, and vision)
* Commuter Benefits
* 401(k) with employer funded match
* Corporate wellness program with Wellhub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$176,000—$250,000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9">
      <c r="A9" t="inlineStr">
        <is>
          <t>li-4336235346</t>
        </is>
      </c>
      <c r="B9" t="inlineStr">
        <is>
          <t>Senior Data Engineer - GPSC Insights Engineering</t>
        </is>
      </c>
      <c r="C9" t="inlineStr">
        <is>
          <t>General Motors</t>
        </is>
      </c>
      <c r="D9" t="inlineStr">
        <is>
          <t>linkedin</t>
        </is>
      </c>
      <c r="E9" t="inlineStr"/>
      <c r="F9" t="inlineStr"/>
      <c r="G9" t="inlineStr">
        <is>
          <t>Austin, TX</t>
        </is>
      </c>
      <c r="H9" t="inlineStr"/>
      <c r="I9"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Senior Data Engineer, you will design, build, and optimize industrialized data assets and data pipelines in support of Business Intelligence and Advanced Analytics objectives. In this role within the GPSC Insights Engineering organization under the Data organization, you will deliver high\-quality, scalable solutions that meet both functional and non\-functional business requirements. You will contribute to projects across databases, streaming technology, CI/CD, and cloud platforms.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This job may be eligible for relocation benefits.
 Compensation:
* The expected base compensation for this role is: $134,000 \- $219,400\.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
      <c r="A10" t="inlineStr">
        <is>
          <t>li-4379577537</t>
        </is>
      </c>
      <c r="B10" t="inlineStr">
        <is>
          <t>Azure Data Engineer</t>
        </is>
      </c>
      <c r="C10" t="inlineStr">
        <is>
          <t>Subaru of America</t>
        </is>
      </c>
      <c r="D10" t="inlineStr">
        <is>
          <t>linkedin</t>
        </is>
      </c>
      <c r="E10" t="inlineStr"/>
      <c r="F10" t="inlineStr"/>
      <c r="G10" t="inlineStr">
        <is>
          <t>Camden, NJ</t>
        </is>
      </c>
      <c r="H10" t="inlineStr"/>
      <c r="I10" t="inlineStr">
        <is>
          <t>**COMPANY BACKGROUND**
**LOVE.** 
 It's what makes Subaru, Subaru®. As a leading auto brand in the US, we strive to be More Than a Car Company®. Subaru believes in being a positive force in the communities in which we live and work, not just with donations but with actions that set an example for others to follow. That's what we call our Subaru Love Promise®.
 Subaru is a globally renowned automobile manufacturer known for its commitment to innovation, safety, and sustainability. With a rich history dating back to 1953, Subaru has consistently pushed the boundaries of automotive engineering to deliver vehicles that offer not only exceptional performance but also a unique blend of utility and adventure.
 Subaru's company culture is built on collaboration, diversity, and a shared passion for our product. We foster an inclusive environment that encourages employees to bring their unique perspectives and talents to the table. Our team members are driven by a common goal: to create exceptional vehicles that inspire and delight our customers.
**ROLE SUMMARY**
 The Azure Data Analytic Engineer will be the AZURE SME tasked with the development and optimization of cloud\-based Business Intelligence solutions. Advances data analytics capabilities and drives innovative solutions. Possesses deep technical expertise in data engineering and plays instrumental role in managing data integrations from on\-premises Oracle systems, Cloud CRM (Dynamics), and telematics. Collaborates closely with Data Science and Enterprise Data Warehouse teams and business stakeholders.
**PRIMARY RESPONSIBILITIES:** 
**Data Ingestion and Storage:**
* Designs, develops, and maintains scalable, efficient data pipelines using Data Factory, and Databricks, leveraging Py Spark for complex data transformations and large\-scale processing.
* Builds and manages extract, transform, and load (ETL)/extract, load, transform (ELT) processes to seamlessly extract, transform, and load data from on\-premises Oracle systems, customer relationship management (CRM) technology, and connected vehicles into data storage solutions, such as Azure Data Lake Storage and Azure SQL Database.
**Data Engineering:**
* Creates high\-code data engineering solutions using Databricks to clean, transform, and prepare data for in\-depth analysis.
* Develops and manages data models, schemas, and data warehouses, utilizing Lakehouse Architecture to enhance advanced analytics and business intelligence.
* Leverages Unity Catalog to ensure unified data governance and management across the enterprise's data assets.
* Optimizes data storage, retrieval strategies, and query performance to drive scalability and efficiency in all data operations.
**Data Integration:**
* Integrate and harmonize data from diverse sources including on\-premises databases, cloud services, APIs, and connected vehicle telematics.
* Ensure consistent data quality, accuracy, and reliability across all integrated data sources.
**GitHub Development:**
* Utilizes GitHub for version control and collaborative development, implementing best practices for code management, testing, and deployment.
* Develops workflows for continuous integration (CI) and continuous deployment (CD), ensuring efficient delivery and maintenance of data solutions.
**ADDITIONAL RESPONSIBILITIES:**
* Work closely with Data Science, Enterprise Data Warehouse, and Data Visualization teams, as well as business stakeholders, to understand data requirements and deliver innovative solutions.
* Collaborate with cross\-functional teams to troubleshoot and resolve data infrastructure issues, identifying and addressing performance bottlenecks.
* Provide technical leadership, mentorship, and guidance to junior data engineers, promoting a culture of continuous improvement and innovation.
**REQUIRED SKILLS AND PERSONAL QUALIFICATIONS:** 
* Technical Expertise: Extensive experience with Azure Data Factory, Databricks, and Azure Synapse, as well as proficiency in Python and PySpark.
* Data Integration: Experience integrating data from on\-premises Oracle systems and connected vehicle data into cloud\-based solutions.
* Lakehouse Architecture \&amp; Governance: Deep knowledge of Lakehouse Architecture and Unity Catalog for enterprise data governance.
* Version Control \&amp; Collaboration: Demonstrated proficiency in GitHub for development, collaboration, and deployment in large\-scale environments.
* Infrastructure as Code (IaC): Experience with Infrastructure as Code tools such as Resource Manager (ARM) templates or terraform.
* Problem\-Solving \&amp; Troubleshooting: Strong analytical skills with the ability to diagnose and resolve complex data infrastructure challenges.
* Collaboration: Proven ability to work effectively with Data Science teams, business stakeholders, and cross\-functional teams to drive data\-driven insights.
* Communication: Excellent verbal and written communication skills with the ability to translate technical concepts to non\-technical stakeholders.
**Education/Experience Requirements:** 
 BA/BS with 4 to 6 years of relevant experience. Relevant experience accepted in lieu of a degree.
**Work Environment**
* Hybrid Role: Remote work 2 days per week (After 90 Days Onboarding)
* Travel Required: 0%
**Compensation:** 
 The recruiting base salary range for this full\-time position is $99,700\.00 \- $140,000\.00/year. Within the range, individual pay is determined by factors, including job\-related skills, experience, and relevant education or training. (Internal Job Grade: P3\_T) In addition to competitive salary, Subaru offers an amazing benefits package that includes:
* Medical, Dental, Vision Plans
* Pension, Profit Sharing, and 401K Match Offerings
* 15 Vacation days, 9 Company Holidays, 5 Floating Holidays, and 5 Sick days.
* Tuition Reimbursement Program
* Vehicle Discount Programs</t>
        </is>
      </c>
    </row>
    <row r="11">
      <c r="A11" t="inlineStr">
        <is>
          <t>li-4322430222</t>
        </is>
      </c>
      <c r="B11" t="inlineStr">
        <is>
          <t>Data Engineer</t>
        </is>
      </c>
      <c r="C11" t="inlineStr">
        <is>
          <t>Hamilton Lane</t>
        </is>
      </c>
      <c r="D11" t="inlineStr">
        <is>
          <t>linkedin</t>
        </is>
      </c>
      <c r="E11" t="inlineStr"/>
      <c r="F11" t="inlineStr"/>
      <c r="G11" t="inlineStr"/>
      <c r="H11" t="inlineStr"/>
      <c r="I11" t="inlineStr">
        <is>
          <t>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**What We Do**
 As a recognized leader in providing Private Markets Solutions to clients across the globe, we manage approximately $140\.9 billion in discretionary assets and have oversight of an additional $845\.3 in non\-discretionary assets as of June 30, 2025\.
**The Opportunity**
 We are seeking a talented ETL Data Engineer with strong experience in Python and Azure Synapse Analytics to join our dynamic team.
 As an ETL Data Engineer, you will play a critical role in our expanding data engineering team. You will be responsible for designing, developing, and maintaining ETL data integration processes primarily using Python (PySpark), Azure Synapse Analytics Pipelines, and other Azure Synapse Analytics resources, ensuring the accuracy and availability of data for our analytical need. You will work closely with data scientists, analysts, and other stakeholders to deliver high\-quality, well\-organized data for insights and decision\-making.
 If you are passionate about data, have a strong background in ETL processes, and are eager to work with state\-of\-the art Azure data solutions, we’d love to hear from you!
**Your Responsibilities Will Be To**
* ETL Data Engineering: Develop and maintain ETL data engineering processes using Python (PySpark) within Azure Synapse Analytics Notebooks, and/or Azure Synapse Analytics Pipelines, to ensure efficient data extractions, transformation, and loading.
* Data Warehousing: Apply your expertise in data warehousing, understanding star schemas, facts, and dimensions, to design and build effective data storage structures in a Massively Parallel Processing (MPP) SWL Pool.
* Data Source Expertise: Extract data from various sources, including REST APIs, SWL database tables, and CSV files.
* Azure Synapse Analytics Expertise: Utilize your deep knowledge of Azure Synapse Analytics to design and optimize data notebooks/pipelines for scalability and performance.
* Data Fabric Concepts: Contribute to the implementation and understanding of other Data Fabric concepts, such as data lakes, lakehouses, delta lakes, and data cataloging, to enhance data management capabilities.
* Data Modeling: Collaborate with data architects to create data models and schemas that align with business requirements.
* Data Quality: Implement data quality checks and validation processes to maintain data accuracy and consistency.
* Performance Tuning: Identify and resolve performance bottlenecks and optimize ETL data notebooks/pipelines to meet SLAs.
* Monitoring and Troubleshooting: Monitoring ETL jobs, diagnose issues, and implement solutions to ensure data pipeline reliability.
* Documentation: Maintain comprehensive documentation of ETL data engineering processes, data flows, and data transformations.
* Collaboration: Work closely with cross\-functional teams to understand data requirements and provide support for data\-related initiatives.
* Security and Compliance: Ensure data security and compliance with data governance and privacy standards.
**Your Background Will Include**
* Bachelor’s degree in Computer Science, Information Technology, or a related field; or equivalent work experience, with certifications related to data engineering or data science (e.g. Azure Data Engineer) being a plus.
* Proven experience in ETL data engineering with significant expertise in using Python (PySpark) to perform data extraction, transformation, and loading from REST APIs, SQL database tables, and CSV files.
* Proficiency in using Azure Synapse Analytics resources including Notebooks, Pipelines, Linked Services, and Azure Key Vault.
* Demonstrated ability to write complex SQL queries, optimize query performance, and work with both SparkSQL and MS SQL to effectively extract, transform, and load data.
* Knowledge of data integration best practices and tools.
* Experience with version control systems, such as Git (Azure DevOps).
* Strong problem\-solving and analytical skills, with a keen attention to detail.
* Excellent communication skills, both verbal and written, with the ability to work collaboratively in a team environment with shifting priorities.
* Familiarity with big data technologies, machine learning, and data analysis preferred.
* Experience with data visualization tools (e.g. Power BI, Tableau) and Agile Methodologies a plus.
**Benefits**
 At Hamilton Lane, our benefits philosophy is simple: to provide our employees with a competitive suite of benefits and services to help navigate through the complexities and challenges of working, living, raising a family, and eventually retiring.
**To Do This, Hamilton Lane Offers The Following Benefits**
**Enhancing Your Physical and Emotional Health**
 Employees have access to healthcare coverage, mental health resources, health \&amp; fitness reimbursement program, and Wellness Rewards Program.
**Developing Your Career**
 Tuition and certification reimbursement programs are available, along with continual education and development trainings for you to grow with Hamilton Lane.
**Supporting Your Family \&amp; Community**
 For our communities, Hamilton Lane provides paid time off to volunteer and compensates for referring qualified candidates that join our team.
 For growing family, we offer an adoption reimbursement program, paid time off for new parents and newlyweds, and provide travel support for nursing parents.
**Safeguarding Your Financial Wellbeing**
 Hamilton Lane contributes to retirement programs and offers an employee stock purchasing plan.
 We offer a competitive salary, annual discretionary bonus and a comprehensive benefits package which includes: Medical, Prescription, Dental, Paid Time Off, 401k plan, Life and Disability Insurances, Tuition Reimbursement, Employee Stock Purchase Program, Health Club Reimbursement and Flexible Spending Accounts.
 Hamilton Lane is an affirmative action\-equal opportunity employer. All qualified applicants will be considered for employment without regard to their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classification prohibited by applicable law.
 If you need a reasonable accommodation to complete your application, please contact Human Resources at humanresources@hamiltonlane.com.
 Hamilton Lane is not accepting unsolicited assistance from search firms for this employment opportunity. Please, no phone calls or emails. All resumes submitted by search firms to any employee at Hamilton Lane via\-email, the Internet or in any form and/or method without a valid written search agreement in place for this position will be deemed the sole property of Hamilton Lane. No fee shall be paid in the event the candidate is hired by Hamilton Lane as a result of the referral or through other means.</t>
        </is>
      </c>
    </row>
    <row r="12">
      <c r="A12" t="inlineStr">
        <is>
          <t>li-4378447467</t>
        </is>
      </c>
      <c r="B12" t="inlineStr">
        <is>
          <t>Data Engineer</t>
        </is>
      </c>
      <c r="C12" t="inlineStr">
        <is>
          <t>Wiraa</t>
        </is>
      </c>
      <c r="D12" t="inlineStr">
        <is>
          <t>linkedin</t>
        </is>
      </c>
      <c r="E12" t="inlineStr"/>
      <c r="F12" t="inlineStr"/>
      <c r="G12" t="inlineStr"/>
      <c r="H12" t="inlineStr"/>
      <c r="I12" t="inlineStr">
        <is>
          <t>About the Company
 Our company is a leading global technology and consulting organization dedicated to delivering innovative solutions that drive business transformation and growth. With a strong focus on data\-driven decision making, we empower organizations across various industries to harness the full potential of their data assets. Our commitment to excellence, diversity, and continuous learning fosters an inclusive environment where talented professionals can thrive. We pride ourselves on maintaining a forward\-thinking culture that embraces emerging technologies and promotes collaborative problem\-solving to meet our clients' evolving needs.
 About the Role
 The Lead Data Engineer is a senior\-level position within our Technology \&amp; Data organization, responsible for providing technical leadership and strategic direction in data engineering and analytics initiatives. As a key contributor, you will design, develop, and optimize complex data models, data pipelines, and analytics solutions that support business insights and decision\-making. You will mentor and support a team of analytics and data engineers, ensuring adherence to best practices, code quality, and system reliability. This role emphasizes leading through influence, fostering collaboration across technical teams, and driving innovation in data architecture and engineering practices.
 In this role, you will be instrumental in designing conceptual and analytical data models, managing scalable ETL/ELT pipelines, and implementing robust DevOps practices. You will work closely with stakeholders, including analysts and solution architects, to align data solutions with strategic business goals. Your expertise in modern data tools and platforms will be vital to building resilient, high\-performance data systems that enable actionable insights and support organizational growth.
 Qualifications
* Proven experience with Data Build Tool (dbt) and Snowflake
* Expertise in advanced data modeling techniques
* Secondary skills in Fivetran or similar data integration tools
* Strong proficiency in SQL and data pipeline development
* Experience with version control systems such as Azure DevOps and GitHub
* Knowledge of data orchestration and scheduling tools
* Understanding of DevOps practices for data engineering
* Excellent communication and collaboration skills
* Experience working within an Agile environment
* Bachelor’s degree in Computer Science, Data Science, or a related field; master’s preferred
* Minimum of 5 years of experience in data engineering or analytics engineering roles
 Responsibilities
* Design, test, and maintain conceptual and analytical data models, including logical, physical, and dimensional schemas
* Develop, optimize, and manage scalable end\-to\-end ETL/ELT data pipelines
* Leverage orchestration tools for scheduling, dependency management, and error handling
* Extract, transform, and load data from source systems, ensuring data quality and consistency
* Implement and maintain data pipeline monitoring, logging, and alerting systems for observability
* Conduct code reviews and enforce coding standards to ensure high\-quality deliverables
* Mentor and support analytics and data engineers, fostering a culture of continuous improvement
* Collaborate with cross\-functional teams to align data architecture with business and technical requirements
* Participate actively in Agile ceremonies, contributing to sprint planning and retrospectives
* Stay current with emerging data engineering trends and technologies to recommend innovative solutions
 Benefits
* Medical, Dental, Vision, and Life Insurance coverage
* Paid holidays and paid time off
* 401(k) retirement plan with company contributions
* Long\-term and short\-term disability insurance
* Paid parental leave to support work\-life balance
* Employee stock purchase plan
* Flexible remote work arrangements to promote a healthy work\-life balance
 Equal Opportunity
 Our company is an equal opportunity employer. We celebrate diversity and are committed to creating an inclusive environment for all employees. All employment decisions are made without regard to race, color, religion, sex, national origin, age, disability, sexual orientation, gender identity, or any other protected status under applicable law.</t>
        </is>
      </c>
    </row>
    <row r="13">
      <c r="A13" t="inlineStr">
        <is>
          <t>li-4378440741</t>
        </is>
      </c>
      <c r="B13" t="inlineStr">
        <is>
          <t>Data Engineer, Sr.</t>
        </is>
      </c>
      <c r="C13" t="inlineStr">
        <is>
          <t>Wiraa</t>
        </is>
      </c>
      <c r="D13" t="inlineStr">
        <is>
          <t>linkedin</t>
        </is>
      </c>
      <c r="E13" t="inlineStr"/>
      <c r="F13" t="inlineStr"/>
      <c r="G13" t="inlineStr"/>
      <c r="H13" t="inlineStr"/>
      <c r="I13" t="inlineStr">
        <is>
          <t>About the Company
 DivIHN (pronounced "divine") is a CMMI ML3\-certified Technology and Talent solutions firm dedicated to delivering exceptional services in professional consulting, custom projects, and resource augmentation. Established in 2002, DivIHN has built a reputation for fostering meaningful connections between talented professionals and innovative organizations across the commercial and public sectors. Our core values are centered around a unique Purpose, Culture, and Value Delivery Model that emphasizes collaboration, standardization, and specialization to meet client needs effectively. We serve clients primarily in the Mid\-West and beyond, supporting their growth through tailored technology solutions and talent acquisition strategies. As an equal opportunity employer, DivIHN is committed to creating an inclusive environment that respects diversity and promotes equal opportunity for all applicants and employees. For more information and to view our open positions, please visit our website or contact our Talent Specialists.
 About the Role
 We are seeking a highly skilled Senior Data Engineer to join our team in a remote capacity for an initial six\-month engagement. The Senior Data Engineer will be responsible for designing, developing, and maintaining scalable data infrastructure and pipelines that facilitate the seamless flow of clean, organized, and secure data. This role plays a critical part in supporting analytics, reporting, business intelligence, and advanced data initiatives aimed at enhancing child\- and family\-centered decision\-making for senior leadership and stakeholders. The ideal candidate will work closely with client leadership, the Illinois Department of Innovation and Technology (DoIT), data architects, analysts, and software engineers to deliver reliable, compliant, and high\-performance data systems that meet evolving organizational needs.
 Qualifications
* Minimum of 5 years of experience designing and maintaining scalable data pipelines and modern data infrastructure
* Proficiency in SQL and Python for data transformation, scripting, and automation
* Experience with distributed data engineering tools such as Databricks or Apache Spark
* Hands\-on experience with cloud platforms including AWS, Azure, or Google Cloud
* Deep understanding of data governance, security, compliance, and regulatory standards such as FERPA, HIPAA, GDPR, and COPPA
* Knowledge of ETL/ELT methodologies and orchestration tools like Airflow or similar
* Strong analytical and problem\-solving skills with the ability to optimize storage and query performance
* Excellent communication skills for stakeholder engagement and technical documentation
 Responsibilities
* Design, develop, evaluate, and maintain scalable ETL/ELT data pipelines to support organizational data needs
* Create and manage structured and unstructured data workflows for moving data from source systems to data warehouses, lakes, and analytics platforms
* Optimize data storage, partitioning, indexing, and processing techniques to enhance performance and scalability
* Design and maintain cloud\-based data platforms, including data warehouses, lakes, and lakehouses, leveraging AWS, Azure, or Google Cloud
* Ensure data quality, accuracy, consistency, and reliability across all data systems
* Implement data governance, security protocols, and compliance measures to adhere to industry standards and regulations
* Develop automation, validation, and monitoring frameworks to ensure ongoing data integrity and system performance
* Utilize tools such as SQL, Python, Databricks, Airflow, DBT, and visualization platforms like Tableau or Power BI for data processing and reporting
* Support integration of data from APIs, third\-party systems, and internal platforms for comprehensive analytics
* Assist in deploying machine learning models and supporting real\-time data processing environments
* Develop and deliver dashboards, reports, and presentations to communicate insights effectively to technical and non\-technical stakeholders
* Maintain detailed documentation of data pipelines, architecture, and processes, and lead continuous improvement initiatives
* Provide technical mentorship and collaborate with cross\-functional teams to build scalable, trusted data solutions
 Benefits
* Competitive compensation package
* Flexible remote work environment
* Opportunities for professional growth and development
* Exposure to cutting\-edge data technologies and cloud platforms
* Collaborative and inclusive work culture
* Support for work\-life balance and employee well\-being
 Equal Opportunity
 DivIHN is an equal opportunity employer. We celebrate diversity and are committed to creating an inclusive environment for all employees and applicants. We do not discriminate based on race, color, religion, gender, gender expression, age, national origin, disability, marital status, sexual orientation, or military status. All qualified applicants will receive consideration for employment without regard to these factors.</t>
        </is>
      </c>
    </row>
    <row r="14">
      <c r="A14" t="inlineStr">
        <is>
          <t>li-4378440528</t>
        </is>
      </c>
      <c r="B14" t="inlineStr">
        <is>
          <t>Data Engineer II</t>
        </is>
      </c>
      <c r="C14" t="inlineStr">
        <is>
          <t>Wiraa</t>
        </is>
      </c>
      <c r="D14" t="inlineStr">
        <is>
          <t>linkedin</t>
        </is>
      </c>
      <c r="E14" t="inlineStr"/>
      <c r="F14" t="inlineStr"/>
      <c r="G14" t="inlineStr"/>
      <c r="H14" t="inlineStr"/>
      <c r="I14" t="inlineStr">
        <is>
          <t>About the Company
 Dallas College is a leading educational institution dedicated to fostering an inclusive environment that promotes opportunity and belonging for all students and employees. As a prominent community college system, Dallas College offers a diverse range of academic programs, workforce training, and continuing education opportunities designed to meet the evolving needs of the Dallas\-Fort Worth area. The institution prides itself on its commitment to excellence in education, innovation, and community engagement, making it a vital contributor to the region’s economic and social development. Dallas College values diversity, equity, and inclusion, ensuring that every individual has access to quality education and a supportive work environment. The college also emphasizes professional growth, technological advancement, and collaborative efforts to enhance learning and operational efficiencies across all departments.
 About the Role
 The Data Engineer II at Dallas College is a pivotal role responsible for designing, developing, and maintaining robust data architectures and pipelines that support advanced analytics, artificial intelligence, and machine learning initiatives. This position requires a professional with moderate technical proficiency, strong analytical skills, and the ability to work independently while collaborating effectively with cross\-functional teams including data scientists, analysts, engineers, and product managers. The successful candidate will troubleshoot complex data workflow issues, optimize data processes for performance, and ensure data quality and compliance with governance policies. Additionally, the role involves mentoring junior team members, supporting AI/ML model deployment, and working with cutting\-edge tools such as Microsoft Fabric, Power BI, and Azure OpenAI to enable intelligent automation and data\-driven decision\-making. The Data Engineer II plays a crucial role in translating business requirements into scalable data solutions that drive insights and operational efficiencies across the college system.
 Qualifications
* Bachelor’s degree in Computer Science, Data Engineering, or a related field
* Minimum of two (2\) years of relevant experience in data engineering or related disciplines
* Moderate proficiency in programming languages such as SQL and Python
* Experience with relational databases and data processing frameworks
* Knowledge of data architecture principles and best practices
* Familiarity with cloud\-based data platforms, including Microsoft Fabric and Azure services
* Understanding of data governance, lineage, and compliance frameworks
* Strong analytical, troubleshooting, and problem\-solving skills
* Effective communication skills, both written and verbal
* Ability to work independently and mentor junior team members
 Responsibilities
* Design, develop, and maintain scalable data architectures and pipelines using Microsoft Fabric components such as OneLake, Data Factory, Synapse Data Engineering, and Synapse Data Warehouse
* Build and optimize data workflows for performance, reliability, and scalability
* Troubleshoot and resolve complex issues within data workflows and pipelines
* Document data architecture, processes, and data lineage for transparency and compliance
* Develop Power BI semantic models, dataflows, and paginated reports to support analytics and visualization needs
* Collaborate with analysts and product teams to deliver actionable insights and support decision\-making
* Enforce data governance policies and maintain accurate lineage documentation within Microsoft Purview
* Design and optimize data pipelines specifically tailored for AI/ML workflows, ensuring scalability and high performance
* Support feature engineering, data validation, and high\-quality dataset preparation for machine learning models
* Assist in deploying AI/ML models into production environments and monitor their performance
* Establish structured documentation for experiments, versioning, and reproducibility standards
* Work with Azure OpenAI and Copilot Studio to enable intelligent automation and conversational AI solutions
* Collaborate with technical and non\-technical teams to meet evolving data needs and support strategic initiatives
* Mentor junior engineers and share best practices across the team
* Perform other duties as assigned to support the college’s data initiatives and operational goals
 Benefits
* Competitive salary range starting at $87,500 annually
* 40 hours per week work schedule
* Comprehensive health, dental, and vision insurance plans
* Retirement plans and financial wellness programs
* Professional development opportunities, including Dallas College’s required 19 hours of annual professional development
* Support for work\-life balance and flexible work arrangements where applicable
* Inclusive and diverse work environment that promotes growth and innovation
 Equal Opportunity
 Dallas College is an equal opportunity employer committed to creating a diverse and inclusive workplace. We do not discriminate based on race, color, religion, sex, national origin, age, disability, veteran status, sexual orientation, gender identity, or any other protected attribute. We make reasonable accommodations for applicants and employees to ensure equal access to employment opportunities and workplace support. All qualified candidates are encouraged to apply, and we are dedicated to fostering an environment where everyone can thrive and succeed.</t>
        </is>
      </c>
    </row>
    <row r="15">
      <c r="A15" t="inlineStr">
        <is>
          <t>li-4317963095</t>
        </is>
      </c>
      <c r="B15" t="inlineStr">
        <is>
          <t>Senior Analytics Engineer</t>
        </is>
      </c>
      <c r="C15" t="inlineStr">
        <is>
          <t>Consensys</t>
        </is>
      </c>
      <c r="D15" t="inlineStr">
        <is>
          <t>linkedin</t>
        </is>
      </c>
      <c r="E15" t="inlineStr"/>
      <c r="F15" t="inlineStr"/>
      <c r="G15" t="inlineStr"/>
      <c r="H15" t="inlineStr"/>
      <c r="I15"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The Data Team**
 The Data team sits within the Office of the COO and builds the models and frameworks that translate raw data into company\-wide KPIs. We sit at the intersection of engineering and analytics, ensuring that data is transformed into the metrics Finance, Product, and Leadership need to operate — and to file for IPO with confidence.
**What You’ll Do**
* Design, build, and maintain reliable data models that transform raw data into business\-ready datasets.
* Collaborate closely with analysts, data scientists, and business stakeholders to understand requirements and translate them into actionable metrics, KPIs, and dashboards.
* Develop and maintain metrics definitions, semantic layers, and data documentation to ensure consistency across teams.
* Build, optimize, and test dbt models to deliver clean, reliable, and trusted data.
* Ensure data quality, accuracy, and governance are embedded in all models and pipelines.
* Create dashboards, reports, and visualizations that empower business users to make data\-driven decisions.
* Work with SQL and transformation frameworks to write efficient queries and maintain performant models.
* Partner with data engineers to ensure smooth data ingestion and availability for analytics.
* Continuously improve processes and workflows to increase efficiency, reliability, and scalability.
**Would be great if you brought this to the role**
* Over 6 years of experience as a Analytics Engineer
* Previous experience developing and tracking KPIs for public companies
* Expert\-level SQL skills with experience writing complex queries and optimizing performance.
* Hands\-on experience with dbt for data transformation and modeling.
* Strong understanding of data modeling concepts (e.g., star schema, snowflake schema, dimensional modeling).
* Familiarity with BI and dashboarding tools (e.g., Looker, Superset, Tableau, Power BI).
* Experience defining KPIs and metrics for business stakeholders.
* Comfort with Python or other scripting languages for lightweight data transformations and automation.
* Knowledge of data governance, lineage, and documentation tools (e.g., DataHub, Great Expectations).
* Understanding of cloud data warehouses (e.g., Snowflake, BigQuery, Redshift).
* Collaborative mindset and ability to work closely with both technical and non\-technical stakeholders.
* Experience with version control and CI/CD practices in analytics workflows (e.g., GitHub Actions).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6">
      <c r="A16" t="inlineStr">
        <is>
          <t>li-4378438484</t>
        </is>
      </c>
      <c r="B16" t="inlineStr">
        <is>
          <t>Data Engineer</t>
        </is>
      </c>
      <c r="C16" t="inlineStr">
        <is>
          <t>Haystack</t>
        </is>
      </c>
      <c r="D16" t="inlineStr">
        <is>
          <t>linkedin</t>
        </is>
      </c>
      <c r="E16" t="inlineStr"/>
      <c r="F16" t="inlineStr"/>
      <c r="G16" t="inlineStr">
        <is>
          <t>Hawthorne, CA</t>
        </is>
      </c>
      <c r="H16" t="inlineStr"/>
      <c r="I16" t="inlineStr">
        <is>
          <t>**Sr. AI Platform Data Engineer, Ring Decision Science \| Hawthorne, California \| Remote\-Friendly \| $139,100 \- $240,500** 
 We're working with a global leader in smart home security and neighborhood safety (part of a world\-renowned tech giant) on this exciting opportunity. We are looking for an AI Platform Builder to pioneer the next generation of Agentic AI solutions and automated data infrastructure across the entire Ring ecosystem.
 This is a high\-impact role sitting at the intersection of Data Engineering, BI, and AI Platform Engineering. You will lead the charge in "automating the automation," using Python, AWS, and advanced AI agents to build self\-improving data systems that power critical business decisions for millions of devices worldwide.
**The Role** 
 • Architect and implement AI\-native self\-service data platforms featuring natural language interfaces to make data accessible to non\-technical stakeholders.
 • Design and maintain scalable, privacy\-compliant data pipelines using AWS services and internal high\-scale cloud tools.
 • Build Agentic AI frameworks and curated datasets specifically optimized for Machine Learning (ML) consumption and LLM\-driven applications.
 • Create intelligent governance systems for automated data classification, PII detection, and lineage tracking to ensure top\-tier security and compliance.
 • Facilitate AI\-augmented workshops and lead technical stakeholder engagement sessions across Sales, Marketing, and Subscription verticals.
**What You'll Need** 
 • 5\+ years of professional Data Engineering experience building large\-scale, enterprise\-grade data architectures.
 • Expertise in the AWS ecosystem (S3, Redshift, Glue, Lambda) and modern Big Data processing frameworks.
 • Advanced proficiency in Python and SQL with a "first\-principles" approach to prompt\-driven development and AI code generation.
 • Hands\-on experience building or implementing Agentic AI tools, LLM frameworks, or AI\-powered data quality systems.
 • Strong technical leadership and stakeholder management skills to translate complex business needs into automated AI platforms.
**What's On Offer** 
 • Highly competitive salary range of $139,100 \- $240,500 with significant growth potential.
 • Remote\-friendly flexibility within a mission\-driven organization focused on community safety.
 • The opportunity to work at the absolute frontier of AI development, moving beyond basic pipelines into autonomous, self\-improving systems.
 • Extensive benefits package including comprehensive healthcare, equity, and access to industry\-leading professional development tools.
**Apply via Haystack today!**</t>
        </is>
      </c>
    </row>
    <row r="17">
      <c r="A17" t="inlineStr">
        <is>
          <t>li-4370017901</t>
        </is>
      </c>
      <c r="B17" t="inlineStr">
        <is>
          <t>Data Engineer (Lakehouse &amp; Analytics Platform)</t>
        </is>
      </c>
      <c r="C17" t="inlineStr">
        <is>
          <t>Kiewit</t>
        </is>
      </c>
      <c r="D17" t="inlineStr">
        <is>
          <t>linkedin</t>
        </is>
      </c>
      <c r="E17" t="inlineStr"/>
      <c r="F17" t="inlineStr"/>
      <c r="G17" t="inlineStr">
        <is>
          <t>Omaha, NE</t>
        </is>
      </c>
      <c r="H17" t="inlineStr"/>
      <c r="I17" t="inlineStr">
        <is>
          <t>**Requisition ID:** 
 179616
**Job Level:** 
 Mid Level
**Home District/Group:** 
 DHO Kiewit Data Services
**Department:** 
 Data Services
**Market:** 
 Corporate Home Office
**Employment Type:** 
 Full Time
**Position Overview**
 Kiewit Data Services is building a modern data platform to support analytics and significantly expand Kiewit’s use of AI and machine learning beyond what we do today. We are hiring multiple Data Engineers (4\+ years of experience) to help build reliable data pipelines and curated datasets that power reporting, analytics, and data products.
 We’re looking for people with strong fundamentals, a collaborative mindset, and a clear
 **interest and ability to learn** 
 —especially in modern cloud and lakehouse technologies
**District Overview**
 Kiewit Data Services (KDS) helps make Kiewit a data\-driven organization by delivering trusted data, scalable data products, and platform capabilities that support teams across the business.
**Location**
 This role is available for candidates to work from one of our office locations in
 **Omaha, NE; Lone Tree, CO; or Lenexa, KS** 
 .
**Responsibilities**
* Build and support data pipelines that ingest, transform, and publish data for analytics and data products.
* Develop well\-structured datasets using modern modeling and testing practices (e.g., dbt).
* Orchestrate and monitor workflows using tools like Dagster (or similar).
* Improve reliability through automation, testing, documentation, monitoring, and operational best practices.
* Partner with engineers and stakeholders to understand needs and deliver high\-quality data solutions
**Qualifications**
* 4\+ years of experience in data engineering, analytics engineering, software engineering, or a related role (or equivalent practical experience).
* Experience with Python and SQL in production environments.
* Experience with or strong interest in learning Azure and Databricks.
* Experience with or strong interest in learning Dagster and dbt.
* Understanding of lakehouse / data lake architecture concepts and how data is curated for analytics use cases.
* Strong communication skills and ability to work effectively with cross\-functional teams.
**Preferred Qualifications**
* Experience with AI\-assisted software engineering.
* Experience with Spark\-based processing, lakehouse table formats, and performance optimization.
* Familiarity with CI/CD, Git\-based workflows, and production support/on\-call practices.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$90,000/yr \- $150,000/yr
**(Actual compensation is subject to variation due to such factors as education, experience, skillset, and/or location)**
 This posting will be active from: 02/07/2026 \- 03/28/2026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8">
      <c r="A18" t="inlineStr">
        <is>
          <t>li-4379559714</t>
        </is>
      </c>
      <c r="B18" t="inlineStr">
        <is>
          <t>GTM Analytics Engineer</t>
        </is>
      </c>
      <c r="C18" t="inlineStr">
        <is>
          <t>Gusto</t>
        </is>
      </c>
      <c r="D18" t="inlineStr">
        <is>
          <t>linkedin</t>
        </is>
      </c>
      <c r="E18" t="inlineStr"/>
      <c r="F18" t="inlineStr"/>
      <c r="G18" t="inlineStr">
        <is>
          <t>New York, NY</t>
        </is>
      </c>
      <c r="H18" t="inlineStr"/>
      <c r="I1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The Revenue Operations team at Gusto is a full\-stack team responsible for data, analytics, and operational excellence in pursuit of scaling our revenue growth. The Go\-To\-Market Analytics team is one functional area, responsible for defining and owning the metrics for scaling our Sales teams.
 Gusto is looking for a Revenue Analytics Engineer to build and maintain foundational data infrastructure that is crucial to growing and scaling our Sales efforts. In this role, you will partner with our GTM analysts to scope and deliver data products for an audience ranging from company and revenue leadership to operational and frontline sales. In doing so, you will own significant portions of our sales data from end\-to\-end, focusing on the transformation, design, and visualization workflows. In addition, you will establish best practices for systems design and workflows to maximize usefulness of AI at scale.
 This role will report to the Head of Go\-To\-Market analytics, and partner closely with Data Science, Data Platform, and Business Technology teams.
**Here’s What You’ll Do Day\-to\-day**
* Establish relationships with internal stakeholders to determine business needs, scoping and delivering solutions through data products
* Design, build, and maintain data pipelines and dashboards to automate “keep the lights on” work out of manually\-managed processes
* Build a data foundation by incorporating business logic into raw data tables, laying the groundwork to enable value\-add insights
* Create a dynamic reporting environment based on stakeholder needs
* Identify data discrepancies and set best practices for data logic to create a clean and well\-documented environment
* Collaborate with broader data organization as steward to the definition and process management of core Gusto metrics
**Here’s What We're Looking For**
* Education or work experience in Engineering or Computer Science, or a related technical field
* 7\+ years of experience in an analytics engineering, business intelligence, or technical data analytics role
* Experience with SQL and ETL optimization techniques, especially within cloud\-based data warehouses like Redshift, Snowflake, etc.
* Command\-line experience and familiarity with version control collaboration tools (git)
* Experience with data pipeline management technologies with dependency checking, such as Airflow, as well as schema design and data modeling tools (dbt)
* Experience with data visualization technologies, e.g., Tableau, Looker, Sigma, Mode, Hex
* Experience with Python and data ingestion tools
* Ability to problem\-solve open\-ended problems and project manage dependencies and timelines to optimal outcomes
* Ability to demonstrate tools, business intuition, and attention to detail for data validation and QA
 Our cash compensation amount for this role is targeted at $138,000\-156,000 in Denver \&amp; most remote locations, and $168,000\-189,000 in New York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9">
      <c r="A19" t="inlineStr">
        <is>
          <t>li-4363725921</t>
        </is>
      </c>
      <c r="B19" t="inlineStr">
        <is>
          <t>Sr. Data Engineer (Starlink Growth)</t>
        </is>
      </c>
      <c r="C19" t="inlineStr">
        <is>
          <t>SpaceX</t>
        </is>
      </c>
      <c r="D19" t="inlineStr">
        <is>
          <t>linkedin</t>
        </is>
      </c>
      <c r="E19" t="inlineStr"/>
      <c r="F19" t="inlineStr"/>
      <c r="G19" t="inlineStr">
        <is>
          <t>Hawthorne, CA</t>
        </is>
      </c>
      <c r="H19" t="inlineStr"/>
      <c r="I1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DATA ENGINEER (STARLINK GROWTH)**
 At SpaceX, we are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rapidly accelerate our growth around the globe.
 As a Sr. Data Engineer in the Starlink Growth Analytics \&amp; Automation Team, you will be responsible for developing the strategy, key metrics, tools, models, and processes for assessing the health of Starlink business. You will extract valuable insights from data across all business units and the Starlink network itself. You will work closely with technical and business teams to make customer acquisition as efficient as possible. You will bring in the latest and greatest machine learning and statistical technologies to turn data insights into action and autonomous applications.
**Responsibilities**
* Build high\-visibility, high\-confidence, statistically\-based dashboards and analytics tools to uncover new or breaking trends in customer growth or experience
* Transform insights into action items for business and engineering teams, based on statistically\-driven evidence
* Develop and implement monitoring systems and strategies to quickly detect trends and regressions as they arise
* Work closely with software and production teams to optimize user experience
* Develop and validate models to forecast customer acquisition
**Basic Qualifications**
* Bachelor’s degree in computer science, physics, mathematics, statistics, or a STEM discipline
* 5\+ years of professional experience building solutions with Python and SQL
* 5\+ years of professional experience with statistical modeling and machine learning algorithms
**Preferred Skills And Experience**
* 8\+ years of professional experience in analytics, data science, or machine learning
* Experience building predictive models and machine learning pipelines (clustering analysis, anomaly detection, survival analysis, time series models)
* Experience with data visualization skills, including experience in geospatial data representations
* Excellent verbal and written communication skills
* Experience with developing and deploying tools used for data analysis, machine learning, and statistical modeling
* Demonstrated capability to parse technical subjects on a deep level
* Demonstrated ability to jump into ill\-defined problem spaces and drive positive outcomes
* Self\-starter attitude, energy, and the ability to communicate effectively across business and technical disciplines
* Experience designing and utilizing relational database (SQL)
* Background in statistics or computational physics
**Additional Requirements**
* Must be willing to work extended hours and weekends as needed
**Compensation And Benefits**
 Pay range:
 Sr. Data Engineer: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0">
      <c r="A20" t="inlineStr">
        <is>
          <t>li-4335877743</t>
        </is>
      </c>
      <c r="B20" t="inlineStr">
        <is>
          <t>Senior Staff Technical Data Analyst (Lead Analytics Engineer)</t>
        </is>
      </c>
      <c r="C20" t="inlineStr">
        <is>
          <t>Intuit</t>
        </is>
      </c>
      <c r="D20" t="inlineStr">
        <is>
          <t>linkedin</t>
        </is>
      </c>
      <c r="E20" t="inlineStr"/>
      <c r="F20" t="inlineStr"/>
      <c r="G20" t="inlineStr">
        <is>
          <t>Mountain View, CA</t>
        </is>
      </c>
      <c r="H20" t="inlineStr"/>
      <c r="I20"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21">
      <c r="A21" t="inlineStr">
        <is>
          <t>li-4335997425</t>
        </is>
      </c>
      <c r="B21" t="inlineStr">
        <is>
          <t>Senior Staff Technical Data Analyst (Lead Analytics Engineer)</t>
        </is>
      </c>
      <c r="C21" t="inlineStr">
        <is>
          <t>Intuit</t>
        </is>
      </c>
      <c r="D21" t="inlineStr">
        <is>
          <t>linkedin</t>
        </is>
      </c>
      <c r="E21" t="inlineStr"/>
      <c r="F21" t="inlineStr"/>
      <c r="G21" t="inlineStr">
        <is>
          <t>San Francisco, CA</t>
        </is>
      </c>
      <c r="H21" t="inlineStr"/>
      <c r="I21"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22">
      <c r="A22" t="inlineStr">
        <is>
          <t>li-4370179504</t>
        </is>
      </c>
      <c r="B22" t="inlineStr">
        <is>
          <t>Data Engineer with Palantir | ONSITE | San Antonio, TX</t>
        </is>
      </c>
      <c r="C22" t="inlineStr">
        <is>
          <t>Motion Recruitment</t>
        </is>
      </c>
      <c r="D22" t="inlineStr">
        <is>
          <t>linkedin</t>
        </is>
      </c>
      <c r="E22" t="inlineStr"/>
      <c r="F22" t="inlineStr"/>
      <c r="G22" t="inlineStr">
        <is>
          <t>Dallas, TX</t>
        </is>
      </c>
      <c r="H22" t="inlineStr"/>
      <c r="I22" t="inlineStr">
        <is>
          <t>**Applicants must be currently authorized to work in the US on a full\-time basis now and in the future.**
 We are seeking a Data Engineer to build and maintain curated, reliable datasets in a Palantir Foundry environment. You will transform complex operational and enterprise data into actionable insights, validate datasets using Power BI, and ensure data quality, governance, and access controls. Candidates must be able to maintain a DoD security clearance.
 Design, implement, and optimize PySpark, Python, and SQL pipelines to ingest, clean, transform, and normalize large\-scale, heterogeneous datasets for analytics, reporting, and ML workflows. Collaborate with stakeholders to elicit requirements and translate operational or incomplete datasets into curated, schema\-compliant, production\-ready data products, ensuring data integrity, lineage, and consistency across pipelines.
**Required Skills \&amp; Experience**
* Proficiency in PySpark, Python, and SQL for large\-scale data transformation.
* Knowledge of data modeling, semantic layers, graph\-based structures, or ontology design.
* Understanding of data governance, access controls, and compliance practices.
* Ability to maintain a DoD security clearance.
**Desired Skills \&amp; Experience**
* Experience designing ETL pipelines for batch and streaming data.
* Ability to optimize pipelines for performance and scalability in distributed environments.
* Prior experience in defense, government, or high\-security environments.
**Location:**
 Onsite 5 days a week in San Antonio, Tx
**Compensation**
 Annual performance based bonus
**You Will Receive The Following Benefits**
* Medical Insurance
* Dental Benefits
* Vision Benefits
* Paid Time Off (PTO)
* 401(k)
**Posted By:** 
 Madelynn Britton</t>
        </is>
      </c>
    </row>
    <row r="23">
      <c r="A23" t="inlineStr">
        <is>
          <t>li-4379596453</t>
        </is>
      </c>
      <c r="B23" t="inlineStr">
        <is>
          <t>Senior Data Engineer - (Durham NC or Menlo Park, CA) - #4571</t>
        </is>
      </c>
      <c r="C23" t="inlineStr">
        <is>
          <t>BioSpace</t>
        </is>
      </c>
      <c r="D23" t="inlineStr">
        <is>
          <t>linkedin</t>
        </is>
      </c>
      <c r="E23" t="inlineStr"/>
      <c r="F23" t="inlineStr"/>
      <c r="G23" t="inlineStr">
        <is>
          <t>Menlo Park, CA</t>
        </is>
      </c>
      <c r="H23" t="inlineStr"/>
      <c r="I23"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\[email protected] if you require an accommodation to apply for an open position.
 GRAIL maintains a drug\-free workplace. We welcome job\-seekers from all backgrounds to join us!</t>
        </is>
      </c>
    </row>
    <row r="24">
      <c r="A24" t="inlineStr">
        <is>
          <t>li-4336057425</t>
        </is>
      </c>
      <c r="B24" t="inlineStr">
        <is>
          <t>Senior Staff Technical Data Analyst (Lead Analytics Engineer)</t>
        </is>
      </c>
      <c r="C24" t="inlineStr">
        <is>
          <t>Intuit</t>
        </is>
      </c>
      <c r="D24" t="inlineStr">
        <is>
          <t>linkedin</t>
        </is>
      </c>
      <c r="E24" t="inlineStr"/>
      <c r="F24" t="inlineStr"/>
      <c r="G24" t="inlineStr">
        <is>
          <t>San Diego, CA</t>
        </is>
      </c>
      <c r="H24" t="inlineStr"/>
      <c r="I24" t="inlineStr">
        <is>
          <t>**Overview**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Intuit’s Analytics ecosystem.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
 The Data Intelligence team exists to ensure that the Small Business and Self\-Employed Group analytics ecosystem has the data, tools, capabilities and education it needs to deliver actionable insights and recommendations to our business partners.
**Responsibilities**
* 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
* Collaborate Across Functions: Partner closely with data scientists, product managers, and business stakeholders to deeply understand business needs and translate them into robust data models, systems, and strategies that support decision\-making, complex modeling, and analytics.
* Champion Data Quality and Governance: Define standards and frameworks for data modeling, quality, and governance. Ensure that data systems are reliable, performant, and built to scale with the business.
*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
* Drive Continuous Improvement:Identify opportunities to improve data pipelines, platforms, and processes. Collaborate with data engineers and data scientists to prioritize, develop, and test enhancements that improve reliability, performance, and usability.
* Bridge Technical and Business Perspectives:Communicate effectively with technical and non\-technical audiences. Interview data consumers to understand requirements, develop functional specifications, and ensure delivery of strategic data initiatives that meet business needs.
* Advocate for the Analyst Community: Represent analysts’ data needs across segments and product teams. Develop data literacy plans and training programs for both analyst and non\-analyst audiences to increase adoption and understanding of data assets.
* Strategic and Leadership Impact:
* Serve as a subject matter expert across the analytics organization and broader Intuit ecosystem.
* Create and execute data roadmaps that align with business strategy.
* Lead high\-complexity projects with end\-to\-end ownership, using agile methodologies, translating complex business requirements into milestones and deliverables.
**Qualifications**
 Technical \&amp; Strategic Expertise
* 8\+ years of experience in analytics engineering or data architecture, designing and implementing data models and pipelines that directly support business decision\-making and data\-driven strategies.
* Bachelor’s Degree in Computer Science, Information Systems, Statistics, Data Analytics, or a related field required; Master’s Degree preferred.
* Deep expertise in data modeling and semantic layer design, with the ability to translate complex business logic into scalable, high\-performance data structures
* Advanced proficiency in SQL and Python for data transformation, quality assurance, and automation.
* Strong understanding of data warehousing concepts and experience with modern cloud data platforms such as Databricks \- with the ability to optimize for usability, scalability, and performance
* Experienced in AWS data services
* Proficient in data transformation and orchestration tools such as dbt, Airflow, or Fivetran, with a strong grasp of CI/CD and version control best practices.
* Familiarity with data visualization and analytics platforms (e.g., Tableau, Qlik Sense, Looker) and a clear understanding of how data models enable effective self\-service analytics. Experience integrating and modeling clickstream and behavioral data
* Knowledge of data governance, lineage, and metadata management, ensuring models are trusted, well\-documented, and reusable across teams.
 Business Acumen, Collaboration \&amp; Leadership
* Exceptional ability to think from the business perspective \- deeply understands how data informs key metrics, KPIs, and strategic decisions, and designs models that make those insights accessible and actionable.
* Adept at collaborating with data scientists, product managers, and business stakeholders to translate business questions into technical designs and high\-impact analytical datasets.
* Recognized for building bridges between technical and business teams \- explaining complex data concepts in simple, outcome\-oriented language.
* Proven experience mentoring and leading data and analytics engineers, ensuring quality execution and alignment with architectural standards and business objectives.
* Proactive and strategic mindset \- anticipates business needs, identifies opportunities for improvement, and advocates for scalable, future\-proof data solutions.
* Excellent communication, prioritization, and organizational skills, with the ability to manage multiple complex initiatives simultaneously.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$191,500\-$259,000
 Southern California: $183,000\-$247,500</t>
        </is>
      </c>
    </row>
    <row r="25">
      <c r="A25" t="inlineStr">
        <is>
          <t>li-4377052158</t>
        </is>
      </c>
      <c r="B25" t="inlineStr">
        <is>
          <t>Lead, Data Platform Engineer - Data Governance</t>
        </is>
      </c>
      <c r="C25" t="inlineStr">
        <is>
          <t>Salesforce</t>
        </is>
      </c>
      <c r="D25" t="inlineStr">
        <is>
          <t>linkedin</t>
        </is>
      </c>
      <c r="E25" t="inlineStr"/>
      <c r="F25" t="inlineStr"/>
      <c r="G25" t="inlineStr">
        <is>
          <t>Seattle, WA</t>
        </is>
      </c>
      <c r="H25" t="inlineStr"/>
      <c r="I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 Lead Data Platform Engineer** 
 to drive the technical implementation of
 **Trust and Data Governance** 
 within our Customer Success Data Platform. In this role, you will architect systems that ensure our product and customer data—both structured and unstructured—is
 **reliable, compliant, and AI\-ready** 
 . You’ll work at the intersection of
 **data engineering, metadata management, and AI** 
 , building frameworks that empower our enterprise to innovate with confidence.
 Our ideal candidate has extensive
 **engineering experience** 
 , a strong track record of implementing
 **data governance at scale** 
 , and a passion for enabling AI\-ready data platforms.
 What You’ll Do
* Architect Governance for AI Readiness
* Define and execute the technical strategy for data trust, ensuring both structured metrics and unstructured datasets are AI\-ready.
* Build and scale discovery capabilities and metadata frameworks so users can find and apply trusted datasets efficiently.
* Improve data quality through well\-governed instrumentation and schema practices across the platform.
* Metadata \&amp; Semantic Engineering
* Design and implement automated ways to expose data quality and usability metadata through knowledge graphs.
* Enable semantic understanding and automated reasoning to accelerate AI\-powered application development.
* Manage metadata as a product, leveraging Graph Databases or ontology management tools to bridge raw data and AI agents.
* Frameworks \&amp; Compliance
* Establish and maintain quality assessment frameworks, benchmarks, and automated reporting to align with global data standards.
* Implement technical controls for data retention, access, and classification.
* Ensure the platform meets rigorous external regulatory requirements, including GDPR, CCPA, and SOX.
* Champion the Data Marketplace
* Operate the platform as a two\-sided marketplace, supporting both data engineers producing data and application developers consuming it.
* Partner with users to understand pain points in data usability and build solutions that reduce time\-to\-find and time\-to\-use.
 What We’re Looking For
**Engineering Expertise**
* 8\+ years in data platform or infrastructure engineering, with experience in data streaming, telemetry, or observability domains.
**Governance Mastery**
* Proven track record implementing internal data policies (classification, access) and external regulations (GDPR, CCPA).
**Technical Proficiency**
* Deep knowledge of event\-driven architectures, instrumentation schemas, Kafka, and real\-time data pipelines.
* Hands\-on experience with Graph Databases or Ontology management to support AI consumption.
* Experience in the Salesforce ecosystem (Data360, Agentforce, Service Cloud, etc.) is a plus.
**Strategic Execution**
* Ability to align technical roadmaps with industry trends and deliver high\-impact features in complex enterprise environments.
**Communication**
* Exceptional skill in distilling technical complexity for diverse audiences and driving functional alignment.
 Why Join This Team?
 At
 **Salesforce** 
 , we are shaping the future of business at the intersection of
 **AI \+ Data \+ CRM** 
 . You will be at the heart of this mission, building the
 **foundation of trust** 
 that enables our global customers to innovate and succeed. Join us to empower enterprise\-scale AI initiatives with
 **data you can trust**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26">
      <c r="A26" t="inlineStr">
        <is>
          <t>li-4378293697</t>
        </is>
      </c>
      <c r="B26" t="inlineStr">
        <is>
          <t>DATA ENGINEER</t>
        </is>
      </c>
      <c r="C26" t="inlineStr">
        <is>
          <t>Jobs via Dice</t>
        </is>
      </c>
      <c r="D26" t="inlineStr">
        <is>
          <t>linkedin</t>
        </is>
      </c>
      <c r="E26" t="inlineStr"/>
      <c r="F26" t="inlineStr"/>
      <c r="G26" t="inlineStr">
        <is>
          <t>Omaha, NE</t>
        </is>
      </c>
      <c r="H26" t="inlineStr"/>
      <c r="I26" t="inlineStr">
        <is>
          <t>Apply
**Role: Data Engineer
 Work Location: Onsite \- Omaha, NE (5 Days onsite)**
**Role Overview**
 We are seeking a skilled and motivated
 **Data Engineer** 
 to join our team onsite at Omaha, NE. The ideal candidate will have strong expertise in Python and SQL, with experience in building scalable, reliable, and high\-performance data pipelines. This role requires hands\-on development, strong analytical skills, and the ability to collaborate effectively with cross\-functional teams.
**Key Responsibilities**
* Design, develop, and maintain scalable data pipelines for batch and real\-time data processing.
* Implement robust data processing solutions using Python, SQL, and occasionally Java.
* Design and optimize data models, including star and snowflake schemas, fact and dimension tables.
* Work with cloud\-based data platforms and services to build modern data solutions.
* Develop and optimize queries for relational databases and data warehouses.
* Implement data quality checks, validation frameworks, monitoring, and logging mechanisms.
* Collaborate with analytics, business, and engineering teams to understand requirements and deliver reliable data solutions.
* Perform code reviews and mentor junior engineers to ensure high\-quality, maintainable code.
* Ensure production stability with a strong focus on performance tuning and first\-time\-right delivery.
**Required Skills \&amp; Qualifications**
* 4\-8 years of experience in data engineering or related roles.
* Strong proficiency in Python and SQL for data processing and pipeline development.
* Working knowledge of Java for data processing (as needed).
* Strong understanding of data modeling concepts (star/snowflake schemas, fact/dimension tables).
* Hands\-on experience with cloud platforms and their data services.
* Experience with big data frameworks such as Spark, Databricks, or equivalent technologies.
* Strong knowledge of relational databases and query optimization techniques.
* Experience working with enterprise data warehouses.
* Familiarity with workflow orchestration tools (e.g., Airflow or equivalent).
* Strong analytical and problem\-solving abilities.
* Excellent communication skills with the ability to work in cross\-functional teams.
* Strong ownership mindset with a focus on production stability and high\-quality delivery.
**Preferred Attributes**
* Experience in implementing scalable and maintainable architecture patterns.
* Exposure to CI/CD practices in data engineering environments.
* Ability to thrive in a fast\-paced, collaborative onsite environment.
 The base salary range for this position is $82000 \- $100000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03/06/2026\. This position is for an existing, immediate vacancy. We are currently seeking to fill this role with an individual who can start as soon as possible.</t>
        </is>
      </c>
    </row>
    <row r="27">
      <c r="A27" t="inlineStr">
        <is>
          <t>li-4318153053</t>
        </is>
      </c>
      <c r="B27" t="inlineStr">
        <is>
          <t>Staff Data Platform Engineer</t>
        </is>
      </c>
      <c r="C27" t="inlineStr">
        <is>
          <t>FloSports</t>
        </is>
      </c>
      <c r="D27" t="inlineStr">
        <is>
          <t>linkedin</t>
        </is>
      </c>
      <c r="E27" t="inlineStr"/>
      <c r="F27" t="inlineStr"/>
      <c r="G27" t="inlineStr"/>
      <c r="H27" t="inlineStr"/>
      <c r="I27" t="inlineStr">
        <is>
          <t>FloSports leads the way in delivering world\-class digital streaming for millions of fans, families, and athletes in underserved sports. Our digital platform unites casual and dedicated spectators alike, offering thrilling live events from around the world with interactive features, real\-time analytics, and powerful broadcast technology. As the essential destination for niche sports content, we deliver everything from breaking news and expert commentary to feature films, documentaries, and multi\-episodic series. We've revolutionized the global sports media industry by building a diverse team—technologists and wrestlers, creators and cheerleading experts, designers and hockey enthusiasts, communicators and motorsport fanatics, producers and sports fans—all united by our passion to serve underrepresented sports communities. We're creating the ultimate destination for our sports, and we're looking for people like you to join us!
**The Role**
 The Data Platform Engineer role at Flo blends Data Engineering, Backend Engineering, and Cloud Engineering into a unique and impactful position. In this role, you’ll design, build, and deliver reliable, scalable, and efficient data services that form the backbone of Flo’s next\-generation fan experiences.
**Responsibilities**
* Lead the architecture and design of complex, large\-scale distributed systems.
* Design, develop, and maintain scalable, fault\-tolerant microservices for both real\-time and batch data processing.
* Build and maintain high\-performance REST APIs with a focus on scalability, reliability, and maintainability.
* Design and implement data models and queries for efficient storage and retrieval across SQL and NoSQL databases.
* Lead data quality initiatives to ensure consistency, accuracy, and reliability of data across the platform.
* Collaborate with cross\-functional teams to translate platform requirements into effective technical solutions.
* Drive technical standards and best practices for code quality, testing, and observability across engineering teams.
* Mentor and provide technical guidance to engineers through code reviews, design discussions, and direct support.
* Take end\-to\-end ownership of the software development lifecycle, including deployment, monitoring, and incident response.
**Knowledge, Skills And Abilities**
* 10\+ years of industry experience with a focus on backend and data engineering.
* Proven experience designing and operating distributed data systems using a microservices architecture, with a solid understanding of scalability, fault tolerance, performance, and observability best practices.
* Hands\-on experience with CI/CD pipelines and deployment automation.
* A track record of writing high\-quality, maintainable code across multiple services and teams.
* Strong leadership skills to guide, mentor, and support engineers while fostering a collaborative team culture.
* Excellent communication, analytical, and problem\-solving skills.
* Ability to adapt to a rapidly changing environment with evolving or ambiguous requirements.
* Demonstrated ability to work independently, take ownership of complex projects, and drive them to completion with minimal supervision.
* Ability to leverage AI\-powered tools and frameworks to enhance developer productivity, automate workflows, and optimize data\-driven systems.
* Experience with AWS serverless technologies (e.g., SST, CDK, Terraform), NoSQL databases (e.g., DynamoDB), stream processing (e.g., Kinesis, DynamoDB Streams)
* Experience developing backend services using modern languages such as TypeScript and Node.js.
* Experience deploying and managing applications on public cloud platforms (e.g., AWS, GCP).
**Our Commitment To Diversity**
 FloSports exists to elevate the communities, athletes, and sports that have too often been overlooked. That mission starts with our own team. We believe that a diverse, inclusive workplace—one where different perspectives are sought out, heard, and valued—is essential to building a company that can truly serve the full spectrum of sports fans.
 We are committed to creating a fair and equitable environment where people from all backgrounds can thrive. To help mitigate bias and expand opportunity, FloSports uses a blind recruiting process that supports more objective, inclusive hiring decisions. We’re intentional in our practices because we believe the best ideas and innovations come from teams that reflect the diversity of the world around us.
**Our Benefits**
* Recognized three years in a row as a Top Workplace by the Austin\-American Statesman
* Flexibility at work \- you can take control of your profession and personal schedule
* All\-hands events hosted annually in beautiful Austin, Texas
* Annual equity awards for all top performers
* Competitive and comprehensive medical, dental and vision plans
* Peace of mind through company\-paid short\-term disability, long\-term disability and life insurance
* Generous 401(K) company match vested immediately
* Progressive parental leave policies
* Flexible paid time off
* Hack\-a\-thons and a full calendar of team\-building and social events
* Company donation to youth teams and leagues that our employees coach
* Stocked snack bar, catered lunch and breakfast tacos every week</t>
        </is>
      </c>
    </row>
    <row r="28">
      <c r="A28" t="inlineStr">
        <is>
          <t>li-4378273669</t>
        </is>
      </c>
      <c r="B28" t="inlineStr">
        <is>
          <t>Data Platform Engineer</t>
        </is>
      </c>
      <c r="C28" t="inlineStr">
        <is>
          <t>Jobs via Dice</t>
        </is>
      </c>
      <c r="D28" t="inlineStr">
        <is>
          <t>linkedin</t>
        </is>
      </c>
      <c r="E28" t="inlineStr"/>
      <c r="F28" t="inlineStr"/>
      <c r="G28" t="inlineStr"/>
      <c r="H28" t="inlineStr"/>
      <c r="I28" t="inlineStr">
        <is>
          <t>Dice is the leading career destination for tech experts at every stage of their careers. Our client, Contract Staffing Recruiters, is seeking the following. Apply via Dice today!
**he Opportunity:**
 This role is a senior technical leadership position responsible for integrating and delivering production\-grade AI, machine learning, and data capabilities. The position combines hands\-on software engineering with system\-level design, leading end\-to\-end development of scalable, cloud\-based solutions that leverage LLMs, MLOps, and automation. Working closely with cross\-functional stakeholders, the role balances near\-term delivery with long\-term strategy while mentoring engineers and promoting strong engineering best practices.
**What You Will Do:**
* Collaborate with technical leadership, product managers, program/project managers, and business stakeholders to support the team as we bring advanced data capabilities.
* Be the system integrator for APIs, SDKs, and other automation activities: lead multi\-disciplinary efforts to bring advanced AI/ML capabilities through production software and cloud engineering, including generative AI, AIOps, GenOps, MLOps, and ML\-augmented engineering. This includes ensuring that capabilities are designed, implemented, maintained, observed, and supported from end\-to\-end.
* Maintain both high level and low\-level views of technical systems and coordinate with teams and subject matter experts from other disciplines to realize successful realization.
* Design, write, test, and deploy production quality software capabilities that are maintainable, automated (CI/CD), scalable, observable, organized, and readable. Ensure best practices are maintained, including quality and CI/CD automation.
* Advise technical support and building of user documentation
* Mentor early and mid\-career team members, supporting their ascension to senior and lead roles.
**Qualifications You Must Have:**
 Typically requires a University Degree or equivalent experience and minimum 12 years prior relevant experience, or an Advanced Degree in a related field and minimum 10 years’ experience
* 5\+ years of experience with data science and machine learning.
* 5\+ years of experience with the Software Development Life Cycle and software application / product development, including Python and the Python scientific stack.
**Qualifications We Prefer:**
 A flexible and patient mindset, interested in working on a variety of multi\-disciplinary challenges with varying stakeholders, partners, domains, and toolsets.
* Relevant experience with cloud computing platforms (AWS and/or Azure.)
* Organizational skills for knowledge, documentation, and data management
* Other helpful experience: SQL, Node, REST APIs, testing libraries.
* Experience building products that use Large Language Models (LLMs) and LLM APIs.
* Technical leadership experience, such as being the engineering lead for a program, product, or large project.
* Experience as part of a multi\-disciplinary team
* Experience with cloud computing.</t>
        </is>
      </c>
    </row>
    <row r="29">
      <c r="A29" t="inlineStr">
        <is>
          <t>li-4377038892</t>
        </is>
      </c>
      <c r="B29" t="inlineStr">
        <is>
          <t>Lead, Data Platform Engineer - Data Governance</t>
        </is>
      </c>
      <c r="C29" t="inlineStr">
        <is>
          <t>Salesforce</t>
        </is>
      </c>
      <c r="D29" t="inlineStr">
        <is>
          <t>linkedin</t>
        </is>
      </c>
      <c r="E29" t="inlineStr"/>
      <c r="F29" t="inlineStr"/>
      <c r="G29" t="inlineStr">
        <is>
          <t>Chicago, IL</t>
        </is>
      </c>
      <c r="H29" t="inlineStr"/>
      <c r="I2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 Lead Data Platform Engineer** 
 to drive the technical implementation of
 **Trust and Data Governance** 
 within our Customer Success Data Platform. In this role, you will architect systems that ensure our product and customer data—both structured and unstructured—is
 **reliable, compliant, and AI\-ready** 
 . You’ll work at the intersection of
 **data engineering, metadata management, and AI** 
 , building frameworks that empower our enterprise to innovate with confidence.
 Our ideal candidate has extensive
 **engineering experience** 
 , a strong track record of implementing
 **data governance at scale** 
 , and a passion for enabling AI\-ready data platforms.
 What You’ll Do
* Architect Governance for AI Readiness
* Define and execute the technical strategy for data trust, ensuring both structured metrics and unstructured datasets are AI\-ready.
* Build and scale discovery capabilities and metadata frameworks so users can find and apply trusted datasets efficiently.
* Improve data quality through well\-governed instrumentation and schema practices across the platform.
* Metadata \&amp; Semantic Engineering
* Design and implement automated ways to expose data quality and usability metadata through knowledge graphs.
* Enable semantic understanding and automated reasoning to accelerate AI\-powered application development.
* Manage metadata as a product, leveraging Graph Databases or ontology management tools to bridge raw data and AI agents.
* Frameworks \&amp; Compliance
* Establish and maintain quality assessment frameworks, benchmarks, and automated reporting to align with global data standards.
* Implement technical controls for data retention, access, and classification.
* Ensure the platform meets rigorous external regulatory requirements, including GDPR, CCPA, and SOX.
* Champion the Data Marketplace
* Operate the platform as a two\-sided marketplace, supporting both data engineers producing data and application developers consuming it.
* Partner with users to understand pain points in data usability and build solutions that reduce time\-to\-find and time\-to\-use.
 What We’re Looking For
**Engineering Expertise**
* 8\+ years in data platform or infrastructure engineering, with experience in data streaming, telemetry, or observability domains.
**Governance Mastery**
* Proven track record implementing internal data policies (classification, access) and external regulations (GDPR, CCPA).
**Technical Proficiency**
* Deep knowledge of event\-driven architectures, instrumentation schemas, Kafka, and real\-time data pipelines.
* Hands\-on experience with Graph Databases or Ontology management to support AI consumption.
* Experience in the Salesforce ecosystem (Data360, Agentforce, Service Cloud, etc.) is a plus.
**Strategic Execution**
* Ability to align technical roadmaps with industry trends and deliver high\-impact features in complex enterprise environments.
**Communication**
* Exceptional skill in distilling technical complexity for diverse audiences and driving functional alignment.
 Why Join This Team?
 At
 **Salesforce** 
 , we are shaping the future of business at the intersection of
 **AI \+ Data \+ CRM** 
 . You will be at the heart of this mission, building the
 **foundation of trust** 
 that enables our global customers to innovate and succeed. Join us to empower enterprise\-scale AI initiatives with
 **data you can trust**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30">
      <c r="A30" t="inlineStr">
        <is>
          <t>li-4342523546</t>
        </is>
      </c>
      <c r="B30" t="inlineStr">
        <is>
          <t>Data Engineer</t>
        </is>
      </c>
      <c r="C30" t="inlineStr">
        <is>
          <t>Hasbro</t>
        </is>
      </c>
      <c r="D30" t="inlineStr">
        <is>
          <t>linkedin</t>
        </is>
      </c>
      <c r="E30" t="inlineStr"/>
      <c r="F30" t="inlineStr"/>
      <c r="G30" t="inlineStr">
        <is>
          <t>Renton, WA</t>
        </is>
      </c>
      <c r="H30" t="inlineStr"/>
      <c r="I30"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 Build highly scalable, reliable, and performant pipelines. These pipelines consume, integrate, and analyze large volumes of complex data using various proprietary and open\-source platforms and tools.
* Collaborate with engineers, producers, business partners, and analysts to elicit, translate, and prescribe requirements for their needs.
* Stay ahead of the technology curve and make recommendations about technologies to build current and future products.
* Support the progression of technology solutions from conception through release and into live operations.
* Implement processes, procedures, and documentation standards to ensure compliance with internal Technology and Corporate IT regulations.
 What You'll Bring
* 3\+ years of experience working with cloud data platforms like Redshift, Databricks, and Snowflake (Snowflake Preferred).
* More than one year of background working with Cloud Technologies (AWS preferred).
* Proficiency in Python and SQL.
* Background in data warehousing, data quality, and monitoring.
* Experience building scalable data pipelines and ETL processes.
* Experience working in a DevOps environment.
* Experience in managing data streams (KAFKA preferred).
* Experience integrating AI solutions into new and existing technologies to improve efficiency, streamline operations, and elevate the consumer experience.
* Bachelor’s degree or master’s degree or equivalent experience in computer science, Information Systems, or a related field.
 Nice\-to\-Have Skills
* Experience integrating with third\-party APIs.
* Experience with data pipeline orchestration tools such as Airflow.
*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31">
      <c r="A31" t="inlineStr">
        <is>
          <t>li-4378443984</t>
        </is>
      </c>
      <c r="B31" t="inlineStr">
        <is>
          <t>Data Engineer</t>
        </is>
      </c>
      <c r="C31" t="inlineStr">
        <is>
          <t>Paradigm Nat'l</t>
        </is>
      </c>
      <c r="D31" t="inlineStr">
        <is>
          <t>linkedin</t>
        </is>
      </c>
      <c r="E31" t="inlineStr"/>
      <c r="F31" t="inlineStr"/>
      <c r="G31" t="inlineStr"/>
      <c r="H31" t="inlineStr"/>
      <c r="I31" t="inlineStr">
        <is>
          <t>As one of the top AWS partners in the Midwest we specialize in AWS Migration, designing and implementing cloud native architectures, building analytics platforms and enabling automation through DevOps. We are an Advanced Tier AWS Consulting Partner and AWS Well Architected Partner.
 We are looking for a Data Engineer to join our growing team that will be responsible for expanding and optimizing our data and pipeline architecture and data flow and collection.
 We are looking for sharp, disciplined, and self\-motivated individuals who have a passion for utilizing cloud solutions to solve real world business challenges for our customers. In collaboration with other leaders in the firm, you will focus on designing, building, migrating and optimizing solutions leveraging AWS services.
**Some Responsibilities** 
* Process unstructured data into a form suitable for analysis.
* Support the business with ad hoc data analysis and build reliable data pipelines.
* Implementation of best practices and IT operations in mission\-critical tighter SLA data pipelines using Airflow
* Query Engine Migration from Dremio to Redshift.
* We leverage: Multiple AWS Data \&amp; Analytic Services(e.g.,Glue, Kinesis, S3\) , SQL (e.g., PostgreSQL, Redshift, Athena); NoSQL (e.g., DocumentDB, MongoDB); Kafka, Docker, Spark(AWS EMR and DataBricks), Airflow, Dremio, Qubole, etc.
* We use AWS extensively, so experience with AWS cloud and AWS Data \&amp; Analytics certification will help you hit the ground running.
**Qualifications** 
**Education** 
* Bachelor’s Degree strongly preferred
* Certifications related to cloud provider preferred
**Experience** 
**Business Skills** 
* Creative Problem\-Solving: Approaching data organization challenges with a clear eye on what is important; employing the suitable approach/methods to make the maximum use of time and human resources.
* Effective Collaboration: Carefully listening to management, data engineers, and architects to establish their needs.
* Intellectual Curiosity: Exploring new territories and finding creative and pragmatic ways to solve data problems.
* Industry Knowledge: Understanding and perspective of how industry functions and how data can be collected, analyzed, and utilized for value creation; maintaining flexibility in the face of big data developments.
**Technical Skills** 
* 3 to 5 years of real\-world Data Engineering experience.
* Programming experience, ideally in Python and other data engineering languages like Scala
* Programming knowledge to clean structure and semi\-structure datasets.
* Experience processing large amounts of structured and unstructured data. Streaming data experience is a plus.
* Experience building and optimizing ‘big data’ data pipelines, architectures, and data sets.
* Background in Linux
* Build the infrastructure required for optimal extraction, transformation, and loading of data from various data sources using SQL and other cloud ‘big data’ technologies like DataBricks, Snowflake, Dremio, and Qubole.
* Build processes supporting data transformation, data structures, metadata, dependency, and workload management.
* A successful history of manipulating, processing, and extracting value from large, disconnected datasets.
* Experience creating a platform on which complex data pipelines are built using orchestration tools like Airflow, and Astronomer.
* Experience with real\-time sync between OLTP and OLAP using AWS technologies like real\-time sync between AWS Aurora and AWS Redshift</t>
        </is>
      </c>
    </row>
    <row r="32">
      <c r="A32" t="inlineStr">
        <is>
          <t>li-4323948402</t>
        </is>
      </c>
      <c r="B32" t="inlineStr">
        <is>
          <t>Medical Data &amp; Analytics Engineer</t>
        </is>
      </c>
      <c r="C32" t="inlineStr">
        <is>
          <t>Genentech</t>
        </is>
      </c>
      <c r="D32" t="inlineStr">
        <is>
          <t>linkedin</t>
        </is>
      </c>
      <c r="E32" t="inlineStr"/>
      <c r="F32" t="inlineStr"/>
      <c r="G32" t="inlineStr">
        <is>
          <t>South San Francisco, CA</t>
        </is>
      </c>
      <c r="H32" t="inlineStr"/>
      <c r="I32" t="inlineStr">
        <is>
          <t>The Position
 A healthier future. It’s what drives us to innovate. To continuously advance science and ensure everyone has access to the healthcare they need today and for generations to come. Creating a world where we all have more time with the people we love.
**The Opportunity**
 The Medical Data \&amp; Analytics Engineer plays a crucial role in accelerating evidence generation, decision\-making, and innovation within USM and beyond, by bridging medical data strategy, engineering, and analytics. This position demands profound technical expertise in clinical data, real\-world data (RWD), and scientific literature, coupled with strategic acumen in medical data use cases and their innovative applications.
 As a systems thinker and a strong collaborator across the R\&amp;D enterprise, this individual will contribute to evolving the USM data ecosystem, aligning it with global digital, data, and AI initiatives from Product Development (PD) and early Research and Development (REDs). This role is pivotal in leveraging clinical and real\-world data assets to deliver scientific and business value across USM, ultimately making a meaningful impact on patients.
**Key Responsibilities**
* Assess medical data sources (e.g., clinical trial, RWD, scientific literature) required for medical insights related to clinical trials and evidence planning, and lead the acquisition, transformation, and integration of new data sources into enterprise platforms (when needed).
* Collaborate with data scientists, statisticians, and clinicians to provide analytic\-ready datasets for clinical, RWE, and scientific literature, fostering strong partnerships with Medical, Clinical \&amp; RWD functions globally.
* Define and evolve the Medical Operations data strategy to support medical affairs in partnership with other EG and E4A teams. Represent USM on global strategic initiatives related to data foundation, data capabilities, and analytics.
* Translate scientific and business questions into medical data requirements, tools, and data platforms needed to deliver medical insights for trial design, operational strategy, and evidence planning.
* Influence R\&amp;D enterprise data governance, stewardship, and policies, providing thought leadership on emerging trends including AI/ML applications, data linkage, digital health integration, and decentralized trials.
* Act as an innovator and connector by leveraging emerging technologies and novel data sources to advance evidence generation, introducing modern engineering and analytics practices, and bridging scientific, technical, and business perspectives to unlock multimodal data value, while also serving as a change agent for multimodal data adoption and cultural/operational transformation.
**Who You Are**
**Required Qualifications \&amp; Experience**
* Bachelor’s or Master’s degree in Computer Science, Biomedical Informatics, Data Engineering, or a related field (PhD is a plus for advanced biomedical applications).
* 6\+ years of experience in data engineering or analytics engineering, with exposure to healthcare or life sciences.
* Proficiency in SQL, Python, Spark, and workflow orchestration tools
* Hands\-on experience with cloud platforms (AWS, Azure, or GCP).
* Familiarity with healthcare and biomedical data (EHR, claims, registries, genomics, imaging, digital, PROs) and relevant standards (OMOP, FHIR, CDISC, HL7, DICOM).
* Experience building analytics\-ready data assets and supporting visualization or statistical modeling workflows.
**Travel Requirements**
 The position is located in South San Francisco but the candidate. The position may require up to an additional 25% time traveling.
 The expected salary range for this position based on the primary location of South San Francisco, CA is $143,100 \- 265,700\.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Relocation benefits are not available for this job posting.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3">
      <c r="A33" t="inlineStr">
        <is>
          <t>li-4379596905</t>
        </is>
      </c>
      <c r="B33" t="inlineStr">
        <is>
          <t>Associate Data Engineer</t>
        </is>
      </c>
      <c r="C33" t="inlineStr">
        <is>
          <t>Capgemini</t>
        </is>
      </c>
      <c r="D33" t="inlineStr">
        <is>
          <t>linkedin</t>
        </is>
      </c>
      <c r="E33" t="inlineStr"/>
      <c r="F33" t="inlineStr"/>
      <c r="G33" t="inlineStr">
        <is>
          <t>Nashville, TN</t>
        </is>
      </c>
      <c r="H33" t="inlineStr"/>
      <c r="I3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Data engineers are responsible for building reliable and scalable data infrastructure that enables organizations to derive meaningful insights, make data\-driven decisions, and unlock the value of their data assets.
**Job Description \- Grade Specific**
 The role support the team in building and maintaining data infrastructure and systems within an organization.
 The base compensation range for this role in the posted location is:
 **\[Recruiter to insert salary range\- US / Recruiter to insert total compensation range – CA]**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4">
      <c r="A34" t="inlineStr">
        <is>
          <t>li-4379572986</t>
        </is>
      </c>
      <c r="B34" t="inlineStr">
        <is>
          <t>AI Data Engineer</t>
        </is>
      </c>
      <c r="C34" t="inlineStr">
        <is>
          <t>Haystack</t>
        </is>
      </c>
      <c r="D34" t="inlineStr">
        <is>
          <t>linkedin</t>
        </is>
      </c>
      <c r="E34" t="inlineStr"/>
      <c r="F34" t="inlineStr"/>
      <c r="G34" t="inlineStr">
        <is>
          <t>Hawthorne, CA</t>
        </is>
      </c>
      <c r="H34" t="inlineStr"/>
      <c r="I34" t="inlineStr">
        <is>
          <t>**Sr. AI Platform Data Engineer \| Hawthorne, California \| Remote\-Friendly \| $139,100 \- $240,500**
 We're working with a global leader in smart home security and neighborhood safety technology on this exciting opportunity.
 We are seeking a visionary AI Platform Builder to redefine how data fuels innovation. You will be at the core of an AI\-first transformation, building agentic solutions and intelligent infrastructure that power next\-generation neighborhood experiences using Python, AWS, and advanced LLM frameworks.
**The Role**
* Architect and deploy AI\-native self\-service data platforms featuring natural language interfaces for seamless data accessibility.
* Design agentic AI workflows and intelligent pipelines that leverage LLMs for code generation, optimization, and automated data modeling.
* Build scalable, privacy\-compliant data architectures using the full AWS stack to support Subscriptions, Security, and Sales verticals.
* Implement automated governance systems for PII detection, data classification, and lineage tracking using AI\-driven tools.
* Collaborate with Scientists and SDEs to curate high\-performance datasets optimized for machine learning consumption and real\-time inference.
**What You'll Need**
* Expert\-level proficiency in Data Engineering, specifically building large\-scale pipelines and curated datasets within the AWS ecosystem.
* Hands\-on experience with Prompt Engineering and AI\-assisted development (GitHub Copilot, Agentic frameworks) to automate the data lifecycle.
* Deep technical knowledge of SQL, Python, and modern data warehousing principles (Snowflake, Redshift, or S3/Lakehouse environments).
* Proven ability to mentor technical teams on best practices for AI/ML infrastructure and data governance.
* A "first\-principles" mindset—you don't just use tools; you build intelligent, self\-improving systems that "automate the automation."
**What's On Offer**
* Highly competitive compensation package ranging from $139,100 to $240,500 \+ Benefits.
* Remote\-friendly flexibility with a home base in the innovation hub of Hawthorne, CA.
* The opportunity to lead AI transformation at a massive scale within a world\-class Decision Sciences team.
* Direct impact on products that protect and connect millions of households globally.
**Apply via Haystack today!**</t>
        </is>
      </c>
    </row>
    <row r="35">
      <c r="A35" t="inlineStr">
        <is>
          <t>li-4346293134</t>
        </is>
      </c>
      <c r="B35" t="inlineStr">
        <is>
          <t>Data Engineer</t>
        </is>
      </c>
      <c r="C35" t="inlineStr">
        <is>
          <t>ECS</t>
        </is>
      </c>
      <c r="D35" t="inlineStr">
        <is>
          <t>linkedin</t>
        </is>
      </c>
      <c r="E35" t="inlineStr"/>
      <c r="F35" t="inlineStr"/>
      <c r="G35" t="inlineStr"/>
      <c r="H35" t="inlineStr"/>
      <c r="I35" t="inlineStr">
        <is>
          <t>**Job Description**
 ECS is seeking a
 ***Data Engineer***
 to work
 ***remotely***
 .
 **Please Note:** 
**This position is contingent upon additional funding.**
 ECS is seeking a passionate and driven Data Engineer to support DHS’ Data Services Branch, under the Office of Chief Information Officer, that provides innovative and complex data analytics services and platforms to users. The Data Engineer will support our Federal customers with the tools and capabilities needed to turn data into actionable insights. In this role, you will be integral to data operations for the development and integration of multiple data types across a range of data sets and sources. You will be responsible for the day\-to\-day operations of systems that depend on data, ensuring data is properly processed and securely transferred to its appropriate location in a timely manner. Processing data will include managing, manipulating, storing, and parsing data in a data pipeline for a variety of target sources.
**Other Tasks Will Include**
* Completing development efforts across data pipeline to store, manage, store, and provision to data consumers
* Being an active and collaborating member of an Agile/Scrum team and following all Agile/Scrum best practices
* Writing code to ensure the performance and reliability of data extraction and processing
* Supporting continuous process automation for data ingest
* Achieving technical excellence by advocating for and adhering to lean\-agile engineering principles and practices such as API\-first design, simple design, continuous integration, version control, and automated testing
* Working with program management and engineers to implement and document complex and evolving requirements
* Helping to cultivate an environment that promotes customer service excellence, innovation, collaboration, and teamwork
* Collaborating with others as part of a cross\-functional team that includes user experience researchers and designers, product managers, engineers, and other functional specialists
*Salary Range: $130,000 \- $140,000*
**General Description Of Benefits**
 Required Skills
* Must be a US Citizen
* Must be able to obtain a Public Trust Clearance
* Bachelor's Degree
* 7\+ years of IT experience including experience in design, management, and solutioning of large, complex data sets and models.
* Experience with developing data pipelines from many sources from structured and unstructured data sets in a variety of formats
* Proficiency developing ETL processes, and performing test and validation steps
* 7\+ years’ experience and knowledge of coding language Python and SQL to extract data from various relational databases, application systems, flat files, and load them into data warehouses.
* Hands\-on experience with cloud\-based relational and non\-relational databases such as, PostgreSQL
* Strong understanding of the agile principles and ability to apply them
* Strong understanding of the CI/CD pipelines and ability to apply them
* Work comfortably in version control systems, such as, Git Repositories
 Desired Skills
* Experience creating and consuming APIs
* Experience with cloud service providers (e.g., AWS, Azure)
* Experience with DHS and knowledge of DHS standards a plus
* Demonstrated experience translating business and technical requirements into comprehensive data strategies and analytic solutions
* Demonstrated ability to communicate across all levels of the organization and communicate technical terms to non\-technical audiences
* Familiarity with low\-code/no\-code platforms for data querying and reporting
* Knowledge of data marts and other business intelligence tools (e.g., SAP BusinessObjects)
* Experience using serverless pipeline development tools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6">
      <c r="A36" t="inlineStr">
        <is>
          <t>li-4379722078</t>
        </is>
      </c>
      <c r="B36" t="inlineStr">
        <is>
          <t>Senior Data Engineer</t>
        </is>
      </c>
      <c r="C36" t="inlineStr">
        <is>
          <t>Jobgether</t>
        </is>
      </c>
      <c r="D36" t="inlineStr">
        <is>
          <t>linkedin</t>
        </is>
      </c>
      <c r="E36" t="inlineStr"/>
      <c r="F36" t="inlineStr"/>
      <c r="G36" t="inlineStr"/>
      <c r="H36" t="inlineStr"/>
      <c r="I36" t="inlineStr">
        <is>
          <t>**This position is posted by Jobgether on behalf of a partner company. We are currently looking for a Senior Data Engineer in United States.**
 This role offers the opportunity to design, build, and maintain large\-scale, high\-performance data infrastructure that powers analytics, machine learning, and business intelligence across global teams. You will work in a fully remote, flexible environment, collaborating with cross\-functional groups to ensure data quality, reliability, and scalability. The position requires hands\-on experience in cloud\-native data pipelines, distributed data processing, and ETL frameworks, with a focus on continuous improvement and operational excellence. You will mentor other engineers, drive best practices, and contribute to the evolution of the data platform. Ideal candidates are technically strong, highly collaborative, and comfortable in a fast\-paced, innovative environment. This role has a direct impact on how data drives decision\-making and innovation across the organization.
**Accountabilities**
* Design, develop, and implement scalable, high\-volume data infrastructure for data lakes and data warehouses
* Build, maintain, and optimize ETL pipelines, ensuring accuracy, consistency, and reliability of data flows
* Implement cloud\-native data pipelines, automation routines, and database schemas for analytics and machine learning
* Guide and mentor other data engineers, providing technical leadership for parts of the data platform
* Establish and enforce coding standards, design patterns, and best practices to improve maintainability
* Collaborate with business stakeholders, analysts, and technical teams to deliver actionable insights
* Monitor data quality, perform validation, and implement telemetry for ongoing process improvement
**Requirements**
* BS in Computer Science, Software Engineering, or a related technical field; MS preferred
* 7\+ years of professional experience, with 5\+ years in data engineering, business intelligence, or similar roles
* Expert knowledge of Python and SQL
* Hands\-on experience with ETL orchestration tools such as Airflow or Flink on AWS or GCP
* Experience with distributed data processing frameworks like Spark or Presto, and streaming technologies such as Kafka or Flink
* 3\+ years with cloud platforms, preferably AWS, and big data databases like Snowflake
* Experience with containerization and orchestration using Kubernetes
* Strong understanding of DevOps practices and cloud\-native architecture principles
* Excellent communication skills and ability to mentor and guide technical teams
**Benefits**
* Competitive salary range: $190,000 – $200,000 annually
* Fully remote work environment with flexible hours
* Professional development opportunities and mentorship programs
* Cutting\-edge technology projects and exposure to innovative data platforms
* Collaborative, supportive team culture
* Comprehensive benefits package including medical, dental, vision, and wellness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li-4379703542</t>
        </is>
      </c>
      <c r="B37" t="inlineStr">
        <is>
          <t>Sr Data Engineer 1</t>
        </is>
      </c>
      <c r="C37" t="inlineStr">
        <is>
          <t>Exelon</t>
        </is>
      </c>
      <c r="D37" t="inlineStr">
        <is>
          <t>linkedin</t>
        </is>
      </c>
      <c r="E37" t="inlineStr"/>
      <c r="F37" t="inlineStr"/>
      <c r="G37" t="inlineStr">
        <is>
          <t>Oakbrook Terrace, IL</t>
        </is>
      </c>
      <c r="H37" t="inlineStr"/>
      <c r="I3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38">
      <c r="A38" t="inlineStr">
        <is>
          <t>li-4332002672</t>
        </is>
      </c>
      <c r="B38" t="inlineStr">
        <is>
          <t>Senior Data Engineer</t>
        </is>
      </c>
      <c r="C38" t="inlineStr">
        <is>
          <t>The Swift Group, LLC</t>
        </is>
      </c>
      <c r="D38" t="inlineStr">
        <is>
          <t>linkedin</t>
        </is>
      </c>
      <c r="E38" t="inlineStr"/>
      <c r="F38" t="inlineStr"/>
      <c r="G38" t="inlineStr">
        <is>
          <t>Tysons Corner, VA</t>
        </is>
      </c>
      <c r="H38" t="inlineStr"/>
      <c r="I38"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looking for a
 **Senior Data Engineer** 
 to join our dynamic data engineering team in Tysons Corner, VA. In this role, you will design, build, and operationalize robust and scalable data pipelines to enable secure data brokering and exchange across diverse producers and consumers. You will work hands\-on with AWS cloud environments, automation tools, and modern data frameworks to drive reliability, performance, and innovation across distributed data ecosystems.
**Responsibilities**
* Design, build, and maintain scalable, cloud\-based data pipelines and supporting infrastructure
* Collaborate with internal teams and external partners to broker and exchange data through APIs, S3, and other secure interfaces
* Operationalize data pipelines leveraging Python\-native and AWS\-native tools for ingestion, transformation, and delivery
* Provide day\-to\-day operational support, including Tier 2/3 troubleshooting and incident response for production data pipelines
* Automate deployment and monitoring processes using Infrastructure\-as\-Code (IaC) tools such as Terraform, CloudFormation, or Ansible
* Implement data security and compliance controls aligned with RMF principles across multiple classification domains
* Participate in Agile development activities and contribute to continuous improvement of data engineering workflows
* Stay informed on emerging data engineering technologies and best practices to drive innovation within the team
**Requirements**
* US citizenship with an active TS/SCI with CI Polygraph required
* 4\+ years of hands\-on experience in data engineering, data pipeline development, or cloud data systems
* Proficiency in designing and deploying data pipelines leveraging AWS services across multiple classification domains (e.g., IL5 to IL6\+)
* Experience with Infrastructure\-as\-Code (IaC) tools such as Terraform, CloudFormation, or Ansible
* Understanding of RMF security principles and experience implementing security controls for cloud data systems
* Strong programming and scripting skills in Go, Python, and Bash
* Experience with data pipeline tools and platforms such as NiFi, Hadoop, HDFS, Kafka, or Cloudera Data Platform
* Proficiency with Linux environments and troubleshooting distributed data systems
* Excellent communication skills and ability to collaborate effectively with cross\-functional teams
**Desired Experience**
* Experience working with data lake and big data technologies such as Spark, Accumulo, or Elasticsearch
* Experience automating data delivery workflows and monitoring systems for high availability
* Familiarity with Agile methodologies and collaboration tools like Jira and Confluence
* Background in performance optimization and tuning of large\-scale data pipelines
**Please note: we are not working with staffing agencies to fill these positions and are not accepting any unsolicited resumes from agencies.**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39">
      <c r="A39" t="inlineStr">
        <is>
          <t>li-4336134200</t>
        </is>
      </c>
      <c r="B39" t="inlineStr">
        <is>
          <t>Lead Data Engineer &amp; Modeler, AI - Hybrid</t>
        </is>
      </c>
      <c r="C39" t="inlineStr">
        <is>
          <t>Commerce</t>
        </is>
      </c>
      <c r="D39" t="inlineStr">
        <is>
          <t>linkedin</t>
        </is>
      </c>
      <c r="E39" t="inlineStr"/>
      <c r="F39" t="inlineStr"/>
      <c r="G39" t="inlineStr">
        <is>
          <t>Austin, TX</t>
        </is>
      </c>
      <c r="H39" t="inlineStr"/>
      <c r="I39"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BigCommerce is building the foundation for the next generation of
 **AI\-driven commerce** 
 . As a
 **Lead AI Engineer, Platform \&amp; Infrastructure** 
 , you’ll define and scale the systems that make this transformation possible. This role sits at the intersection of
 **data engineering, MLOps, and applied AI enablement** 
 , responsible for building the secure, scalable, and high\-performance infrastructure that supports AI/ML use cases across the company.
 You’ll collaborate across product, engineering, and data teams to design the unified
 **AI platform layer** 
 — powering internal intelligence, customer\-facing AI features, and advanced analytics. From model lifecycle management to data pipelines and inference infrastructure, you’ll drive the architecture and operational excellence that allows BigCommerce to experiment, deploy, and iterate AI at scale.
 If you’re passionate about enabling intelligence through infrastructure, designing modern ML ecosystems, and operationalizing AI across a fast\-scaling SaaS platform, this role will put you at the center of BigCommerce’s AI evolution.
**What You’ll Do**
**AI Platform Architecture**
* Partner with the Enterprise Architect and Principal Data Architect to design the company\-wide AI/ML platform strategy across GCP and AWS.
* Build scalable systems for model training, evaluation, deployment, and monitoring.
* Define best practices for data ingestion, feature stores, vector databases, and model registries.
* Integrate AI workflows into existing analytics and product pipelines.
**Infrastructure \&amp; Reliability**
* Implement CI/CD for ML pipelines (MLOps) including model versioning, validation, and automated deployment.
* Ensure platform reliability, observability, and performance at enterprise scale.
* Manage GPU/TPU resources and optimize compute efficiency for training and inference workloads.
* Contribute to cost\-optimization and security best practices across the AI infrastructure.
**Cross\-Functional Collaboration**
* Partner with data scientists, applied ML engineers, and product teams to translate model requirements into scalable architecture.
* Work closely with the data engineering team to ensure AI pipelines align with governance and data quality standards.
* Collaborate with software engineers to integrate AI services and APIs into production systems.
**Governance \&amp; Responsible AI**
* Champion data and model governance, including lineage, reproducibility, and compliance (GDPR, SOC, ISO).
* Establish monitoring frameworks for model drift, bias detection, and ethical AI use.
* Build secure and transparent systems that support trust in AI\-driven decisions.
**What You’ll Bring**
* 7\+ years in data or ML engineering, with experience designing production\-grade AI infrastructure.
* Strong technical foundation in MLOps, data pipelines, and distributed systems.
* Hands\-on experience with:
* 
+ Cloud AI platforms (Vertex AI, SageMaker, Bedrock, or equivalent)
+ Orchestration frameworks (Airflow, Kubeflow, MLflow, or Metaflow)
+ Cloud data stacks (BigQuery, Snowflake, GCS/S3, Terraform)
+ Model serving tools (FastAPI, BentoML, Ray Serve, or Triton Inference Server)
* Proficient in: Python, SQL, and Git\-based CI/CD.
* Experience integrating LLMs and vector databases (e.g., Pinecone, FAISS, Weaviate, Vertex Matching Engine).
* Familiarity with Kubernetes, Docker, and Terraform for scalable deployment.
* Strong communication skills, able to partner across disciplines and simplify complex technical systems.
**What You’ll Impact**
* The AI foundation powering every intelligent capability within BigCommerce — from predictive analytics to generative assistants.
* The tools and frameworks that enable product and engineering teams to build, test, and ship AI faster.
* The reliability, governance, and scalability of BigCommerce’s enterprise\-wide AI ecosystem.
**Why Join Us**
 You’ll play a critical role in shaping how BigCommerce operationalizes AI — not just as a feature, but as a platform capability. You’ll join a collaborative, ambitious, and fast\-evolving data organization dedicated to creating systems that enable intelligence at scale.
**(Pay Transparency Range: $116,000\-$174,000\)**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40">
      <c r="A40" t="inlineStr">
        <is>
          <t>li-4379597907</t>
        </is>
      </c>
      <c r="B40" t="inlineStr">
        <is>
          <t>(Senior) Azure Data Engineer (w/m/d)</t>
        </is>
      </c>
      <c r="C40" t="inlineStr">
        <is>
          <t>Capgemini</t>
        </is>
      </c>
      <c r="D40" t="inlineStr">
        <is>
          <t>linkedin</t>
        </is>
      </c>
      <c r="E40" t="inlineStr"/>
      <c r="F40" t="inlineStr"/>
      <c r="G40" t="inlineStr">
        <is>
          <t>Bremen, KS</t>
        </is>
      </c>
      <c r="H40" t="inlineStr"/>
      <c r="I40" t="inlineStr">
        <is>
          <t>Bei Capgemini Engineering, dem weltweit führenden Anbieter von Ingenieurdienstleistungen, bringen wir ein globales Team von Ingenieur\*innen, Wissenschaftler\*innen und Architekt\*innen zusammen, um die innovativsten Unternehmen der Welt dabei zu unterstützen, ihr Potenzial zu entfalten. Von autonomen Autos bis hin zu lebensrettenden Robotern \- unsere Expert\*innen für Digital\- und Softwaretechnologie blicken über den Tellerrand hinaus und bieten einzigartige F\&amp;E\- und Ingenieurdienstleistungen für alle Branchen. Steige bei uns ein und entdecke eine Karriere voller Möglichkeiten. Wo du wirklich etwas bewirken kannst. Wo kein Tag wie der andere ist.
**Deine Rolle**
* Du entwirfst und implementierst komplexe Dateninfrastrukturen und ‑systeme bei unseren Kunden.
* Du verantwortest die Implementierung von Datawarehouses und Daten\-Pipelines.
* Du agierst im Rahmen der Projektphasen unter Verwendung der Cloud\-Technologie Microsoft Azure.
* Du übernimmst die Gestaltung und Moderation von Mitarbeiterworkshops.
* Du stellst die Förderung von Teammitgliedern sicher.
**Dein Profil**
* Abgeschlossenes Studium im Bereich Informatik, Wirtschaftsinformatik, Betriebswirtschaft oder eine vergleichbare Qualifikation
* Mehrjährige Erfahrung mit Azure Data Services, z. B. Data Bricks, Data Lake \&amp; Data Factory sowie Zertifizierungen in Microsoft Azure (z. B. DP\-203\) und Power BI (z. B. PL\-300\) sind von Vorteil.
* Erste Erfahrung in MS SQL und SQL\-Abfragen für Datenbankverwaltung und starke Programmierfähigkeiten, insbesondere in Python, SQL und SAS.
* Gute Präsentationsfähigkeit, Teamfähigkeit sowie ein gutes Verständnis der Verwendung von Daten und deren Auswirkung auf die Organisation.
* Sichere Deutsch\- und Englischkenntnisse in Wort und Schrift.
**Was du bei uns schätzen wirst**
* Ein Umfeld, in dem du dich stetig weiterentwickeln kannst. Unser Angebot an Weiterbildungsprogrammen soll dir dabei helfen, eine Welt voller Möglichkeiten zu entdecken – sei es durch fachspezifische Schulungen, Mentoring oder innovative Projekte.
* Vereinbarkeit von Arbeit und Privatleben: Arbeite flexibel \- je nach Projekteinsatz und Absprache im Team hast du die Möglichkeit örtlich flexibel und in Gleitzeit an diversen Standorten zu arbeiten.
* Diversität sorgt in unserem Unternehmen für Inspiration und Innovation – arbeite in einem diversen und offenen Team, das auf gegenseitige Unterstützung und Austausch setzt.
**Kein 100%iges Match? Kein Grund zur Sorge! Capgemini Engineering unterstützt dich mit einem breitgefächerten Lernangebot, sodass du dich sowohl fachlich als auch persönlich weiterentwickeln kannst.**
**Bewirb dich jetzt**
 Make it real – und werde Teil unseres Teams. Für den ersten Schritt in Richtung Zukunft brauchst du nur drei Minuten Zeit und deinen aktuellen Lebenslauf. Du möchtest weitere Dokumente mit uns teilen? Mit wenigen Klicks kannst du sie deiner Bewerbung optional hinzufügen.
 Bei Fragen steht dir
 **Gülden Alan** 
 zur Seite.
 E\-Mail Adresse: guelden.alan@capgemini.com
**Mehr Infos**
 Erfahre hier mehr zu unserem Bewerbungsprozess und erhalte Tipps für deine Bewerbung. Steig jetzt bei Capgemini Engineering ein und profitiere von unseren zahlreichen Benefits. Mehr Informationen zu uns findest du auf unserer Karriereseite: Karriere bei Capgemini Engineering .
 Weitere Eindrücke findest du auch auf LinkedIn – dort teilen unsere Mitarbeiter\*innen ihre Erfahrungen bei Capgemini Engineering.
 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is>
      </c>
    </row>
    <row r="41">
      <c r="A41" t="inlineStr">
        <is>
          <t>li-4364027134</t>
        </is>
      </c>
      <c r="B41" t="inlineStr">
        <is>
          <t>Senior Data Engineer</t>
        </is>
      </c>
      <c r="C41" t="inlineStr">
        <is>
          <t>Capital One</t>
        </is>
      </c>
      <c r="D41" t="inlineStr">
        <is>
          <t>linkedin</t>
        </is>
      </c>
      <c r="E41" t="inlineStr"/>
      <c r="F41" t="inlineStr"/>
      <c r="G41" t="inlineStr">
        <is>
          <t>Chicago, IL</t>
        </is>
      </c>
      <c r="H41" t="inlineStr"/>
      <c r="I4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li-4363877222</t>
        </is>
      </c>
      <c r="B42" t="inlineStr">
        <is>
          <t>Senior Data Engineer</t>
        </is>
      </c>
      <c r="C42" t="inlineStr">
        <is>
          <t>Capital One</t>
        </is>
      </c>
      <c r="D42" t="inlineStr">
        <is>
          <t>linkedin</t>
        </is>
      </c>
      <c r="E42" t="inlineStr"/>
      <c r="F42" t="inlineStr"/>
      <c r="G42" t="inlineStr">
        <is>
          <t>Deerfield, IL</t>
        </is>
      </c>
      <c r="H42" t="inlineStr"/>
      <c r="I4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li-4363847174</t>
        </is>
      </c>
      <c r="B43" t="inlineStr">
        <is>
          <t>Senior Data Engineer</t>
        </is>
      </c>
      <c r="C43" t="inlineStr">
        <is>
          <t>Capital One</t>
        </is>
      </c>
      <c r="D43" t="inlineStr">
        <is>
          <t>linkedin</t>
        </is>
      </c>
      <c r="E43" t="inlineStr"/>
      <c r="F43" t="inlineStr"/>
      <c r="G43" t="inlineStr">
        <is>
          <t>McLean, VA</t>
        </is>
      </c>
      <c r="H43" t="inlineStr"/>
      <c r="I4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li-4364027132</t>
        </is>
      </c>
      <c r="B44" t="inlineStr">
        <is>
          <t>Senior Data Engineer</t>
        </is>
      </c>
      <c r="C44" t="inlineStr">
        <is>
          <t>Capital One</t>
        </is>
      </c>
      <c r="D44" t="inlineStr">
        <is>
          <t>linkedin</t>
        </is>
      </c>
      <c r="E44" t="inlineStr"/>
      <c r="F44" t="inlineStr"/>
      <c r="G44" t="inlineStr">
        <is>
          <t>Richmond, VA</t>
        </is>
      </c>
      <c r="H44" t="inlineStr"/>
      <c r="I4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li-4379586759</t>
        </is>
      </c>
      <c r="B45" t="inlineStr">
        <is>
          <t>Data Engineer (Data Scientist 3)</t>
        </is>
      </c>
      <c r="C45" t="inlineStr">
        <is>
          <t>HII</t>
        </is>
      </c>
      <c r="D45" t="inlineStr">
        <is>
          <t>linkedin</t>
        </is>
      </c>
      <c r="E45" t="inlineStr"/>
      <c r="F45" t="inlineStr"/>
      <c r="G45" t="inlineStr">
        <is>
          <t>Fairfax, VA</t>
        </is>
      </c>
      <c r="H45" t="inlineStr"/>
      <c r="I45" t="inlineStr">
        <is>
          <t>Requisition Number: 27366
 Required Travel: 0 \- 10%
 Employment Type: Full Time/Salaried/Exempt
 Anticipated Salary Range: $118,987\.00 \- $169,982\.00
 Security Clearance: TS/SCI
 Level of Experience: Mid
 This opportunity resides with Warfare Systems (WS),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HII \- Mission Technologies is currently seeking an Intermediate\-level Data Engineer to work out of Fairfax, VA in support of the DoD/DoW Advana War Data Platform data integration and analytics environment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Builds and maintains War Data Platform (WDP) Core Integration ingestion, transformation, and storage pipelines supporting operational analytics across Unclassified and NIPR, Secret and SIPR, and Top Secret and JWICS enclaves.
* Develops automated processing flows using Apache Airflow, Spark, AWS Glue, and Kafka to support reliable data movement into medallion\-architecture zones.
* Implements data connections, schema mappings, and structured interfaces to support enterprise data marketplaces and downstream tooling teams.
* Applies data quality controls using rule engines, profiling utilities, and anomaly\-detection checks to validate accuracy, completeness, and consistency at the source and lake layers.
* Configures encryption, access policies, and data\-handling rules to meet DoD cybersecurity requirements for mission environments.
* Executes Tier\-2 and Tier\-3 support actions, performing incident diagnosis, SLA tracking, and pipeline restoration tasks.
* Builds utilities for standardized inbound and outbound data acquisition, supporting analytics teams, application developers, and operational mission users.
* Documents data pipelines, workflows, storage models, and dependency chains in repositories such as Confluence, GitLab, and SharePoint.
* Produces operational metrics capturing throughput, failure rates, restart patterns, and quality scores to guide engineering improvements.
* Collaborates with platform, infrastructure, and data governance teams to incorporate architectural updates, security changes, and tool enhancements into ongoing operations, strengthening stability and mission value across all War Data Platform (WDP) Core Integration enclaves.
 Requirements: I have already done that or have it!
* 5 years relevant experience with Bachelors in related field; 3 years relevant experience with Masters in related field; 0 years experience with PhD or Juris Doctorate in related field; or High School Diploma or equivalent and 9 years relevant experience.
* Familiarity with automated processing flow tools such as Apache Airflow, Spark, AWS Glue, and Kafka and documenting data pipelines in repositories like Confluence, GitLab and/or SharePoint.
* Must be Top Secret/SCI eligible
* US Citizenship
**Preferred Requirements**
* Familiarity with Advana architecture, Palantir Foundry, or similar data integration platforms
* Experience with data governance frameworks and metadata management
* Agile/SAFe delivery experience in secure environments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46">
      <c r="A46" t="inlineStr">
        <is>
          <t>li-4366990553</t>
        </is>
      </c>
      <c r="B46" t="inlineStr">
        <is>
          <t>Software Engineer (Big Data/Data Engineering) - Senior/Lead</t>
        </is>
      </c>
      <c r="C46" t="inlineStr">
        <is>
          <t>Salesforce</t>
        </is>
      </c>
      <c r="D46" t="inlineStr">
        <is>
          <t>linkedin</t>
        </is>
      </c>
      <c r="E46" t="inlineStr"/>
      <c r="F46" t="inlineStr"/>
      <c r="G46" t="inlineStr">
        <is>
          <t>San Francisco, CA</t>
        </is>
      </c>
      <c r="H46" t="inlineStr"/>
      <c r="I4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Note: By applying to the Software Engineering posting, recruiters and hiring managers across the organization hiring Software Engineers will review your resume. Our goal is for you to apply once and have your resume reviewed by multiple hiring teams.
**Data Engineering \&amp; Observability Team**
 Build and own large\-scale data pipelines and observability systems that power metrics, logging, and real\-time insights across services. This role focuses on designing reliable telemetry pipelines, improving monitoring and alerting, and ensuring data quality and system visibility at scale. Ideal candidates have strong distributed systems fundamentals, backend development experience (Java or similar), and experience operating high\-throughput data or monitoring platforms in cloud or hybrid environments.
**Big Data Infrastructure / Platform Engineering Team**
 Join a team building and operating Salesforce's large\-scale data platforms across public and private clouds. You will design, develop, and run resilient distributed systems using technologies such as Spark, Kafka, HBase, Hive, or Presto on modern containerized stacks, while balancing live\-site operations, feature delivery, and technical debt. The role includes owning core platform services, contributing to open\-source ecosystems, and participating in on\-call rotations to keep mission\-critical data systems highly available.
**Required Skills**
* Related technical degree required
* 7\+ years of backend software development experience
* Strong programming skills: Java (strongly preferred); Python and Rust are strong pluses
* Strong experience with public cloud platforms, especially AWS and GCP
* Strong experience with Kubernetes and container orchestration
* Strong experience building Big Data Platforms using Flink, Spark, Kafka, Trino, HBase, etc.
* Strong experience operating data or infrastructure platforms at enterprise scale
* Experience owning and operating multiple instances of critically important services
* Experience with Agile development and Test Driven Development
* Experience using telemetry and metrics to drive operational excellence
* Deep understanding of distributed systems: strong opinions on CAP theorem, ability to sketch consistency models, and understanding of Paxos, Raft, and Zookeeper at implementation level
**Nice To Have**
* Observability : OpenTelemetry (OTEL), Grafana, InfluxDB, Prometheus
* DevOps Tools: Terraform, Helm, Docker, Jenkins
* Data Engineering Tools: Airflow, Superset, Streamlit, DuckDB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47">
      <c r="A47" t="inlineStr">
        <is>
          <t>li-4372182605</t>
        </is>
      </c>
      <c r="B47" t="inlineStr">
        <is>
          <t>Sr. Manager, Data Engineering</t>
        </is>
      </c>
      <c r="C47" t="inlineStr">
        <is>
          <t>Federato</t>
        </is>
      </c>
      <c r="D47" t="inlineStr">
        <is>
          <t>linkedin</t>
        </is>
      </c>
      <c r="E47" t="inlineStr"/>
      <c r="F47" t="inlineStr"/>
      <c r="G47" t="inlineStr"/>
      <c r="H47" t="inlineStr"/>
      <c r="I47" t="inlineStr">
        <is>
          <t>Federato is on a mission to defend the right to efficient, equitable insurance for all. We enable insurers to provide affordable coverage to people and organizations facing the issues of today \- the climate crisis, cyber\-attacks, social inflation, etc. Our vision is understood and well funded by those behind Salesforce, Veeva, Zoom, Box, etc.
 Federato is the only AI\-native platform that spans the full policy lifecycle and changes the way insurance work gets done. Better decisioning is built\-in, not bolted on: insurers' unique portfolio goals, strategies, rules, and appetite are part of the workflow so underwriters win the right deals, faster. From the moment a submission hits an underwriter’s inbox, AI is put to work, triaging submissions with a focus on high\-appetite business, delivering real\-time feedback on the portfolio, and consolidating workflows into a single proven system. Federato drives better business outcomes.
**Data Science Team**
 Our Data Science Organization Drives Insights, Models, And Engineering Solutions That Power Our Products And Customer Implementations. We Operate Across Three Core Functions
* Analytics – turning data into business insights
* Core Engineering – building robust data and ML infrastructure (Data Engineering \+ ML Engineering foundations)
* Modeling – developing, deploying, and maintaining advanced ML models and forward\-deployed solutions
 We collaborate closely with Product, Product Engineering, Forward Deploy Engineering, and Customer Success to design, build, and operationalize data products that deliver measurable impact.
 We’re looking for a Sr. Manager, Data Engineering to lead execution across the Data Engineering organization, ensuring our vision translates into consistent, high\-quality delivery.
 This role combines people leadership, agile delivery management, and cross\-functional coordination. You’ll lead a team of 6–9 Data Engineers and Data Analytics Engineers, starting with an existing group of 4–5 and growing the team. You’ll define and refine our delivery processes while acting as a key connection between Data Science, Product, Engineering, and Customer Success.
 You’ll partner closely with the Sr. Director of Data Science (vision \&amp; strategy) and data leaders (Analytics, Core Engineering, and Modeling) to ensure the team executes efficiently and effectively.
**What You'll Be Doing**
* Manage a team of Data Engineers and Data Analytics Engineers owning our data infrastructure, including our medallion layers, data pipelines, and collaborating closely with MLEs on LLM Operations and agentic products.
* Navigate ambiguity, driving innovation through rapid prototyping and iterative development in cross\-functional teams
* Partner with function leads and senior leadership to align growth paths, performance expectations, and strategic goals with technical excellence standards.
* Translate the Data Engineering vision into clear objectives, priorities, and milestones, ensuring effective project scoping, resourcing, and delivery.
* Define and refine agile workflows tailored to data engineering, managing key rituals such as design sessions, sprint planning, and retrospectives.
* Serve as the primary delivery interface across Product, Engineering, and Customer Success, ensuring alignment, transparent communication, and continuous improvement of team operations.
* Drive hiring excellence by attracting, developing, and scaling a high\-performing team aligned with business needs.
**Who We Hope You Are** 
* 8\+ years of experience in data science, data engineering, or machine learning–related roles.
* 4\+ years in a people management or delivery management role (directly leading technical contributors).
* Proven experience managing cross\-functional ML technical teams and driving delivery across multiple workstreams.
* Strong understanding of data science lifecycle (from ideation and experimentation to deployment and maintenance).
* Practical experience with agile methodologies (Scrum, Kanban) and delivery facilitation.
* Excellent communication, organizational, and stakeholder management skills.
* Ability to balance technical depth with delivery discipline, ensuring outcomes, not just output.
* Experience with LLM Ops, agentic framework, data governance, and productionization best practices.
* Bonus Points
+ Experience as a Scrum Master, Agile Coach, or Technical Program Manager.
+ Background in a hybrid data engineering/product engineering environment.
+ Exposure to customer\-facing or forward\-deployed data engineering work.
+ Experience in scaling data engineering orgs and defining operating models.
 $225,000 \- $255,000 a year
 Final offer amounts are determined by multiple factors including candidate location, experience and expertise and may vary from the amounts listed above. Total compensation package does include stock options, benefits and additional perks.
 Here at Federato, your capabilities are important, but culture fit is essential. We move fast, are eager to listen to our users, take a first principles approach to solving problems, and value learning and the ability to change our minds. Most importantly, we're here to have fun. Our ability to make a difference starts with our people. We would love to work with you!
*We are an equal\-opportunity employer and value diversity at our company. We do not discriminate on the basis of race, religion, color, national origin, sex, gender expression, sexual orientation, age, marital status, veteran status or disability status. We will provide reasonable accommodation to individuals with disabilities to participate in the job application or interview process, to perform essential job functions, and to receive other benefits and privileges of employment. Please contact us to request accommodation at talent@federato.ai*</t>
        </is>
      </c>
    </row>
    <row r="48">
      <c r="A48" t="inlineStr">
        <is>
          <t>li-4378261901</t>
        </is>
      </c>
      <c r="B48" t="inlineStr">
        <is>
          <t>Senior Analytics Engineer</t>
        </is>
      </c>
      <c r="C48" t="inlineStr">
        <is>
          <t>BetterUp</t>
        </is>
      </c>
      <c r="D48" t="inlineStr">
        <is>
          <t>linkedin</t>
        </is>
      </c>
      <c r="E48" t="inlineStr"/>
      <c r="F48" t="inlineStr"/>
      <c r="G48" t="inlineStr">
        <is>
          <t>New York, United States</t>
        </is>
      </c>
      <c r="H48" t="inlineStr"/>
      <c r="I48"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9">
      <c r="A49" t="inlineStr">
        <is>
          <t>li-4379738127</t>
        </is>
      </c>
      <c r="B49" t="inlineStr">
        <is>
          <t>Data Engineer</t>
        </is>
      </c>
      <c r="C49" t="inlineStr">
        <is>
          <t>Definitive Healthcare</t>
        </is>
      </c>
      <c r="D49" t="inlineStr">
        <is>
          <t>linkedin</t>
        </is>
      </c>
      <c r="E49" t="inlineStr"/>
      <c r="F49" t="inlineStr"/>
      <c r="G49" t="inlineStr">
        <is>
          <t>Framingham, MA</t>
        </is>
      </c>
      <c r="H49" t="inlineStr"/>
      <c r="I49"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We are looking for a
 **Data Engineer** 
 who is passionate about building scalable data pipelines, working with complex healthcare datasets, and contributing to a modern, cloud‑native data architecture.
 If you thrive in a fast‑paced, data‑driven environment and have strong experience with Python, Spark, Databricks, AWS, SQL, and related technologies, we'd love to hear from you.
**What You'll Do:**
**Design and Develop Data Pipelines:**
* Develop and maintain robust data pipelines using Python, Spark, Databricks, SQL, and SSIS
* Develop, maintained, and optimized ETL workflows using SQL Server Integration Services (SSIS) within Visual Studio, enabling reliable data ingestion, transformation, and automation across enterprise data pipelines.
* Implement and orchestrate ETL/ELT workflows using SSIS
* Build reliable, repeatable processes that support the ingestion and transformation of large healthcare datasets
**Data Integration and Management:**
* Integrate data from diverse sources (AWS, on‑prem, third‑party vendors) into our enterprise data platform
* Work with a wide range of file formats including CSV, XML, Parquet, Delta, and more
* Apply strong data quality, cleansing, and curation practices to ensure accuracy and consistency
* Optimize storage and compute resources for performance, cost, and scalability
* Automate observability and monitoring across data pipelines and workloads
**Metadata Management and Governance:**
* Implement and manage Unity Catalog for metadata, lineage, and access control
* Ensure adherence to data governance, security, and privacy standards
* Maintain clear documentation, data dictionaries, and lineage tracking
* Contribute to automation of data observability and governance workflows
**Performance Tuning and Troubleshooting:**
* Tune and optimize Spark jobs for speed, reliability, and cost efficiency
* Diagnose and resolve performance bottlenecks across distributed systems
* Apply JVM tuning and Spark optimization techniques to improve throughput
**Data Maturity Lifecycle:**
* Support and enhance our Medallion architecture (bronze/silver/gold) to improve data quality and usability
* Ensure data is processed, enriched, and validated at each stage of the lifecycle
**Collaboration and Continuous Improvement:**
* Partner with data scientists, analysts, product teams, and business stakeholders to understand data needs
* Implement CI/CD pipelines to streamline deployment and testing of data assets
* Stay current with emerging technologies and bring forward recommendations to evolve our data platform
**What You Bring:**
**Technical Skills:**
* Strong programming experience in SQL and Python or Scala
* Hands‑on experience with Apache Spark and Databricks
* Knowledge of data cleansing, curation, and quality frameworks
* Familiarity with Unity Catalog or other metadata management tools
* Understanding of data governance, security, and compliance best practices
* Experience working with AWS cloud services
* Experience implementing or working within a Medallion architecture
 Soft Skills:
* Strong analytical and problem‑solving abilities
* Excellent communication and cross‑functional collaboration skills
* Ability to work independently and within a team environment
* High attention to detail and commitment to quality
 Preferred Qualifications:
* AWS certifications (e.g., AWS Certified Data Analytics)
* Experience with SQL and NoSQL databases
* Background in a fast‑paced, data‑centric SaaS or healthcare environment
**Compensation and Benefits**
 The salary range for this position is $69,000 – $129,000 per year, which represents the base pay the company reasonably and in good faith expects to pay for this role. Actual pay within this range will be determined based on factors such as relevant experience, skills, and qualifications.
 Depending on the position, employees may also be eligible to participate in a company bonus or commission plan. All employees are eligible for a comprehensive benefits package,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All communications regarding the hiring process at Definitive Healthcare will come directly from one of our corporate recruiters or coordinators using an @definitivehc.com email address. We do not advertise open roles on Facebook and will never request money transfers or ask candidates to purchase equipment with a promise of reimbursement. If you receive any suspicious communication, please contact careers@definitivehc.com to verify your status in the application process.*</t>
        </is>
      </c>
    </row>
    <row r="50">
      <c r="A50" t="inlineStr">
        <is>
          <t>li-4379531951</t>
        </is>
      </c>
      <c r="B50" t="inlineStr">
        <is>
          <t>Data Engineer I (Full Time) - United States</t>
        </is>
      </c>
      <c r="C50" t="inlineStr">
        <is>
          <t>Lensa</t>
        </is>
      </c>
      <c r="D50" t="inlineStr">
        <is>
          <t>linkedin</t>
        </is>
      </c>
      <c r="E50" t="inlineStr"/>
      <c r="F50" t="inlineStr"/>
      <c r="G50" t="inlineStr">
        <is>
          <t>Atlanta, GA</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Please note this posting is to advertise potential job opportunities. This exact role may not be open today but could open in the near future. When you apply, a Cisco representative may contact you directly if a relevant position opens.
**Applic** 
**ations** 
**accep** 
**ted until further notice.**
**Meet the Team**
 Our dedicated team members are engineering the foundation of Cisco's core technologies across the globe, including teams in Engineering like Infrastructure \&amp; Security. At Cisco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decisions,optimizemarketing investments, and enhance customer experiences
* Make complex data understandable and actionable
* Collaborate across teams to deliver meaningful solutions for a global community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fieldsinclude:Engineering, Computer Science, Data Science, Statistics, a related program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51">
      <c r="A51" t="inlineStr">
        <is>
          <t>li-4379707880</t>
        </is>
      </c>
      <c r="B51" t="inlineStr">
        <is>
          <t>Consultant (Data Engineer Skillset)</t>
        </is>
      </c>
      <c r="C51" t="inlineStr">
        <is>
          <t>evolv Consulting</t>
        </is>
      </c>
      <c r="D51" t="inlineStr">
        <is>
          <t>linkedin</t>
        </is>
      </c>
      <c r="E51" t="inlineStr"/>
      <c r="F51" t="inlineStr"/>
      <c r="G51" t="inlineStr">
        <is>
          <t>Dallas, TX</t>
        </is>
      </c>
      <c r="H51" t="inlineStr"/>
      <c r="I51" t="inlineStr">
        <is>
          <t>**Description**
 Do you want to support innovative clients at the intersection of cutting\-edge technologies and impactful relationships?
 evolv’s culture of integrity, humility, passion, and drive and have been named "Best Places to Work" by Dallas Business Journal in 2021 and 2022, "Top Workplaces" by Dallas Morning News in 2023, ranked \#368 on Inc. 5000's list of fastest growing private companies in 2023 and ranked \#14 on the 2024 Inc. Regionals: Southwest list of fastest growing private companies in America.
 We are seeking a talented and professional Consultant (Data Engineer Skillset) to join our team.
**Responsibilities**
* Lead the design of scalable big data platforms/solutions used to ingest and process accurately scaled traffic data.
* Build end\-to\-end solutions that enable business stakeholders, BI engineers, and analysts to self\-serve their business intelligence needs.
* Develop and automate large scale, high\-performance, scalable platform (batch and/or streaming) to drive faster analytics.
* Design large\-scale, complex applications and frameworks with excellent run\-time characteristics such as low\-latency, fault\-tolerance, and availability.
* Build and maintain custom frameworks to support engineering/analytics needs.
* Partner with analytic consumers and data scientists to build and improve new/existing constructs and solve data engineering problems at scale.
* Deploy inclusive data quality checks to ensure high quality of data.
* Evangelize high quality software engineering practices towards building data infrastructure and pipelines at scale.
* Remain committed to successful delivery to the client on every engagement (success metrics involve deliverables met, client satisfaction, future project recommendations/extensions and collaboration).
* Prioritize operational excellence by meeting or exceeding all utilization goals.
* Contribute to evolv’s culture and personal development through collaborating well internally, displaying our core values, participating in internal initiatives (events/groups), and/or obtaining new certifications approved by leader.
* Help grow evolv by providing team member/client referrals and connecting with our internal network.
* Other duties as assigned.
**Requirements**
* 3\+ years of experience as a Data Engineer or in a similar role (data science, business intelligence or business analytics).
* Experience with SQL, data modeling, data warehousing, and building ETL pipelines.
* Bachelor’s degree or higher in a quantitative/technical field (e.g., Computer Science, Economics, Finance, Mathematics, Statistics, Engineering).
* Proven track record of independently delivering big data solutions.
* Ability to manage competing priorities simultaneously and drive projects to completion.
* Knowledge of continuous integration, testing methodologies, TDD and agile development methodologies.
* Knowledge of Data formats (Parquet, ORC etc.) and consensus management systems.
* Exposure to structured or unstructured storage and distributed caching.
* Experience in open\-source technologies is plus.
* Structured thinking with ability to easily break down ambiguous problems and propose impactful solutions.
* Attention to detail and effective verbal/written communication skills.
 We believe in being inclusive of all people regardless of gender, race, religion, sexual orientation, age, or any attribute not relevant to job performance. We know that an inclusive, equitable and diverse company is a more innovative and successful one. We aim to employ the most talented professionals in the world by casting a wide net to find Team Members with shared values. evolv is committed to creating and maintaining a high\-performing workplace in which all Team Members have a fair and just opportunity to contribute to the success of the business and are valued for their skills, experience, and authentic perspectives.
 EOE/M/F/D/V</t>
        </is>
      </c>
    </row>
    <row r="52">
      <c r="A52" t="inlineStr">
        <is>
          <t>li-4377536730</t>
        </is>
      </c>
      <c r="B52" t="inlineStr">
        <is>
          <t>Data Engineer</t>
        </is>
      </c>
      <c r="C52" t="inlineStr">
        <is>
          <t>ETHOS - Talent &amp; Advisory</t>
        </is>
      </c>
      <c r="D52" t="inlineStr">
        <is>
          <t>linkedin</t>
        </is>
      </c>
      <c r="E52" t="inlineStr"/>
      <c r="F52" t="inlineStr"/>
      <c r="G52" t="inlineStr">
        <is>
          <t>Bend, OR</t>
        </is>
      </c>
      <c r="H52" t="inlineStr"/>
      <c r="I52" t="inlineStr">
        <is>
          <t>We are hiring a Data Engineer to design and scale modern data infrastructure that powers real customer experiences. This role focuses on building cloud native data pipelines, distributed systems, streaming architecture, and scalable ETL frameworks.
 You will work cross functionally with Product, Engineering, Analytics, and Operations to deliver high impact data solutions. If you enjoy solving complex problems in big data, real time processing, and cloud architecture, we want to connect with you.
**Key Responsibilities** 
* Design, build, and optimize scalable data pipelines including batch and streaming
* Develop ETL and ELT workflows using modern data engineering best practices
* Build and maintain distributed data processing systems
* Partner with backend engineers to improve data ingestion and schema design
* Implement monitoring, performance tuning, and cost optimization strategies
* Support machine learning and business intelligence initiatives
* Improve reliability, scalability, and security across the data platform
**Required Skills and Experience** 
* 5\+ years of experience in Data Engineering, Distributed Systems, or Software Engineering
* Strong programming skills in Python or Java
* Experience building and maintaining ETL pipelines
* Hands on experience with AWS, GCP, or Azure
* Experience with Docker and Kubernetes
* Experience optimizing large scale data processing systems
* Strong problem solving and analytical skills
**Preferred Experience** 
* Experience with Apache Spark, Apache Flink, Apache Kafka, Schema Registry, or Apache Iceberg
* Experience designing and operating stream processing systems
* Experience with data lakehouse architectures and ETL pipeline development
* Experience working with structured and unstructured data at scale
**Why Join** 
* High impact engineering role with meaningful ownership
* Modern cloud native architecture and cutting edge technologies
* Opportunity to influence and shape data strategy
* Collaborative, fast growing, and innovation driven environment
* Flexible work environment supporting work life balance
* Competitive base compensation plus bonus potential
* Equity opportunity to share in long term company success
* Strong career growth and advancement opportunities</t>
        </is>
      </c>
    </row>
    <row r="53">
      <c r="A53" t="inlineStr">
        <is>
          <t>li-4379706793</t>
        </is>
      </c>
      <c r="B53" t="inlineStr">
        <is>
          <t>Data Engineer</t>
        </is>
      </c>
      <c r="C53" t="inlineStr">
        <is>
          <t>Hirenza</t>
        </is>
      </c>
      <c r="D53" t="inlineStr">
        <is>
          <t>linkedin</t>
        </is>
      </c>
      <c r="E53" t="inlineStr"/>
      <c r="F53" t="inlineStr"/>
      <c r="G53" t="inlineStr"/>
      <c r="H53" t="inlineStr"/>
      <c r="I53" t="inlineStr">
        <is>
          <t>**About The Company**
 CoxHealth is a leading healthcare organization committed to providing exceptional patient care, innovative medical solutions, and community health services. With a strong focus on leveraging technology to improve healthcare delivery, CoxHealth continually invests in cutting\-edge data systems and analytics to enhance operational efficiency and patient outcomes. The organization values collaboration, integrity, and a dedication to excellence, making it a trusted partner in the healthcare industry.
**About The Role**
 The Senior Data Engineer at CoxHealth will be instrumental in designing, developing, and maintaining scalable data solutions that support the organization’s strategic initiatives. This role involves working closely with cross\-functional teams to understand data needs, develop robust data pipelines, and implement best practices in data governance and security. The incumbent will lead technical projects, mentor junior staff, and contribute to the organization’s long\-term data strategy, ensuring the integrity, availability, and security of critical healthcare data assets.
**Qualifications**
 Preferred candidates will possess a Bachelor's degree in Management Information Systems, Computer Science, Data \&amp; Analytics, or a related quantitative discipline, or equivalent professional experience. Candidates should have a minimum of 4 years of experience working with data in clinical, financial, or enterprise domains. Alternatively, candidates with a Bachelor’s degree in a relevant field and at least 2 years of experience are also considered. Essential skills include expertise in relational and non\-relational databases, proficiency with data integration and orchestration tools, and advanced knowledge of big data technologies such as Hadoop and Spark. Strong leadership skills, strategic planning capabilities, and excellent communication and project management skills are also required to succeed in this role.
**Responsibilities**
* Design, develop, and optimize scalable data pipelines and architectures to support enterprise analytics and reporting needs.
* Implement data governance policies to ensure compliance with healthcare regulations and data security standards.
* Collaborate with data analysts, data scientists, and business stakeholders to understand data requirements and deliver effective solutions.
* Maintain and enhance data lakes, data warehouses, and other storage solutions to ensure data quality and accessibility.
* Lead technical initiatives related to big data processing, including the deployment of Hadoop, Spark, and related technologies.
* Mentor junior team members and promote best practices in data engineering and management.
* Participate in strategic planning for long\-term data infrastructure growth and innovation.
* Monitor system performance, troubleshoot issues, and implement improvements to ensure high availability and reliability.
**Benefits**
 CoxHealth offers a comprehensive benefits package designed to support the health, well\-being, and professional growth of its employees. This includes competitive salary packages, health insurance plans, retirement savings options, paid time off, and opportunities for continuous learning and development. The organization fosters a collaborative and inclusive work environment, encouraging innovation and recognizing individual contributions. Employees also have access to wellness programs, employee assistance programs, and various resources aimed at promoting work\-life balance.
 Equal Opportunity
 CoxHealth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ability to serve our community and achieve organizational excellence.</t>
        </is>
      </c>
    </row>
    <row r="54">
      <c r="A54" t="inlineStr">
        <is>
          <t>li-4378466274</t>
        </is>
      </c>
      <c r="B54" t="inlineStr">
        <is>
          <t>Data Engineer</t>
        </is>
      </c>
      <c r="C54" t="inlineStr">
        <is>
          <t>FetchJobs.co</t>
        </is>
      </c>
      <c r="D54" t="inlineStr">
        <is>
          <t>linkedin</t>
        </is>
      </c>
      <c r="E54" t="inlineStr"/>
      <c r="F54" t="inlineStr"/>
      <c r="G54" t="inlineStr"/>
      <c r="H54" t="inlineStr"/>
      <c r="I54" t="inlineStr">
        <is>
          <t>**About The Company**
 CoxHealth is a leading healthcare provider committed to delivering exceptional patient care, innovative medical solutions, and community health initiatives. With a comprehensive network of hospitals, clinics, and specialized medical services, CoxHealth strives to enhance health outcomes through cutting\-edge technology and dedicated healthcare professionals. The organization values integrity, collaboration, and continuous improvement, fostering an environment where employees can thrive and make a meaningful impact on patients' lives.
**About The Role**
 The Senior Data Engineer at CoxHealth will play a pivotal role in designing, developing, and implementing scalable data solutions that support the organization’s strategic objectives. This position requires a highly skilled professional capable of leading complex data projects, ensuring data integrity, and optimizing data workflows across various clinical, financial, and enterprise domains. The incumbent will collaborate closely with data scientists, analysts, and IT teams to enable data\-driven decision\-making and improve operational efficiencies. The role emphasizes strategic planning, technical leadership, and adherence to data governance standards, ensuring compliance with healthcare regulations and data privacy laws.
**Qualifications**
* Preferred: Bachelor's degree in Management Information Systems, Computer Science, Data \&amp; Analytics, or a related quantitative discipline, or equivalent professional experience.
* Required: A minimum of 4 years of experience working with data in clinical, financial, or other enterprise domains, or a Bachelor’s degree with at least 2 years of relevant experience.
* Proficiency in relational and non\-relational database management systems.
* Strong expertise in data integration and orchestration tools.
* Advanced knowledge of big data technologies such as Hadoop, Spark, and related ecosystems.
* Experience with data lakes, data warehouses, and cloud\-based data storage solutions.
* Demonstrated leadership skills with experience in strategic planning and team management.
* Excellent communication, collaboration, and project management abilities.
* Certifications in data management or cloud technologies are a plus but not mandatory.
**Responsibilities**
* Lead the design and development of scalable, robust data pipelines and architectures to support clinical, financial, and enterprise data needs.
* Collaborate with cross\-functional teams to understand data requirements and translate them into technical solutions.
* Implement best practices for data governance, security, and compliance, ensuring adherence to healthcare regulations such as HIPAA.
* Optimize data workflows for efficiency, performance, and scalability, leveraging big data technologies and cloud platforms.
* Mentor and guide junior data engineers, fostering a culture of continuous learning and improvement.
* Participate in strategic planning for data infrastructure, aligning technical solutions with organizational goals.
* Ensure data quality, consistency, and integrity across all platforms and systems.
* Stay updated with emerging data technologies and industry trends, recommending innovative solutions to enhance data capabilities.
* Document data processes, workflows, and architecture to facilitate knowledge sharing and compliance audits.
* Support data analytics and reporting initiatives by providing reliable and well\-structured data sources.
**Benefits**
 CoxHealth offers a comprehensive benefits package designed to support the health, well\-being, and professional growth of its employees. Benefits include competitive salary packages, health insurance plans, dental and vision coverage, retirement savings plans, and paid time off. The organization also provides opportunities for continuous learning through training programs, certifications, and career development initiatives. Employees enjoy a collaborative and inclusive work environment that values innovation, diversity, and work\-life balance. Additional perks may include wellness programs, employee assistance programs, and flexible work arrangements to promote a healthy and productive workforce.
 Equal Opportunity
 CoxHealth is an equal opportunity employer committed to fostering an inclusive environment for all employees and applicants. We do not discriminate based on race, color, religion, sex, national origin, age, disability, veteran status, or any other protected characteristic. We believe diversity enhances our organizational culture and drives innovation, and we are dedicated to providing equal employment opportunities to all qualified individuals.</t>
        </is>
      </c>
    </row>
    <row r="55">
      <c r="A55" t="inlineStr">
        <is>
          <t>li-4379295651</t>
        </is>
      </c>
      <c r="B55" t="inlineStr">
        <is>
          <t>Remote Sr. Data Engineer</t>
        </is>
      </c>
      <c r="C55" t="inlineStr">
        <is>
          <t>Jobgether</t>
        </is>
      </c>
      <c r="D55" t="inlineStr">
        <is>
          <t>linkedin</t>
        </is>
      </c>
      <c r="E55" t="inlineStr"/>
      <c r="F55" t="inlineStr"/>
      <c r="G55" t="inlineStr">
        <is>
          <t>California, United States</t>
        </is>
      </c>
      <c r="H55" t="inlineStr"/>
      <c r="I55" t="inlineStr">
        <is>
          <t>This position is posted by Jobgether on behalf of a partner company. We are currently looking for a Senior Data Engineer. In this role, you will push the boundaries of technology while working remotely in your own comfortable environment. You will be part of a dynamic team that drives innovation and improvements in data engineering and analytics across the globe. The right candidate will take charge of developing and maintaining robust data infrastructures and pipelines, ensuring high\-quality data flow and validation processes. Your contributions will directly impact how data is utilized across functional teams, making you a key player in our evolution toward a data\-driven culture.
**Accountabilities**
* Design, develop and implement large scale, high\-volume, high\-performance data infrastructure and pipelines for Data Lake and Data Warehouse
* Build and implement ETL frameworks to improve code quality and reliability
* Build and enforce common design patterns to increase code maintainability
* Ensure accuracy and consistency of data processing, results, and reporting
* Design cloud\-native data pipelines, automation routines, and database schemas for machine learning
* Communicate ideas clearly, both verbally and through concise documentation
* Guide and mentor other Data Engineers as a technical owner of parts of the data platform
**Requirements**
* Expert knowledge of Python
* Expert knowledge of SQL
* Experience with DevOps mode of work
* 7\+ years of professional experience
* 5\+ years of experience working in data engineering, business intelligence, or a similar role
* 5\+ years of experience in ETL orchestration and workflow management tools like Airflow, flink, etc. using AWS/GCP
* 3\+ years of experience with distributed data processing tools like Spark, Presto, etc. and streaming technologies such as Kafka/Flink
* 3\+ years of experience with SnowFlake (preferred) or another big data database platform
* 3\+ years of experience with cloud service providers: Amazon AWS (preferred) or other major clouds
* Expertise with containerization orchestration engines (Kubernetes)
* MS in Computer Science, Software Engineering, or relevant field preferred, BS in one of same fields acceptable
**Benefits**
* Fully remote workspace with no pressure to work in an office
* Flexible working hours to balance life and work
* Opportunity to work in a fast\-growing and energizing team
* Culture that encourages employees to be themselves and take risks
* Commitment to employee happiness and empowerment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6">
      <c r="A56" t="inlineStr">
        <is>
          <t>li-4379511208</t>
        </is>
      </c>
      <c r="B56" t="inlineStr">
        <is>
          <t>Remote Sr. Data Engineer</t>
        </is>
      </c>
      <c r="C56" t="inlineStr">
        <is>
          <t>Jobgether</t>
        </is>
      </c>
      <c r="D56" t="inlineStr">
        <is>
          <t>linkedin</t>
        </is>
      </c>
      <c r="E56" t="inlineStr"/>
      <c r="F56" t="inlineStr"/>
      <c r="G56" t="inlineStr">
        <is>
          <t>Colorado, United States</t>
        </is>
      </c>
      <c r="H56" t="inlineStr"/>
      <c r="I56" t="inlineStr">
        <is>
          <t>This position is posted by Jobgether on behalf of a partner company. We are currently looking for a Senior Data Engineer. In this role, you will push the boundaries of technology while working remotely in your own comfortable environment. You will be part of a dynamic team that drives innovation and improvements in data engineering and analytics across the globe. The right candidate will take charge of developing and maintaining robust data infrastructures and pipelines, ensuring high\-quality data flow and validation processes. Your contributions will directly impact how data is utilized across functional teams, making you a key player in our evolution toward a data\-driven culture.
**Accountabilities**
* Design, develop and implement large scale, high\-volume, high\-performance data infrastructure and pipelines for Data Lake and Data Warehouse
* Build and implement ETL frameworks to improve code quality and reliability
* Build and enforce common design patterns to increase code maintainability
* Ensure accuracy and consistency of data processing, results, and reporting
* Design cloud\-native data pipelines, automation routines, and database schemas for machine learning
* Communicate ideas clearly, both verbally and through concise documentation
* Guide and mentor other Data Engineers as a technical owner of parts of the data platform
**Requirements**
* Expert knowledge of Python
* Expert knowledge of SQL
* Experience with DevOps mode of work
* 7\+ years of professional experience
* 5\+ years of experience working in data engineering, business intelligence, or a similar role
* 5\+ years of experience in ETL orchestration and workflow management tools like Airflow, flink, etc. using AWS/GCP
* 3\+ years of experience with distributed data processing tools like Spark, Presto, etc. and streaming technologies such as Kafka/Flink
* 3\+ years of experience with SnowFlake (preferred) or another big data database platform
* 3\+ years of experience with cloud service providers: Amazon AWS (preferred) or other major clouds
* Expertise with containerization orchestration engines (Kubernetes)
* MS in Computer Science, Software Engineering, or relevant field preferred, BS in one of same fields acceptable
**Benefits**
* Fully remote workspace with no pressure to work in an office
* Flexible working hours to balance life and work
* Opportunity to work in a fast\-growing and energizing team
* Culture that encourages employees to be themselves and take risks
* Commitment to employee happiness and empowerment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li-4379716319</t>
        </is>
      </c>
      <c r="B57" t="inlineStr">
        <is>
          <t>Data Engineer</t>
        </is>
      </c>
      <c r="C57" t="inlineStr">
        <is>
          <t>CGS Federal (Contact Government Services)</t>
        </is>
      </c>
      <c r="D57" t="inlineStr">
        <is>
          <t>linkedin</t>
        </is>
      </c>
      <c r="E57" t="inlineStr"/>
      <c r="F57" t="inlineStr"/>
      <c r="G57" t="inlineStr">
        <is>
          <t>Michigan, United States</t>
        </is>
      </c>
      <c r="H57" t="inlineStr"/>
      <c r="I57"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li-4367333008</t>
        </is>
      </c>
      <c r="B58" t="inlineStr">
        <is>
          <t>Senior Analytics Engineer</t>
        </is>
      </c>
      <c r="C58" t="inlineStr">
        <is>
          <t>Talently</t>
        </is>
      </c>
      <c r="D58" t="inlineStr">
        <is>
          <t>linkedin</t>
        </is>
      </c>
      <c r="E58" t="inlineStr"/>
      <c r="F58" t="inlineStr"/>
      <c r="G58" t="inlineStr">
        <is>
          <t>South San Francisco, CA</t>
        </is>
      </c>
      <c r="H58" t="inlineStr"/>
      <c r="I58" t="inlineStr">
        <is>
          <t>**Job Title:** 
 Senior Analytics Engineer
**Location:** 
 On Site \- South San Francisco, California, United States
**Salary:** 
 $140,000\-$175,000
**Skills:** 
 Analytics Engineering, Data Warehousing, SQL, Dimensional Data Modeling, Business Intelligence
**About the Transportation, Logistics, Supply Chain and Storage Company / The Opportunity:**
 Join an innovative leader in the transportation, logistics, supply chain, and storage industry, focused on leveraging cutting\-edge technology to transform the delivery and availability of critical goods worldwide. As a Senior Analytics Engineer, you will become a trusted partner across business and operations teams, driving impactful analytics solutions that enable rapid, data\-driven decision making. This is a unique opportunity to work on high\-impact projects that connect business data and strategy, supporting essential operations across supply chain, manufacturing, maintenance, and fulfillment.
**Responsibilities:** 
* Bridge the gap between complex business challenges and the data required to address them.
* Develop and maintain scalable data pipelines to ensure stability, accuracy, and seamless data flow across operational systems.
* Partner with engineering teams to improve data quality at the source, shaping how analytics infrastructure is built and scaled.
* Design, develop, and optimize data models to transform and consolidate raw data into clean, reusable datasets for analytics.
* Define, track, and operationalize key business metrics and KPIs to inform strategic decisions.
* Collaborate with stakeholders to build intuitive dashboards, reports, and self\-service analytics tools that unlock actionable insights across the organization.
* Apply advanced statistical methods and experimental design to uncover trends, drive product and operational progress, and support marketing initiatives.
* Balance centralized and distributed reporting needs by building resources and models that empower teams to act independently.
**Must\-Have Skills:** 
* Bachelor’s degree in a related field and 7\+ years of relevant industry experience.
* Expertise in Analytics Engineering, including designing and building robust data pipelines and models.
* Proficiency in writing complex and efficient SQL queries.
* Hands\-on experience with modern data warehousing (preferably Snowflake) and dimensional data modeling (preferably using dbt).
* Experience with Business Intelligence tools, such as Mode and ThoughtSpot.
* Proven ability to translate business requirements into technical solutions.
* Excellent analytical and problem\-solving skills, with the ability to visualize and present complex results clearly.
* Strong communication and stakeholder management skills, explaining technical topics to diverse audiences.
**Nice\-to\-Have Skills:** 
* Familiarity with Python or R for advanced statistical analysis, experimental design, or predictive modeling.
* Experience working with finance, e\-commerce, and product data within supply chain or logistics contexts.
* Expertise in data storytelling and executive reporting to support high\-level decision making.
* Demonstrated ability to triage analytics requests and balance multiple projects and deadlines.
* Previous involvement in operational analytics for inventory, maintenance, engineering, or fulfillment operations.</t>
        </is>
      </c>
    </row>
    <row r="59">
      <c r="A59" t="inlineStr">
        <is>
          <t>li-4379710555</t>
        </is>
      </c>
      <c r="B59" t="inlineStr">
        <is>
          <t>Data Engineer 3</t>
        </is>
      </c>
      <c r="C59" t="inlineStr">
        <is>
          <t>Network Designs, Inc.</t>
        </is>
      </c>
      <c r="D59" t="inlineStr">
        <is>
          <t>linkedin</t>
        </is>
      </c>
      <c r="E59" t="inlineStr"/>
      <c r="F59" t="inlineStr"/>
      <c r="G59" t="inlineStr">
        <is>
          <t>Washington, DC</t>
        </is>
      </c>
      <c r="H59" t="inlineStr"/>
      <c r="I59"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The Data Engineer will be responsible for designing, developing, and maintaining data pipelines and architectures that support the collection, transformation, and storage of large datasets. The candidate will work closely with data scientists, analysts, and other stakeholders to ensure data is accessible, reliable, and optimized for performance. This role requires strong technical expertise in data engineering and a deep understanding of best practices in data management.
**Requirements**
* U.S Citizenship required.
* Must be able to obtain and maintain a Public Trust clearance
* This position is remote but may require occasional onsite meetings in McLean, VA.
* You can be based out of following states: AZ, DC, FL, GA, OH, ME, MD, SC, TX, UT, VA, NC, OK, WV.
**Qualifications And Experience**
* Bachelor's Degree in Computer Science, Information Technology, or a related field.
* At least 7 years of experience in Oracle\-focused database engineering or a related role.
* Proficiency in Oracle SQL and PL/SQL, including stored procedures, functions, and packages, and experience with Oracle RDS.
* Strong understanding of database design principles, normalization, and data modeling, including schema and metadata management.
* Experience with performance tuning and optimization of SQL queries, including indexing strategies, execution plans, partitioning, and materialized views.
* Knowledge of ETL/ELT data transformations and data validation and reconciliation frameworks.
* Strong analytical and problem\-solving skills, including data quality profiling and discrepancy analysis.
* Attention to detail and commitment to quality.
* Excellent communication skills and the ability to work collaboratively in a team environment.
* Ability to work independently and manage multiple priorities.
**Preferred Qualifications**
* Experience in a government contracting environment.
* Knowledge of machine learning and data analytics tools.
* Familiarity with DevOps practices and CI/CD pipelines.
**Responsibilities**
**Data Pipeline Development:**
* Design, develop, and maintain scalable and efficient data pipelines for collecting, processing, and storing data from various sources.
* Ensure data pipelines are reliable and able to handle large volumes of data in real\-time or batch processing.
**Data Architecture**
* Design and implement data architectures that support data processing and analytics needs.
* Optimize data storage solutions for performance, scalability, and security.
**Data Integration**
* Integrate data from multiple sources, ensuring data quality and consistency.
* Develop ETL (Extract, Transform, Load) processes to move and transform data as required.
**Database Management**
* Manage database systems and ensure they are optimized for data retrieval and processing.
* Maintain and enhance database schemas and develop advanced database queries
**Collaboration**
* Work closely with data scientists, analysts, and other stakeholders to understand data requirements and deliver relevant solutions.
* Coordinate with cross\-functional teams to ensure seamless data integration and accessibility.
**Performance Monitoring And Optimization**
* Monitor data infrastructure performance and identify areas for improvement.
* Implement performance tuning measures to enhance the efficiency of data processing.
**Security And Compliance**
* Maintain data security and ensure compliance with relevant regulations and standards, such as FedRAMP, FISMA, and HIPAA.
* Implement data governance policies and procedures.
**Documentation And Best Practices**
* Create and maintain comprehensive documentation for data pipelines, architectures, and processes.
* Follow best practices in data engineering, including version control, testing, and code quality.
**Continuous Improvement**
* Stay updated with the latest industry trends and technologies in data engineering.
* Continuously seek opportunities to improve data infrastructure and processes.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60">
      <c r="A60" t="inlineStr">
        <is>
          <t>li-4379720267</t>
        </is>
      </c>
      <c r="B60" t="inlineStr">
        <is>
          <t>Consultant III (Data Engineer Skillset)</t>
        </is>
      </c>
      <c r="C60" t="inlineStr">
        <is>
          <t>evolv Consulting</t>
        </is>
      </c>
      <c r="D60" t="inlineStr">
        <is>
          <t>linkedin</t>
        </is>
      </c>
      <c r="E60" t="inlineStr"/>
      <c r="F60" t="inlineStr"/>
      <c r="G60" t="inlineStr">
        <is>
          <t>Dallas, TX</t>
        </is>
      </c>
      <c r="H60" t="inlineStr"/>
      <c r="I60" t="inlineStr">
        <is>
          <t>**Description**
 Do you want to support innovative clients at the intersection of cutting\-edge technologies and impactful relationships?
 evolv’s culture of integrity, humility, passion, and drive and have been named "Best Places to Work" by Dallas Business Journal in 2021 and 2022, "Top Workplaces" by Dallas Morning News in 2023, ranked \#368 on Inc. 5000's list of fastest growing private companies in 2023 and ranked \#14 on the 2024 Inc. Regionals: Southwest list of fastest growing private companies in America.
 We are seeking a talented and professional Consultant III (Data Engineer Skillset) to join our team.
**Responsibilities**
* Lead the design of scalable big data platforms/solutions used to ingest and process accurately scaled traffic data.
* Build end\-to\-end solutions that enable business stakeholders, BI engineers, and analysts to self\-serve their business intelligence needs.
* Develop and automate large scale, high\-performance, scalable platform (batch and/or streaming) to drive faster analytics.
* Design large\-scale, complex applications and frameworks with excellent run\-time characteristics such as low\-latency, fault\-tolerance, and availability.
* Build and maintain custom frameworks to support engineering/analytics needs.
* Partner with analytic consumers and data scientists to build and improve new/existing constructs and solve data engineering problems at scale.
* Deploy inclusive data quality checks to ensure high quality of data.
* Evangelize high quality software engineering practices towards building data infrastructure and pipelines at scale.
* Remain committed to successful delivery to the client on every engagement (success metrics involve deliverables met, client satisfaction, future project recommendations/extensions and collaboration).
* Prioritize operational excellence by meeting or exceeding all utilization goals.
* Contribute to evolv’s culture and personal development through collaborating well internally, displaying our core values, participating in internal initiatives (events/groups), and/or obtaining new certifications approved by leader.
* Help grow evolv by providing team member/client referrals and connecting with our internal network.
* Other duties as assigned.
**Requirements**
* 5\+ years of experience as a Data Engineer or in a similar role (data science, business intelligence or business analytics).
* Experience with SQL, data modeling, data warehousing, and building ETL pipelines.
* Bachelor’s degree or higher in a quantitative/technical field (e.g., Computer Science, Economics, Finance, Mathematics, Statistics, Engineering).
* Proven track record of independently delivering big data solutions.
* Ability to manage competing priorities simultaneously and drive projects to completion.
* Knowledge of continuous integration, testing methodologies, TDD and agile development methodologies.
* Knowledge of Data formats (Parquet, ORC etc.) and consensus management systems.
* Exposure to structured or unstructured storage and distributed caching.
* Experience in open\-source technologies is plus.
* Structured thinking with ability to easily break down ambiguous problems and propose impactful solutions.
* Attention to detail and effective verbal/written communication skills.
 We believe in being inclusive of all people regardless of gender, race, religion, sexual orientation, age, or any attribute not relevant to job performance. We know that an inclusive, equitable and diverse company is a more innovative and successful one. We aim to employ the most talented professionals in the world by casting a wide net to find Team Members with shared values. evolv is committed to creating and maintaining a high\-performing workplace in which all Team Members have a fair and just opportunity to contribute to the success of the business and are valued for their skills, experience, and authentic perspectives.
 EOE/M/F/D/V</t>
        </is>
      </c>
    </row>
    <row r="61">
      <c r="A61" t="inlineStr">
        <is>
          <t>li-4379742066</t>
        </is>
      </c>
      <c r="B61" t="inlineStr">
        <is>
          <t>Associate Data Engineer - Databricks &amp; GCP</t>
        </is>
      </c>
      <c r="C61" t="inlineStr">
        <is>
          <t>Capgemini</t>
        </is>
      </c>
      <c r="D61" t="inlineStr">
        <is>
          <t>linkedin</t>
        </is>
      </c>
      <c r="E61" t="inlineStr"/>
      <c r="F61" t="inlineStr"/>
      <c r="G61" t="inlineStr">
        <is>
          <t>Nashville, TN</t>
        </is>
      </c>
      <c r="H61" t="inlineStr"/>
      <c r="I6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We are seeking an Associate Data Engineer with strong hands‑on experience in Databricks and Google Cloud Platform (GCP) to design, build, and optimize scalable data pipelines and analytics solutions. The ideal candidate will have a solid foundation in distributed data processing, cloud architecture, and data modeling. This role works closely with data analysts, data scientists, and business stakeholders to deliver reliable, high‑quality data products.
 your role
* Design, build, and maintain ETL/ELT pipelines using Databricks (PySpark, Delta Lake).
* Optimize pipelines for performance, cost, and scalability within GCP.
* Develop batch and streaming data processes using Spark Streaming and related technologies.
* Implement data solutions using BigQuery, Cloud Storage, Dataflow, Cloud Composer, and Vertex AI.
* Apply best practices for cloud security, IAM configuration, monitoring, and cost optimization.
* Build and maintain data models including dimensional and data vault structures.
* Implement data quality frameworks, validation rules, and automated testing.
* Manage data versioning, governance, and lineage using tools like Unity Catalog or GCP Data Catalog.
* Collaborate with cross‑functional teams to translate business requirements into technical designs.
* Provide technical guidance and support engineering best practices.
* Contribute to documentation, architectural diagrams, and knowledge‑sharing materials.
**Your Roles \&amp; Responsibilities**
* Databricks or GCP certifications (e.g., Data Engineer, Architect).
* Experience with Terraform or other Infrastructure‑as‑Code tools.
* Knowledge of ML workflows or MLOps frameworks.
* Familiarity with data governance tools such as Unity Catalog, Great Expectations, and dbt.
* Excellent problem‑solving and analytical abilities.
* Strong communication skills with the ability to collaborate effectively across technical and non‑technical teams.
* A growth mindset with a passion for continuous learning, innovation, and staying current with emerging technologies.
**Required**
* 3\+ years of experience as a Data Engineer or similar role.
* Strong hands‑on experience with Databricks, including:
+ PySpark / Spark
+ Delta Lake
+ Databricks Workflows / Jobs
* Proficiency with GCP, including:
+ BigQuery
+ Cloud Storage
+ Dataflow or Dataproc
* Strong coding skills in Python and SQL.
* Strong understanding of distributed systems, data warehousing, and data architecture principles.
* Experience with CI/CD tools such as GitHub, GitLab, or Azure DevOps.
 The base compensation range for this role in the posted location is:$46,000 to 111,000\.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2">
      <c r="A62" t="inlineStr">
        <is>
          <t>li-4379723992</t>
        </is>
      </c>
      <c r="B62" t="inlineStr">
        <is>
          <t>Data Engineer</t>
        </is>
      </c>
      <c r="C62" t="inlineStr">
        <is>
          <t>Sanford Health</t>
        </is>
      </c>
      <c r="D62" t="inlineStr">
        <is>
          <t>linkedin</t>
        </is>
      </c>
      <c r="E62" t="inlineStr"/>
      <c r="F62" t="inlineStr"/>
      <c r="G62" t="inlineStr"/>
      <c r="H62" t="inlineStr"/>
      <c r="I62" t="inlineStr">
        <is>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Remote WI
**Location:** 
 Remote, WI
**Address**
**Shift:** 
 8 Hours \- Day Shifts
**Job Schedule:** 
 Full time
**Weekly Hours:** 
 40\.00
**Salary Range:** 
 $34\.50 \- $57\.00
**Pay Info:** 
 Pay starts at $34\.50 and increases according to years of applicable experience.
**Department Details**
 The Data Engineering team is a collaborative, fun and dynamic group. We strive to innovate and improve the process to bring quality data to our end users.
**Job Summary**
 The Data Engineer is responsible for providing technical support for Data Pipeline implementation, monitoring and administration. This person will work with all the data environments across the enterprise and will also be responsible for ensuring that the systems are scalable, efficient, and accurate. Assemble and manage large, complex datasets that meet both non\-functional and functional business requirements. Identify, design, and implement internal process improvements to enhance scalability, optimize data delivery, and automate manual processes. Build and maintain optimal data pipeline architecture for efficient extraction, transformation, and loading of data from various sources.
 Provide technical expertise and support for data\-related issues. Partner with data and analytics experts to enhance functionality and performance of data systems. Design and deploy frameworks and microservices to serve data assets to data consumers. Performs root cause analysis on data and processes to identify opportunities for improvement.
 Act as a trusted advisor and partner to business leads, understanding their needs, interpreting data drivers, and aligning data strategies with business goals. Evaluate customer requirements and contribute to the development of structural necessities within the data architecture.
 Ensure database implementation procedures comply with relevant regulations. Organize data within cloud storage and implement appropriate security measures. Collaborate cross\-functionally with multiple teams within the organization.
 Works independently and collaboratively in a team environment. Excellent analytical and problem\-solving abilities. Strong attention to detail to ensure accuracy and predictability of data pipelines. Effectively communicates with engineers, product managers, and analysts to understand data needs. Commitment to building secure, resilient, and fault\-tolerant architectures with clear documentation and support procedures.
**Qualifications**
 Bachelor’s degree required in data engineering, data analytics, computer engineering, or a related field.
 Minimum of 3 years’ experience in data engineering or database analytics. Must have strong programming skills in Python, Scala, and SQL. Advanced SQL knowledge and experience working with relational databases. Prior work with various data management technologies such as RedShift, Postgres, or Snowflake is preferred.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R\-0243489
**Job Function:** 
 Information Technology
**Featured:** 
 No</t>
        </is>
      </c>
    </row>
    <row r="63">
      <c r="A63" t="inlineStr">
        <is>
          <t>li-4378470153</t>
        </is>
      </c>
      <c r="B63" t="inlineStr">
        <is>
          <t>Analytics Engineer</t>
        </is>
      </c>
      <c r="C63" t="inlineStr">
        <is>
          <t>RemoteHunter</t>
        </is>
      </c>
      <c r="D63" t="inlineStr">
        <is>
          <t>linkedin</t>
        </is>
      </c>
      <c r="E63" t="inlineStr"/>
      <c r="F63" t="inlineStr"/>
      <c r="G63" t="inlineStr"/>
      <c r="H63" t="inlineStr"/>
      <c r="I63"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li-4379706897</t>
        </is>
      </c>
      <c r="B64" t="inlineStr">
        <is>
          <t>Data Engineer</t>
        </is>
      </c>
      <c r="C64" t="inlineStr">
        <is>
          <t>Best Job Tool</t>
        </is>
      </c>
      <c r="D64" t="inlineStr">
        <is>
          <t>linkedin</t>
        </is>
      </c>
      <c r="E64" t="inlineStr"/>
      <c r="F64" t="inlineStr"/>
      <c r="G64" t="inlineStr"/>
      <c r="H64" t="inlineStr"/>
      <c r="I64" t="inlineStr">
        <is>
          <t>**About The Company**
 Ernst \&amp; Young Oman is a leading professional services firm dedicated to providing exceptional audit, advisory, tax, and consulting services to a diverse range of clients across various industries. As part of the global EY network, we are committed to building a better working world by helping organizations navigate complex business challenges and seize new opportunities. Our team in Oman is known for its expertise, integrity, and dedication to delivering innovative solutions that create value for our clients and positively impact the community.
**About The Role**
 We are seeking a highly motivated and detail\-oriented professional to join our team in Oman as a Senior Audit Associate. This role offers an exciting opportunity to work with a dynamic team on a variety of audit engagements for local and international clients. The Senior Audit Associate will be responsible for executing audit procedures, analyzing financial data, and assisting in the preparation of audit reports. This position requires a strong understanding of accounting principles, excellent communication skills, and the ability to work effectively in a fast\-paced environment. The ideal candidate will be proactive, meticulous, and eager to contribute to the firm’s reputation for excellence.
**Qualifications**
 The ideal candidate should possess a bachelor’s degree in accounting, finance, or a related field. Professional certifications such as CPA, ACCA, or CMA are preferred. Candidates should have a minimum of 3\-5 years of relevant experience in external auditing, preferably within a reputable firm or multinational organization. Strong knowledge of International Financial Reporting Standards (IFRS) and local regulatory requirements is essential. Excellent analytical, organizational, and problem\-solving skills are required, along with proficiency in audit software and MS Office applications. Fluency in English is mandatory, and knowledge of Arabic is an advantage.
**Responsibilities**
 As a Senior Audit Associate, your responsibilities will include planning and executing audit engagements in accordance with professional standards and client requirements. You will review financial statements, assess internal controls, and identify areas of risk. You will liaise with clients to gather necessary documentation, clarify financial data, and ensure timely completion of audit procedures. Additionally, you will supervise and mentor junior team members, providing guidance and support to enhance their professional development. Preparing detailed audit reports and presenting findings to clients and senior management will be part of your core duties. You will also contribute to continuous improvement initiatives within the audit team by recommending process enhancements and best practices.
**Benefits**
 Ernst \&amp; Young Oman offers a comprehensive benefits package that includes competitive salary, health insurance, and retirement plans. We support our employees' professional growth through ongoing training and development programs, including certifications and workshops. Our work environment promotes work\-life balance, with flexible working arrangements and paid leave policies. Additionally, employees have access to various wellness programs, employee engagement activities, and opportunities for international assignments. We believe in recognizing and rewarding talent, fostering a culture of collaboration, innovation, and excellence.
 Equal Opportunity
 Ernst \&amp; Young Oman is an equal opportunity employer committed to fostering an inclusive environment for all employees. We do not discriminate based on race, gender, age, religion, nationality, disability, or any other protected characteristic. We believe diversity enhances our ability to serve our clients and innovate, and we are dedicated to creating a workplace where everyone feels valued and empowered to contribute to our collective success.</t>
        </is>
      </c>
    </row>
    <row r="65">
      <c r="A65" t="inlineStr">
        <is>
          <t>li-4378471493</t>
        </is>
      </c>
      <c r="B65" t="inlineStr">
        <is>
          <t>Senior Data Engineer</t>
        </is>
      </c>
      <c r="C65" t="inlineStr">
        <is>
          <t>ITA International</t>
        </is>
      </c>
      <c r="D65" t="inlineStr">
        <is>
          <t>linkedin</t>
        </is>
      </c>
      <c r="E65" t="inlineStr"/>
      <c r="F65" t="inlineStr"/>
      <c r="G65" t="inlineStr">
        <is>
          <t>Warner Robins, GA</t>
        </is>
      </c>
      <c r="H65" t="inlineStr"/>
      <c r="I65" t="inlineStr">
        <is>
          <t>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Senior Data Engineer to join the team in Warner Robins, Georgia.
***Please note this position is contingent upon successful contract award, expected Fall 2025\.***
 Join a growing company to support the Untied States Air Force on analytic, modeling, and simulation capabilities. A senior data engineer works with datasets to help make data useful to a project; works to advance data science goals; prepares data for analytical or operational purposes; incorporates data security and data governance.
* Data Storage Develop relational databases; data warehouses that include central repositories for structured data to maximize usage for querying and analysis; data lakes for unstructured and structured data. Ensure all development adheres to the approved versions of software, languages, libraries, and frameworks, and is maintained in centralized source control.
* Data integration Integrate data from various sources, such as sensor data and simulation data, to support assessments and validation of models.
* Data infrastructure Leverage government\-provided infrastructure to include data centers, cloud environment, or a hybrid of both. Ensure all work is performed using approved software, languages, libraries, and frameworks, and is maintained in centralized source control for seamless integration with the approved cloud environments.
* Data processing. Document the entire process in briefings, documents, information papers or reports suitable for top management use and decision\-making. Extract, Transform, Load (ETL) tools for data integration; batch processing for large amounts of data at scheduled intervals; and if an API exists, stream processing of real\-time data. Utilize only approved tools and versions compatible with the organization's cloud environment.
* Data Management Establish data governance policies and procedures for data quality, data privacy and compliance; data cataloging; and data security. Ensure these policies align with the approved software, languages, libraries, and frameworks used within the organization.
* Data Architecture. Design and develop the data architecture that supports EMS operations and M\&amp;S activities.
* Collaborate with stakeholders Work closely with business stakeholders to understand data requirements and align with business objectives; Collaborate with data engineers, data analysts, and other IT teams to implement and maintain data architecture; and communicate data architecture concepts and decisions to both technical and non\-technical stakeholders. Oversee and guide less senior staff on reporting and briefing.
* Bachelor's or Master's degree in Data Science, Computer Science, Engineering, Mathematics, Operations Research, or a related technical field. PhD desired.
* 10\+ years of relevant experience.
* Expert knowledge of data bases, data modeling, and SQL.
* Active Secret clearance. Ability to obtain and maintain TS/SCI.
**Desired Skills**
* Familiar with tools such as Tableau, Power BI, and Python for analysis and visualization.
* IBM Data Engineering Professional Certificate
* Google Cloud Certification Cloud Data Engineer Professional Certificate
* IBM Data Warehouse Engineer Professional Certificate
* Knowledge of optimization techniques, predictive modeling, and statistical analysis.
* Familiarity with big data tools (e.g., Hadoop, Spark) and cloud platforms (e.g., AWS, Azure).
* Strong communication skills with the ability to present complex data insights to non\-technical stakeholders.
* Experience with data visualization tools like Tableau, Power BI, or similar is preferred.
* Ability to work in a collaborative, multidisciplinary environment, managing multiple priorities simultaneously.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66">
      <c r="A66" t="inlineStr">
        <is>
          <t>li-4379740375</t>
        </is>
      </c>
      <c r="B66" t="inlineStr">
        <is>
          <t>FAA Data Engineer - Multiple Openings - Mid to Senior Level</t>
        </is>
      </c>
      <c r="C66" t="inlineStr">
        <is>
          <t>Strategic Innovation Group, LLC</t>
        </is>
      </c>
      <c r="D66" t="inlineStr">
        <is>
          <t>linkedin</t>
        </is>
      </c>
      <c r="E66" t="inlineStr"/>
      <c r="F66" t="inlineStr"/>
      <c r="G66" t="inlineStr">
        <is>
          <t>Arlington, VA</t>
        </is>
      </c>
      <c r="H66" t="inlineStr"/>
      <c r="I66" t="inlineStr">
        <is>
          <t>Strategic Innovation Group (SIG) seeks an experienced Data Analyst with Alteryx experience to join our team. The ideal candidate will have a strong background in data analysis, with hands\-on experience in working with BI reporting and visualization.
**Salary: $150K \- $200K**
 SIG Is a Fast\-growing 8(a) Government Contractor Based In Arlington, Virginia. We Offer a Broad Range Of Technical Expertise And Experience In AI Engineering Services, Data Engineering Services, Enterprise Architecture And Professional Services. At SIG, Our People Are Our Mission. Come Join Our Team! A Successful Candidate Will Be Offered The Following
* Great work/life balance
* Eligibility for performance\-based participation in cash bonuses
* Excellent benefits, including health, dental, vision, generous PTO, a 401(k) with match, life insurance, short\- and long\-term disability, and a health savings account (HSA)
* Remote work with preferrence given to DC\-Metro Area
**Essential Duties And Responsibilities**
 The essential functions include, but are not limited to, the following:
* Build worksheets, dashboards and data sources in Tableau Desktop
* Daily data validation and reconciliation
* Utilize Presto to connect Postgres DB to Tableau Online for reporting data
* Run Alteryx workflows to alter, clean and consolidate data to be loaded from SplashBI, Oracle DB, Denodo, csv, xslx and txt files into Postgres database
* Validation of Alteryx workflows that facilitate loading DELPHI data into EIM
* Configure Alteryx server to schedule workflows, allow for coordination within team in Collections so all team members can share, allow others to run and view workflows loaded to the Collections
* Work with FAA Alteryx and Tableau Admin teams to look for ways to make Alteryx and Tableau more efficient and better use of resources
**Required Experience/Qualifications**
* Bachelor's or master's degree in relevant degrees
* \+ years of experience with SQL queries (Oracle SQL, PL/SQL, Postgres, MYSQL, etc)
**Preferred Experience/Qualifications**
* Current Public Trust clearance or higher.
* Experience with Denodo, Starburst EIM SQL, and Oracle EBS is desirable
* Knowledge of maintaining CMMI ML3 for development is a plus
**Special Requirements/Security Clearance**
* Must be able to obtain and maintain a Public Trust clearance.
 The company is an Equal Opportunity Employer, drug\-free workplace, and complies with ADA regulations as applicable.</t>
        </is>
      </c>
    </row>
    <row r="67">
      <c r="A67" t="inlineStr">
        <is>
          <t>li-4379740864</t>
        </is>
      </c>
      <c r="B67" t="inlineStr">
        <is>
          <t>Staff Data Engineer, Data Science Platform</t>
        </is>
      </c>
      <c r="C67" t="inlineStr">
        <is>
          <t>NVIDIA</t>
        </is>
      </c>
      <c r="D67" t="inlineStr">
        <is>
          <t>linkedin</t>
        </is>
      </c>
      <c r="E67">
        <f>HYPERLINK("https://www.linkedin.com/jobs/view/4379740864", "https://www.linkedin.com/jobs/view/4379740864")</f>
        <v/>
      </c>
      <c r="F67">
        <f>HYPERLINK("https://nvidia.wd5.myworkdayjobs.com/NVIDIAExternalCareerSite/job/US-CA-Santa-Clara/Staff-Data-Engineer\u002d\u002dData-Science-Platform_JR2014090?source=jobboardlinkedin&amp;urlHash=AB0h", "https://nvidia.wd5.myworkdayjobs.com/NVIDIAExternalCareerSite/job/US-CA-Santa-Clara/Staff-Data-Engineer\u002d\u002dData-Science-Platform_JR2014090?source=jobboardlinkedin&amp;urlHash=AB0h")</f>
        <v/>
      </c>
      <c r="G67" t="inlineStr">
        <is>
          <t>Santa Clara, CA</t>
        </is>
      </c>
      <c r="H67" t="inlineStr"/>
      <c r="I67" t="inlineStr">
        <is>
          <t>At NVIDIA, we pride ourselves on data\-driven decision\-making, and the data science team is at the heart of this initiative. Be part of a team redefining the future of technology with AI. We are looking for an excellent Staff Data engineer with extensive data engineering experience for our data science platform supporting NVIDIA's cloud platform services. Our data science platform serves as the basis for advanced real time data analytics, streaming, data lake, accelerated data processing and MLOps for NVIDIA's cloud services.
**What You'll Be Doing**
* Crafting and implementing data platforms that are both scalable and reliable, ensuring flawless performance and robust data processing.
* Design and build data Lakehouse architecture for our customers
* Design and develop enterprise data governance solutions that enable secure, simplified data sharing across the organization.
* Build data engineering agents to optimize and automate data workflows for efficiency and scalability.
* Collaborating with cross\-functional teams to determine the best solutions and successfully implement data\-driven strategies.
* Partner with our other engineering and business teams to integrate your amazing innovations and algorithms into our production systems.
**What We Need To See**
* A Bachelor's degree or equivalent experience in Computer Science, Engineering, or a related field.
* 8\+ years of proven experience in data engineering, with a strong focus on data science platforms.
* Experience owning and architecting peta\-byte scale data platforms.
* Passion about Big data and large scale distributed systems.
* Experience working with Hadoop, Spark and Trino compute and expertise with open table format such as delta lake and/or iceberg etc.
* Expertise in crafting and deploying distributed data lake architectures with integrated data catalogs.
* Excellent SW development skills in one or more: Java/Scala/Python/Go.
**Ways To Stand Out From The Crowd**
* Contributions to open source
* Experience with operating large scale distributed systems with strong SLAs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JR2014090</t>
        </is>
      </c>
    </row>
    <row r="68">
      <c r="A68" t="inlineStr">
        <is>
          <t>li-4379531951</t>
        </is>
      </c>
      <c r="B68" t="inlineStr">
        <is>
          <t>Data Engineer I (Full Time) - United States</t>
        </is>
      </c>
      <c r="C68" t="inlineStr">
        <is>
          <t>Lensa</t>
        </is>
      </c>
      <c r="D68" t="inlineStr">
        <is>
          <t>linkedin</t>
        </is>
      </c>
      <c r="E68">
        <f>HYPERLINK("https://www.linkedin.com/jobs/view/4379531951", "https://www.linkedin.com/jobs/view/4379531951")</f>
        <v/>
      </c>
      <c r="F68">
        <f>HYPERLINK("https://lensa.com/cgw/acf62b207890422db5f94ddd61fbf8c5tjo1?jpsi=directemployers_no_redirect&amp;publisher_preference=easier_apply&amp;utm_campaign=Computer%20Occupations&amp;utm_medium=slot&amp;utm_source=linkedin&amp;utm_term=jse&amp;urlHash=OlFv", "https://lensa.com/cgw/acf62b207890422db5f94ddd61fbf8c5tjo1?jpsi=directemployers_no_redirect&amp;publisher_preference=easier_apply&amp;utm_campaign=Computer%20Occupations&amp;utm_medium=slot&amp;utm_source=linkedin&amp;utm_term=jse&amp;urlHash=OlFv")</f>
        <v/>
      </c>
      <c r="G68" t="inlineStr">
        <is>
          <t>Atlanta, GA</t>
        </is>
      </c>
      <c r="H68" t="inlineStr"/>
      <c r="I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Please note this posting is to advertise potential job opportunities. This exact role may not be open today but could open in the near future. When you apply, a Cisco representative may contact you directly if a relevant position opens.
**Applic** 
**ations** 
**accep** 
**ted until further notice.**
**Meet the Team**
 Our dedicated team members are engineering the foundation of Cisco's core technologies across the globe, including teams in Engineering like Infrastructure \&amp; Security. At Cisco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decisions,optimizemarketing investments, and enhance customer experiences
* Make complex data understandable and actionable
* Collaborate across teams to deliver meaningful solutions for a global community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fieldsinclude:Engineering, Computer Science, Data Science, Statistics, a related program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69">
      <c r="A69" t="inlineStr">
        <is>
          <t>li-4377536730</t>
        </is>
      </c>
      <c r="B69" t="inlineStr">
        <is>
          <t>Data Engineer</t>
        </is>
      </c>
      <c r="C69" t="inlineStr">
        <is>
          <t>ETHOS - Talent &amp; Advisory</t>
        </is>
      </c>
      <c r="D69" t="inlineStr">
        <is>
          <t>linkedin</t>
        </is>
      </c>
      <c r="E69">
        <f>HYPERLINK("https://www.linkedin.com/jobs/view/4377536730", "https://www.linkedin.com/jobs/view/4377536730")</f>
        <v/>
      </c>
      <c r="F69" t="inlineStr"/>
      <c r="G69" t="inlineStr">
        <is>
          <t>Bend, OR</t>
        </is>
      </c>
      <c r="H69" t="inlineStr"/>
      <c r="I69" t="inlineStr">
        <is>
          <t>We are hiring a Data Engineer to design and scale modern data infrastructure that powers real customer experiences. This role focuses on building cloud native data pipelines, distributed systems, streaming architecture, and scalable ETL frameworks.
 You will work cross functionally with Product, Engineering, Analytics, and Operations to deliver high impact data solutions. If you enjoy solving complex problems in big data, real time processing, and cloud architecture, we want to connect with you.
**Key Responsibilities** 
* Design, build, and optimize scalable data pipelines including batch and streaming
* Develop ETL and ELT workflows using modern data engineering best practices
* Build and maintain distributed data processing systems
* Partner with backend engineers to improve data ingestion and schema design
* Implement monitoring, performance tuning, and cost optimization strategies
* Support machine learning and business intelligence initiatives
* Improve reliability, scalability, and security across the data platform
**Required Skills and Experience** 
* 5\+ years of experience in Data Engineering, Distributed Systems, or Software Engineering
* Strong programming skills in Python or Java
* Experience building and maintaining ETL pipelines
* Hands on experience with AWS, GCP, or Azure
* Experience with Docker and Kubernetes
* Experience optimizing large scale data processing systems
* Strong problem solving and analytical skills
**Preferred Experience** 
* Experience with Apache Spark, Apache Flink, Apache Kafka, Schema Registry, or Apache Iceberg
* Experience designing and operating stream processing systems
* Experience with data lakehouse architectures and ETL pipeline development
* Experience working with structured and unstructured data at scale
**Why Join** 
* High impact engineering role with meaningful ownership
* Modern cloud native architecture and cutting edge technologies
* Opportunity to influence and shape data strategy
* Collaborative, fast growing, and innovation driven environment
* Flexible work environment supporting work life balance
* Competitive base compensation plus bonus potential
* Equity opportunity to share in long term company success
* Strong career growth and advancement opportunities</t>
        </is>
      </c>
    </row>
    <row r="70">
      <c r="A70" t="inlineStr">
        <is>
          <t>li-4378466274</t>
        </is>
      </c>
      <c r="B70" t="inlineStr">
        <is>
          <t>Data Engineer</t>
        </is>
      </c>
      <c r="C70" t="inlineStr">
        <is>
          <t>FetchJobs.co</t>
        </is>
      </c>
      <c r="D70" t="inlineStr">
        <is>
          <t>linkedin</t>
        </is>
      </c>
      <c r="E70">
        <f>HYPERLINK("https://www.linkedin.com/jobs/view/4378466274", "https://www.linkedin.com/jobs/view/4378466274")</f>
        <v/>
      </c>
      <c r="F70" t="inlineStr"/>
      <c r="G70" t="inlineStr"/>
      <c r="H70" t="inlineStr"/>
      <c r="I70" t="inlineStr">
        <is>
          <t>**About The Company**
 CoxHealth is a leading healthcare provider committed to delivering exceptional patient care, innovative medical solutions, and community health initiatives. With a comprehensive network of hospitals, clinics, and specialized medical services, CoxHealth strives to enhance health outcomes through cutting\-edge technology and dedicated healthcare professionals. The organization values integrity, collaboration, and continuous improvement, fostering an environment where employees can thrive and make a meaningful impact on patients' lives.
**About The Role**
 The Senior Data Engineer at CoxHealth will play a pivotal role in designing, developing, and implementing scalable data solutions that support the organization’s strategic objectives. This position requires a highly skilled professional capable of leading complex data projects, ensuring data integrity, and optimizing data workflows across various clinical, financial, and enterprise domains. The incumbent will collaborate closely with data scientists, analysts, and IT teams to enable data\-driven decision\-making and improve operational efficiencies. The role emphasizes strategic planning, technical leadership, and adherence to data governance standards, ensuring compliance with healthcare regulations and data privacy laws.
**Qualifications**
* Preferred: Bachelor's degree in Management Information Systems, Computer Science, Data \&amp; Analytics, or a related quantitative discipline, or equivalent professional experience.
* Required: A minimum of 4 years of experience working with data in clinical, financial, or other enterprise domains, or a Bachelor’s degree with at least 2 years of relevant experience.
* Proficiency in relational and non\-relational database management systems.
* Strong expertise in data integration and orchestration tools.
* Advanced knowledge of big data technologies such as Hadoop, Spark, and related ecosystems.
* Experience with data lakes, data warehouses, and cloud\-based data storage solutions.
* Demonstrated leadership skills with experience in strategic planning and team management.
* Excellent communication, collaboration, and project management abilities.
* Certifications in data management or cloud technologies are a plus but not mandatory.
**Responsibilities**
* Lead the design and development of scalable, robust data pipelines and architectures to support clinical, financial, and enterprise data needs.
* Collaborate with cross\-functional teams to understand data requirements and translate them into technical solutions.
* Implement best practices for data governance, security, and compliance, ensuring adherence to healthcare regulations such as HIPAA.
* Optimize data workflows for efficiency, performance, and scalability, leveraging big data technologies and cloud platforms.
* Mentor and guide junior data engineers, fostering a culture of continuous learning and improvement.
* Participate in strategic planning for data infrastructure, aligning technical solutions with organizational goals.
* Ensure data quality, consistency, and integrity across all platforms and systems.
* Stay updated with emerging data technologies and industry trends, recommending innovative solutions to enhance data capabilities.
* Document data processes, workflows, and architecture to facilitate knowledge sharing and compliance audits.
* Support data analytics and reporting initiatives by providing reliable and well\-structured data sources.
**Benefits**
 CoxHealth offers a comprehensive benefits package designed to support the health, well\-being, and professional growth of its employees. Benefits include competitive salary packages, health insurance plans, dental and vision coverage, retirement savings plans, and paid time off. The organization also provides opportunities for continuous learning through training programs, certifications, and career development initiatives. Employees enjoy a collaborative and inclusive work environment that values innovation, diversity, and work\-life balance. Additional perks may include wellness programs, employee assistance programs, and flexible work arrangements to promote a healthy and productive workforce.
 Equal Opportunity
 CoxHealth is an equal opportunity employer committed to fostering an inclusive environment for all employees and applicants. We do not discriminate based on race, color, religion, sex, national origin, age, disability, veteran status, or any other protected characteristic. We believe diversity enhances our organizational culture and drives innovation, and we are dedicated to providing equal employment opportunities to all qualified individuals.</t>
        </is>
      </c>
    </row>
    <row r="71">
      <c r="A71" t="inlineStr">
        <is>
          <t>li-4379295651</t>
        </is>
      </c>
      <c r="B71" t="inlineStr">
        <is>
          <t>Remote Sr. Data Engineer</t>
        </is>
      </c>
      <c r="C71" t="inlineStr">
        <is>
          <t>Jobgether</t>
        </is>
      </c>
      <c r="D71" t="inlineStr">
        <is>
          <t>linkedin</t>
        </is>
      </c>
      <c r="E71">
        <f>HYPERLINK("https://www.linkedin.com/jobs/view/4379295651", "https://www.linkedin.com/jobs/view/4379295651")</f>
        <v/>
      </c>
      <c r="F71">
        <f>HYPERLINK("https://jobs.lever.co/jobgether/3aadbf4c-e4b1-4054-a509-c38804dd13e4/apply?source=LinkedIn&amp;urlHash=5CJF", "https://jobs.lever.co/jobgether/3aadbf4c-e4b1-4054-a509-c38804dd13e4/apply?source=LinkedIn&amp;urlHash=5CJF")</f>
        <v/>
      </c>
      <c r="G71" t="inlineStr">
        <is>
          <t>California, United States</t>
        </is>
      </c>
      <c r="H71" t="inlineStr"/>
      <c r="I71" t="inlineStr">
        <is>
          <t>This position is posted by Jobgether on behalf of a partner company. We are currently looking for a Senior Data Engineer. In this role, you will push the boundaries of technology while working remotely in your own comfortable environment. You will be part of a dynamic team that drives innovation and improvements in data engineering and analytics across the globe. The right candidate will take charge of developing and maintaining robust data infrastructures and pipelines, ensuring high\-quality data flow and validation processes. Your contributions will directly impact how data is utilized across functional teams, making you a key player in our evolution toward a data\-driven culture.
**Accountabilities**
* Design, develop and implement large scale, high\-volume, high\-performance data infrastructure and pipelines for Data Lake and Data Warehouse
* Build and implement ETL frameworks to improve code quality and reliability
* Build and enforce common design patterns to increase code maintainability
* Ensure accuracy and consistency of data processing, results, and reporting
* Design cloud\-native data pipelines, automation routines, and database schemas for machine learning
* Communicate ideas clearly, both verbally and through concise documentation
* Guide and mentor other Data Engineers as a technical owner of parts of the data platform
**Requirements**
* Expert knowledge of Python
* Expert knowledge of SQL
* Experience with DevOps mode of work
* 7\+ years of professional experience
* 5\+ years of experience working in data engineering, business intelligence, or a similar role
* 5\+ years of experience in ETL orchestration and workflow management tools like Airflow, flink, etc. using AWS/GCP
* 3\+ years of experience with distributed data processing tools like Spark, Presto, etc. and streaming technologies such as Kafka/Flink
* 3\+ years of experience with SnowFlake (preferred) or another big data database platform
* 3\+ years of experience with cloud service providers: Amazon AWS (preferred) or other major clouds
* Expertise with containerization orchestration engines (Kubernetes)
* MS in Computer Science, Software Engineering, or relevant field preferred, BS in one of same fields acceptable
**Benefits**
* Fully remote workspace with no pressure to work in an office
* Flexible working hours to balance life and work
* Opportunity to work in a fast\-growing and energizing team
* Culture that encourages employees to be themselves and take risks
* Commitment to employee happiness and empowerment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li-4379511208</t>
        </is>
      </c>
      <c r="B72" t="inlineStr">
        <is>
          <t>Remote Sr. Data Engineer</t>
        </is>
      </c>
      <c r="C72" t="inlineStr">
        <is>
          <t>Jobgether</t>
        </is>
      </c>
      <c r="D72" t="inlineStr">
        <is>
          <t>linkedin</t>
        </is>
      </c>
      <c r="E72">
        <f>HYPERLINK("https://www.linkedin.com/jobs/view/4379511208", "https://www.linkedin.com/jobs/view/4379511208")</f>
        <v/>
      </c>
      <c r="F72" t="inlineStr"/>
      <c r="G72" t="inlineStr">
        <is>
          <t>Colorado, United States</t>
        </is>
      </c>
      <c r="H72" t="inlineStr"/>
      <c r="I72" t="inlineStr">
        <is>
          <t>This position is posted by Jobgether on behalf of a partner company. We are currently looking for a Senior Data Engineer. In this role, you will push the boundaries of technology while working remotely in your own comfortable environment. You will be part of a dynamic team that drives innovation and improvements in data engineering and analytics across the globe. The right candidate will take charge of developing and maintaining robust data infrastructures and pipelines, ensuring high\-quality data flow and validation processes. Your contributions will directly impact how data is utilized across functional teams, making you a key player in our evolution toward a data\-driven culture.
**Accountabilities**
* Design, develop and implement large scale, high\-volume, high\-performance data infrastructure and pipelines for Data Lake and Data Warehouse
* Build and implement ETL frameworks to improve code quality and reliability
* Build and enforce common design patterns to increase code maintainability
* Ensure accuracy and consistency of data processing, results, and reporting
* Design cloud\-native data pipelines, automation routines, and database schemas for machine learning
* Communicate ideas clearly, both verbally and through concise documentation
* Guide and mentor other Data Engineers as a technical owner of parts of the data platform
**Requirements**
* Expert knowledge of Python
* Expert knowledge of SQL
* Experience with DevOps mode of work
* 7\+ years of professional experience
* 5\+ years of experience working in data engineering, business intelligence, or a similar role
* 5\+ years of experience in ETL orchestration and workflow management tools like Airflow, flink, etc. using AWS/GCP
* 3\+ years of experience with distributed data processing tools like Spark, Presto, etc. and streaming technologies such as Kafka/Flink
* 3\+ years of experience with SnowFlake (preferred) or another big data database platform
* 3\+ years of experience with cloud service providers: Amazon AWS (preferred) or other major clouds
* Expertise with containerization orchestration engines (Kubernetes)
* MS in Computer Science, Software Engineering, or relevant field preferred, BS in one of same fields acceptable
**Benefits**
* Fully remote workspace with no pressure to work in an office
* Flexible working hours to balance life and work
* Opportunity to work in a fast\-growing and energizing team
* Culture that encourages employees to be themselves and take risks
* Commitment to employee happiness and empowerment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li-4367333008</t>
        </is>
      </c>
      <c r="B73" t="inlineStr">
        <is>
          <t>Senior Analytics Engineer</t>
        </is>
      </c>
      <c r="C73" t="inlineStr">
        <is>
          <t>Talently</t>
        </is>
      </c>
      <c r="D73" t="inlineStr">
        <is>
          <t>linkedin</t>
        </is>
      </c>
      <c r="E73">
        <f>HYPERLINK("https://www.linkedin.com/jobs/view/4367333008", "https://www.linkedin.com/jobs/view/4367333008")</f>
        <v/>
      </c>
      <c r="F73" t="inlineStr"/>
      <c r="G73" t="inlineStr">
        <is>
          <t>South San Francisco, CA</t>
        </is>
      </c>
      <c r="H73" t="inlineStr"/>
      <c r="I73" t="inlineStr">
        <is>
          <t>**Job Title:** 
 Senior Analytics Engineer
**Location:** 
 On Site \- South San Francisco, California, United States
**Salary:** 
 $140,000\-$175,000
**Skills:** 
 Analytics Engineering, Data Warehousing, SQL, Dimensional Data Modeling, Business Intelligence
**About the Transportation, Logistics, Supply Chain and Storage Company / The Opportunity:**
 Join an innovative leader in the transportation, logistics, supply chain, and storage industry, focused on leveraging cutting\-edge technology to transform the delivery and availability of critical goods worldwide. As a Senior Analytics Engineer, you will become a trusted partner across business and operations teams, driving impactful analytics solutions that enable rapid, data\-driven decision making. This is a unique opportunity to work on high\-impact projects that connect business data and strategy, supporting essential operations across supply chain, manufacturing, maintenance, and fulfillment.
**Responsibilities:** 
* Bridge the gap between complex business challenges and the data required to address them.
* Develop and maintain scalable data pipelines to ensure stability, accuracy, and seamless data flow across operational systems.
* Partner with engineering teams to improve data quality at the source, shaping how analytics infrastructure is built and scaled.
* Design, develop, and optimize data models to transform and consolidate raw data into clean, reusable datasets for analytics.
* Define, track, and operationalize key business metrics and KPIs to inform strategic decisions.
* Collaborate with stakeholders to build intuitive dashboards, reports, and self\-service analytics tools that unlock actionable insights across the organization.
* Apply advanced statistical methods and experimental design to uncover trends, drive product and operational progress, and support marketing initiatives.
* Balance centralized and distributed reporting needs by building resources and models that empower teams to act independently.
**Must\-Have Skills:** 
* Bachelor’s degree in a related field and 7\+ years of relevant industry experience.
* Expertise in Analytics Engineering, including designing and building robust data pipelines and models.
* Proficiency in writing complex and efficient SQL queries.
* Hands\-on experience with modern data warehousing (preferably Snowflake) and dimensional data modeling (preferably using dbt).
* Experience with Business Intelligence tools, such as Mode and ThoughtSpot.
* Proven ability to translate business requirements into technical solutions.
* Excellent analytical and problem\-solving skills, with the ability to visualize and present complex results clearly.
* Strong communication and stakeholder management skills, explaining technical topics to diverse audiences.
**Nice\-to\-Have Skills:** 
* Familiarity with Python or R for advanced statistical analysis, experimental design, or predictive modeling.
* Experience working with finance, e\-commerce, and product data within supply chain or logistics contexts.
* Expertise in data storytelling and executive reporting to support high\-level decision making.
* Demonstrated ability to triage analytics requests and balance multiple projects and deadlines.
* Previous involvement in operational analytics for inventory, maintenance, engineering, or fulfillment operations.</t>
        </is>
      </c>
    </row>
    <row r="74">
      <c r="A74" t="inlineStr">
        <is>
          <t>li-4379742066</t>
        </is>
      </c>
      <c r="B74" t="inlineStr">
        <is>
          <t>Associate Data Engineer - Databricks &amp; GCP</t>
        </is>
      </c>
      <c r="C74" t="inlineStr">
        <is>
          <t>Capgemini</t>
        </is>
      </c>
      <c r="D74" t="inlineStr">
        <is>
          <t>linkedin</t>
        </is>
      </c>
      <c r="E74">
        <f>HYPERLINK("https://www.linkedin.com/jobs/view/4379742066", "https://www.linkedin.com/jobs/view/4379742066")</f>
        <v/>
      </c>
      <c r="F74" t="inlineStr"/>
      <c r="G74" t="inlineStr">
        <is>
          <t>Nashville, TN</t>
        </is>
      </c>
      <c r="H74" t="inlineStr"/>
      <c r="I7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We are seeking an Associate Data Engineer with strong hands‑on experience in Databricks and Google Cloud Platform (GCP) to design, build, and optimize scalable data pipelines and analytics solutions. The ideal candidate will have a solid foundation in distributed data processing, cloud architecture, and data modeling. This role works closely with data analysts, data scientists, and business stakeholders to deliver reliable, high‑quality data products.
 your role
* Design, build, and maintain ETL/ELT pipelines using Databricks (PySpark, Delta Lake).
* Optimize pipelines for performance, cost, and scalability within GCP.
* Develop batch and streaming data processes using Spark Streaming and related technologies.
* Implement data solutions using BigQuery, Cloud Storage, Dataflow, Cloud Composer, and Vertex AI.
* Apply best practices for cloud security, IAM configuration, monitoring, and cost optimization.
* Build and maintain data models including dimensional and data vault structures.
* Implement data quality frameworks, validation rules, and automated testing.
* Manage data versioning, governance, and lineage using tools like Unity Catalog or GCP Data Catalog.
* Collaborate with cross‑functional teams to translate business requirements into technical designs.
* Provide technical guidance and support engineering best practices.
* Contribute to documentation, architectural diagrams, and knowledge‑sharing materials.
**Your Roles \&amp; Responsibilities**
* Databricks or GCP certifications (e.g., Data Engineer, Architect).
* Experience with Terraform or other Infrastructure‑as‑Code tools.
* Knowledge of ML workflows or MLOps frameworks.
* Familiarity with data governance tools such as Unity Catalog, Great Expectations, and dbt.
* Excellent problem‑solving and analytical abilities.
* Strong communication skills with the ability to collaborate effectively across technical and non‑technical teams.
* A growth mindset with a passion for continuous learning, innovation, and staying current with emerging technologies.
**Required**
* 3\+ years of experience as a Data Engineer or similar role.
* Strong hands‑on experience with Databricks, including:
+ PySpark / Spark
+ Delta Lake
+ Databricks Workflows / Jobs
* Proficiency with GCP, including:
+ BigQuery
+ Cloud Storage
+ Dataflow or Dataproc
* Strong coding skills in Python and SQL.
* Strong understanding of distributed systems, data warehousing, and data architecture principles.
* Experience with CI/CD tools such as GitHub, GitLab, or Azure DevOps.
 The base compensation range for this role in the posted location is:$46,000 to 111,000\.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5">
      <c r="A75" t="inlineStr">
        <is>
          <t>li-4378471493</t>
        </is>
      </c>
      <c r="B75" t="inlineStr">
        <is>
          <t>Senior Data Engineer</t>
        </is>
      </c>
      <c r="C75" t="inlineStr">
        <is>
          <t>ITA International</t>
        </is>
      </c>
      <c r="D75" t="inlineStr">
        <is>
          <t>linkedin</t>
        </is>
      </c>
      <c r="E75">
        <f>HYPERLINK("https://www.linkedin.com/jobs/view/4378471493", "https://www.linkedin.com/jobs/view/4378471493")</f>
        <v/>
      </c>
      <c r="F75">
        <f>HYPERLINK("https://careers-ita-intl.icims.com/jobs/4378/senior-data-engineer/job?mode=job&amp;iis=Job+Posting&amp;iisn=LinkedIn&amp;urlHash=xgJQ", "https://careers-ita-intl.icims.com/jobs/4378/senior-data-engineer/job?mode=job&amp;iis=Job+Posting&amp;iisn=LinkedIn&amp;urlHash=xgJQ")</f>
        <v/>
      </c>
      <c r="G75" t="inlineStr">
        <is>
          <t>Warner Robins, GA</t>
        </is>
      </c>
      <c r="H75" t="inlineStr"/>
      <c r="I75" t="inlineStr">
        <is>
          <t>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Senior Data Engineer to join the team in Warner Robins, Georgia.
***Please note this position is contingent upon successful contract award, expected Fall 2025\.***
 Join a growing company to support the Untied States Air Force on analytic, modeling, and simulation capabilities. A senior data engineer works with datasets to help make data useful to a project; works to advance data science goals; prepares data for analytical or operational purposes; incorporates data security and data governance.
* Data Storage Develop relational databases; data warehouses that include central repositories for structured data to maximize usage for querying and analysis; data lakes for unstructured and structured data. Ensure all development adheres to the approved versions of software, languages, libraries, and frameworks, and is maintained in centralized source control.
* Data integration Integrate data from various sources, such as sensor data and simulation data, to support assessments and validation of models.
* Data infrastructure Leverage government\-provided infrastructure to include data centers, cloud environment, or a hybrid of both. Ensure all work is performed using approved software, languages, libraries, and frameworks, and is maintained in centralized source control for seamless integration with the approved cloud environments.
* Data processing. Document the entire process in briefings, documents, information papers or reports suitable for top management use and decision\-making. Extract, Transform, Load (ETL) tools for data integration; batch processing for large amounts of data at scheduled intervals; and if an API exists, stream processing of real\-time data. Utilize only approved tools and versions compatible with the organization's cloud environment.
* Data Management Establish data governance policies and procedures for data quality, data privacy and compliance; data cataloging; and data security. Ensure these policies align with the approved software, languages, libraries, and frameworks used within the organization.
* Data Architecture. Design and develop the data architecture that supports EMS operations and M\&amp;S activities.
* Collaborate with stakeholders Work closely with business stakeholders to understand data requirements and align with business objectives; Collaborate with data engineers, data analysts, and other IT teams to implement and maintain data architecture; and communicate data architecture concepts and decisions to both technical and non\-technical stakeholders. Oversee and guide less senior staff on reporting and briefing.
* Bachelor's or Master's degree in Data Science, Computer Science, Engineering, Mathematics, Operations Research, or a related technical field. PhD desired.
* 10\+ years of relevant experience.
* Expert knowledge of data bases, data modeling, and SQL.
* Active Secret clearance. Ability to obtain and maintain TS/SCI.
**Desired Skills**
* Familiar with tools such as Tableau, Power BI, and Python for analysis and visualization.
* IBM Data Engineering Professional Certificate
* Google Cloud Certification Cloud Data Engineer Professional Certificate
* IBM Data Warehouse Engineer Professional Certificate
* Knowledge of optimization techniques, predictive modeling, and statistical analysis.
* Familiarity with big data tools (e.g., Hadoop, Spark) and cloud platforms (e.g., AWS, Azure).
* Strong communication skills with the ability to present complex data insights to non\-technical stakeholders.
* Experience with data visualization tools like Tableau, Power BI, or similar is preferred.
* Ability to work in a collaborative, multidisciplinary environment, managing multiple priorities simultaneously.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76">
      <c r="A76" t="inlineStr">
        <is>
          <t>li-4379743641</t>
        </is>
      </c>
      <c r="B76" t="inlineStr">
        <is>
          <t>Lead Data Engineer - REMOTE</t>
        </is>
      </c>
      <c r="C76" t="inlineStr">
        <is>
          <t>Jobgether</t>
        </is>
      </c>
      <c r="D76" t="inlineStr">
        <is>
          <t>linkedin</t>
        </is>
      </c>
      <c r="E76">
        <f>HYPERLINK("https://www.linkedin.com/jobs/view/4379743641", "https://www.linkedin.com/jobs/view/4379743641")</f>
        <v/>
      </c>
      <c r="F76" t="inlineStr"/>
      <c r="G76" t="inlineStr">
        <is>
          <t>Idaho, United States</t>
        </is>
      </c>
      <c r="H76" t="inlineStr"/>
      <c r="I76" t="inlineStr">
        <is>
          <t>This position is posted by Jobgether on behalf of a partner company. We are currently looking for a Senior Data Engineering Manager \- REMOTE. In this role, you will lead an innovative team responsible for enhancing the data lifecycle that supports machine learning processes. Your leadership will facilitate the operationalization of high\-impact data strategies, streamlining workflows to ensure efficiency and quality. You will champion the integration of advanced data practices, unlocking internal resources to drive innovation. The position embodies a strong commitment to collaboration across multiple teams, ultimately contributing to exceptional business outcomes in a digital\-first environment.
**Accountabilities**
* Set and execute the technical strategy aligned to metrics such as increasing data evaluation velocity.
* Establish clear end\-to\-end ownership across the data lifecycle.
* Accelerate third\-party data onboarding through standardized practices.
* Drive data quality frameworks to prevent launch issues.
* Unlock internal data for ML innovation by improving metadata coverage.
* Champion a company\-wide shift towards data contracts and SLAs.
* Build and lead a high\-performing team in data integration and infrastructure.
**Requirements**
* Bachelor’s degree in Computer Science, Engineering, or Mathematics, or related field.
* 8 years of engineering experience, with 3 years in a management role.
* Proven experience in building and scaling data platforms for ML workflows.
* Demonstrated ownership of cross\-functional engineering initiatives.
* Experience designing and enforcing data quality frameworks and SLAs.
* Strong technical foundation in modern data stacks and architectures.
**Benefits**
* Competitive compensation package including salary, bonuses, and equity grants.
* Generous 401(k) with matching contributions.
* Employee Stock Purchase Plan (ESPP) with discounts on stock.
* Affordable medical, dental, and vision coverage.
* Health Savings Account contributions.
* Paid time off, family leave, and company holidays.
* Annual wellness and productivity allowances.
* Employee Assistance Program (EAP) for mental health support.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li-4378489089</t>
        </is>
      </c>
      <c r="B77" t="inlineStr">
        <is>
          <t>Senior Signal Processing Data Engineer</t>
        </is>
      </c>
      <c r="C77" t="inlineStr">
        <is>
          <t>Zendar</t>
        </is>
      </c>
      <c r="D77" t="inlineStr">
        <is>
          <t>linkedin</t>
        </is>
      </c>
      <c r="E77">
        <f>HYPERLINK("https://www.linkedin.com/jobs/view/4378489089", "https://www.linkedin.com/jobs/view/4378489089")</f>
        <v/>
      </c>
      <c r="F77">
        <f>HYPERLINK("https://zendar.breezy.hr/p/68972b4823a2-senior-signal-processing-data-engineer?source=linkedin&amp;urlHash=xXj3", "https://zendar.breezy.hr/p/68972b4823a2-senior-signal-processing-data-engineer?source=linkedin&amp;urlHash=xXj3")</f>
        <v/>
      </c>
      <c r="G77" t="inlineStr">
        <is>
          <t>Berkeley, CA</t>
        </is>
      </c>
      <c r="H77" t="inlineStr"/>
      <c r="I77" t="inlineStr">
        <is>
          <t>Are you tired of your good old corporate job, working on one project for half a year? Is your passion for making great infrastructure being kept in a box labeled “for later”? Do you enjoy working with smart people and do you want to make their developer experience great?
 Zendar is looking for an experienced Data Engineer who understands data management, ML model training workflows and their optimization, and is excited to wear multiple hats to make sure engineers stay productive and infrastructure supports them. Our team is a testament of the ability to unite engineers of different backgrounds over a common vision. We do not shy away from reality and its limitations but we also dream big.
 You don't have to fit in a box. We are not looking for a superhero. But we might be looking for you!
**About Zendar**
 Zendar is building perception for physical AI—giving engineers a strong foundation for creating world\-class robotics applications. At Zendar, you'll work on perception foundation models that enable robots to understand and interact with their environments across a wide range of industries.
 Zendar pioneered RF perception that delivers a vision\-like, semantically segmented understanding of the environment—running on embedded automotive systems using only radar data. This RF perception forms the backbone of Zendar's next\-generation foundation models, which are built around early fusion of RF and vision data.
 This architecture inverts the traditional perception stack. Instead of treating RF signals as secondary, Zendar's models combine vision's high angular resolution with RF's strong temporal and spatial understanding at the earliest stages of perception. The result is a system that sees farther, remains robust to occlusion and adverse weather, and operates far more efficiently than vision\-only or lidar\-based approaches.
 See a demo of Zendar's foundational RF perception
 At Zendar, you'll work at the cutting edge of autonomous mobility and robotics—advancing foundation models that will power the next generation of physical AI systems. You'll work with large\-scale, real\-world, multi\-modal datasets composed of synchronized and calibrated radar, camera, and lidar data collected across multiple continents.
 Our team brings together deep expertise across hardware, signal processing, machine learning, and software engineering, with decades of experience in sensing and perception. We are a global team with offices in Berkeley, Lindau (Germany), and Paris (France). Zendar is well\-funded by leading Tier\-1 venture capital firms and has established strong industry partnerships.
 Although AI is central to what we build, our hiring process is intentionally human: every résumé is reviewed by a real person.
**Your Role**
 To support our growing team, we're looking for a
 **Senior Signal Processing Data Engineer** 
 to elevate our processes and technologies to the next level. If you are excited about designing and managing the complex signal processing data engineering pipelines, we'd love to hear from you!
 We have a rapidly growing corpus of driving data, encompassing tens of thousands of kilometers of real\-world driving on three continents, and a total data size of multiple petabytes. We add to that on a daily basis with data coming from our fleet of data collection vehicles. The Data team is responsible for indexing, processing, and categorizing all this data so that we make it frictionless to use it to test, train, and improve our driving models. Your responsibilities will focus on developing ETL data pipelines to guarantee data quality and to extract rich insights about the data that are available for downstream use. Some examples of data insights include categorizing driving behaviors, environments, and road user types. Our ETL pipelines are not your typical pipelines \- they are robotics tasks such as vehicle calibration, driving behavior analysis, and video understanding models.
 You will be based in our Berkeley site but join a Data Engineering team which is distributed between Berkeley and Europe. As the 6th member of the Data team and the 3rd in Berkeley, you will have a lot of visibility and responsibility within the team. This type of environment is perfect for someone who is comfortable managing multiple responsibilities simultaneously, enjoys interacting frequently with other engineers, and is opinionated about what to prioritize and how to build things.
**Key Responsibilities**
 ML Data Management:
* Maintain and grow a robust and reliable data lake in GCP for our proprietary training and evaluation data.
* Ensure robust data quality control with carefully designed algorithms.
* Grow our data lookup capabilities for data selection for labeling and model training.
* Own data quality algorithms and actively monitor data corruption in the datalake
**Support For ML Engineers**
* Serve as liaison to support Berkeley, Paris \&amp; German office ML engineers (Human annotation processing, data calibration, data upload issues)
**Setting And Maintaining Infrastructure Standards**
* Be a go\-to resource for solving infrastructure\-related challenges, fostering a culture of ownership and accountability in the team.
**What We Look For**
* 5\+ years in Data Science, MLOps or similar
* Strong algorithmic and optimization skills, especially in statistics and signal processing.
* Deep experience with cloud computing platforms (GCP or other), production\-grade database design/deployment and Cloud\-native ML workflow.
* Broad knowledge of data engineering and MLOps tools (Lambda, Kubernetes, Terraform).
* Proficiency with Python and SQL queries.
* A proactive approach to solving problems and willingness to take on new challenges as they arise.
* Somebody with solid opinions based on experience, yet open\-minded and flexible to find the best solution for the situation.
* Ability to work from the office in Berkeley at least from Tuesday to Thursday.
**Bonus Points**
* Prior experience in ADAS or sensor data processing pipelines (radar, lidar).
* Familiarity with Google BigQuery and related data visualization tools.
* Experience with production\-grade serverless batch/streaming applications.
* Hands\-on experience in the management of large datalakes (\&gt;1PB).
* NoSQL database design/deployment experience.
* A track record of excelling in ambiguous or evolving roles.
**What You Would Work On**
* When sorting through 1000s of hours of data, understanding what is in our training data is critical! Leveraging existing camera object detection models and automating data labeling is the logical next step, significantly reducing manual effort and streamlining the data pipeline. As the research requirements change, the camera model integration needs to seamlessly adjust as well.
* Sensors and vehicle calibrations can drift unexpectedly, which if undetected significantly harms the quality of results. We need to automatically identify calibration drifts and correct them before data is consumed, so that data users can have high trust in the quality of the data they work with.
* Enriching our ground truth data with KPIs designed by the Product and push them to production.
* Our signal processing pipelines are using hundreds/thousands of VM hours, the monitoring of their performance can be tricky, enhancing our tooling is essential to select the next candidate for cost optimisation.
**What We Offer**
* Opportunity to make an impact at a young, venture\-backed company in an emerging market
* Competitive salary ranging from $150,000 to $190,000 annually depending on experience
* Performance based Bonus
* Benefits including medical, dental, and vision insurance, flexible PTO, and equity
* Hybrid work model: in office 3 days per week from Tuesday to Thursday, the rest… work from wherever!
* Daily catered lunch and a stocked fridge (when working out of the Berkeley, CA office)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Zendar participates in E\-Verify*</t>
        </is>
      </c>
    </row>
    <row r="78">
      <c r="A78" t="inlineStr">
        <is>
          <t>li-4379270814</t>
        </is>
      </c>
      <c r="B78" t="inlineStr">
        <is>
          <t>ETL Data Engineer</t>
        </is>
      </c>
      <c r="C78" t="inlineStr">
        <is>
          <t>Deloitte</t>
        </is>
      </c>
      <c r="D78" t="inlineStr">
        <is>
          <t>linkedin</t>
        </is>
      </c>
      <c r="E78">
        <f>HYPERLINK("https://www.linkedin.com/jobs/view/4379270814", "https://www.linkedin.com/jobs/view/4379270814")</f>
        <v/>
      </c>
      <c r="F78">
        <f>HYPERLINK("https://ars2.equest.com/?response_id=8216a0fdc2b5b0c5cd5791701fafe415&amp;urlHash=opPf", "https://ars2.equest.com/?response_id=8216a0fdc2b5b0c5cd5791701fafe415&amp;urlHash=opPf")</f>
        <v/>
      </c>
      <c r="G78" t="inlineStr">
        <is>
          <t>Williamsville, NY</t>
        </is>
      </c>
      <c r="H78" t="inlineStr"/>
      <c r="I78" t="inlineStr">
        <is>
          <t>**Project Delivery ETL Data Engineer**
 Are you an experienced, passionate pioneer in technology who wants to work in a collaborative environment? As an experienced
 **ETL Data Engineer,** 
 you will have the ability to lead teams, share new ideas, and collaborate on projects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**Recruiting for this position will end 4/30/2026**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AI \&amp; Data offers a full spectrum of solutions for designing, developing, and operating cutting\-edge Data and AI platforms, products, insights, and services. Our offerings help clients innovate and enhance their data, AI, and analytics capabilities, ensuring they can mature and scale effectively.
**Required Qualifications**
* 6\+ years of end\-to\-end delivery of ETL driven product features, combining hands\-on with product strategy, stakeholder leadership, and team execution.
* 6\+ years of experience leading data architecture, optimizing performance, and mentoring.
* 6\+ years of working with AWS and Snowflake
* Deliver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$125,000\- $140,000\.
 You may also be eligible to participate in a discretionary annual incentive program, subject to the rules governing the program, whereby an award, if any, depends on various factors, including, without limitation, individual and organizational performance.</t>
        </is>
      </c>
    </row>
    <row r="79">
      <c r="A79" t="inlineStr">
        <is>
          <t>li-4379288239</t>
        </is>
      </c>
      <c r="B79" t="inlineStr">
        <is>
          <t>ETL Data Engineer</t>
        </is>
      </c>
      <c r="C79" t="inlineStr">
        <is>
          <t>Deloitte</t>
        </is>
      </c>
      <c r="D79" t="inlineStr">
        <is>
          <t>linkedin</t>
        </is>
      </c>
      <c r="E79">
        <f>HYPERLINK("https://www.linkedin.com/jobs/view/4379288239", "https://www.linkedin.com/jobs/view/4379288239")</f>
        <v/>
      </c>
      <c r="F79">
        <f>HYPERLINK("https://ars2.equest.com/?response_id=8216a0fdc2b5b0c5cd5791701fafe415&amp;urlHash=opPf", "https://ars2.equest.com/?response_id=8216a0fdc2b5b0c5cd5791701fafe415&amp;urlHash=opPf")</f>
        <v/>
      </c>
      <c r="G79" t="inlineStr">
        <is>
          <t>Westlake, TX</t>
        </is>
      </c>
      <c r="H79" t="inlineStr"/>
      <c r="I79" t="inlineStr">
        <is>
          <t>**Project Delivery ETL Data Engineer**
 Are you an experienced, passionate pioneer in technology who wants to work in a collaborative environment? As an experienced
 **ETL Data Engineer,** 
 you will have the ability to lead teams, share new ideas, and collaborate on projects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**Recruiting for this position will end 4/30/2026**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AI \&amp; Data offers a full spectrum of solutions for designing, developing, and operating cutting\-edge Data and AI platforms, products, insights, and services. Our offerings help clients innovate and enhance their data, AI, and analytics capabilities, ensuring they can mature and scale effectively.
**Required Qualifications**
* 6\+ years of end\-to\-end delivery of ETL driven product features, combining hands\-on with product strategy, stakeholder leadership, and team execution.
* 6\+ years of experience leading data architecture, optimizing performance, and mentoring.
* 6\+ years of working with AWS and Snowflake
* Deliver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$125,000\- $140,000\.
 You may also be eligible to participate in a discretionary annual incentive program, subject to the rules governing the program, whereby an award, if any, depends on various factors, including, without limitation, individual and organizational performance.</t>
        </is>
      </c>
    </row>
    <row r="80">
      <c r="A80" t="inlineStr">
        <is>
          <t>li-4379268852</t>
        </is>
      </c>
      <c r="B80" t="inlineStr">
        <is>
          <t>ETL Data Engineer</t>
        </is>
      </c>
      <c r="C80" t="inlineStr">
        <is>
          <t>Deloitte</t>
        </is>
      </c>
      <c r="D80" t="inlineStr">
        <is>
          <t>linkedin</t>
        </is>
      </c>
      <c r="E80">
        <f>HYPERLINK("https://www.linkedin.com/jobs/view/4379268852", "https://www.linkedin.com/jobs/view/4379268852")</f>
        <v/>
      </c>
      <c r="F80" t="inlineStr"/>
      <c r="G80" t="inlineStr">
        <is>
          <t>Monterey, CA</t>
        </is>
      </c>
      <c r="H80" t="inlineStr"/>
      <c r="I80" t="inlineStr">
        <is>
          <t>**Project Delivery ETL Data Engineer**
 Are you an experienced, passionate pioneer in technology who wants to work in a collaborative environment? As an experienced
 **ETL Data Engineer,** 
 you will have the ability to lead teams, share new ideas, and collaborate on projects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**Recruiting for this position will end 4/30/2026**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AI \&amp; Data offers a full spectrum of solutions for designing, developing, and operating cutting\-edge Data and AI platforms, products, insights, and services. Our offerings help clients innovate and enhance their data, AI, and analytics capabilities, ensuring they can mature and scale effectively.
**Required Qualifications**
* 6\+ years of end\-to\-end delivery of ETL driven product features, combining hands\-on with product strategy, stakeholder leadership, and team execution.
* 6\+ years of experience leading data architecture, optimizing performance, and mentoring.
* 6\+ years of working with AWS and Snowflake
* Deliver cutting\-edge value\-based care (VBC) contract financial simulation capabilities for a top national healthcare organization, driving measurable impact through rapid iteration and demo\-driven alignment.
* Bachelor's degree, preferably in Computer Science, Information Technology, Computer Engineering, or related IT discipline; or equivalent experience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$125,000\- $140,000\.
 You may also be eligible to participate in a discretionary annual incentive program, subject to the rules governing the program, whereby an award, if any, depends on various factors, including, without limitation, individual and organizational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2026-03-02T04:50:36Z</dcterms:created>
  <dcterms:modified xsi:type="dcterms:W3CDTF">2026-03-02T04:50:36Z</dcterms:modified>
</cp:coreProperties>
</file>