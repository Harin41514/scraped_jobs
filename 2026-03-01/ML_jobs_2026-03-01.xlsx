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48"/>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in-34c7d096965f6e29</t>
        </is>
      </c>
      <c r="B2" t="inlineStr">
        <is>
          <t>Sr. Applied Scientist, Amazon Ads</t>
        </is>
      </c>
      <c r="C2" t="inlineStr">
        <is>
          <t>Amazon.com</t>
        </is>
      </c>
      <c r="D2" t="inlineStr">
        <is>
          <t>indeed</t>
        </is>
      </c>
      <c r="E2" t="inlineStr"/>
      <c r="F2" t="inlineStr"/>
      <c r="G2" t="inlineStr">
        <is>
          <t>Boston, MA, US</t>
        </is>
      </c>
      <c r="H2" s="1" t="n">
        <v>45998</v>
      </c>
      <c r="I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
      <c r="A3" t="inlineStr">
        <is>
          <t>in-bdc0d52c1020a6f8</t>
        </is>
      </c>
      <c r="B3" t="inlineStr">
        <is>
          <t>Sr. Applied Scientist, Amazon Ads</t>
        </is>
      </c>
      <c r="C3" t="inlineStr">
        <is>
          <t>Amazon.com</t>
        </is>
      </c>
      <c r="D3" t="inlineStr">
        <is>
          <t>indeed</t>
        </is>
      </c>
      <c r="E3" t="inlineStr"/>
      <c r="F3" t="inlineStr"/>
      <c r="G3" t="inlineStr">
        <is>
          <t>New York, NY, US</t>
        </is>
      </c>
      <c r="H3" s="1" t="n">
        <v>45998</v>
      </c>
      <c r="I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
      <c r="A4" t="inlineStr">
        <is>
          <t>in-84a11a7ff69d9879</t>
        </is>
      </c>
      <c r="B4" t="inlineStr">
        <is>
          <t>Sr. Applied Scientist, Amazon Ads</t>
        </is>
      </c>
      <c r="C4" t="inlineStr">
        <is>
          <t>Amazon.com</t>
        </is>
      </c>
      <c r="D4" t="inlineStr">
        <is>
          <t>indeed</t>
        </is>
      </c>
      <c r="E4" t="inlineStr"/>
      <c r="F4" t="inlineStr"/>
      <c r="G4" t="inlineStr">
        <is>
          <t>Seattle, WA, US</t>
        </is>
      </c>
      <c r="H4" s="1" t="n">
        <v>45998</v>
      </c>
      <c r="I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
      <c r="A5" t="inlineStr">
        <is>
          <t>in-0e557637877e4141</t>
        </is>
      </c>
      <c r="B5" t="inlineStr">
        <is>
          <t>Sr. Applied Scientist, Amazon Ads</t>
        </is>
      </c>
      <c r="C5" t="inlineStr">
        <is>
          <t>Amazon.com</t>
        </is>
      </c>
      <c r="D5" t="inlineStr">
        <is>
          <t>indeed</t>
        </is>
      </c>
      <c r="E5" t="inlineStr"/>
      <c r="F5" t="inlineStr"/>
      <c r="G5" t="inlineStr">
        <is>
          <t>Santa Monica, CA, US</t>
        </is>
      </c>
      <c r="H5" s="1" t="n">
        <v>45998</v>
      </c>
      <c r="I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6">
      <c r="A6" t="inlineStr">
        <is>
          <t>in-0bd7e18b7a49d2b4</t>
        </is>
      </c>
      <c r="B6" t="inlineStr">
        <is>
          <t>Sr. Applied Scientist, Amazon Ads</t>
        </is>
      </c>
      <c r="C6" t="inlineStr">
        <is>
          <t>Amazon.com</t>
        </is>
      </c>
      <c r="D6" t="inlineStr">
        <is>
          <t>indeed</t>
        </is>
      </c>
      <c r="E6" t="inlineStr"/>
      <c r="F6" t="inlineStr"/>
      <c r="G6" t="inlineStr">
        <is>
          <t>Corvallis, OR, US</t>
        </is>
      </c>
      <c r="H6" s="1" t="n">
        <v>45998</v>
      </c>
      <c r="I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7">
      <c r="A7" t="inlineStr">
        <is>
          <t>in-7c5c20a9a4092dda</t>
        </is>
      </c>
      <c r="B7" t="inlineStr">
        <is>
          <t>Sr. Applied Scientist, Amazon Ads</t>
        </is>
      </c>
      <c r="C7" t="inlineStr">
        <is>
          <t>Amazon.com</t>
        </is>
      </c>
      <c r="D7" t="inlineStr">
        <is>
          <t>indeed</t>
        </is>
      </c>
      <c r="E7" t="inlineStr"/>
      <c r="F7" t="inlineStr"/>
      <c r="G7" t="inlineStr">
        <is>
          <t>Boulder, CO, US</t>
        </is>
      </c>
      <c r="H7" s="1" t="n">
        <v>45998</v>
      </c>
      <c r="I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
      <c r="A8" t="inlineStr">
        <is>
          <t>in-87aac3fd846419ef</t>
        </is>
      </c>
      <c r="B8" t="inlineStr">
        <is>
          <t>Sr. Applied Scientist, Amazon Ads</t>
        </is>
      </c>
      <c r="C8" t="inlineStr">
        <is>
          <t>Amazon.com</t>
        </is>
      </c>
      <c r="D8" t="inlineStr">
        <is>
          <t>indeed</t>
        </is>
      </c>
      <c r="E8" t="inlineStr"/>
      <c r="F8" t="inlineStr"/>
      <c r="G8" t="inlineStr">
        <is>
          <t>Tukwila, WA, US</t>
        </is>
      </c>
      <c r="H8" s="1" t="n">
        <v>45998</v>
      </c>
      <c r="I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9">
      <c r="A9" t="inlineStr">
        <is>
          <t>in-a509d50cc43e4944</t>
        </is>
      </c>
      <c r="B9" t="inlineStr">
        <is>
          <t>Sr. Applied Scientist, Amazon Ads</t>
        </is>
      </c>
      <c r="C9" t="inlineStr">
        <is>
          <t>Amazon.com</t>
        </is>
      </c>
      <c r="D9" t="inlineStr">
        <is>
          <t>indeed</t>
        </is>
      </c>
      <c r="E9" t="inlineStr"/>
      <c r="F9" t="inlineStr"/>
      <c r="G9" t="inlineStr">
        <is>
          <t>Brooklyn, NY, US</t>
        </is>
      </c>
      <c r="H9" s="1" t="n">
        <v>45998</v>
      </c>
      <c r="I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0">
      <c r="A10" t="inlineStr">
        <is>
          <t>in-3931c9ed71789165</t>
        </is>
      </c>
      <c r="B10" t="inlineStr">
        <is>
          <t>Sr. Applied Scientist, Amazon Ads</t>
        </is>
      </c>
      <c r="C10" t="inlineStr">
        <is>
          <t>Amazon.com</t>
        </is>
      </c>
      <c r="D10" t="inlineStr">
        <is>
          <t>indeed</t>
        </is>
      </c>
      <c r="E10" t="inlineStr"/>
      <c r="F10" t="inlineStr"/>
      <c r="G10" t="inlineStr">
        <is>
          <t>Sunnyvale, CA, US</t>
        </is>
      </c>
      <c r="H10" s="1" t="n">
        <v>45998</v>
      </c>
      <c r="I1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1">
      <c r="A11" t="inlineStr">
        <is>
          <t>in-3eec221c52b76152</t>
        </is>
      </c>
      <c r="B11" t="inlineStr">
        <is>
          <t>Sr. Applied Scientist, Amazon Ads</t>
        </is>
      </c>
      <c r="C11" t="inlineStr">
        <is>
          <t>Amazon.com</t>
        </is>
      </c>
      <c r="D11" t="inlineStr">
        <is>
          <t>indeed</t>
        </is>
      </c>
      <c r="E11" t="inlineStr"/>
      <c r="F11" t="inlineStr"/>
      <c r="G11" t="inlineStr">
        <is>
          <t>Palo Alto, CA, US</t>
        </is>
      </c>
      <c r="H11" s="1" t="n">
        <v>45998</v>
      </c>
      <c r="I1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2">
      <c r="A12" t="inlineStr">
        <is>
          <t>in-0f1d5330ab63f91e</t>
        </is>
      </c>
      <c r="B12" t="inlineStr">
        <is>
          <t>Senior Applied Scientist, Sponsored Products and Brands</t>
        </is>
      </c>
      <c r="C12" t="inlineStr">
        <is>
          <t>Amazon.com</t>
        </is>
      </c>
      <c r="D12" t="inlineStr">
        <is>
          <t>indeed</t>
        </is>
      </c>
      <c r="E12" t="inlineStr"/>
      <c r="F12" t="inlineStr"/>
      <c r="G12" t="inlineStr">
        <is>
          <t>New York, NY, US</t>
        </is>
      </c>
      <c r="H12" s="1" t="n">
        <v>45979</v>
      </c>
      <c r="I12"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13">
      <c r="A13" t="inlineStr">
        <is>
          <t>in-9f06a8d04453a218</t>
        </is>
      </c>
      <c r="B13" t="inlineStr">
        <is>
          <t>Senior Applied Scientist, Sponsored Products and Brands</t>
        </is>
      </c>
      <c r="C13" t="inlineStr">
        <is>
          <t>Amazon.com</t>
        </is>
      </c>
      <c r="D13" t="inlineStr">
        <is>
          <t>indeed</t>
        </is>
      </c>
      <c r="E13" t="inlineStr"/>
      <c r="F13" t="inlineStr"/>
      <c r="G13" t="inlineStr">
        <is>
          <t>Seattle, WA, US</t>
        </is>
      </c>
      <c r="H13" s="1" t="n">
        <v>45979</v>
      </c>
      <c r="I13"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14">
      <c r="A14" t="inlineStr">
        <is>
          <t>in-ac85ca54ff0c416f</t>
        </is>
      </c>
      <c r="B14" t="inlineStr">
        <is>
          <t>Applied Scientist II, Prime Video - Personalization and Discovery Science, Personalization and Discovery Science</t>
        </is>
      </c>
      <c r="C14" t="inlineStr">
        <is>
          <t>Amazon.com</t>
        </is>
      </c>
      <c r="D14" t="inlineStr">
        <is>
          <t>indeed</t>
        </is>
      </c>
      <c r="E14" t="inlineStr"/>
      <c r="F14" t="inlineStr"/>
      <c r="G14" t="inlineStr">
        <is>
          <t>Seattle, WA, US</t>
        </is>
      </c>
      <c r="H14" s="1" t="n">
        <v>45930</v>
      </c>
      <c r="I1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in-022c63a414746ce1</t>
        </is>
      </c>
      <c r="B15" t="inlineStr">
        <is>
          <t>Applied Scientist II, Prime Video - Personalization and Discovery Science, Personalization and Discovery Science</t>
        </is>
      </c>
      <c r="C15" t="inlineStr">
        <is>
          <t>Amazon.com</t>
        </is>
      </c>
      <c r="D15" t="inlineStr">
        <is>
          <t>indeed</t>
        </is>
      </c>
      <c r="E15" t="inlineStr"/>
      <c r="F15" t="inlineStr"/>
      <c r="G15" t="inlineStr">
        <is>
          <t>New York, NY, US</t>
        </is>
      </c>
      <c r="H15" s="1" t="n">
        <v>45930</v>
      </c>
      <c r="I1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in-82eae9ad93f38404</t>
        </is>
      </c>
      <c r="B16" t="inlineStr">
        <is>
          <t>Applied Scientist II, Prime Video - Personalization and Discovery Science, Personalization and Discovery Science</t>
        </is>
      </c>
      <c r="C16" t="inlineStr">
        <is>
          <t>Amazon.com</t>
        </is>
      </c>
      <c r="D16" t="inlineStr">
        <is>
          <t>indeed</t>
        </is>
      </c>
      <c r="E16" t="inlineStr"/>
      <c r="F16" t="inlineStr"/>
      <c r="G16" t="inlineStr">
        <is>
          <t>Sunnyvale, CA, US</t>
        </is>
      </c>
      <c r="H16" s="1" t="n">
        <v>45930</v>
      </c>
      <c r="I1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in-058689801f51ac73</t>
        </is>
      </c>
      <c r="B17" t="inlineStr">
        <is>
          <t>Sr. Applied Scientist, Prime Video - Personalization and Discovery Science</t>
        </is>
      </c>
      <c r="C17" t="inlineStr">
        <is>
          <t>Amazon.com</t>
        </is>
      </c>
      <c r="D17" t="inlineStr">
        <is>
          <t>indeed</t>
        </is>
      </c>
      <c r="E17" t="inlineStr"/>
      <c r="F17" t="inlineStr"/>
      <c r="G17" t="inlineStr">
        <is>
          <t>Seattle, WA, US</t>
        </is>
      </c>
      <c r="H17" s="1" t="n">
        <v>45881</v>
      </c>
      <c r="I1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in-616c3861c3eb67ae</t>
        </is>
      </c>
      <c r="B18" t="inlineStr">
        <is>
          <t>Applied Scientist II, Prime Video - Personalization and Discovery Science</t>
        </is>
      </c>
      <c r="C18" t="inlineStr">
        <is>
          <t>Amazon.com</t>
        </is>
      </c>
      <c r="D18" t="inlineStr">
        <is>
          <t>indeed</t>
        </is>
      </c>
      <c r="E18" t="inlineStr"/>
      <c r="F18" t="inlineStr"/>
      <c r="G18" t="inlineStr">
        <is>
          <t>Sunnyvale, CA, US</t>
        </is>
      </c>
      <c r="H18" s="1" t="n">
        <v>45881</v>
      </c>
      <c r="I1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in-4bcc4c7c45eb394f</t>
        </is>
      </c>
      <c r="B19" t="inlineStr">
        <is>
          <t>Sr. Applied Scientist, Prime Video - Personalization and Discovery Science</t>
        </is>
      </c>
      <c r="C19" t="inlineStr">
        <is>
          <t>Amazon.com</t>
        </is>
      </c>
      <c r="D19" t="inlineStr">
        <is>
          <t>indeed</t>
        </is>
      </c>
      <c r="E19" t="inlineStr"/>
      <c r="F19" t="inlineStr"/>
      <c r="G19" t="inlineStr">
        <is>
          <t>Sunnyvale, CA, US</t>
        </is>
      </c>
      <c r="H19" s="1" t="n">
        <v>45881</v>
      </c>
      <c r="I1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in-d421ee440214924f</t>
        </is>
      </c>
      <c r="B20" t="inlineStr">
        <is>
          <t>Applied Scientist II, Prime Video - Personalization and Discovery Science</t>
        </is>
      </c>
      <c r="C20" t="inlineStr">
        <is>
          <t>Amazon.com</t>
        </is>
      </c>
      <c r="D20" t="inlineStr">
        <is>
          <t>indeed</t>
        </is>
      </c>
      <c r="E20" t="inlineStr"/>
      <c r="F20" t="inlineStr"/>
      <c r="G20" t="inlineStr">
        <is>
          <t>New York, NY, US</t>
        </is>
      </c>
      <c r="H20" s="1" t="n">
        <v>45881</v>
      </c>
      <c r="I2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in-cc75f2e39cf722c7</t>
        </is>
      </c>
      <c r="B21" t="inlineStr">
        <is>
          <t>Sr. Applied Scientist, Prime Video - Personalization and Discovery Science</t>
        </is>
      </c>
      <c r="C21" t="inlineStr">
        <is>
          <t>Amazon.com</t>
        </is>
      </c>
      <c r="D21" t="inlineStr">
        <is>
          <t>indeed</t>
        </is>
      </c>
      <c r="E21" t="inlineStr"/>
      <c r="F21" t="inlineStr"/>
      <c r="G21" t="inlineStr">
        <is>
          <t>New York, NY, US</t>
        </is>
      </c>
      <c r="H21" s="1" t="n">
        <v>45881</v>
      </c>
      <c r="I2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in-75f7ce8808bbce23</t>
        </is>
      </c>
      <c r="B22" t="inlineStr">
        <is>
          <t>Applied Scientist II, Prime Video - Personalization and Discovery Science</t>
        </is>
      </c>
      <c r="C22" t="inlineStr">
        <is>
          <t>Amazon.com</t>
        </is>
      </c>
      <c r="D22" t="inlineStr">
        <is>
          <t>indeed</t>
        </is>
      </c>
      <c r="E22" t="inlineStr"/>
      <c r="F22" t="inlineStr"/>
      <c r="G22" t="inlineStr">
        <is>
          <t>Seattle, WA, US</t>
        </is>
      </c>
      <c r="H22" s="1" t="n">
        <v>45881</v>
      </c>
      <c r="I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in-8ceb61d6f43ad274</t>
        </is>
      </c>
      <c r="B23" t="inlineStr">
        <is>
          <t>Principal Applied Scientist, AWS Marketplace &amp; Partner Services</t>
        </is>
      </c>
      <c r="C23" t="inlineStr">
        <is>
          <t>Amazon Web Services</t>
        </is>
      </c>
      <c r="D23" t="inlineStr">
        <is>
          <t>indeed</t>
        </is>
      </c>
      <c r="E23" t="inlineStr"/>
      <c r="F23" t="inlineStr"/>
      <c r="G23" t="inlineStr">
        <is>
          <t>Austin, TX, US</t>
        </is>
      </c>
      <c r="H23" s="1" t="n">
        <v>46056</v>
      </c>
      <c r="I23" t="inlineStr">
        <is>
          <t>**DESCRIPTION**
---------------
The AWS Marketplace \&amp; Partner Services (AMPS) Science team is at the forefront of driving AWS's AI\-powered growth through developing and evaluating the next generation search, recommendations, and agentic systems. As a Principal Applied Scientist on our team, you'll own the technical strategy and execution for our most ambitious AI\-driven initiatives that directly accelerate AWS revenue growth through both customer discovery experiences and partner co\-selling capabilities.
Your work will establish Marketplace as customers' primary solution discovery and transaction platform while simultaneously transforming how AWS partners scale their business through insights and agentic workflow automation.  
You will be a trusted technical leader who tackles intrinsically complex scientific problems by leveraging deep expertise in information retrieval, recommendation systems, LLMs, and agentic systems. You'll innovate and set the standard for scientific excellence, making decisions that affect how products are built and integrated across AMPS. You'll align teams toward coherent strategies, guide peers in adopting the latest scientific trends, and force\-multiply by decomposing hard problems and executing through collaboration.  
Key job responsibilities  
* Define direction for next\-generation recommendation systems, including deep personalization, agentic architecture, and primitives that integrate customer usage patterns, infrastructure requirements, and business objectives to deliver personalized, outcome\-oriented guidance
* Lead information retrieval innovations, multi\-objective ranking, and reasoning over heterogeneous solution types
* Architect, implement, and design agentic AI systems that orchestrate complex workflows
* Bridge theoretical innovations with practical solutions, making critical judgments to select the best technical approaches for both short and long\-term objectives
* Mentor and guide applied scientists, holding the team to high standards of technical rigor and scientific excellence
* Contribute to the broader scientific community through patents, publications at conferences, and engagement with academic partners
About the team  
The AWS Marketplace \&amp; Partner Services Science team is at the forefront of developing and deploying AI/ML systems that serve multiple critical stakeholders:  
* AWS Customers: Through the AWS Marketplace, we support discovery experiences that streamline cloud adoption and innovation.
* AWS Partners: Via Partner Central, we offer advanced tools and insights to enhance collaboration and drive mutual growth.
* Internal AWS Sellers: We equip our sales teams with data\-driven recommendations to better serve our customers and partners.
**BASIC QUALIFICATIONS**
------------------------
* 5\+ years of practical work applying ML to solve complex problems experience
* Experience working in predictive modeling and analysis
* Experience programming in Java, C\+\+, Python or related language
* Experience in several of the following areas: machine learning, statistics, deep learning, natural language processing, or information retrieval
**PREFERRED QUALIFICATIONS**
----------------------------
* 10\+ years of relevant work in industry or academia experience
* Experience with leading experienced scientists as well as having a record of developing junior members from academia or industry to a career track in a business environment
* Experience creating novel algorithms and advancing the state of the art
* Have peer\-reviewed scientific contributions in premier journals and conferences
* PhD in Electrical Engineering, Computer Science, Mathematics, or a related technical field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\- 198,900\.00 \- 269,000\.00 USD annually  
USA, NY, New York \- 218,800\.00 \- 295,900\.00 USD annually  
USA, TX, Austin \- 198,900\.00 \- 269,000\.00 USD annually  
USA, WA, Seattle \- 198,900\.00 \- 269,000\.00 USD annually</t>
        </is>
      </c>
    </row>
    <row r="24">
      <c r="A24" t="inlineStr">
        <is>
          <t>in-a5760f7d8451fcf8</t>
        </is>
      </c>
      <c r="B24" t="inlineStr">
        <is>
          <t>Principal Applied Scientist, AWS Marketplace &amp; Partner Services</t>
        </is>
      </c>
      <c r="C24" t="inlineStr">
        <is>
          <t>Amazon Web Services</t>
        </is>
      </c>
      <c r="D24" t="inlineStr">
        <is>
          <t>indeed</t>
        </is>
      </c>
      <c r="E24" t="inlineStr"/>
      <c r="F24" t="inlineStr"/>
      <c r="G24" t="inlineStr">
        <is>
          <t>Seattle, WA, US</t>
        </is>
      </c>
      <c r="H24" s="1" t="n">
        <v>46056</v>
      </c>
      <c r="I24" t="inlineStr">
        <is>
          <t>**DESCRIPTION**
---------------
The AWS Marketplace \&amp; Partner Services (AMPS) Science team is at the forefront of driving AWS's AI\-powered growth through developing and evaluating the next generation search, recommendations, and agentic systems. As a Principal Applied Scientist on our team, you'll own the technical strategy and execution for our most ambitious AI\-driven initiatives that directly accelerate AWS revenue growth through both customer discovery experiences and partner co\-selling capabilities.
Your work will establish Marketplace as customers' primary solution discovery and transaction platform while simultaneously transforming how AWS partners scale their business through insights and agentic workflow automation.  
You will be a trusted technical leader who tackles intrinsically complex scientific problems by leveraging deep expertise in information retrieval, recommendation systems, LLMs, and agentic systems. You'll innovate and set the standard for scientific excellence, making decisions that affect how products are built and integrated across AMPS. You'll align teams toward coherent strategies, guide peers in adopting the latest scientific trends, and force\-multiply by decomposing hard problems and executing through collaboration.  
Key job responsibilities  
* Define direction for next\-generation recommendation systems, including deep personalization, agentic architecture, and primitives that integrate customer usage patterns, infrastructure requirements, and business objectives to deliver personalized, outcome\-oriented guidance
* Lead information retrieval innovations, multi\-objective ranking, and reasoning over heterogeneous solution types
* Architect, implement, and design agentic AI systems that orchestrate complex workflows
* Bridge theoretical innovations with practical solutions, making critical judgments to select the best technical approaches for both short and long\-term objectives
* Mentor and guide applied scientists, holding the team to high standards of technical rigor and scientific excellence
* Contribute to the broader scientific community through patents, publications at conferences, and engagement with academic partners
About the team  
The AWS Marketplace \&amp; Partner Services Science team is at the forefront of developing and deploying AI/ML systems that serve multiple critical stakeholders:  
* AWS Customers: Through the AWS Marketplace, we support discovery experiences that streamline cloud adoption and innovation.
* AWS Partners: Via Partner Central, we offer advanced tools and insights to enhance collaboration and drive mutual growth.
* Internal AWS Sellers: We equip our sales teams with data\-driven recommendations to better serve our customers and partners.
**BASIC QUALIFICATIONS**
------------------------
* 5\+ years of practical work applying ML to solve complex problems experience
* Experience working in predictive modeling and analysis
* Experience programming in Java, C\+\+, Python or related language
* Experience in several of the following areas: machine learning, statistics, deep learning, natural language processing, or information retrieval
**PREFERRED QUALIFICATIONS**
----------------------------
* 10\+ years of relevant work in industry or academia experience
* Experience with leading experienced scientists as well as having a record of developing junior members from academia or industry to a career track in a business environment
* Experience creating novel algorithms and advancing the state of the art
* Have peer\-reviewed scientific contributions in premier journals and conferences
* PhD in Electrical Engineering, Computer Science, Mathematics, or a related technical field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\- 198,900\.00 \- 269,000\.00 USD annually  
USA, NY, New York \- 218,800\.00 \- 295,900\.00 USD annually  
USA, TX, Austin \- 198,900\.00 \- 269,000\.00 USD annually  
USA, WA, Seattle \- 198,900\.00 \- 269,000\.00 USD annually</t>
        </is>
      </c>
    </row>
    <row r="25">
      <c r="A25" t="inlineStr">
        <is>
          <t>in-b70a64e77dd2121d</t>
        </is>
      </c>
      <c r="B25" t="inlineStr">
        <is>
          <t>Principal Applied Scientist, AWS Marketplace &amp; Partner Services</t>
        </is>
      </c>
      <c r="C25" t="inlineStr">
        <is>
          <t>Amazon Web Services</t>
        </is>
      </c>
      <c r="D25" t="inlineStr">
        <is>
          <t>indeed</t>
        </is>
      </c>
      <c r="E25" t="inlineStr"/>
      <c r="F25" t="inlineStr"/>
      <c r="G25" t="inlineStr">
        <is>
          <t>New York, NY, US</t>
        </is>
      </c>
      <c r="H25" s="1" t="n">
        <v>46056</v>
      </c>
      <c r="I25" t="inlineStr">
        <is>
          <t>**DESCRIPTION**
---------------
The AWS Marketplace \&amp; Partner Services (AMPS) Science team is at the forefront of driving AWS's AI\-powered growth through developing and evaluating the next generation search, recommendations, and agentic systems. As a Principal Applied Scientist on our team, you'll own the technical strategy and execution for our most ambitious AI\-driven initiatives that directly accelerate AWS revenue growth through both customer discovery experiences and partner co\-selling capabilities.
Your work will establish Marketplace as customers' primary solution discovery and transaction platform while simultaneously transforming how AWS partners scale their business through insights and agentic workflow automation.  
You will be a trusted technical leader who tackles intrinsically complex scientific problems by leveraging deep expertise in information retrieval, recommendation systems, LLMs, and agentic systems. You'll innovate and set the standard for scientific excellence, making decisions that affect how products are built and integrated across AMPS. You'll align teams toward coherent strategies, guide peers in adopting the latest scientific trends, and force\-multiply by decomposing hard problems and executing through collaboration.  
Key job responsibilities  
* Define direction for next\-generation recommendation systems, including deep personalization, agentic architecture, and primitives that integrate customer usage patterns, infrastructure requirements, and business objectives to deliver personalized, outcome\-oriented guidance
* Lead information retrieval innovations, multi\-objective ranking, and reasoning over heterogeneous solution types
* Architect, implement, and design agentic AI systems that orchestrate complex workflows
* Bridge theoretical innovations with practical solutions, making critical judgments to select the best technical approaches for both short and long\-term objectives
* Mentor and guide applied scientists, holding the team to high standards of technical rigor and scientific excellence
* Contribute to the broader scientific community through patents, publications at conferences, and engagement with academic partners
About the team  
The AWS Marketplace \&amp; Partner Services Science team is at the forefront of developing and deploying AI/ML systems that serve multiple critical stakeholders:  
* AWS Customers: Through the AWS Marketplace, we support discovery experiences that streamline cloud adoption and innovation.
* AWS Partners: Via Partner Central, we offer advanced tools and insights to enhance collaboration and drive mutual growth.
* Internal AWS Sellers: We equip our sales teams with data\-driven recommendations to better serve our customers and partners.
**BASIC QUALIFICATIONS**
------------------------
* 5\+ years of practical work applying ML to solve complex problems experience
* Experience working in predictive modeling and analysis
* Experience programming in Java, C\+\+, Python or related language
* Experience in several of the following areas: machine learning, statistics, deep learning, natural language processing, or information retrieval
**PREFERRED QUALIFICATIONS**
----------------------------
* 10\+ years of relevant work in industry or academia experience
* Experience with leading experienced scientists as well as having a record of developing junior members from academia or industry to a career track in a business environment
* Experience creating novel algorithms and advancing the state of the art
* Have peer\-reviewed scientific contributions in premier journals and conferences
* PhD in Electrical Engineering, Computer Science, Mathematics, or a related technical field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\- 198,900\.00 \- 269,000\.00 USD annually  
USA, NY, New York \- 218,800\.00 \- 295,900\.00 USD annually  
USA, TX, Austin \- 198,900\.00 \- 269,000\.00 USD annually  
USA, WA, Seattle \- 198,900\.00 \- 269,000\.00 USD annually</t>
        </is>
      </c>
    </row>
    <row r="26">
      <c r="A26" t="inlineStr">
        <is>
          <t>in-3be0d39a9a603d98</t>
        </is>
      </c>
      <c r="B26" t="inlineStr">
        <is>
          <t>Principal Applied Scientist, AWS Marketplace &amp; Partner Services</t>
        </is>
      </c>
      <c r="C26" t="inlineStr">
        <is>
          <t>Amazon Web Services</t>
        </is>
      </c>
      <c r="D26" t="inlineStr">
        <is>
          <t>indeed</t>
        </is>
      </c>
      <c r="E26" t="inlineStr"/>
      <c r="F26" t="inlineStr"/>
      <c r="G26" t="inlineStr">
        <is>
          <t>San Diego, CA, US</t>
        </is>
      </c>
      <c r="H26" s="1" t="n">
        <v>46056</v>
      </c>
      <c r="I26" t="inlineStr">
        <is>
          <t>**DESCRIPTION**
---------------
The AWS Marketplace \&amp; Partner Services (AMPS) Science team is at the forefront of driving AWS's AI\-powered growth through developing and evaluating the next generation search, recommendations, and agentic systems. As a Principal Applied Scientist on our team, you'll own the technical strategy and execution for our most ambitious AI\-driven initiatives that directly accelerate AWS revenue growth through both customer discovery experiences and partner co\-selling capabilities.
Your work will establish Marketplace as customers' primary solution discovery and transaction platform while simultaneously transforming how AWS partners scale their business through insights and agentic workflow automation.  
You will be a trusted technical leader who tackles intrinsically complex scientific problems by leveraging deep expertise in information retrieval, recommendation systems, LLMs, and agentic systems. You'll innovate and set the standard for scientific excellence, making decisions that affect how products are built and integrated across AMPS. You'll align teams toward coherent strategies, guide peers in adopting the latest scientific trends, and force\-multiply by decomposing hard problems and executing through collaboration.  
Key job responsibilities  
* Define direction for next\-generation recommendation systems, including deep personalization, agentic architecture, and primitives that integrate customer usage patterns, infrastructure requirements, and business objectives to deliver personalized, outcome\-oriented guidance
* Lead information retrieval innovations, multi\-objective ranking, and reasoning over heterogeneous solution types
* Architect, implement, and design agentic AI systems that orchestrate complex workflows
* Bridge theoretical innovations with practical solutions, making critical judgments to select the best technical approaches for both short and long\-term objectives
* Mentor and guide applied scientists, holding the team to high standards of technical rigor and scientific excellence
* Contribute to the broader scientific community through patents, publications at conferences, and engagement with academic partners
About the team  
The AWS Marketplace \&amp; Partner Services Science team is at the forefront of developing and deploying AI/ML systems that serve multiple critical stakeholders:  
* AWS Customers: Through the AWS Marketplace, we support discovery experiences that streamline cloud adoption and innovation.
* AWS Partners: Via Partner Central, we offer advanced tools and insights to enhance collaboration and drive mutual growth.
* Internal AWS Sellers: We equip our sales teams with data\-driven recommendations to better serve our customers and partners.
**BASIC QUALIFICATIONS**
------------------------
* 5\+ years of practical work applying ML to solve complex problems experience
* Experience working in predictive modeling and analysis
* Experience programming in Java, C\+\+, Python or related language
* Experience in several of the following areas: machine learning, statistics, deep learning, natural language processing, or information retrieval
**PREFERRED QUALIFICATIONS**
----------------------------
* 10\+ years of relevant work in industry or academia experience
* Experience with leading experienced scientists as well as having a record of developing junior members from academia or industry to a career track in a business environment
* Experience creating novel algorithms and advancing the state of the art
* Have peer\-reviewed scientific contributions in premier journals and conferences
* PhD in Electrical Engineering, Computer Science, Mathematics, or a related technical field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\- 198,900\.00 \- 269,000\.00 USD annually  
USA, NY, New York \- 218,800\.00 \- 295,900\.00 USD annually  
USA, TX, Austin \- 198,900\.00 \- 269,000\.00 USD annually  
USA, WA, Seattle \- 198,900\.00 \- 269,000\.00 USD annually</t>
        </is>
      </c>
    </row>
    <row r="27">
      <c r="A27" t="inlineStr">
        <is>
          <t>in-c87adce59340be21</t>
        </is>
      </c>
      <c r="B27" t="inlineStr">
        <is>
          <t>Sr. Applied Scientist, AWS Healthcare-AI</t>
        </is>
      </c>
      <c r="C27" t="inlineStr">
        <is>
          <t>Amazon.com</t>
        </is>
      </c>
      <c r="D27" t="inlineStr">
        <is>
          <t>indeed</t>
        </is>
      </c>
      <c r="E27" t="inlineStr"/>
      <c r="F27" t="inlineStr"/>
      <c r="G27" t="inlineStr">
        <is>
          <t>Mountain View, CA, US</t>
        </is>
      </c>
      <c r="H27" s="1" t="n">
        <v>46055</v>
      </c>
      <c r="I27" t="inlineStr">
        <is>
          <t>**DESCRIPTION**
---------------
At AWS Healthcare AI, we're revolutionizing healthcare delivery through AI solutions that serve millions globally. As a pioneer in healthcare technology, we're building next\-generation services that combine Amazon's world\-class AI infrastructure with deep healthcare expertise. Our mission is to accelerate our healthcare businesses by delivering intuitive and differentiated technology solutions that solve enduring business challenges. The AWS Healthcare AI organization includes services such as HealthScribe, Comprehend Medical, HealthLake, and more.  
We're seeking a Senior Applied Scientist to join our team working on our AI driven clinical solutions that are transforming how clinicians interact with patients and document care.  
Key Job Responsibilities
To be successful in this mission, we are seeking an experienced Applied Scientist to lead pioneering research and development of new, highly confidential AI applications that re\-imagine experiences for end\-customers (e.g., consumers, patients), frontline workers (e.g., customer service agents, clinicians), and back\-office staff (e.g., claims processing, medical coding). As a leading subject matter expert in NLU, deep learning, knowledge representation, foundation models, and reinforcement learning, you will guide a team of scientists to invent novel, generative AI\-powered experiences. This role involves defining research directions, developing new ML techniques, conducting rigorous experiments, and ensuring research translates to impactful products. You will be a hands\-on technical innovator who is passionate about building scalable scientific solutions. You will set the standard for excellence, invent scalable, scientifically sound solutions across teams, define evaluation methods, and lead complex reviews. This role wields significant influence across AWS, Amazon, and the global research community.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Mountain View \- 192,200\.00 \- 260,000\.00 USD annually  
USA, WA, Seattle \- 167,100\.00 \- 226,100\.00 USD annually</t>
        </is>
      </c>
    </row>
    <row r="28">
      <c r="A28" t="inlineStr">
        <is>
          <t>in-10f74be67f0de08d</t>
        </is>
      </c>
      <c r="B28" t="inlineStr">
        <is>
          <t>Sr. Applied Scientist, AWS Healthcare-AI</t>
        </is>
      </c>
      <c r="C28" t="inlineStr">
        <is>
          <t>Amazon.com</t>
        </is>
      </c>
      <c r="D28" t="inlineStr">
        <is>
          <t>indeed</t>
        </is>
      </c>
      <c r="E28" t="inlineStr"/>
      <c r="F28" t="inlineStr"/>
      <c r="G28" t="inlineStr">
        <is>
          <t>Seattle, WA, US</t>
        </is>
      </c>
      <c r="H28" s="1" t="n">
        <v>46055</v>
      </c>
      <c r="I28" t="inlineStr">
        <is>
          <t>**DESCRIPTION**
---------------
At AWS Healthcare AI, we're revolutionizing healthcare delivery through AI solutions that serve millions globally. As a pioneer in healthcare technology, we're building next\-generation services that combine Amazon's world\-class AI infrastructure with deep healthcare expertise. Our mission is to accelerate our healthcare businesses by delivering intuitive and differentiated technology solutions that solve enduring business challenges. The AWS Healthcare AI organization includes services such as HealthScribe, Comprehend Medical, HealthLake, and more.  
We're seeking a Senior Applied Scientist to join our team working on our AI driven clinical solutions that are transforming how clinicians interact with patients and document care.  
Key Job Responsibilities
To be successful in this mission, we are seeking an experienced Applied Scientist to lead pioneering research and development of new, highly confidential AI applications that re\-imagine experiences for end\-customers (e.g., consumers, patients), frontline workers (e.g., customer service agents, clinicians), and back\-office staff (e.g., claims processing, medical coding). As a leading subject matter expert in NLU, deep learning, knowledge representation, foundation models, and reinforcement learning, you will guide a team of scientists to invent novel, generative AI\-powered experiences. This role involves defining research directions, developing new ML techniques, conducting rigorous experiments, and ensuring research translates to impactful products. You will be a hands\-on technical innovator who is passionate about building scalable scientific solutions. You will set the standard for excellence, invent scalable, scientifically sound solutions across teams, define evaluation methods, and lead complex reviews. This role wields significant influence across AWS, Amazon, and the global research community.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Mountain View \- 192,200\.00 \- 260,000\.00 USD annually  
USA, WA, Seattle \- 167,100\.00 \- 226,100\.00 USD annually</t>
        </is>
      </c>
    </row>
    <row r="29">
      <c r="A29" t="inlineStr">
        <is>
          <t>in-036e7ef99d98d4c4</t>
        </is>
      </c>
      <c r="B29" t="inlineStr">
        <is>
          <t>Applied Scientist (Contract), Artificial General Intelligence</t>
        </is>
      </c>
      <c r="C29" t="inlineStr">
        <is>
          <t>Amazon.com</t>
        </is>
      </c>
      <c r="D29" t="inlineStr">
        <is>
          <t>indeed</t>
        </is>
      </c>
      <c r="E29" t="inlineStr"/>
      <c r="F29" t="inlineStr"/>
      <c r="G29" t="inlineStr">
        <is>
          <t>Bellevue, WA, US</t>
        </is>
      </c>
      <c r="H29" s="1" t="n">
        <v>46055</v>
      </c>
      <c r="I29"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30">
      <c r="A30" t="inlineStr">
        <is>
          <t>in-59855c65f9a76419</t>
        </is>
      </c>
      <c r="B30" t="inlineStr">
        <is>
          <t>Applied Scientist (Contract), Artificial General Intelligence</t>
        </is>
      </c>
      <c r="C30" t="inlineStr">
        <is>
          <t>Amazon.com</t>
        </is>
      </c>
      <c r="D30" t="inlineStr">
        <is>
          <t>indeed</t>
        </is>
      </c>
      <c r="E30" t="inlineStr"/>
      <c r="F30" t="inlineStr"/>
      <c r="G30" t="inlineStr">
        <is>
          <t>Boston, MA, US</t>
        </is>
      </c>
      <c r="H30" s="1" t="n">
        <v>46055</v>
      </c>
      <c r="I30"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31">
      <c r="A31" t="inlineStr">
        <is>
          <t>in-975ba35e81abc8f6</t>
        </is>
      </c>
      <c r="B31" t="inlineStr">
        <is>
          <t>Applied Scientist (Contract), Artificial General Intelligence</t>
        </is>
      </c>
      <c r="C31" t="inlineStr">
        <is>
          <t>Amazon.com</t>
        </is>
      </c>
      <c r="D31" t="inlineStr">
        <is>
          <t>indeed</t>
        </is>
      </c>
      <c r="E31" t="inlineStr"/>
      <c r="F31" t="inlineStr"/>
      <c r="G31" t="inlineStr">
        <is>
          <t>Boston, MA, US</t>
        </is>
      </c>
      <c r="H31" s="1" t="n">
        <v>46055</v>
      </c>
      <c r="I31"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32">
      <c r="A32" t="inlineStr">
        <is>
          <t>in-368fd4187694b176</t>
        </is>
      </c>
      <c r="B32" t="inlineStr">
        <is>
          <t>Applied Scientist (Contract), Artificial General Intelligence</t>
        </is>
      </c>
      <c r="C32" t="inlineStr">
        <is>
          <t>Amazon.com</t>
        </is>
      </c>
      <c r="D32" t="inlineStr">
        <is>
          <t>indeed</t>
        </is>
      </c>
      <c r="E32" t="inlineStr"/>
      <c r="F32" t="inlineStr"/>
      <c r="G32" t="inlineStr">
        <is>
          <t>Bellevue, WA, US</t>
        </is>
      </c>
      <c r="H32" s="1" t="n">
        <v>46055</v>
      </c>
      <c r="I32"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33">
      <c r="A33" t="inlineStr">
        <is>
          <t>in-661f0d33d92cfa1c</t>
        </is>
      </c>
      <c r="B33" t="inlineStr">
        <is>
          <t>Applied Scientist (Contract), Artificial General Intelligence</t>
        </is>
      </c>
      <c r="C33" t="inlineStr">
        <is>
          <t>Amazon.com</t>
        </is>
      </c>
      <c r="D33" t="inlineStr">
        <is>
          <t>indeed</t>
        </is>
      </c>
      <c r="E33" t="inlineStr"/>
      <c r="F33" t="inlineStr"/>
      <c r="G33" t="inlineStr">
        <is>
          <t>Bellevue, WA, US</t>
        </is>
      </c>
      <c r="H33" s="1" t="n">
        <v>46055</v>
      </c>
      <c r="I33"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34">
      <c r="A34" t="inlineStr">
        <is>
          <t>in-7842a257a9ff1514</t>
        </is>
      </c>
      <c r="B34" t="inlineStr">
        <is>
          <t>Applied Scientist (Contract), Artificial General Intelligence</t>
        </is>
      </c>
      <c r="C34" t="inlineStr">
        <is>
          <t>Amazon.com</t>
        </is>
      </c>
      <c r="D34" t="inlineStr">
        <is>
          <t>indeed</t>
        </is>
      </c>
      <c r="E34" t="inlineStr"/>
      <c r="F34" t="inlineStr"/>
      <c r="G34" t="inlineStr">
        <is>
          <t>Boston, MA, US</t>
        </is>
      </c>
      <c r="H34" s="1" t="n">
        <v>46055</v>
      </c>
      <c r="I34"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35">
      <c r="A35" t="inlineStr">
        <is>
          <t>in-e8e918d973092d66</t>
        </is>
      </c>
      <c r="B35" t="inlineStr">
        <is>
          <t>Applied Scientist (Contract), Artificial General Intelligence</t>
        </is>
      </c>
      <c r="C35" t="inlineStr">
        <is>
          <t>Amazon.com</t>
        </is>
      </c>
      <c r="D35" t="inlineStr">
        <is>
          <t>indeed</t>
        </is>
      </c>
      <c r="E35" t="inlineStr"/>
      <c r="F35" t="inlineStr"/>
      <c r="G35" t="inlineStr">
        <is>
          <t>Bellevue, WA, US</t>
        </is>
      </c>
      <c r="H35" s="1" t="n">
        <v>46051</v>
      </c>
      <c r="I35"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36">
      <c r="A36" t="inlineStr">
        <is>
          <t>in-9a5ede5a2c7f3bb0</t>
        </is>
      </c>
      <c r="B36" t="inlineStr">
        <is>
          <t>Applied Scientist (Contract), Artificial General Intelligence</t>
        </is>
      </c>
      <c r="C36" t="inlineStr">
        <is>
          <t>Amazon.com</t>
        </is>
      </c>
      <c r="D36" t="inlineStr">
        <is>
          <t>indeed</t>
        </is>
      </c>
      <c r="E36" t="inlineStr"/>
      <c r="F36" t="inlineStr"/>
      <c r="G36" t="inlineStr">
        <is>
          <t>Boston, MA, US</t>
        </is>
      </c>
      <c r="H36" s="1" t="n">
        <v>46051</v>
      </c>
      <c r="I36"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37">
      <c r="A37" t="inlineStr">
        <is>
          <t>in-b73b3b7fab5876ed</t>
        </is>
      </c>
      <c r="B37" t="inlineStr">
        <is>
          <t>Sr. Applied Scientist - SLAM, Amazon Industrial Robotics</t>
        </is>
      </c>
      <c r="C37" t="inlineStr">
        <is>
          <t>Amazon.com</t>
        </is>
      </c>
      <c r="D37" t="inlineStr">
        <is>
          <t>indeed</t>
        </is>
      </c>
      <c r="E37" t="inlineStr"/>
      <c r="F37" t="inlineStr"/>
      <c r="G37" t="inlineStr">
        <is>
          <t>Reading, MA, US</t>
        </is>
      </c>
      <c r="H37" s="1" t="n">
        <v>46050</v>
      </c>
      <c r="I37" t="inlineStr">
        <is>
          <t>**DESCRIPTION**
---------------
Amazon Industrial Robotics (AIR)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the latest software and AI tools for robots.
We are seeking an expert to lead the development of our SLAM and Spatial AI module. In this role, you will create methods that will enable our robot to perceive the environment and navigate with unrivaled vision and fidelity. The system will combine an array of diverse sensors with simultaneous localization and mapping software that continuously updates the map in real\-time automatically. It will have the capability to ‘see’ and identify different objects, people, vehicles, and places as it moves and react to moving people and vehicles in an intelligent way.  
The system combines a mix of high\-performance sensors with simultaneous localization and mapping software that builds and continuously updates maps in real\-time, completely automatically. It has the capability to ‘see’ and identify different objects, people, vehicles, and places as it moves and react to moving people and vehicles in an intelligent way.  
Key job responsibilities  
* Analyze, design, develop, and test existing and new perception capabilities using cameras and LIDAR sensor inputs for obstacle detection and semantic understanding.
* Research, design, implement and evaluate scientific approaches to a variety of autonomy challenges..
* Create experiments and prototype implementations of new perception algorithms.
* Deliver high quality production level code (C\+\+ or Python) and support systems in production.
* Collaborate with other functional teams in a robotics organization.
* Collaborate closely with hardware engineering team members on developing systems from prototyping to production level.
* Represent Amazon in academia community through publications and scientific presentations.
* Work with stakeholders across hardware, science, and operations teams to iterate on systems design and implementation.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38">
      <c r="A38" t="inlineStr">
        <is>
          <t>in-870f32dbc687387c</t>
        </is>
      </c>
      <c r="B38" t="inlineStr">
        <is>
          <t>Sr. Applied Scientist - SLAM, Amazon Industrial Robotics</t>
        </is>
      </c>
      <c r="C38" t="inlineStr">
        <is>
          <t>Amazon.com</t>
        </is>
      </c>
      <c r="D38" t="inlineStr">
        <is>
          <t>indeed</t>
        </is>
      </c>
      <c r="E38" t="inlineStr"/>
      <c r="F38" t="inlineStr"/>
      <c r="G38" t="inlineStr">
        <is>
          <t>Reading, MA, US</t>
        </is>
      </c>
      <c r="H38" s="1" t="n">
        <v>46050</v>
      </c>
      <c r="I38" t="inlineStr">
        <is>
          <t>**DESCRIPTION**
---------------
Amazon Industrial Robotics (AIR)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the latest software and AI tools for robots.
We are seeking an expert to lead the development of our SLAM and Spatial AI module. In this role, you will create methods that will enable our robot to perceive the environment and navigate with unrivaled vision and fidelity. The system will combine an array of diverse sensors with simultaneous localization and mapping software that continuously updates the map in real\-time automatically. It will have the capability to ‘see’ and identify different objects, people, vehicles, and places as it moves and react to moving people and vehicles in an intelligent way.  
The system combines a mix of high\-performance sensors with simultaneous localization and mapping software that builds and continuously updates maps in real\-time, completely automatically. It has the capability to ‘see’ and identify different objects, people, vehicles, and places as it moves and react to moving people and vehicles in an intelligent way.  
Key job responsibilities  
* Analyze, design, develop, and test existing and new perception capabilities using cameras and LIDAR sensor inputs for obstacle detection and semantic understanding.
* Research, design, implement and evaluate scientific approaches to a variety of autonomy challenges..
* Create experiments and prototype implementations of new perception algorithms.
* Deliver high quality production level code (C\+\+ or Python) and support systems in production.
* Collaborate with other functional teams in a robotics organization.
* Collaborate closely with hardware engineering team members on developing systems from prototyping to production level.
* Represent Amazon in academia community through publications and scientific presentations.
* Work with stakeholders across hardware, science, and operations teams to iterate on systems design and implementation.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39">
      <c r="A39" t="inlineStr">
        <is>
          <t>in-0c39e426bf870a67</t>
        </is>
      </c>
      <c r="B39" t="inlineStr">
        <is>
          <t>Principal Applied Scientist, Sensing, Industrial Robotics Group</t>
        </is>
      </c>
      <c r="C39" t="inlineStr">
        <is>
          <t>Amazon.com</t>
        </is>
      </c>
      <c r="D39" t="inlineStr">
        <is>
          <t>indeed</t>
        </is>
      </c>
      <c r="E39" t="inlineStr"/>
      <c r="F39" t="inlineStr"/>
      <c r="G39" t="inlineStr">
        <is>
          <t>Reading, MA, US</t>
        </is>
      </c>
      <c r="H39" s="1" t="n">
        <v>46050</v>
      </c>
      <c r="I39" t="inlineStr">
        <is>
          <t>**DESCRIPTION**
---------------
Amazon's Industrial Robotics Group (IRG)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As a Principal Scientist, you will lead the research and development of complex sensing systems that help our robots perceive the world around them. You will explore and guide the exploration of novel sensing modalities, refining the existing ones, and imagine the future of robot–based perception, safety, and navigation. You will formulate a robust sensing architecture, lead the experimentation and prototyping, and take part in creating future robots that are fully aware of their surroundings.
Key job responsibilities  
* Build and lead teams focused on hardware, firmware, and embedded systems
* Drive technical roadmaps for next\-generation robotics platforms
* Drive architecture decisions for complex robotics perception systems
* Bring the latest trends and scientific developments in robotic perception to the technical team
* Create technical standards for robotics sensing platforms
* Drive innovation in real\-time perception and control systems
**BASIC QUALIFICATIONS**
------------------------
* PhD in computer science, machine learning, engineering, or related fields
* 10\+ years experience in sensing and perception research
* 5\+ years technical leadership in perception systems and learning
* Strong background in real\-time multimodal sensing
* Proven track record in robotics computing platforms
**PREFERRED QUALIFICATIONS**
----------------------------
* Experience with robotics perception\-driven control systems and sensor integration
* Background in real\-time operating systems and deterministic computing
* Experience developing complex perception\-driven robotic architectures
* Track record of innovation in robotics sensing platforms
* Experience with safety applications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\- 198,900\.00 \- 269,000\.00 USD annually</t>
        </is>
      </c>
    </row>
    <row r="40">
      <c r="A40" t="inlineStr">
        <is>
          <t>in-a65c0270b4c1b8ea</t>
        </is>
      </c>
      <c r="B40" t="inlineStr">
        <is>
          <t>Principal Applied Scientist, Sensing, Industrial Robotics Group</t>
        </is>
      </c>
      <c r="C40" t="inlineStr">
        <is>
          <t>Amazon.com</t>
        </is>
      </c>
      <c r="D40" t="inlineStr">
        <is>
          <t>indeed</t>
        </is>
      </c>
      <c r="E40" t="inlineStr"/>
      <c r="F40" t="inlineStr"/>
      <c r="G40" t="inlineStr">
        <is>
          <t>Reading, MA, US</t>
        </is>
      </c>
      <c r="H40" s="1" t="n">
        <v>46050</v>
      </c>
      <c r="I40" t="inlineStr">
        <is>
          <t>**DESCRIPTION**
---------------
Amazon's Industrial Robotics Group (IRG)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As a Principal Scientist, you will lead the research and development of complex sensing systems that help our robots perceive the world around them. You will explore and guide the exploration of novel sensing modalities, refining the existing ones, and imagine the future of robot–based perception, safety, and navigation. You will formulate a robust sensing architecture, lead the experimentation and prototyping, and take part in creating future robots that are fully aware of their surroundings.
Key job responsibilities  
* Build and lead teams focused on hardware, firmware, and embedded systems
* Drive technical roadmaps for next\-generation robotics platforms
* Drive architecture decisions for complex robotics perception systems
* Bring the latest trends and scientific developments in robotic perception to the technical team
* Create technical standards for robotics sensing platforms
* Drive innovation in real\-time perception and control systems
**BASIC QUALIFICATIONS**
------------------------
* PhD in computer science, machine learning, engineering, or related fields
* 10\+ years experience in sensing and perception research
* 5\+ years technical leadership in perception systems and learning
* Strong background in real\-time multimodal sensing
* Proven track record in robotics computing platforms
**PREFERRED QUALIFICATIONS**
----------------------------
* Experience with robotics perception\-driven control systems and sensor integration
* Background in real\-time operating systems and deterministic computing
* Experience developing complex perception\-driven robotic architectures
* Track record of innovation in robotics sensing platforms
* Experience with safety applications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\- 198,900\.00 \- 269,000\.00 USD annually</t>
        </is>
      </c>
    </row>
    <row r="41">
      <c r="A41" t="inlineStr">
        <is>
          <t>in-2be900aa5a431c74</t>
        </is>
      </c>
      <c r="B41" t="inlineStr">
        <is>
          <t>Senior Applied Scientist, Amazon Industrial Robotics</t>
        </is>
      </c>
      <c r="C41" t="inlineStr">
        <is>
          <t>Amazon.com</t>
        </is>
      </c>
      <c r="D41" t="inlineStr">
        <is>
          <t>indeed</t>
        </is>
      </c>
      <c r="E41" t="inlineStr"/>
      <c r="F41" t="inlineStr"/>
      <c r="G41" t="inlineStr">
        <is>
          <t>Reading, MA, US</t>
        </is>
      </c>
      <c r="H41" s="1" t="n">
        <v>46048</v>
      </c>
      <c r="I41"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Collaborate with simulation and robotics experts to translate physical modeling needs into robust, scalable, and maintainable simulation solutions.
* Design and implement high\-performance simulation modeling and tools for rigid and deformable body simulation.
* Identify and optimize performance bottlenecks in simulation pipelines to support real\-time and batch simulation workflows.
* Help build validation and unit testing pipelines to ensure correctness and physical fidelity of simulation results.
* Identify potential sources of sim\-to\-real gaps and propose modeling and numerical approximations to reduce them.
* Stay current with the latest advances in numerical methods, parallel computing, and GPU architectures, and incorporate them into our tools.
**BASIC QUALIFICATIONS**
------------------------
* PhD, or PhD and 4\+ years of CS, CE, ML or related field experience
* Strong programming skills in modern Python and/or C\+\+ and experience with GPU programming (CUDA, Warp, or similar).
* Experience with robotics simulation environments such as MuJoCo, Newton, Drake and/or Isaac Lab.
* Expertise in one or more of the following: Solid foundation in numerical methods for multibody dynamics, frictional contact, Finite Element Method (FEM), Material Point Method (MPM) or other approaches for physics\-based simulation.
* Experience implementing scientific or simulation software in a collaborative, production\-quality codebase.
* Proficiency in linear algebra, differential equations, and numerical analysis.
**PREFERRED QUALIFICATIONS**
----------------------------
* Experience programming in Java, C\+\+, Python or related language
* Experience working effectively across cross\-functional teams and partnering well with people at all levels within an organization
* PhD in simulation
* Experience in one or more of the following: bimanual manipulation, imitation learning for dexterous manipulation, reinforcement learning for locomotion, teleoperation systems for data collection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42">
      <c r="A42" t="inlineStr">
        <is>
          <t>in-8f81523262b8d0bf</t>
        </is>
      </c>
      <c r="B42" t="inlineStr">
        <is>
          <t>Senior Applied Scientist, Amazon Industrial Robotics</t>
        </is>
      </c>
      <c r="C42" t="inlineStr">
        <is>
          <t>Amazon.com</t>
        </is>
      </c>
      <c r="D42" t="inlineStr">
        <is>
          <t>indeed</t>
        </is>
      </c>
      <c r="E42" t="inlineStr"/>
      <c r="F42" t="inlineStr"/>
      <c r="G42" t="inlineStr">
        <is>
          <t>Reading, MA, US</t>
        </is>
      </c>
      <c r="H42" s="1" t="n">
        <v>46048</v>
      </c>
      <c r="I42"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Collaborate with simulation and robotics experts to translate physical modeling needs into robust, scalable, and maintainable simulation solutions.
* Design and implement high\-performance simulation modeling and tools for rigid and deformable body simulation.
* Identify and optimize performance bottlenecks in simulation pipelines to support real\-time and batch simulation workflows.
* Help build validation and unit testing pipelines to ensure correctness and physical fidelity of simulation results.
* Identify potential sources of sim\-to\-real gaps and propose modeling and numerical approximations to reduce them.
* Stay current with the latest advances in numerical methods, parallel computing, and GPU architectures, and incorporate them into our tools.
**BASIC QUALIFICATIONS**
------------------------
* PhD, or PhD and 4\+ years of CS, CE, ML or related field experience
* Strong programming skills in modern Python and/or C\+\+ and experience with GPU programming (CUDA, Warp, or similar).
* Experience with robotics simulation environments such as MuJoCo, Newton, Drake and/or Isaac Lab.
* Expertise in one or more of the following: Solid foundation in numerical methods for multibody dynamics, frictional contact, Finite Element Method (FEM), Material Point Method (MPM) or other approaches for physics\-based simulation.
* Experience implementing scientific or simulation software in a collaborative, production\-quality codebase.
* Proficiency in linear algebra, differential equations, and numerical analysis.
**PREFERRED QUALIFICATIONS**
----------------------------
* Experience programming in Java, C\+\+, Python or related language
* Experience working effectively across cross\-functional teams and partnering well with people at all levels within an organization
* PhD in simulation
* Experience in one or more of the following: bimanual manipulation, imitation learning for dexterous manipulation, reinforcement learning for locomotion, teleoperation systems for data collection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43">
      <c r="A43" t="inlineStr">
        <is>
          <t>in-b8212c44b3a33071</t>
        </is>
      </c>
      <c r="B43" t="inlineStr">
        <is>
          <t>Applied Scientist II, Prime Video Personalization and Discovery Science</t>
        </is>
      </c>
      <c r="C43" t="inlineStr">
        <is>
          <t>Amazon.com</t>
        </is>
      </c>
      <c r="D43" t="inlineStr">
        <is>
          <t>indeed</t>
        </is>
      </c>
      <c r="E43" t="inlineStr"/>
      <c r="F43" t="inlineStr"/>
      <c r="G43" t="inlineStr">
        <is>
          <t>New York, NY, US</t>
        </is>
      </c>
      <c r="H43" s="1" t="n">
        <v>46047</v>
      </c>
      <c r="I4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44">
      <c r="A44" t="inlineStr">
        <is>
          <t>in-6213d4370650787e</t>
        </is>
      </c>
      <c r="B44" t="inlineStr">
        <is>
          <t>Applied Scientist II, Prime Video Personalization and Discovery Science</t>
        </is>
      </c>
      <c r="C44" t="inlineStr">
        <is>
          <t>Amazon.com</t>
        </is>
      </c>
      <c r="D44" t="inlineStr">
        <is>
          <t>indeed</t>
        </is>
      </c>
      <c r="E44" t="inlineStr"/>
      <c r="F44" t="inlineStr"/>
      <c r="G44" t="inlineStr">
        <is>
          <t>Sunnyvale, CA, US</t>
        </is>
      </c>
      <c r="H44" s="1" t="n">
        <v>46047</v>
      </c>
      <c r="I4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45">
      <c r="A45" t="inlineStr">
        <is>
          <t>in-d61af3fa3ccb09b6</t>
        </is>
      </c>
      <c r="B45" t="inlineStr">
        <is>
          <t>Applied Scientist, Amazon Connect</t>
        </is>
      </c>
      <c r="C45" t="inlineStr">
        <is>
          <t>Amazon Web Services</t>
        </is>
      </c>
      <c r="D45" t="inlineStr">
        <is>
          <t>indeed</t>
        </is>
      </c>
      <c r="E45" t="inlineStr"/>
      <c r="F45" t="inlineStr"/>
      <c r="G45" t="inlineStr">
        <is>
          <t>New York, NY, US</t>
        </is>
      </c>
      <c r="H45" s="1" t="n">
        <v>46047</v>
      </c>
      <c r="I45"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46">
      <c r="A46" t="inlineStr">
        <is>
          <t>in-888e111e80563ea2</t>
        </is>
      </c>
      <c r="B46" t="inlineStr">
        <is>
          <t>Applied Scientist II, Prime Video Personalization and Discovery Science</t>
        </is>
      </c>
      <c r="C46" t="inlineStr">
        <is>
          <t>Amazon.com</t>
        </is>
      </c>
      <c r="D46" t="inlineStr">
        <is>
          <t>indeed</t>
        </is>
      </c>
      <c r="E46" t="inlineStr"/>
      <c r="F46" t="inlineStr"/>
      <c r="G46" t="inlineStr">
        <is>
          <t>Seattle, WA, US</t>
        </is>
      </c>
      <c r="H46" s="1" t="n">
        <v>46047</v>
      </c>
      <c r="I4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47">
      <c r="A47" t="inlineStr">
        <is>
          <t>in-c3c8f7d259b75e61</t>
        </is>
      </c>
      <c r="B47" t="inlineStr">
        <is>
          <t>Applied Scientist, Amazon Connect</t>
        </is>
      </c>
      <c r="C47" t="inlineStr">
        <is>
          <t>Amazon Web Services</t>
        </is>
      </c>
      <c r="D47" t="inlineStr">
        <is>
          <t>indeed</t>
        </is>
      </c>
      <c r="E47" t="inlineStr"/>
      <c r="F47" t="inlineStr"/>
      <c r="G47" t="inlineStr">
        <is>
          <t>Seattle, WA, US</t>
        </is>
      </c>
      <c r="H47" s="1" t="n">
        <v>46047</v>
      </c>
      <c r="I47"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48">
      <c r="A48" t="inlineStr">
        <is>
          <t>in-1e36bfe85dc855f9</t>
        </is>
      </c>
      <c r="B48" t="inlineStr">
        <is>
          <t>Applied Scientist, Safety ML</t>
        </is>
      </c>
      <c r="C48" t="inlineStr">
        <is>
          <t>Amazon.com</t>
        </is>
      </c>
      <c r="D48" t="inlineStr">
        <is>
          <t>indeed</t>
        </is>
      </c>
      <c r="E48" t="inlineStr"/>
      <c r="F48" t="inlineStr"/>
      <c r="G48" t="inlineStr">
        <is>
          <t>San Francisco, CA, US</t>
        </is>
      </c>
      <c r="H48" s="1" t="n">
        <v>46037</v>
      </c>
      <c r="I4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49">
      <c r="A49" t="inlineStr">
        <is>
          <t>in-54633aa0114fa730</t>
        </is>
      </c>
      <c r="B49" t="inlineStr">
        <is>
          <t>Applied Scientist, Safety ML</t>
        </is>
      </c>
      <c r="C49" t="inlineStr">
        <is>
          <t>Amazon.com</t>
        </is>
      </c>
      <c r="D49" t="inlineStr">
        <is>
          <t>indeed</t>
        </is>
      </c>
      <c r="E49" t="inlineStr"/>
      <c r="F49" t="inlineStr"/>
      <c r="G49" t="inlineStr">
        <is>
          <t>Seattle, WA, US</t>
        </is>
      </c>
      <c r="H49" s="1" t="n">
        <v>46037</v>
      </c>
      <c r="I4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50">
      <c r="A50" t="inlineStr">
        <is>
          <t>in-e747cb720a5f59aa</t>
        </is>
      </c>
      <c r="B50" t="inlineStr">
        <is>
          <t>Principal Applied Scientist, Measurement, AdTech and Data Science, Ads Performance Measurement</t>
        </is>
      </c>
      <c r="C50" t="inlineStr">
        <is>
          <t>Amazon.com</t>
        </is>
      </c>
      <c r="D50" t="inlineStr">
        <is>
          <t>indeed</t>
        </is>
      </c>
      <c r="E50" t="inlineStr"/>
      <c r="F50" t="inlineStr"/>
      <c r="G50" t="inlineStr">
        <is>
          <t>Palo Alto, CA, US</t>
        </is>
      </c>
      <c r="H50" s="1" t="n">
        <v>46037</v>
      </c>
      <c r="I50" t="inlineStr">
        <is>
          <t>**DESCRIPTION**
---------------
The Principal Applied Scientist in Performance Measurement in the Measurement, Ad Tech, and Data Science (MADS) team leads the technical vision and execution for Amazon Advertising's performance measurement. Our measurement products and tools help customers understand the holistic impact of their spend on Amazon Ads and optimize their portfolios. This is a complex, multi\-disciplinary scientific space spanning machine learning, causal inference, statistics and experimentation, natural language processing, and generative AI. As a GenAI\-first organization, we build foundational and agentic models that power advertiser use cases across Ads, while empowering our Applied Scientists to directly build and ship products. You will guide a team of scientists with expertise across different domains to come together and innovate on some of the hardest problems in advertising, made more challenging by evolving privacy regulations and technological changes. In measuring the comprehensive impact of advertising, key challenges you will tackle include capturing impact: 1\) both for identified and increasing unidentified web traffic in light of an evolving global privacy landscape; 2\) for outcomes across retailers, including both within and beyond Amazon; and 3\) for both short\- and long\-term impacts of advertising.  
The ideal candidate will have deep expertise in ad serving, measurement, and application of advanced machine learning and innovate on measurement solutions that comply with complex privacy policies and regulatory requirements maintaining Amazon Advertising’s competitive edge.
Key job responsibilities  
Key job responsibilities include:  
* Driving the scientific vision of the teams in your organization and you advise and influence its technical leadership on performance measurement models and products.
* Identifying, tackling, and proposing innovative solutions to intrinsically hard, previously unsolved problems. You solve problems pragmatically, applying judgment and experience to balance trade\-offs between competing interests.
* Bringing clarity to complex problems, probe assumptions, illuminate pitfalls, foster shared understanding, and guide towards effective solutions.
* Serving and being recognized by internal and external peers as a thought leader in modeled measurement in Ads. You will engage routinely with the broader scientific community, e.g. as a reviewer, program committee member, workshop organizer, or chair at peer\-reviewed internal/external conferences.
* Leading by example, with your papers, analyses, and code setting the standard in your organization for scientific engineering excellence.
* Leading science and design reviews, aligning teams across your organization around coherent algorithmic strategies.
* Influencing your team’s science and business strategy by driving one or more team roadmaps contributing to the organization’s roadmap and taking responsibility for some organizational goals. You drive multiple new product features from inception to production launch.
* Guiding the career development of others, actively mentoring and educating the larger applied science community on trends, technologies, and best practices. You drive the documentation of scientific innovation. You attract bar\-raising talent from academia and industry.
* Staying abreast of academic and industry trends, knowing the state of the art, and building on top of existing solutions instead of reinventing when possible
**BASIC QUALIFICATIONS**
------------------------
* PhD in Computer Science, Statistics or related field.
* 10\+ years of applied ML experience in building complex, real\-time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\- 228,700\.00 \- 309,400\.00 USD annually  
USA, NY, New York \- 218,800\.00 \- 295,900\.00 USD annually  
USA, WA, Seattle \- 198,900\.00 \- 269,000\.00 USD annually</t>
        </is>
      </c>
    </row>
    <row r="51">
      <c r="A51" t="inlineStr">
        <is>
          <t>in-1c5218b33dfa17ea</t>
        </is>
      </c>
      <c r="B51" t="inlineStr">
        <is>
          <t>Principal Applied Scientist, Measurement, AdTech and Data Science, Ads Performance Measurement</t>
        </is>
      </c>
      <c r="C51" t="inlineStr">
        <is>
          <t>Amazon.com</t>
        </is>
      </c>
      <c r="D51" t="inlineStr">
        <is>
          <t>indeed</t>
        </is>
      </c>
      <c r="E51" t="inlineStr"/>
      <c r="F51" t="inlineStr"/>
      <c r="G51" t="inlineStr">
        <is>
          <t>New York, NY, US</t>
        </is>
      </c>
      <c r="H51" s="1" t="n">
        <v>46037</v>
      </c>
      <c r="I51" t="inlineStr">
        <is>
          <t>**DESCRIPTION**
---------------
The Principal Applied Scientist in Performance Measurement in the Measurement, Ad Tech, and Data Science (MADS) team leads the technical vision and execution for Amazon Advertising's performance measurement. Our measurement products and tools help customers understand the holistic impact of their spend on Amazon Ads and optimize their portfolios. This is a complex, multi\-disciplinary scientific space spanning machine learning, causal inference, statistics and experimentation, natural language processing, and generative AI. As a GenAI\-first organization, we build foundational and agentic models that power advertiser use cases across Ads, while empowering our Applied Scientists to directly build and ship products. You will guide a team of scientists with expertise across different domains to come together and innovate on some of the hardest problems in advertising, made more challenging by evolving privacy regulations and technological changes. In measuring the comprehensive impact of advertising, key challenges you will tackle include capturing impact: 1\) both for identified and increasing unidentified web traffic in light of an evolving global privacy landscape; 2\) for outcomes across retailers, including both within and beyond Amazon; and 3\) for both short\- and long\-term impacts of advertising.  
The ideal candidate will have deep expertise in ad serving, measurement, and application of advanced machine learning and innovate on measurement solutions that comply with complex privacy policies and regulatory requirements maintaining Amazon Advertising’s competitive edge.
Key job responsibilities  
Key job responsibilities include:  
* Driving the scientific vision of the teams in your organization and you advise and influence its technical leadership on performance measurement models and products.
* Identifying, tackling, and proposing innovative solutions to intrinsically hard, previously unsolved problems. You solve problems pragmatically, applying judgment and experience to balance trade\-offs between competing interests.
* Bringing clarity to complex problems, probe assumptions, illuminate pitfalls, foster shared understanding, and guide towards effective solutions.
* Serving and being recognized by internal and external peers as a thought leader in modeled measurement in Ads. You will engage routinely with the broader scientific community, e.g. as a reviewer, program committee member, workshop organizer, or chair at peer\-reviewed internal/external conferences.
* Leading by example, with your papers, analyses, and code setting the standard in your organization for scientific engineering excellence.
* Leading science and design reviews, aligning teams across your organization around coherent algorithmic strategies.
* Influencing your team’s science and business strategy by driving one or more team roadmaps contributing to the organization’s roadmap and taking responsibility for some organizational goals. You drive multiple new product features from inception to production launch.
* Guiding the career development of others, actively mentoring and educating the larger applied science community on trends, technologies, and best practices. You drive the documentation of scientific innovation. You attract bar\-raising talent from academia and industry.
* Staying abreast of academic and industry trends, knowing the state of the art, and building on top of existing solutions instead of reinventing when possible
**BASIC QUALIFICATIONS**
------------------------
* PhD in Computer Science, Statistics or related field.
* 10\+ years of applied ML experience in building complex, real\-time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\- 228,700\.00 \- 309,400\.00 USD annually  
USA, NY, New York \- 218,800\.00 \- 295,900\.00 USD annually  
USA, WA, Seattle \- 198,900\.00 \- 269,000\.00 USD annually</t>
        </is>
      </c>
    </row>
    <row r="52">
      <c r="A52" t="inlineStr">
        <is>
          <t>in-1bacdbcc753d5cfa</t>
        </is>
      </c>
      <c r="B52" t="inlineStr">
        <is>
          <t>Principal Applied Scientist, Measurement, AdTech and Data Science, Ads Performance Measurement</t>
        </is>
      </c>
      <c r="C52" t="inlineStr">
        <is>
          <t>Amazon.com</t>
        </is>
      </c>
      <c r="D52" t="inlineStr">
        <is>
          <t>indeed</t>
        </is>
      </c>
      <c r="E52" t="inlineStr"/>
      <c r="F52" t="inlineStr"/>
      <c r="G52" t="inlineStr">
        <is>
          <t>Seattle, WA, US</t>
        </is>
      </c>
      <c r="H52" s="1" t="n">
        <v>46037</v>
      </c>
      <c r="I52" t="inlineStr">
        <is>
          <t>**DESCRIPTION**
---------------
The Principal Applied Scientist in Performance Measurement in the Measurement, Ad Tech, and Data Science (MADS) team leads the technical vision and execution for Amazon Advertising's performance measurement. Our measurement products and tools help customers understand the holistic impact of their spend on Amazon Ads and optimize their portfolios. This is a complex, multi\-disciplinary scientific space spanning machine learning, causal inference, statistics and experimentation, natural language processing, and generative AI. As a GenAI\-first organization, we build foundational and agentic models that power advertiser use cases across Ads, while empowering our Applied Scientists to directly build and ship products. You will guide a team of scientists with expertise across different domains to come together and innovate on some of the hardest problems in advertising, made more challenging by evolving privacy regulations and technological changes. In measuring the comprehensive impact of advertising, key challenges you will tackle include capturing impact: 1\) both for identified and increasing unidentified web traffic in light of an evolving global privacy landscape; 2\) for outcomes across retailers, including both within and beyond Amazon; and 3\) for both short\- and long\-term impacts of advertising.  
The ideal candidate will have deep expertise in ad serving, measurement, and application of advanced machine learning and innovate on measurement solutions that comply with complex privacy policies and regulatory requirements maintaining Amazon Advertising’s competitive edge.
Key job responsibilities  
Key job responsibilities include:  
* Driving the scientific vision of the teams in your organization and you advise and influence its technical leadership on performance measurement models and products.
* Identifying, tackling, and proposing innovative solutions to intrinsically hard, previously unsolved problems. You solve problems pragmatically, applying judgment and experience to balance trade\-offs between competing interests.
* Bringing clarity to complex problems, probe assumptions, illuminate pitfalls, foster shared understanding, and guide towards effective solutions.
* Serving and being recognized by internal and external peers as a thought leader in modeled measurement in Ads. You will engage routinely with the broader scientific community, e.g. as a reviewer, program committee member, workshop organizer, or chair at peer\-reviewed internal/external conferences.
* Leading by example, with your papers, analyses, and code setting the standard in your organization for scientific engineering excellence.
* Leading science and design reviews, aligning teams across your organization around coherent algorithmic strategies.
* Influencing your team’s science and business strategy by driving one or more team roadmaps contributing to the organization’s roadmap and taking responsibility for some organizational goals. You drive multiple new product features from inception to production launch.
* Guiding the career development of others, actively mentoring and educating the larger applied science community on trends, technologies, and best practices. You drive the documentation of scientific innovation. You attract bar\-raising talent from academia and industry.
* Staying abreast of academic and industry trends, knowing the state of the art, and building on top of existing solutions instead of reinventing when possible
**BASIC QUALIFICATIONS**
------------------------
* PhD in Computer Science, Statistics or related field.
* 10\+ years of applied ML experience in building complex, real\-time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\- 228,700\.00 \- 309,400\.00 USD annually  
USA, NY, New York \- 218,800\.00 \- 295,900\.00 USD annually  
USA, WA, Seattle \- 198,900\.00 \- 269,000\.00 USD annually</t>
        </is>
      </c>
    </row>
    <row r="53">
      <c r="A53" t="inlineStr">
        <is>
          <t>in-d1555ca83f8bb487</t>
        </is>
      </c>
      <c r="B53" t="inlineStr">
        <is>
          <t>Applied Scientist, LLM Code Agents, Kiro Science</t>
        </is>
      </c>
      <c r="C53" t="inlineStr">
        <is>
          <t>Amazon.com</t>
        </is>
      </c>
      <c r="D53" t="inlineStr">
        <is>
          <t>indeed</t>
        </is>
      </c>
      <c r="E53" t="inlineStr"/>
      <c r="F53" t="inlineStr"/>
      <c r="G53" t="inlineStr">
        <is>
          <t>Santa Clara, CA, US</t>
        </is>
      </c>
      <c r="H53" s="1" t="n">
        <v>46035</v>
      </c>
      <c r="I53"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54">
      <c r="A54" t="inlineStr">
        <is>
          <t>in-f269c2d59b9e0577</t>
        </is>
      </c>
      <c r="B54" t="inlineStr">
        <is>
          <t>Applied Scientist, LLM Code Agents, Kiro Science</t>
        </is>
      </c>
      <c r="C54" t="inlineStr">
        <is>
          <t>Amazon.com</t>
        </is>
      </c>
      <c r="D54" t="inlineStr">
        <is>
          <t>indeed</t>
        </is>
      </c>
      <c r="E54" t="inlineStr"/>
      <c r="F54" t="inlineStr"/>
      <c r="G54" t="inlineStr">
        <is>
          <t>Seattle, WA, US</t>
        </is>
      </c>
      <c r="H54" s="1" t="n">
        <v>46035</v>
      </c>
      <c r="I54"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55">
      <c r="A55" t="inlineStr">
        <is>
          <t>in-494c19a2625508e1</t>
        </is>
      </c>
      <c r="B55" t="inlineStr">
        <is>
          <t>Applied Scientist II, Prime Video Personalization and Discovery Science</t>
        </is>
      </c>
      <c r="C55" t="inlineStr">
        <is>
          <t>Amazon.com</t>
        </is>
      </c>
      <c r="D55" t="inlineStr">
        <is>
          <t>indeed</t>
        </is>
      </c>
      <c r="E55" t="inlineStr"/>
      <c r="F55" t="inlineStr"/>
      <c r="G55" t="inlineStr">
        <is>
          <t>Seattle, WA, US</t>
        </is>
      </c>
      <c r="H55" s="1" t="n">
        <v>46034</v>
      </c>
      <c r="I5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56">
      <c r="A56" t="inlineStr">
        <is>
          <t>in-80bcf9d906148adc</t>
        </is>
      </c>
      <c r="B56" t="inlineStr">
        <is>
          <t>Applied Scientist II, Prime Video Personalization and Discovery Science</t>
        </is>
      </c>
      <c r="C56" t="inlineStr">
        <is>
          <t>Amazon.com</t>
        </is>
      </c>
      <c r="D56" t="inlineStr">
        <is>
          <t>indeed</t>
        </is>
      </c>
      <c r="E56" t="inlineStr"/>
      <c r="F56" t="inlineStr"/>
      <c r="G56" t="inlineStr">
        <is>
          <t>Sunnyvale, CA, US</t>
        </is>
      </c>
      <c r="H56" s="1" t="n">
        <v>46034</v>
      </c>
      <c r="I5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57">
      <c r="A57" t="inlineStr">
        <is>
          <t>in-7951f23422caec2e</t>
        </is>
      </c>
      <c r="B57" t="inlineStr">
        <is>
          <t>Applied Scientist, Alexa Smart Home</t>
        </is>
      </c>
      <c r="C57" t="inlineStr">
        <is>
          <t>Amazon.com</t>
        </is>
      </c>
      <c r="D57" t="inlineStr">
        <is>
          <t>indeed</t>
        </is>
      </c>
      <c r="E57" t="inlineStr"/>
      <c r="F57" t="inlineStr"/>
      <c r="G57" t="inlineStr">
        <is>
          <t>Seattle, WA, US</t>
        </is>
      </c>
      <c r="H57" s="1" t="n">
        <v>46033</v>
      </c>
      <c r="I57"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58">
      <c r="A58" t="inlineStr">
        <is>
          <t>in-9fc59c81d33d5864</t>
        </is>
      </c>
      <c r="B58" t="inlineStr">
        <is>
          <t>Applied Scientist, Alexa Smart Home</t>
        </is>
      </c>
      <c r="C58" t="inlineStr">
        <is>
          <t>Amazon.com</t>
        </is>
      </c>
      <c r="D58" t="inlineStr">
        <is>
          <t>indeed</t>
        </is>
      </c>
      <c r="E58" t="inlineStr"/>
      <c r="F58" t="inlineStr"/>
      <c r="G58" t="inlineStr">
        <is>
          <t>Sunnyvale, CA, US</t>
        </is>
      </c>
      <c r="H58" s="1" t="n">
        <v>46033</v>
      </c>
      <c r="I58"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59">
      <c r="A59" t="inlineStr">
        <is>
          <t>in-988145a455d5e80d</t>
        </is>
      </c>
      <c r="B59" t="inlineStr">
        <is>
          <t>Applied Scientist, AWS Applied AI Solutions</t>
        </is>
      </c>
      <c r="C59" t="inlineStr">
        <is>
          <t>Amazon Web Services</t>
        </is>
      </c>
      <c r="D59" t="inlineStr">
        <is>
          <t>indeed</t>
        </is>
      </c>
      <c r="E59" t="inlineStr"/>
      <c r="F59" t="inlineStr"/>
      <c r="G59" t="inlineStr">
        <is>
          <t>New York, NY, US</t>
        </is>
      </c>
      <c r="H59" s="1" t="n">
        <v>46030</v>
      </c>
      <c r="I59"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60">
      <c r="A60" t="inlineStr">
        <is>
          <t>in-fc375cd0244a8438</t>
        </is>
      </c>
      <c r="B60" t="inlineStr">
        <is>
          <t>Applied Scientist, AWS Applied AI Solutions</t>
        </is>
      </c>
      <c r="C60" t="inlineStr">
        <is>
          <t>Amazon Web Services</t>
        </is>
      </c>
      <c r="D60" t="inlineStr">
        <is>
          <t>indeed</t>
        </is>
      </c>
      <c r="E60" t="inlineStr"/>
      <c r="F60" t="inlineStr"/>
      <c r="G60" t="inlineStr">
        <is>
          <t>Seattle, WA, US</t>
        </is>
      </c>
      <c r="H60" s="1" t="n">
        <v>46030</v>
      </c>
      <c r="I60"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61">
      <c r="A61" t="inlineStr">
        <is>
          <t>in-76d628a243070299</t>
        </is>
      </c>
      <c r="B61" t="inlineStr">
        <is>
          <t>Applied Scientist II, Prime Video Personalization and Discovery Science</t>
        </is>
      </c>
      <c r="C61" t="inlineStr">
        <is>
          <t>Amazon.com</t>
        </is>
      </c>
      <c r="D61" t="inlineStr">
        <is>
          <t>indeed</t>
        </is>
      </c>
      <c r="E61" t="inlineStr"/>
      <c r="F61" t="inlineStr"/>
      <c r="G61" t="inlineStr">
        <is>
          <t>New York, NY, US</t>
        </is>
      </c>
      <c r="H61" s="1" t="n">
        <v>46028</v>
      </c>
      <c r="I6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62">
      <c r="A62" t="inlineStr">
        <is>
          <t>in-c2f481e6b00e09a7</t>
        </is>
      </c>
      <c r="B62" t="inlineStr">
        <is>
          <t>Applied Scientist II, Prime Video Personalization and Discovery Science</t>
        </is>
      </c>
      <c r="C62" t="inlineStr">
        <is>
          <t>Amazon.com</t>
        </is>
      </c>
      <c r="D62" t="inlineStr">
        <is>
          <t>indeed</t>
        </is>
      </c>
      <c r="E62" t="inlineStr"/>
      <c r="F62" t="inlineStr"/>
      <c r="G62" t="inlineStr">
        <is>
          <t>Sunnyvale, CA, US</t>
        </is>
      </c>
      <c r="H62" s="1" t="n">
        <v>46028</v>
      </c>
      <c r="I6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63">
      <c r="A63" t="inlineStr">
        <is>
          <t>in-2fbf61de4ca16527</t>
        </is>
      </c>
      <c r="B63" t="inlineStr">
        <is>
          <t>Applied Scientist II, Prime Video Personalization and Discovery Science</t>
        </is>
      </c>
      <c r="C63" t="inlineStr">
        <is>
          <t>Amazon.com</t>
        </is>
      </c>
      <c r="D63" t="inlineStr">
        <is>
          <t>indeed</t>
        </is>
      </c>
      <c r="E63" t="inlineStr"/>
      <c r="F63" t="inlineStr"/>
      <c r="G63" t="inlineStr">
        <is>
          <t>Seattle, WA, US</t>
        </is>
      </c>
      <c r="H63" s="1" t="n">
        <v>46028</v>
      </c>
      <c r="I6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64">
      <c r="A64" t="inlineStr">
        <is>
          <t>in-d85466d7bee1fa4d</t>
        </is>
      </c>
      <c r="B64" t="inlineStr">
        <is>
          <t>Senior Applied Scientist, Distributed SQL</t>
        </is>
      </c>
      <c r="C64" t="inlineStr">
        <is>
          <t>Amazon Web Services</t>
        </is>
      </c>
      <c r="D64" t="inlineStr">
        <is>
          <t>indeed</t>
        </is>
      </c>
      <c r="E64" t="inlineStr"/>
      <c r="F64" t="inlineStr"/>
      <c r="G64" t="inlineStr">
        <is>
          <t>East Palo Alto, CA, US</t>
        </is>
      </c>
      <c r="H64" s="1" t="n">
        <v>46012</v>
      </c>
      <c r="I64"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65">
      <c r="A65" t="inlineStr">
        <is>
          <t>in-ba9b7c190dc2a650</t>
        </is>
      </c>
      <c r="B65" t="inlineStr">
        <is>
          <t>Senior Applied Scientist, Distributed SQL</t>
        </is>
      </c>
      <c r="C65" t="inlineStr">
        <is>
          <t>Amazon Web Services</t>
        </is>
      </c>
      <c r="D65" t="inlineStr">
        <is>
          <t>indeed</t>
        </is>
      </c>
      <c r="E65" t="inlineStr"/>
      <c r="F65" t="inlineStr"/>
      <c r="G65" t="inlineStr">
        <is>
          <t>Seattle, WA, US</t>
        </is>
      </c>
      <c r="H65" s="1" t="n">
        <v>46012</v>
      </c>
      <c r="I65"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66">
      <c r="A66" t="inlineStr">
        <is>
          <t>in-92e842cf4ba15713</t>
        </is>
      </c>
      <c r="B66" t="inlineStr">
        <is>
          <t>Applied Scientist, Delivery Foundation Model</t>
        </is>
      </c>
      <c r="C66" t="inlineStr">
        <is>
          <t>Amazon.com</t>
        </is>
      </c>
      <c r="D66" t="inlineStr">
        <is>
          <t>indeed</t>
        </is>
      </c>
      <c r="E66" t="inlineStr"/>
      <c r="F66" t="inlineStr"/>
      <c r="G66" t="inlineStr">
        <is>
          <t>Bellevue, WA, US</t>
        </is>
      </c>
      <c r="H66" s="1" t="n">
        <v>46009</v>
      </c>
      <c r="I6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Drive technical direction for specific research initiatives, ensuring robust performance in production environments.
A day in the life  
As a member of the Delivery Foundation Model team, you’ll spend your day on the following:  
* Develop and implement novel foundation model architectures, working hands\-on with data and our extensive training and evaluation infrastructure
* Collaborate with fellow scientists in solving complex technical challenges, from trajectory planning to efficient multi\-task learning
* Collaborate with fellow engineers in building scalable and reusable infra to support model training, evaluation, and inference
* Contribute to focused technical initiatives from conception through deployment, ensuring successful integration with production systems
* Drive technical discussions within the team and and key stakeholders
* Conduct experiments and prototype new ideas
* Make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1\+ years of CS, CE, ML or related field experience
* 4\+ years of programming in Java, C\+\+, Python or related language experience
* Experience building machine learning models or developing algorithms for business application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Bellevue \- 142,800\.00 \- 193,200\.00 USD annually</t>
        </is>
      </c>
    </row>
    <row r="67">
      <c r="A67" t="inlineStr">
        <is>
          <t>in-227706d46a1fb4f3</t>
        </is>
      </c>
      <c r="B67" t="inlineStr">
        <is>
          <t>Applied Scientist, Delivery Foundation Model</t>
        </is>
      </c>
      <c r="C67" t="inlineStr">
        <is>
          <t>Amazon.com</t>
        </is>
      </c>
      <c r="D67" t="inlineStr">
        <is>
          <t>indeed</t>
        </is>
      </c>
      <c r="E67" t="inlineStr"/>
      <c r="F67" t="inlineStr"/>
      <c r="G67" t="inlineStr">
        <is>
          <t>Santa Clara, CA, US</t>
        </is>
      </c>
      <c r="H67" s="1" t="n">
        <v>46009</v>
      </c>
      <c r="I6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Drive technical direction for specific research initiatives, ensuring robust performance in production environments.
A day in the life  
As a member of the Delivery Foundation Model team, you’ll spend your day on the following:  
* Develop and implement novel foundation model architectures, working hands\-on with data and our extensive training and evaluation infrastructure
* Collaborate with fellow scientists in solving complex technical challenges, from trajectory planning to efficient multi\-task learning
* Collaborate with fellow engineers in building scalable and reusable infra to support model training, evaluation, and inference
* Contribute to focused technical initiatives from conception through deployment, ensuring successful integration with production systems
* Drive technical discussions within the team and and key stakeholders
* Conduct experiments and prototype new ideas
* Make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1\+ years of CS, CE, ML or related field experience
* 4\+ years of programming in Java, C\+\+, Python or related language experience
* Experience building machine learning models or developing algorithms for business application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Bellevue \- 142,800\.00 \- 193,200\.00 USD annually</t>
        </is>
      </c>
    </row>
    <row r="68">
      <c r="A68" t="inlineStr">
        <is>
          <t>in-29caa4e94132ce40</t>
        </is>
      </c>
      <c r="B68" t="inlineStr">
        <is>
          <t>Principal Applied Scientist, Kiro Science</t>
        </is>
      </c>
      <c r="C68" t="inlineStr">
        <is>
          <t>Amazon Web Services</t>
        </is>
      </c>
      <c r="D68" t="inlineStr">
        <is>
          <t>indeed</t>
        </is>
      </c>
      <c r="E68" t="inlineStr"/>
      <c r="F68" t="inlineStr"/>
      <c r="G68" t="inlineStr">
        <is>
          <t>Santa Clara, CA, US</t>
        </is>
      </c>
      <c r="H68" s="1" t="n">
        <v>45999</v>
      </c>
      <c r="I68"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69">
      <c r="A69" t="inlineStr">
        <is>
          <t>in-dbd6cda93151cc37</t>
        </is>
      </c>
      <c r="B69" t="inlineStr">
        <is>
          <t>Principal Applied Scientist, Kiro Science</t>
        </is>
      </c>
      <c r="C69" t="inlineStr">
        <is>
          <t>Amazon Web Services</t>
        </is>
      </c>
      <c r="D69" t="inlineStr">
        <is>
          <t>indeed</t>
        </is>
      </c>
      <c r="E69" t="inlineStr"/>
      <c r="F69" t="inlineStr"/>
      <c r="G69" t="inlineStr">
        <is>
          <t>New York, NY, US</t>
        </is>
      </c>
      <c r="H69" s="1" t="n">
        <v>45999</v>
      </c>
      <c r="I69"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70">
      <c r="A70" t="inlineStr">
        <is>
          <t>in-6bc2c8e4bc2b1b50</t>
        </is>
      </c>
      <c r="B70" t="inlineStr">
        <is>
          <t>Principal Applied Scientist, Sponsored Products and Brands</t>
        </is>
      </c>
      <c r="C70" t="inlineStr">
        <is>
          <t>Amazon.com</t>
        </is>
      </c>
      <c r="D70" t="inlineStr">
        <is>
          <t>indeed</t>
        </is>
      </c>
      <c r="E70" t="inlineStr"/>
      <c r="F70" t="inlineStr"/>
      <c r="G70" t="inlineStr">
        <is>
          <t>New York, NY, US</t>
        </is>
      </c>
      <c r="H70" s="1" t="n">
        <v>45979</v>
      </c>
      <c r="I70"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in-432d640d05cef65a</t>
        </is>
      </c>
      <c r="B71" t="inlineStr">
        <is>
          <t>Principal Applied Scientist, Sponsored Products and Brands</t>
        </is>
      </c>
      <c r="C71" t="inlineStr">
        <is>
          <t>Amazon.com</t>
        </is>
      </c>
      <c r="D71" t="inlineStr">
        <is>
          <t>indeed</t>
        </is>
      </c>
      <c r="E71" t="inlineStr"/>
      <c r="F71" t="inlineStr"/>
      <c r="G71" t="inlineStr">
        <is>
          <t>Seattle, WA, US</t>
        </is>
      </c>
      <c r="H71" s="1" t="n">
        <v>45979</v>
      </c>
      <c r="I71"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in-52e7136a4a0f1b95</t>
        </is>
      </c>
      <c r="B72" t="inlineStr">
        <is>
          <t>Sr. Applied Scientist, Sponsored Products</t>
        </is>
      </c>
      <c r="C72" t="inlineStr">
        <is>
          <t>Amazon.com</t>
        </is>
      </c>
      <c r="D72" t="inlineStr">
        <is>
          <t>indeed</t>
        </is>
      </c>
      <c r="E72" t="inlineStr"/>
      <c r="F72" t="inlineStr"/>
      <c r="G72" t="inlineStr">
        <is>
          <t>Seattle, WA, US</t>
        </is>
      </c>
      <c r="H72" s="1" t="n">
        <v>45976</v>
      </c>
      <c r="I72"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73">
      <c r="A73" t="inlineStr">
        <is>
          <t>in-0db87cadd9fc2a68</t>
        </is>
      </c>
      <c r="B73" t="inlineStr">
        <is>
          <t>Sr. Applied Scientist, Sponsored Products</t>
        </is>
      </c>
      <c r="C73" t="inlineStr">
        <is>
          <t>Amazon.com</t>
        </is>
      </c>
      <c r="D73" t="inlineStr">
        <is>
          <t>indeed</t>
        </is>
      </c>
      <c r="E73" t="inlineStr"/>
      <c r="F73" t="inlineStr"/>
      <c r="G73" t="inlineStr">
        <is>
          <t>New York, NY, US</t>
        </is>
      </c>
      <c r="H73" s="1" t="n">
        <v>45976</v>
      </c>
      <c r="I73"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74">
      <c r="A74" t="inlineStr">
        <is>
          <t>in-1517409d2741c0f5</t>
        </is>
      </c>
      <c r="B74" t="inlineStr">
        <is>
          <t>Sr. Applied Scientist, Sponsored Products</t>
        </is>
      </c>
      <c r="C74" t="inlineStr">
        <is>
          <t>Amazon.com</t>
        </is>
      </c>
      <c r="D74" t="inlineStr">
        <is>
          <t>indeed</t>
        </is>
      </c>
      <c r="E74" t="inlineStr"/>
      <c r="F74" t="inlineStr"/>
      <c r="G74" t="inlineStr">
        <is>
          <t>Arlington, VA, US</t>
        </is>
      </c>
      <c r="H74" s="1" t="n">
        <v>45976</v>
      </c>
      <c r="I74"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75">
      <c r="A75" t="inlineStr">
        <is>
          <t>in-5020df89abee78dd</t>
        </is>
      </c>
      <c r="B75" t="inlineStr">
        <is>
          <t>Applied Scientist, AWS Agentic AI</t>
        </is>
      </c>
      <c r="C75" t="inlineStr">
        <is>
          <t>Amazon Web Services</t>
        </is>
      </c>
      <c r="D75" t="inlineStr">
        <is>
          <t>indeed</t>
        </is>
      </c>
      <c r="E75" t="inlineStr"/>
      <c r="F75" t="inlineStr"/>
      <c r="G75" t="inlineStr">
        <is>
          <t>New York, NY, US</t>
        </is>
      </c>
      <c r="H75" s="1" t="n">
        <v>45962</v>
      </c>
      <c r="I75"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in-114d7cc0edd7eefc</t>
        </is>
      </c>
      <c r="B76" t="inlineStr">
        <is>
          <t>Applied Scientist, AWS Agentic AI</t>
        </is>
      </c>
      <c r="C76" t="inlineStr">
        <is>
          <t>Amazon Web Services</t>
        </is>
      </c>
      <c r="D76" t="inlineStr">
        <is>
          <t>indeed</t>
        </is>
      </c>
      <c r="E76" t="inlineStr"/>
      <c r="F76" t="inlineStr"/>
      <c r="G76" t="inlineStr">
        <is>
          <t>Santa Clara, CA, US</t>
        </is>
      </c>
      <c r="H76" s="1" t="n">
        <v>45962</v>
      </c>
      <c r="I76"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in-13fe8f60b0b9a959</t>
        </is>
      </c>
      <c r="B77" t="inlineStr">
        <is>
          <t>Applied Scientist, AWS Agentic AI</t>
        </is>
      </c>
      <c r="C77" t="inlineStr">
        <is>
          <t>Amazon Web Services</t>
        </is>
      </c>
      <c r="D77" t="inlineStr">
        <is>
          <t>indeed</t>
        </is>
      </c>
      <c r="E77" t="inlineStr"/>
      <c r="F77" t="inlineStr"/>
      <c r="G77" t="inlineStr">
        <is>
          <t>Seattle, WA, US</t>
        </is>
      </c>
      <c r="H77" s="1" t="n">
        <v>45962</v>
      </c>
      <c r="I77"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in-3737cd781812a589</t>
        </is>
      </c>
      <c r="B78" t="inlineStr">
        <is>
          <t>Applied Scientist, Prime Video - Content Understanding, Localization &amp; Enrichment Team</t>
        </is>
      </c>
      <c r="C78" t="inlineStr">
        <is>
          <t>Amazon.com</t>
        </is>
      </c>
      <c r="D78" t="inlineStr">
        <is>
          <t>indeed</t>
        </is>
      </c>
      <c r="E78" t="inlineStr"/>
      <c r="F78" t="inlineStr"/>
      <c r="G78" t="inlineStr">
        <is>
          <t>San Francisco, CA, US</t>
        </is>
      </c>
      <c r="H78" s="1" t="n">
        <v>45943</v>
      </c>
      <c r="I7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79">
      <c r="A79" t="inlineStr">
        <is>
          <t>in-fa53b405b1909db7</t>
        </is>
      </c>
      <c r="B79" t="inlineStr">
        <is>
          <t>Applied Scientist, Prime Video - Content Understanding, Localization &amp; Enrichment Team</t>
        </is>
      </c>
      <c r="C79" t="inlineStr">
        <is>
          <t>Amazon.com</t>
        </is>
      </c>
      <c r="D79" t="inlineStr">
        <is>
          <t>indeed</t>
        </is>
      </c>
      <c r="E79" t="inlineStr"/>
      <c r="F79" t="inlineStr"/>
      <c r="G79" t="inlineStr">
        <is>
          <t>Seattle, WA, US</t>
        </is>
      </c>
      <c r="H79" s="1" t="n">
        <v>45943</v>
      </c>
      <c r="I7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80">
      <c r="A80" t="inlineStr">
        <is>
          <t>in-7b0537bebd35b0ec</t>
        </is>
      </c>
      <c r="B80" t="inlineStr">
        <is>
          <t>Principal Applied Scientist, Advertiser Growth, Amazon Sponsored Products &amp; Brands</t>
        </is>
      </c>
      <c r="C80" t="inlineStr">
        <is>
          <t>Amazon.com</t>
        </is>
      </c>
      <c r="D80" t="inlineStr">
        <is>
          <t>indeed</t>
        </is>
      </c>
      <c r="E80" t="inlineStr"/>
      <c r="F80" t="inlineStr"/>
      <c r="G80" t="inlineStr">
        <is>
          <t>Seattle, WA, US</t>
        </is>
      </c>
      <c r="H80" s="1" t="n">
        <v>45942</v>
      </c>
      <c r="I80"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in-ab7e1d4dcd307c4b</t>
        </is>
      </c>
      <c r="B81" t="inlineStr">
        <is>
          <t>Principal Applied Scientist, Advertiser Growth, Amazon Sponsored Products &amp; Brands</t>
        </is>
      </c>
      <c r="C81" t="inlineStr">
        <is>
          <t>Amazon.com</t>
        </is>
      </c>
      <c r="D81" t="inlineStr">
        <is>
          <t>indeed</t>
        </is>
      </c>
      <c r="E81" t="inlineStr"/>
      <c r="F81" t="inlineStr"/>
      <c r="G81" t="inlineStr">
        <is>
          <t>New York, NY, US</t>
        </is>
      </c>
      <c r="H81" s="1" t="n">
        <v>45942</v>
      </c>
      <c r="I81"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in-167e1096bd92e98c</t>
        </is>
      </c>
      <c r="B82" t="inlineStr">
        <is>
          <t>Principal Applied Scientist, Advertiser Growth, Amazon Sponsored Products &amp; Brands</t>
        </is>
      </c>
      <c r="C82" t="inlineStr">
        <is>
          <t>Amazon.com</t>
        </is>
      </c>
      <c r="D82" t="inlineStr">
        <is>
          <t>indeed</t>
        </is>
      </c>
      <c r="E82" t="inlineStr"/>
      <c r="F82" t="inlineStr"/>
      <c r="G82" t="inlineStr">
        <is>
          <t>Palo Alto, CA, US</t>
        </is>
      </c>
      <c r="H82" s="1" t="n">
        <v>45942</v>
      </c>
      <c r="I82"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in-07ca3604c2a7f544</t>
        </is>
      </c>
      <c r="B83" t="inlineStr">
        <is>
          <t>Applied Scientist, Workplace Health &amp; Safety</t>
        </is>
      </c>
      <c r="C83" t="inlineStr">
        <is>
          <t>Amazon.com</t>
        </is>
      </c>
      <c r="D83" t="inlineStr">
        <is>
          <t>indeed</t>
        </is>
      </c>
      <c r="E83" t="inlineStr"/>
      <c r="F83" t="inlineStr"/>
      <c r="G83" t="inlineStr">
        <is>
          <t>Nashville, TN, US</t>
        </is>
      </c>
      <c r="H83" s="1" t="n">
        <v>45917</v>
      </c>
      <c r="I83"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in-83c5a3eb1a4b1d70</t>
        </is>
      </c>
      <c r="B84" t="inlineStr">
        <is>
          <t>Applied Scientist, Workplace Health &amp; Safety</t>
        </is>
      </c>
      <c r="C84" t="inlineStr">
        <is>
          <t>Amazon.com</t>
        </is>
      </c>
      <c r="D84" t="inlineStr">
        <is>
          <t>indeed</t>
        </is>
      </c>
      <c r="E84" t="inlineStr"/>
      <c r="F84" t="inlineStr"/>
      <c r="G84" t="inlineStr">
        <is>
          <t>Bellevue, WA, US</t>
        </is>
      </c>
      <c r="H84" s="1" t="n">
        <v>45917</v>
      </c>
      <c r="I84"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in-24a045bf5b5c978f</t>
        </is>
      </c>
      <c r="B85" t="inlineStr">
        <is>
          <t>Sr. Applied Scientist, Prime Video - Personalization and Discovery Science</t>
        </is>
      </c>
      <c r="C85" t="inlineStr">
        <is>
          <t>Amazon.com</t>
        </is>
      </c>
      <c r="D85" t="inlineStr">
        <is>
          <t>indeed</t>
        </is>
      </c>
      <c r="E85" t="inlineStr"/>
      <c r="F85" t="inlineStr"/>
      <c r="G85" t="inlineStr">
        <is>
          <t>Sunnyvale, CA, US</t>
        </is>
      </c>
      <c r="H85" s="1" t="n">
        <v>45896</v>
      </c>
      <c r="I8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86">
      <c r="A86" t="inlineStr">
        <is>
          <t>in-5a3ee4260e828a7f</t>
        </is>
      </c>
      <c r="B86" t="inlineStr">
        <is>
          <t>Sr. Applied Scientist, Prime Video - Personalization and Discovery Science</t>
        </is>
      </c>
      <c r="C86" t="inlineStr">
        <is>
          <t>Amazon.com</t>
        </is>
      </c>
      <c r="D86" t="inlineStr">
        <is>
          <t>indeed</t>
        </is>
      </c>
      <c r="E86" t="inlineStr"/>
      <c r="F86" t="inlineStr"/>
      <c r="G86" t="inlineStr">
        <is>
          <t>Seattle, WA, US</t>
        </is>
      </c>
      <c r="H86" s="1" t="n">
        <v>45896</v>
      </c>
      <c r="I8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87">
      <c r="A87" t="inlineStr">
        <is>
          <t>in-c33b42762fa37c37</t>
        </is>
      </c>
      <c r="B87" t="inlineStr">
        <is>
          <t>Sr. Applied Scientist, Prime Video - Personalization and Discovery Science</t>
        </is>
      </c>
      <c r="C87" t="inlineStr">
        <is>
          <t>Amazon.com</t>
        </is>
      </c>
      <c r="D87" t="inlineStr">
        <is>
          <t>indeed</t>
        </is>
      </c>
      <c r="E87" t="inlineStr"/>
      <c r="F87" t="inlineStr"/>
      <c r="G87" t="inlineStr">
        <is>
          <t>New York, NY, US</t>
        </is>
      </c>
      <c r="H87" s="1" t="n">
        <v>45896</v>
      </c>
      <c r="I8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88">
      <c r="A88" t="inlineStr">
        <is>
          <t>in-2a3789a9c1c01ab9</t>
        </is>
      </c>
      <c r="B88" t="inlineStr">
        <is>
          <t>Sr. Applied Scientist, Amazon Advertising</t>
        </is>
      </c>
      <c r="C88" t="inlineStr">
        <is>
          <t>Amazon.com</t>
        </is>
      </c>
      <c r="D88" t="inlineStr">
        <is>
          <t>indeed</t>
        </is>
      </c>
      <c r="E88" t="inlineStr"/>
      <c r="F88" t="inlineStr"/>
      <c r="G88" t="inlineStr">
        <is>
          <t>New York, NY, US</t>
        </is>
      </c>
      <c r="H88" s="1" t="n">
        <v>45851</v>
      </c>
      <c r="I8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in-89fce9b609478aaf</t>
        </is>
      </c>
      <c r="B89" t="inlineStr">
        <is>
          <t>Sr. Applied Scientist, Amazon Advertising</t>
        </is>
      </c>
      <c r="C89" t="inlineStr">
        <is>
          <t>Amazon.com</t>
        </is>
      </c>
      <c r="D89" t="inlineStr">
        <is>
          <t>indeed</t>
        </is>
      </c>
      <c r="E89" t="inlineStr"/>
      <c r="F89" t="inlineStr"/>
      <c r="G89" t="inlineStr">
        <is>
          <t>Los Angeles, CA, US</t>
        </is>
      </c>
      <c r="H89" s="1" t="n">
        <v>45851</v>
      </c>
      <c r="I8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in-e6a2e2454c660314</t>
        </is>
      </c>
      <c r="B90" t="inlineStr">
        <is>
          <t>Sr. Applied Scientist, Amazon Advertising</t>
        </is>
      </c>
      <c r="C90" t="inlineStr">
        <is>
          <t>Amazon.com</t>
        </is>
      </c>
      <c r="D90" t="inlineStr">
        <is>
          <t>indeed</t>
        </is>
      </c>
      <c r="E90" t="inlineStr"/>
      <c r="F90" t="inlineStr"/>
      <c r="G90" t="inlineStr">
        <is>
          <t>West Hollywood, CA, US</t>
        </is>
      </c>
      <c r="H90" s="1" t="n">
        <v>45851</v>
      </c>
      <c r="I9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in-0b9e7958f985f6dd</t>
        </is>
      </c>
      <c r="B91" t="inlineStr">
        <is>
          <t>Sr. Applied Scientist, Amazon Advertising</t>
        </is>
      </c>
      <c r="C91" t="inlineStr">
        <is>
          <t>Amazon.com</t>
        </is>
      </c>
      <c r="D91" t="inlineStr">
        <is>
          <t>indeed</t>
        </is>
      </c>
      <c r="E91" t="inlineStr"/>
      <c r="F91" t="inlineStr"/>
      <c r="G91" t="inlineStr">
        <is>
          <t>Arlington, VA, US</t>
        </is>
      </c>
      <c r="H91" s="1" t="n">
        <v>45851</v>
      </c>
      <c r="I9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in-70c4ac8d6a2195a1</t>
        </is>
      </c>
      <c r="B92" t="inlineStr">
        <is>
          <t>Sr. Applied Scientist, Amazon Advertising</t>
        </is>
      </c>
      <c r="C92" t="inlineStr">
        <is>
          <t>Amazon.com</t>
        </is>
      </c>
      <c r="D92" t="inlineStr">
        <is>
          <t>indeed</t>
        </is>
      </c>
      <c r="E92" t="inlineStr"/>
      <c r="F92" t="inlineStr"/>
      <c r="G92" t="inlineStr">
        <is>
          <t>Austin, TX, US</t>
        </is>
      </c>
      <c r="H92" s="1" t="n">
        <v>45851</v>
      </c>
      <c r="I9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in-e7d365707acfa2db</t>
        </is>
      </c>
      <c r="B93" t="inlineStr">
        <is>
          <t>Sr. Applied Scientist, Amazon Advertising</t>
        </is>
      </c>
      <c r="C93" t="inlineStr">
        <is>
          <t>Amazon.com</t>
        </is>
      </c>
      <c r="D93" t="inlineStr">
        <is>
          <t>indeed</t>
        </is>
      </c>
      <c r="E93" t="inlineStr"/>
      <c r="F93" t="inlineStr"/>
      <c r="G93" t="inlineStr">
        <is>
          <t>Palo Alto, CA, US</t>
        </is>
      </c>
      <c r="H93" s="1" t="n">
        <v>45851</v>
      </c>
      <c r="I9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in-61f3030772ab7ca0</t>
        </is>
      </c>
      <c r="B94" t="inlineStr">
        <is>
          <t>Sr. Applied Scientist, Amazon Advertising</t>
        </is>
      </c>
      <c r="C94" t="inlineStr">
        <is>
          <t>Amazon.com</t>
        </is>
      </c>
      <c r="D94" t="inlineStr">
        <is>
          <t>indeed</t>
        </is>
      </c>
      <c r="E94" t="inlineStr"/>
      <c r="F94" t="inlineStr"/>
      <c r="G94" t="inlineStr">
        <is>
          <t>Simi Valley, CA, US</t>
        </is>
      </c>
      <c r="H94" s="1" t="n">
        <v>45851</v>
      </c>
      <c r="I9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in-2584daf9093dda38</t>
        </is>
      </c>
      <c r="B95" t="inlineStr">
        <is>
          <t>Sr. Applied Scientist, Amazon Advertising</t>
        </is>
      </c>
      <c r="C95" t="inlineStr">
        <is>
          <t>Amazon.com</t>
        </is>
      </c>
      <c r="D95" t="inlineStr">
        <is>
          <t>indeed</t>
        </is>
      </c>
      <c r="E95" t="inlineStr"/>
      <c r="F95" t="inlineStr"/>
      <c r="G95" t="inlineStr">
        <is>
          <t>Seattle, WA, US</t>
        </is>
      </c>
      <c r="H95" s="1" t="n">
        <v>45851</v>
      </c>
      <c r="I9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in-75ce033e2ea56c85</t>
        </is>
      </c>
      <c r="B96" t="inlineStr">
        <is>
          <t>Applied Scientist, Prime Video - Personalization and Discovery Science</t>
        </is>
      </c>
      <c r="C96" t="inlineStr">
        <is>
          <t>Amazon.com</t>
        </is>
      </c>
      <c r="D96" t="inlineStr">
        <is>
          <t>indeed</t>
        </is>
      </c>
      <c r="E96" t="inlineStr"/>
      <c r="F96" t="inlineStr"/>
      <c r="G96" t="inlineStr">
        <is>
          <t>Sunnyvale, CA, US</t>
        </is>
      </c>
      <c r="H96" s="1" t="n">
        <v>45845</v>
      </c>
      <c r="I9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97">
      <c r="A97" t="inlineStr">
        <is>
          <t>in-b92f6ec4e33910b6</t>
        </is>
      </c>
      <c r="B97" t="inlineStr">
        <is>
          <t>Applied Scientist, Prime Video - Personalization and Discovery Science</t>
        </is>
      </c>
      <c r="C97" t="inlineStr">
        <is>
          <t>Amazon.com</t>
        </is>
      </c>
      <c r="D97" t="inlineStr">
        <is>
          <t>indeed</t>
        </is>
      </c>
      <c r="E97" t="inlineStr"/>
      <c r="F97" t="inlineStr"/>
      <c r="G97" t="inlineStr">
        <is>
          <t>Seattle, WA, US</t>
        </is>
      </c>
      <c r="H97" s="1" t="n">
        <v>45845</v>
      </c>
      <c r="I9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98">
      <c r="A98" t="inlineStr">
        <is>
          <t>in-cdf4838924b9dd2b</t>
        </is>
      </c>
      <c r="B98" t="inlineStr">
        <is>
          <t>Applied Scientist, Prime Video - Personalization and Discovery Science</t>
        </is>
      </c>
      <c r="C98" t="inlineStr">
        <is>
          <t>Amazon.com</t>
        </is>
      </c>
      <c r="D98" t="inlineStr">
        <is>
          <t>indeed</t>
        </is>
      </c>
      <c r="E98" t="inlineStr"/>
      <c r="F98" t="inlineStr"/>
      <c r="G98" t="inlineStr">
        <is>
          <t>New York, NY, US</t>
        </is>
      </c>
      <c r="H98" s="1" t="n">
        <v>45845</v>
      </c>
      <c r="I9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99">
      <c r="A99" t="inlineStr">
        <is>
          <t>in-3ca2fed4cb3e48af</t>
        </is>
      </c>
      <c r="B99" t="inlineStr">
        <is>
          <t>Sr. Applied Scientist, AGI Info</t>
        </is>
      </c>
      <c r="C99" t="inlineStr">
        <is>
          <t>Amazon.com</t>
        </is>
      </c>
      <c r="D99" t="inlineStr">
        <is>
          <t>indeed</t>
        </is>
      </c>
      <c r="E99" t="inlineStr"/>
      <c r="F99" t="inlineStr"/>
      <c r="G99" t="inlineStr">
        <is>
          <t>Sunnyvale, CA, US</t>
        </is>
      </c>
      <c r="H99" s="1" t="n">
        <v>45811</v>
      </c>
      <c r="I99"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WA, BELLEVUE \- 167,100\.00 \- 226,100\.00 USD annually</t>
        </is>
      </c>
    </row>
    <row r="100">
      <c r="A100" t="inlineStr">
        <is>
          <t>in-62e1cef214c4fb74</t>
        </is>
      </c>
      <c r="B100" t="inlineStr">
        <is>
          <t>Sr. Applied Scientist, AGI Info</t>
        </is>
      </c>
      <c r="C100" t="inlineStr">
        <is>
          <t>Amazon.com</t>
        </is>
      </c>
      <c r="D100" t="inlineStr">
        <is>
          <t>indeed</t>
        </is>
      </c>
      <c r="E100" t="inlineStr"/>
      <c r="F100" t="inlineStr"/>
      <c r="G100" t="inlineStr">
        <is>
          <t>Bellevue, WA, US</t>
        </is>
      </c>
      <c r="H100" s="1" t="n">
        <v>45811</v>
      </c>
      <c r="I100"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WA, BELLEVUE \- 167,100\.00 \- 226,100\.00 USD annually</t>
        </is>
      </c>
    </row>
    <row r="101">
      <c r="A101" t="inlineStr">
        <is>
          <t>in-c56b638ec7b933a5</t>
        </is>
      </c>
      <c r="B101" t="inlineStr">
        <is>
          <t>Principal Applied Scientist, Delivery Foundation Model</t>
        </is>
      </c>
      <c r="C101" t="inlineStr">
        <is>
          <t>Amazon.com</t>
        </is>
      </c>
      <c r="D101" t="inlineStr">
        <is>
          <t>indeed</t>
        </is>
      </c>
      <c r="E101" t="inlineStr"/>
      <c r="F101" t="inlineStr"/>
      <c r="G101" t="inlineStr">
        <is>
          <t>New York, NY, US</t>
        </is>
      </c>
      <c r="H101" s="1" t="n">
        <v>45810</v>
      </c>
      <c r="I10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102">
      <c r="A102" t="inlineStr">
        <is>
          <t>in-4466d97cac501010</t>
        </is>
      </c>
      <c r="B102" t="inlineStr">
        <is>
          <t>Principal Applied Scientist, Delivery Foundation Model</t>
        </is>
      </c>
      <c r="C102" t="inlineStr">
        <is>
          <t>Amazon.com</t>
        </is>
      </c>
      <c r="D102" t="inlineStr">
        <is>
          <t>indeed</t>
        </is>
      </c>
      <c r="E102" t="inlineStr"/>
      <c r="F102" t="inlineStr"/>
      <c r="G102" t="inlineStr">
        <is>
          <t>Bellevue, WA, US</t>
        </is>
      </c>
      <c r="H102" s="1" t="n">
        <v>45810</v>
      </c>
      <c r="I10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103">
      <c r="A103" t="inlineStr">
        <is>
          <t>in-2eacdb57321b8d5e</t>
        </is>
      </c>
      <c r="B103" t="inlineStr">
        <is>
          <t>Principal Applied Scientist, Delivery Foundation Model</t>
        </is>
      </c>
      <c r="C103" t="inlineStr">
        <is>
          <t>Amazon.com</t>
        </is>
      </c>
      <c r="D103" t="inlineStr">
        <is>
          <t>indeed</t>
        </is>
      </c>
      <c r="E103" t="inlineStr"/>
      <c r="F103" t="inlineStr"/>
      <c r="G103" t="inlineStr">
        <is>
          <t>Austin, TX, US</t>
        </is>
      </c>
      <c r="H103" s="1" t="n">
        <v>45810</v>
      </c>
      <c r="I10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104">
      <c r="A104" t="inlineStr">
        <is>
          <t>in-00a52dc79ed496ef</t>
        </is>
      </c>
      <c r="B104" t="inlineStr">
        <is>
          <t>Principal Applied Scientist, Delivery Foundation Model</t>
        </is>
      </c>
      <c r="C104" t="inlineStr">
        <is>
          <t>Amazon.com</t>
        </is>
      </c>
      <c r="D104" t="inlineStr">
        <is>
          <t>indeed</t>
        </is>
      </c>
      <c r="E104" t="inlineStr"/>
      <c r="F104" t="inlineStr"/>
      <c r="G104" t="inlineStr">
        <is>
          <t>Santa Clara, CA, US</t>
        </is>
      </c>
      <c r="H104" s="1" t="n">
        <v>45810</v>
      </c>
      <c r="I10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105">
      <c r="A105" t="inlineStr">
        <is>
          <t>in-59603c9a0cbb4536</t>
        </is>
      </c>
      <c r="B105" t="inlineStr">
        <is>
          <t>Senior Applied Scientist, Delivery Foundation Model</t>
        </is>
      </c>
      <c r="C105" t="inlineStr">
        <is>
          <t>Amazon.com</t>
        </is>
      </c>
      <c r="D105" t="inlineStr">
        <is>
          <t>indeed</t>
        </is>
      </c>
      <c r="E105" t="inlineStr"/>
      <c r="F105" t="inlineStr"/>
      <c r="G105" t="inlineStr">
        <is>
          <t>New York, NY, US</t>
        </is>
      </c>
      <c r="H105" s="1" t="n">
        <v>45806</v>
      </c>
      <c r="I10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in-28a3f0d601fd1cde</t>
        </is>
      </c>
      <c r="B106" t="inlineStr">
        <is>
          <t>Senior Applied Scientist, Delivery Foundation Model</t>
        </is>
      </c>
      <c r="C106" t="inlineStr">
        <is>
          <t>Amazon.com</t>
        </is>
      </c>
      <c r="D106" t="inlineStr">
        <is>
          <t>indeed</t>
        </is>
      </c>
      <c r="E106" t="inlineStr"/>
      <c r="F106" t="inlineStr"/>
      <c r="G106" t="inlineStr">
        <is>
          <t>Bellevue, WA, US</t>
        </is>
      </c>
      <c r="H106" s="1" t="n">
        <v>45806</v>
      </c>
      <c r="I10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in-5fe28e71f32d0c87</t>
        </is>
      </c>
      <c r="B107" t="inlineStr">
        <is>
          <t>Senior Applied Scientist, Delivery Foundation Model</t>
        </is>
      </c>
      <c r="C107" t="inlineStr">
        <is>
          <t>Amazon.com</t>
        </is>
      </c>
      <c r="D107" t="inlineStr">
        <is>
          <t>indeed</t>
        </is>
      </c>
      <c r="E107" t="inlineStr"/>
      <c r="F107" t="inlineStr"/>
      <c r="G107" t="inlineStr">
        <is>
          <t>Santa Clara, CA, US</t>
        </is>
      </c>
      <c r="H107" s="1" t="n">
        <v>45806</v>
      </c>
      <c r="I10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in-1b501d4ca8e8e99b</t>
        </is>
      </c>
      <c r="B108" t="inlineStr">
        <is>
          <t>Sr. Applied Scientist - Privacy, Privacy Engineering</t>
        </is>
      </c>
      <c r="C108" t="inlineStr">
        <is>
          <t>Amazon.com</t>
        </is>
      </c>
      <c r="D108" t="inlineStr">
        <is>
          <t>indeed</t>
        </is>
      </c>
      <c r="E108" t="inlineStr"/>
      <c r="F108" t="inlineStr"/>
      <c r="G108" t="inlineStr">
        <is>
          <t>San Francisco, CA, US</t>
        </is>
      </c>
      <c r="H108" s="1" t="n">
        <v>45787</v>
      </c>
      <c r="I108"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in-8e0c45a8253d0f97</t>
        </is>
      </c>
      <c r="B109" t="inlineStr">
        <is>
          <t>Sr. Applied Scientist - Privacy, Privacy Engineering</t>
        </is>
      </c>
      <c r="C109" t="inlineStr">
        <is>
          <t>Amazon.com</t>
        </is>
      </c>
      <c r="D109" t="inlineStr">
        <is>
          <t>indeed</t>
        </is>
      </c>
      <c r="E109" t="inlineStr"/>
      <c r="F109" t="inlineStr"/>
      <c r="G109" t="inlineStr">
        <is>
          <t>Sunnyvale, CA, US</t>
        </is>
      </c>
      <c r="H109" s="1" t="n">
        <v>45787</v>
      </c>
      <c r="I109"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in-066e7f7f8104d1c7</t>
        </is>
      </c>
      <c r="B110" t="inlineStr">
        <is>
          <t>Sr. Applied Scientist - Privacy, Privacy Engineering</t>
        </is>
      </c>
      <c r="C110" t="inlineStr">
        <is>
          <t>Amazon.com</t>
        </is>
      </c>
      <c r="D110" t="inlineStr">
        <is>
          <t>indeed</t>
        </is>
      </c>
      <c r="E110" t="inlineStr"/>
      <c r="F110" t="inlineStr"/>
      <c r="G110" t="inlineStr">
        <is>
          <t>Seattle, WA, US</t>
        </is>
      </c>
      <c r="H110" s="1" t="n">
        <v>45787</v>
      </c>
      <c r="I110"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in-c0dbe7dcab1bd17e</t>
        </is>
      </c>
      <c r="B111" t="inlineStr">
        <is>
          <t>Sr. Applied Scientist - Privacy, Privacy Engineering</t>
        </is>
      </c>
      <c r="C111" t="inlineStr">
        <is>
          <t>Amazon.com</t>
        </is>
      </c>
      <c r="D111" t="inlineStr">
        <is>
          <t>indeed</t>
        </is>
      </c>
      <c r="E111" t="inlineStr"/>
      <c r="F111" t="inlineStr"/>
      <c r="G111" t="inlineStr">
        <is>
          <t>Santa Clara, CA, US</t>
        </is>
      </c>
      <c r="H111" s="1" t="n">
        <v>45787</v>
      </c>
      <c r="I111"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in-684415a87be361d4</t>
        </is>
      </c>
      <c r="B112" t="inlineStr">
        <is>
          <t>Principal Applied Scientist, Delivery Foundation Model</t>
        </is>
      </c>
      <c r="C112" t="inlineStr">
        <is>
          <t>Amazon.com</t>
        </is>
      </c>
      <c r="D112" t="inlineStr">
        <is>
          <t>indeed</t>
        </is>
      </c>
      <c r="E112" t="inlineStr"/>
      <c r="F112" t="inlineStr"/>
      <c r="G112" t="inlineStr">
        <is>
          <t>Bellevue, WA, US</t>
        </is>
      </c>
      <c r="H112" s="1" t="n">
        <v>45757</v>
      </c>
      <c r="I11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WA, Bellevue \- 198,900\.00 \- 269,000\.00 USD annually</t>
        </is>
      </c>
    </row>
    <row r="113">
      <c r="A113" t="inlineStr">
        <is>
          <t>in-05c3b72e1cc2fd51</t>
        </is>
      </c>
      <c r="B113" t="inlineStr">
        <is>
          <t>Principal Applied Scientist, Delivery Foundation Model</t>
        </is>
      </c>
      <c r="C113" t="inlineStr">
        <is>
          <t>Amazon.com</t>
        </is>
      </c>
      <c r="D113" t="inlineStr">
        <is>
          <t>indeed</t>
        </is>
      </c>
      <c r="E113" t="inlineStr"/>
      <c r="F113" t="inlineStr"/>
      <c r="G113" t="inlineStr">
        <is>
          <t>Santa Clara, CA, US</t>
        </is>
      </c>
      <c r="H113" s="1" t="n">
        <v>45757</v>
      </c>
      <c r="I11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WA, Bellevue \- 198,900\.00 \- 269,000\.00 USD annually</t>
        </is>
      </c>
    </row>
    <row r="114">
      <c r="A114" t="inlineStr">
        <is>
          <t>in-a990d753b222742c</t>
        </is>
      </c>
      <c r="B114" t="inlineStr">
        <is>
          <t>Principal Applied Scientist, Delivery Foundation Model</t>
        </is>
      </c>
      <c r="C114" t="inlineStr">
        <is>
          <t>Amazon.com</t>
        </is>
      </c>
      <c r="D114" t="inlineStr">
        <is>
          <t>indeed</t>
        </is>
      </c>
      <c r="E114" t="inlineStr"/>
      <c r="F114" t="inlineStr"/>
      <c r="G114" t="inlineStr">
        <is>
          <t>New York, NY, US</t>
        </is>
      </c>
      <c r="H114" s="1" t="n">
        <v>45757</v>
      </c>
      <c r="I11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WA, Bellevue \- 198,900\.00 \- 269,000\.00 USD annually</t>
        </is>
      </c>
    </row>
    <row r="115">
      <c r="A115" t="inlineStr">
        <is>
          <t>in-a5a875ea8f392ee5</t>
        </is>
      </c>
      <c r="B115" t="inlineStr">
        <is>
          <t>ML Engineer, GO-AI Technology &amp; Development Team</t>
        </is>
      </c>
      <c r="C115" t="inlineStr">
        <is>
          <t>Amazon.com</t>
        </is>
      </c>
      <c r="D115" t="inlineStr">
        <is>
          <t>indeed</t>
        </is>
      </c>
      <c r="E115" t="inlineStr"/>
      <c r="F115" t="inlineStr"/>
      <c r="G115" t="inlineStr">
        <is>
          <t>Reading, MA, US</t>
        </is>
      </c>
      <c r="H115" s="1" t="n">
        <v>45998</v>
      </c>
      <c r="I115"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16">
      <c r="A116" t="inlineStr">
        <is>
          <t>in-134349c323a19409</t>
        </is>
      </c>
      <c r="B116" t="inlineStr">
        <is>
          <t>ML Engineer, GO-AI Technology &amp; Development Team</t>
        </is>
      </c>
      <c r="C116" t="inlineStr">
        <is>
          <t>Amazon.com</t>
        </is>
      </c>
      <c r="D116" t="inlineStr">
        <is>
          <t>indeed</t>
        </is>
      </c>
      <c r="E116" t="inlineStr"/>
      <c r="F116" t="inlineStr"/>
      <c r="G116" t="inlineStr">
        <is>
          <t>Seattle, WA, US</t>
        </is>
      </c>
      <c r="H116" s="1" t="n">
        <v>45998</v>
      </c>
      <c r="I116"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17">
      <c r="A117" t="inlineStr">
        <is>
          <t>in-869e0012fec7f505</t>
        </is>
      </c>
      <c r="B117" t="inlineStr">
        <is>
          <t>ML Engineer, GO-AI Technology &amp; Development Team</t>
        </is>
      </c>
      <c r="C117" t="inlineStr">
        <is>
          <t>Amazon.com</t>
        </is>
      </c>
      <c r="D117" t="inlineStr">
        <is>
          <t>indeed</t>
        </is>
      </c>
      <c r="E117" t="inlineStr"/>
      <c r="F117" t="inlineStr"/>
      <c r="G117" t="inlineStr">
        <is>
          <t>Westborough, MA, US</t>
        </is>
      </c>
      <c r="H117" s="1" t="n">
        <v>45998</v>
      </c>
      <c r="I117"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18">
      <c r="A118" t="inlineStr">
        <is>
          <t>in-5a34747455306c8c</t>
        </is>
      </c>
      <c r="B118" t="inlineStr">
        <is>
          <t>ML Engineer, GO-AI Technology &amp; Development Team</t>
        </is>
      </c>
      <c r="C118" t="inlineStr">
        <is>
          <t>Amazon.com</t>
        </is>
      </c>
      <c r="D118" t="inlineStr">
        <is>
          <t>indeed</t>
        </is>
      </c>
      <c r="E118" t="inlineStr"/>
      <c r="F118" t="inlineStr"/>
      <c r="G118" t="inlineStr">
        <is>
          <t>Boston, MA, US</t>
        </is>
      </c>
      <c r="H118" s="1" t="n">
        <v>45998</v>
      </c>
      <c r="I118"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19">
      <c r="A119" t="inlineStr">
        <is>
          <t>in-5586c7c4027073ce</t>
        </is>
      </c>
      <c r="B119" t="inlineStr">
        <is>
          <t>Sr. Machine Learning Engineer, Siri Global</t>
        </is>
      </c>
      <c r="C119" t="inlineStr">
        <is>
          <t>Apple</t>
        </is>
      </c>
      <c r="D119" t="inlineStr">
        <is>
          <t>indeed</t>
        </is>
      </c>
      <c r="E119" t="inlineStr"/>
      <c r="F119" t="inlineStr"/>
      <c r="G119" t="inlineStr">
        <is>
          <t>Cupertino, CA, US</t>
        </is>
      </c>
      <c r="H119" s="1" t="n">
        <v>46081</v>
      </c>
      <c r="I119" t="inlineStr">
        <is>
          <t>Join the Siri team at Apple! Build and contribute to a product and company that that is building products, personal devices, and software designed to enrich people’s lives. Work on building and advancing the world’s most popular intelligent assistant that helps millions of people get things done \- just by asking.  
Global Siri works to take Siri to the next level of intelligence and capabilities in all languages and markets. We build machine learning models, systems, and software that understands the intents hundreds of millions of users and their billions of requests to Siri, on Apple devices such as iPhone, iPad, Apple Watch, Mac, AirPods, HomePod, Vision Pro and Apple TV. On the Global Scaling, Data, and Tools team, we work on ML modeling and algorithms, data platforms and technologies, and end\-to\-end ML product engineering to surprise and delight customers around the world in the languages that they speak.  
**Description**  
We seek a Senior Machine Learning Engineer / Tech Lead who is passionate about collaborating across teams in Siri and Apple to design, build, and deploy world\-class machine learning systems that help Siri best serve the needs of our users. In this role, you will work on creating and improving the accuracy, speed, reliability, and capability of Global Siri’s models and systems. We are particularly interested in “full\-stack” machine learning engineers with strong experience in research, software engineering, and have strong leadership potential.  
You should be passionate about building outstanding products, and using the full spectrum of your skills to drive technical and organizational advancements. The ideal candidate is equally comfortable with the latest academic/research advancements in ML, LLMs, NLP, and related areas, diving into all parts of the full engineering/machine learning stack to diagnose user\-facing issues and develop principled solutions, and deeply engaging in product metrics and goals with product managers, designers, and executives. Software engineering experience with both server\-based and client\-side (e.g. on\-device) models is a definite asset. In this role, the ability to communicate complex technical ideas to diverse audiences, including research scientists, data scientists, engineers, designers, managers, and other stakeholders across Siri and Apple is also essential.  
This position involves a wide variety of skills and innovation. In addition to your individual technical contributions, there are immense opportunities to multiply the impact those around you by mentoring, motivating and challenging engineers to deliver features at high quality. If you are looking for a role that is challenging, impactful, has immense growth opportunities, this role is for you.  
**Preferred Qualifications**  
Experience in data science and analytics, including data annotation, statistical analyses, A/B testing, and/or conducting experiments and investigations in large\-scale usage data environments  
Self\-starter with a proven ability to handle multiple projects with strict deadlines  
Experience in the iOS development ecosystem (e.g. Swift, Objective\-C, CoreML, or SiriKit) is a plus  
Experience in localization, internationalization, machine translation, or language technologies is an asset  
**Minimum Qualifications**  
Master's or PhD degree in computer science, software engineering, machine learning, language technologies, or related fields; outstanding candidates with Bachelor's degrees and multiple years years of significant engineering/product experience will also be considered  
10\+ years of experience developing, shipping, and measuring industry\-scale machine learning\-based software systems; experience working on large\-scale NLU systems a strong asset.  
Experience as a senior engineer, tech lead, or engineering manager for a machine learning\-based product, including mentoring other engineers, working with program and product managers, and communicating accomplishments, metrics, and challenges to cross\-functional stakeholders and leaders  
Expertise and experience in Large Language Models (LLMs) or other foundation models, ideally demonstrated through publications or shipping foundation model\-based features and products.  
Strong background in machine learning, deep learning, and foundation models, as demonstrated through top\-tier publications and/or successful development of training data, models, or software in commercial machine learning systems.  
Excellent software engineering skills: Proficiency in at least one object\-oriented language (e.g. Java, C\+\+, Objective\-C, or Swift), scripting languages (e.g. Python, Ruby, bash), and deep learning/machine learning frameworks (e.g. TensorFlow, PyTorch, or CoreML)  
Outstanding problem solving, critical thinking, creativity, organizational, design, and interpersonal skills; ability to work with all levels of engineers, scientists, designers, and communicate effectively with management, leadership, and cross\-functional partners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20">
      <c r="A120" t="inlineStr">
        <is>
          <t>in-7f07021d45d4b8f5</t>
        </is>
      </c>
      <c r="B120" t="inlineStr">
        <is>
          <t>Machine Learning Engineer</t>
        </is>
      </c>
      <c r="C120" t="inlineStr">
        <is>
          <t>Apple</t>
        </is>
      </c>
      <c r="D120" t="inlineStr">
        <is>
          <t>indeed</t>
        </is>
      </c>
      <c r="E120" t="inlineStr"/>
      <c r="F120" t="inlineStr"/>
      <c r="G120" t="inlineStr">
        <is>
          <t>Seattle, WA, US</t>
        </is>
      </c>
      <c r="H120" s="1" t="n">
        <v>46081</v>
      </c>
      <c r="I120" t="inlineStr">
        <is>
          <t>Imagine what you can do here. Apple is a place where extraordinary people gather to do their lives best work. Together we create products and experiences people once couldn’t have imagined, and now, can’t imagine living without. It’s the diversity of those people and their ideas that inspires the innovation that runs through everything we do.  
**Description**  
APPLE INC has the following available in Seattle, Washington. Design and develop personalization algorithms. Develop and refine algorithms that drive personalized content recommendations for millions of users worldwide. Utilize advanced machine learning techniques such as collaborative filtering, related model and deep to improve the accuracy and relevance of recommendations. Architect and implement scalable systems for real\-time recommendation service and batch processing of large datasets. Build data pipelines using technologies like Apache Spark, Hive, and Kafka, and setting up low\-latency personalization Java runtime services utilizing technologies such as Apache Cassandra, Redis, Lucene and TensorFlow. Continuously explore new data sources and machine learning methods to refine recommendation models. Develop internal tools for prototyping and visualization of new algorithms. This involves full\-stack web development utilizing frontend and backend languages such as JavaScript and Java. Design and conduct A/B tests to measure the impact of different personalization strategies on user engagement and satisfaction. Analyze experiment results and integrate successful features into production systems. Deploy personalization runtime algorithms and offline data pipelines into production environments, ensuring robustness and scalability. Monitor system performance and health, performing regular maintenance and updates as needed. Collaborate with product managers, researchers, and software developers to explore and evaluate new personalization strategies to integrate personalization into the broader product ecosystem. Provide expertise on machine learning and personalization to guide product development and strategic decisions. 40 hours/week. At Apple, base pay is one part of our total compensation package and is determined within a range. This provides the opportunity to progress as you grow and develop within a role. The base pay range for this role is between $212,202 \- $258,100/yr and your base pay will depend on your skills, qualifications, experience, and location.  
PAY \&amp; BENEFITS: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https://www.apple.com/careers/us/benefits.html.  
Note: Apple benefit, compensation and employee stock programs are subject to eligibility requirements and other terms of the applicable plan or program.  
**Preferred Qualifications**  
N/A  
**Minimum Qualifications**  
Master’s degree or foreign equivalent in Management Information Systems, Computer Science, Information Technology, Software Engineering, or a related field and 5 years of experience in the job offered or related occupation.  
2 years of experience with each of the following skills is required:  
Utilizing Java, Scala and JavaScript to work on multi\-language codebases.  
Utilizing TensorFlow to develop and deploy deep learning model for runtime inference.  
Utilizing big data processing technology including Spark, HDFS, Hive and Iceberg to develop large scale data pipeline.  
Utilizing Hibernate and Spring MVC frameworks to interact with SQL databases like MySQL or Postgres and NoSQL databases (Cassandra, MongoDB or similar).  
Utilizing knowledge of search engines including Elasticsearch or Apache Solr to query information for API development.  
Building foundations of a micro\-services\-based personalization systems. Maintaining and iteratively improving the recommender systems that connect users to the right content utilizing large\-scale Python, Scala, Spark based pipelines  
Collaborate with data scientists on developing features, prototyping, and iterative tuning of recommendation models  
Helping to maintain the data processing workflows utlizing Airflow and Redshift feeding personalization and Business Intelligence system  
Monitoring performance and usability of data systems, ensuring that SLOs are met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21">
      <c r="A121" t="inlineStr">
        <is>
          <t>in-7641918b3d1c65e1</t>
        </is>
      </c>
      <c r="B121" t="inlineStr">
        <is>
          <t>Machine Learning Engineer</t>
        </is>
      </c>
      <c r="C121" t="inlineStr">
        <is>
          <t>Apple</t>
        </is>
      </c>
      <c r="D121" t="inlineStr">
        <is>
          <t>indeed</t>
        </is>
      </c>
      <c r="E121" t="inlineStr"/>
      <c r="F121" t="inlineStr"/>
      <c r="G121" t="inlineStr">
        <is>
          <t>Seattle, WA, US</t>
        </is>
      </c>
      <c r="H121" s="1" t="n">
        <v>46081</v>
      </c>
      <c r="I121" t="inlineStr">
        <is>
          <t>Imagine what you can do here. Apple is a place where extraordinary people gather to do their lives best work. Together we create products and experiences people once couldn’t have imagined, and now, can’t imagine living without. It’s the diversity of those people and their ideas that inspires the innovation that runs through everything we do.  
**Description**  
APPLE INC has the following available in Seattle, Washington. Design and implement distributed systems to build world\-class machine learning (ML) platforms/products at scale and across different cloud environments that power ML at Apple. Partner with data scientists and machine learning engineers across different Apple organizations to deliver high\-impact product features quality. Responsible for system that hosts hundreds of petabytes of structured and unstructured multi modal data which is used for Machine Learning and Foundational Models. Responsible for ensuring complete data lineage and legal workflow integration while optimizing performance and scalability. Responsible for monitoring the performance of the system, optimizing it for cost and efficiency, and solving any issues that arise. Work on cutting\-edge technology and collaborate with cross\-functional teams to deliver high\-quality software solutions using background in software development, public cloud platforms, and distributed databases. 40 hours/week. At Apple, base pay is one part of our total compensation package and is determined within a range. This provides the opportunity to progress as you grow and develop within a role. The base pay range for this role is between $212,202 \- $258,100/yr and your base pay will depend on your skills, qualifications, experience, and location.  
PAY \&amp; BENEFITS: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https://www.apple.com/careers/us/benefits.html.  
Note: Apple benefit, compensation and employee stock programs are subject to eligibility requirements and other terms of the applicable plan or program.  
**Preferred Qualifications**  
N/A  
**Minimum Qualifications**  
Bachelor's Degree or foreign equivalent in Computer Science, Computer Engineering, Electrical Engineering, or related field and 5 years of progressive, post\-baccalaureate experience in the job offered or related occupation.  
1 year of experience with each of the following skills is required:  
Utilizing data structures and algorithms to create systems that are efficient and reliable at business scale.  
Using Java to implement modular and maintainable code for machine learning platform’s data management service.  
Ensuring quality code by creating unit and system test cases.  
Utilizing Big Data Technologies including Open Table Format (Iceberg), AWS Big Data Technologies such as Amazon S3, Dynamo DB, RDS, Redshift, or EMR to enable large scale data to be efficiently stored and retrieved.  
Applying AWS to build large scale cloud based applications for internal purposes  
Utilizing CI/CD to help with building and deploying the platform.  
Creating and maintaining REST API for internal usage  
Designing and implementing large\-scale distributed systems in a cloud\-native environment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22">
      <c r="A122" t="inlineStr">
        <is>
          <t>in-cc613f40317d8342</t>
        </is>
      </c>
      <c r="B122" t="inlineStr">
        <is>
          <t>Video Machine Learning Engineer</t>
        </is>
      </c>
      <c r="C122" t="inlineStr">
        <is>
          <t>Apple</t>
        </is>
      </c>
      <c r="D122" t="inlineStr">
        <is>
          <t>indeed</t>
        </is>
      </c>
      <c r="E122" t="inlineStr"/>
      <c r="F122" t="inlineStr"/>
      <c r="G122" t="inlineStr">
        <is>
          <t>Cupertino, CA, US</t>
        </is>
      </c>
      <c r="H122" s="1" t="n">
        <v>46081</v>
      </c>
      <c r="I122" t="inlineStr">
        <is>
          <t>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We are looking for a talent who will join us to craft the future of video coding and processing. Our team develops cutting edge machine learning technologies and systems that enable intelligent and interactive video experience in Apple’s products, such as FaceTime, Camera, AirPlay, CarPlay, Screen Share, Immersive Reality, etc. You will work closely with a group of highly motivated specialists to develop exciting machine learning technologies that will make a huge impact to customers.  
**Description**  
As a video machine learning engineer in our team, you will be responsible for developing ML/DL solutions to enhance or bring new user experiences. You will be deeply involved in developing new or improving existing algorithms; designing neural network architectures; training, optimizing, integrating networks; and coordinating with various teams to ship new technology in Apple products.  
","responsibilities":"Design neural network architectures  
Train, optimize, and integrate neural networks  
Participate in developing new or improving existing algorithms  
Enhance or come up with new user experiences to video communication  
Coordinate with various teams to develop and ship new technology  
**Preferred Qualifications**  
Strong programming, problem solving, and performance optimization skills  
Experience in utilizing AI in programming  
**Minimum Qualifications**  
Master's degree in Electrical Engineering or Computer Science or 3 years of equivalent work experience  
Experience in digital video processing  
Modern video codec knowledge  
Deep knowledge and experience in designing and optimizing neural networks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23">
      <c r="A123" t="inlineStr">
        <is>
          <t>in-33962645305329c8</t>
        </is>
      </c>
      <c r="B123" t="inlineStr">
        <is>
          <t>Machine Learning Engineer</t>
        </is>
      </c>
      <c r="C123" t="inlineStr">
        <is>
          <t>Apple</t>
        </is>
      </c>
      <c r="D123" t="inlineStr">
        <is>
          <t>indeed</t>
        </is>
      </c>
      <c r="E123" t="inlineStr"/>
      <c r="F123" t="inlineStr"/>
      <c r="G123" t="inlineStr">
        <is>
          <t>Cambridge, MA, US</t>
        </is>
      </c>
      <c r="H123" s="1" t="n">
        <v>46081</v>
      </c>
      <c r="I123" t="inlineStr">
        <is>
          <t>Imagine what you can do here. Apple is a place where extraordinary people gather to do their lives best work. Together we create products and experiences people once couldn’t have imagined, and now, can’t imagine living without. It’s the diversity of those people and their ideas that inspires the innovation that runs through everything we do.  
**Description**  
APPLE INC has the following available in Cambridge, Massachusetts. Engage with research teams to map out technology roadmaps including external partners like AWS. Write software to incorporate the latest developments in open\-source Machine Learning technology and make it accessible to speech researchers at Apple. Lead weekly syncs with research and engineering teams on challenges and future directions. Mentor engineers and researchers on best software engineering practices through code reviews and discussions. Scope out, plan, and lead major software engineering features with a one\-year time horizon. Lead weekly meetings with multiple contributors and stakeholders to ensure project stays on track. Leverage deep understanding of Software Engineering, Machine Learning, and Speech Processing to suggest new directions to take to leadership and partner teams. Make technical recommendations and help team implement Machine Learning tools and pipelines that incorporate best practices for preserving customer privacy during training and evaluation of speech recognition models. Work with partner teams to troubleshoot and fix tools and infrastructure used by speech researchers to unblock work and serve as a technical liaison between multiple engineering teams at Apple and Speech Recognition researchers. 40 hours/week. At Apple, base pay is one part of our total compensation package and is determined within a range. This provides the opportunity to progress as you grow and develop within a role. The base pay range for this role is between $162,500 \- $244,600/yr and your base pay will depend on your skills, qualifications, experience, and location.  
PAY \&amp; BENEFITS: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https://www.apple.com/careers/us/benefits.html.  
Note: Apple benefit, compensation and employee stock programs are subject to eligibility requirements and other terms of the applicable plan or program.  
**Preferred Qualifications**  
N/A  
**Minimum Qualifications**  
Bachelor’s degree or foreign equivalent in Computer Science, Computer Engineering, Software Engineering, Machine Learning or related field and 1 year of experience in the job offered or related occupation.  
1 year of experience with each of the following skills is required:  
Applying Machine Learning and Artificial Concepts including neural networks, conformers, and transformers to improve speech recognition models  
Using Machine Learning toolkits, including PyTorch and experience optimizing models for faster computation.  
Leveraging GPUs in distributed workloads for machine learning tasks to train large, highly accurate machine learning models while using GPU resources efficiently to allow more research ideas and improve models for customers faster  
Utilizing Python for software engineering tasks.  
Managing large Python codebase with more than ten contributors.  
Managing machine learning projects with interdisciplinary teams including researchers, engineers, and linguists to improve models for customers.  
Using speech understanding and speech concepts for all products and languages including a variety of acoustic environments and accents.  
Utilizing technical knowledge and distilling requirements to work with infrastructure partner teams internally and externally.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24">
      <c r="A124" t="inlineStr">
        <is>
          <t>in-001756aecd740a31</t>
        </is>
      </c>
      <c r="B124" t="inlineStr">
        <is>
          <t>Machine Learning Engineer</t>
        </is>
      </c>
      <c r="C124" t="inlineStr">
        <is>
          <t>Apple</t>
        </is>
      </c>
      <c r="D124" t="inlineStr">
        <is>
          <t>indeed</t>
        </is>
      </c>
      <c r="E124" t="inlineStr"/>
      <c r="F124" t="inlineStr"/>
      <c r="G124" t="inlineStr">
        <is>
          <t>Seattle, WA, US</t>
        </is>
      </c>
      <c r="H124" s="1" t="n">
        <v>46081</v>
      </c>
      <c r="I124" t="inlineStr">
        <is>
          <t>Imagine what you can do here. Apple is a place where extraordinary people gather to do their lives best work. Together we create products and experiences people once couldn’t have imagined, and now, can’t imagine living without. It’s the diversity of those people and their ideas that inspires the innovation that runs through everything we do.  
**Description**  
APPLE INC has the following available in Seattle, Washington. Develop software to run innovative machine learning systems in the cloud. Implement performant ML based algorithms in a distributed system and keep up to date with best practices and new technologies. Work closely with ML engineers to ensure their algorithms can be deployed efficiently in the cloud. Build software to support batch inferences for new large language models. Analyze and improve the job success rates for batch inference jobs. Optimize efficiency of the pipeline to improve throughput for large scale inference solutions. Build a scalable and efficient system to improve utilization of high\-performance GPU fleet. 40 hours/week. At Apple, base pay is one part of our total compensation package and is determined within a range. This provides the opportunity to progress as you grow and develop within a role. The base pay range for this role is between $139,500 \- $210,100/yr and your base pay will depend on your skills, qualifications, experience, and location.  
PAY \&amp; BENEFITS: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https://www.apple.com/careers/us/benefits.html.  
Note: Apple benefit, compensation and employee stock programs are subject to eligibility requirements and other terms of the applicable plan or program.  
**Preferred Qualifications**  
N/A  
**Minimum Qualifications**  
Bachelor’s degree or foreign equivalent in Software Engineering, Computer Science, or related field and 2 years of experience in the job offered or related occupation.  
2 years of experience with each of the following skills is required:  
Applying Golang to design and develop large language model batch inference service codebase.  
Utilizing docker containerization and Kubernetes orchestration including AWS EKS or GCP to run batch inference service on the cloud infrastructure.  
Ensuring performance, scalability, security and maintainability when designing robust, large scale batch inference service.  
Utilizing ML Framework including PyTorch or TensorFlow to develop and optimize large language models.  
Applying foundation model architectures including Transformers, Encoder/Decoder to train, and fine\-tune large language models.  
Utilizing MapReduce to develop efficient large scale data pipelines.  
Applying MLOps best practice to automate model deployment, monitoring, and continuous integration / continuous delivery.  
Utilizing hardware accelerators including GPUs or TPUs to maximize computational efficiency and reduce inference time.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25">
      <c r="A125" t="inlineStr">
        <is>
          <t>in-1d615a37a0632c92</t>
        </is>
      </c>
      <c r="B125" t="inlineStr">
        <is>
          <t>Machine Learning Engineer</t>
        </is>
      </c>
      <c r="C125" t="inlineStr">
        <is>
          <t>Apple</t>
        </is>
      </c>
      <c r="D125" t="inlineStr">
        <is>
          <t>indeed</t>
        </is>
      </c>
      <c r="E125" t="inlineStr"/>
      <c r="F125" t="inlineStr"/>
      <c r="G125" t="inlineStr">
        <is>
          <t>Cupertino, CA, US</t>
        </is>
      </c>
      <c r="H125" s="1" t="n">
        <v>46081</v>
      </c>
      <c r="I125" t="inlineStr">
        <is>
          <t>Imagine what you can do here. Apple is a place where extraordinary people gather to do their lives best work. Together we create products and experiences people once couldn’t have imagined, and now, can’t imagine living without. It’s the diversity of those people and their ideas that inspires the innovation that runs through everything we do.  
**Description**  
APPLE INC has the following available in Cupertino, California and various unanticipated locations throughout the USA. Working with computer architects to develop ideas for improving performance on future silicon. Improving performance of machine learning algorithms on the CPUs in apple watches, iPhones and Mac. Testing workloads to ensure no performance regressions on silico. Debugging performance regressions on silicon and improve performance of machine learning model. Researching about instruction set architectures and conduct performance tuning on hardware. Collaborating with compiler teams to improve application and system performance. Working closely with OS teams to debug issues and maintain the operating system. Benchmarking and comparing the performance of workloads across different operating system/compiler/silicon versions. Working with machine learning teams to find ways to improve the performance of their models on the CPUs in different devices. Presenting CPU performance results to cross functional teams. Working with performance modeling team to develop plans for silicon performance profiling and characterization; and working with instruction profiling tools to develop new instructions to improve instruction time. 40 hours/week. At Apple, base pay is one part of our total compensation package and is determined within a range. This provides the opportunity to progress as you grow and develop within a role. The base pay range for this role is between $166,470 \- $220,900/yr and your base pay will depend on your skills, qualifications, experience, and location.  
PAY \&amp; BENEFITS: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https://www.apple.com/careers/us/benefits.html.  
Note: Apple benefit, compensation and employee stock programs are subject to eligibility requirements and other terms of the applicable plan or program.  
**Preferred Qualifications**  
N/A  
**Minimum Qualifications**  
Master’s degree or foreign equivalent in Electrical Engineering, Computer Engineering or related field.  
Experience and/or education must include:  
Programming in C/C\+\+ and machine learning including neural networks and K\-nearest neighbors.  
Developing high performance software for linear algebra kernels and kernels used in machine learning applications.  
Write parallel code for multicore, manycore, and cluster platforms.  
Write parallel programs understanding machine performance characteristics and how hardware design affects software design.  
Optimizing compilers that effectively exploit modern processor architectures and implementing optimizations within the framework of a compiler.  
Knowledge of assembly language programming.  
Applying tools including compilers, code analyzers, debuggers, and profilers.  
Utilizing modern programming tools including GDB debuggers and x86 disassemblers.  
Evaluate performance and implement optimizations for machine learning algorithms using computer arithmetic, processor architecture, memory organization and management, concurrent computation.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26">
      <c r="A126" t="inlineStr">
        <is>
          <t>in-c16837a99907eb59</t>
        </is>
      </c>
      <c r="B126" t="inlineStr">
        <is>
          <t>Machine Learning Engineer</t>
        </is>
      </c>
      <c r="C126" t="inlineStr">
        <is>
          <t>Apple</t>
        </is>
      </c>
      <c r="D126" t="inlineStr">
        <is>
          <t>indeed</t>
        </is>
      </c>
      <c r="E126" t="inlineStr"/>
      <c r="F126" t="inlineStr"/>
      <c r="G126" t="inlineStr">
        <is>
          <t>New York, NY, US</t>
        </is>
      </c>
      <c r="H126" s="1" t="n">
        <v>46081</v>
      </c>
      <c r="I126" t="inlineStr">
        <is>
          <t>Imagine what you can do here. Apple is a place where extraordinary people gather to do their lives best work. Together we create products and experiences people once couldn’t have imagined, and now, can’t imagine living without. It’s the diversity of those people and their ideas that inspires the innovation that runs through everything we do.  
**Description**  
APPLE INC has the following available in New York, New York. Work with Product, Design, Project and Engineering to identify, conceptualize and implement the ML use cases for Apple Sports. Prototype ML and Probabilistic algorithms specific to Sports Data. Analyze the Apple Sports Signals and recognize the relevant probabilistic patterns to enhance existing systems while keeping user privacy intact. Execute Statistical tests to identify strength and weakness of ML systems and address by using appropriate ML techniques. Find patterns in the data to enhance the user experience. Document and keep the Apple Sports teams up to date with ML research. 40 hours/week. At Apple, base pay is one part of our total compensation package and is determined within a range. This provides the opportunity to progress as you grow and develop within a role. The base pay range for this role is between $147,400 \- $220,900/yr and your base pay will depend on your skills, qualifications, experience, and location.  
PAY \&amp; BENEFITS: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https://www.apple.com/careers/us/benefits.html.  
Note: Apple benefit, compensation and employee stock programs are subject to eligibility requirements and other terms of the applicable plan or program.  
**Preferred Qualifications**  
N/A  
**Minimum Qualifications**  
Master’s degree or foreign equivalent in Computer Science, Software Engineering, Electrical and Computer Engineering, or related field.  
Experience and/or education must include:  
Utilizing Python and PyTorch to design, train, and deploy machine learning models for prediction, classification, and generation tasks.  
Utilizing modern NLP techniques with Transformer\-based architectures including BERT or GPT for text classification and generation.  
Applying statistical and probabilistic modeling, including logistic regression, Bayesian inference, and hypothesis testing, to support model development and evaluation.  
Designing and executing A/B tests and multivariate experiments to validate machine learning model performance and guide iterative improvements.  
Using Scikit\-learn, including decision trees, clustering, and ensemble methods to implement classical machine learning algorithms  
Utilizing NLTK or similar NLP toolkits for text preprocessing, tokenization, sentiment analysis, and named entity recognition.  
Conducting time\-series data analysis and pattern recognition using supervised and unsupervised learning techniques.  
Using version\-controlled scripts and model evaluation frameworks to develop and maintain reproducible machine learning workflows.  
Documenting ML research findings and translating experimental results into actionable technical improvements.  
Collaborating cross\-functionally with engineering, product, and design teams to integrate ML models into user\-facing applications.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27">
      <c r="A127" t="inlineStr">
        <is>
          <t>in-945fba7f2b1f7861</t>
        </is>
      </c>
      <c r="B127" t="inlineStr">
        <is>
          <t>Staff AI Engineer, Commercial Technology</t>
        </is>
      </c>
      <c r="C127" t="inlineStr">
        <is>
          <t>Rivian</t>
        </is>
      </c>
      <c r="D127" t="inlineStr">
        <is>
          <t>indeed</t>
        </is>
      </c>
      <c r="E127" t="inlineStr"/>
      <c r="F127" t="inlineStr"/>
      <c r="G127" t="inlineStr">
        <is>
          <t>Palo Alto, CA, US</t>
        </is>
      </c>
      <c r="H127" s="1" t="n">
        <v>46081</v>
      </c>
      <c r="I127" t="inlineStr">
        <is>
          <t>About Us:
Rivian is on a mission to keep the world adventurous forever. This goes for the emissions\-free Electric Adventure Vehicles we build, and the curious, courageous souls we seek to attract.  
As a company, we constantly challenge what’s possible, never simply accepting what has always been done. We reframe old problems, seek new solutions and operate comfortably in areas that are unknown. Our backgrounds are diverse, but our team shares a love of the outdoors and a desire to protect it for future generations.
Role Summary:
Rivian is seeking an entrepreneurial, hands\-on senior contributor to build and scale our Enterprise AI solutions driving impact across Commercial Technology teams. As a Staff AI Engineer, you will design, build, and operate production\-grade systems at the forefront of generative AI, partnering with leaders across the company to unlock transformative business value. You will set technical direction, build complex agentic solutions, and raise the engineering bar through architectural leadership, operational excellence, and pragmatic innovation with language models and machine learning. This position will be located in Palo Alto, CA and report to our Sr. Manager and Director of Software Engineering.
Responsibilities:
* Lead the technical design and hands\-on development of prioritized AI applications, services, and platforms leveraging state\-of\-the\-art LLM app stacks, retrieval\-augmented generation, evaluation frameworks, and scalable serving.
* Build a holistic view of AI investments by collaborating with engineering groups implementing AI in their domains, aligning patterns, reusing components, and avoiding duplication.
* Drive continuous improvement in AI methodologies and best practices; evaluate emerging capabilities and land them as secure, production\-grade systems.
* Champion AI literacy, enablement, and adoption through demos, guidance, and technical leadership across the org.
* Establish rigorous evaluation, guardrails, and monitoring practices; instrument offline and online metrics \&amp; telemetry to ensure quality, safety, and SLOs; improve performance based on data.
* Optimize latency, throughput, and cost at scale; guide make/buy decisions and vendor integrations where appropriate.
Qualifications:
* BS/MS in Computer Science or a related field, or equivalent experience.
* Practical software engineering experience building backend services, APIs, or data\-intensive applications; strong foundations in algorithms, data structures, and systems.
* Exposure to or hands\-on experience with LLM application concepts such as retrieval, grounding, prompt/agent design, function/tool use, evaluation, safety/guardrails, and cost/latency optimization.
* Proficiency with modern software delivery practices (version control, CI/CD, testing, observability); familiarity with cloud\-native services and containerization.
* Ability to collaborate with product and business partners; strong written and verbal communication skills.
* Bias to ship, learn, and iterate; comfortable working in fast\-evolving technology areas with incomplete information.
* Demonstrated ownership of services or platform components, end\-to\-end delivery of cross\-service initiatives, and contributions to reliability/SLOs and operational excellence.
* Strong proficiency with AWS (Lambda, API Gateway, S3, DynamoDB, IAM, ECS/EKS).
* Deep understanding of database and storage paradigms (SQL, NoSQL, search engines).
* Proficiency in one or more programming languages: Python, Typescript, Java, Go, C\+\+, or Rust.
* Proven ability to define platform\-wide architecture standards and drive DevOps practices in a data\-focused environment.
#### **Preferred**
* Deep technical knowledge in AI/ML, with hands\-on experience building and deploying solutions using language models, retrieval/grounding, embeddings/vector search, and evaluation.
* Strong familiarity with security, privacy, compliance, safety, and auditability for enterprise AI systems.
Pay Disclosure:
Salary Range for this role is$206,500 \- $258,100 for California based applicants. This is the lowest to highest salary we in good faith believe we would pay for this role at the time of this posting. An employee’s position within the salary range will be based on several factors including, but not limited to, specific competencies, relevant education, qualifications, certifications, experience, skills, geographic location, shift, and organizational needs.  
The successful candidate may be eligible for annual performance bonus and equity awards.  
We offer a comprehensive package of benefits for full\-time and part\-time employees, their spouse or domestic partner, and children up to age 26, including but not limited to paid vacation, paid sick leave, and a competitive portfolio of insurance benefits including life, medical, dental, vision, short\-term disability insurance, and long\-term disability insurance to eligible employees. You may also have the opportunity to participate in Rivian’s 401(k) Plan and Employee Stock Purchase Program if you meet certain eligibility requirements. Full\-time employee coverage is effective on their first day of employment. Part\-time employee coverage is effective the first of the month following 90 days of employment. More information about benefits is available at rivianbenefits.com.  
You can apply for this role through careers.rivian.com (or through internal\-careers\-rivian.icims.com if you are a current employee). This job is not expected to be closed any sooner than April 6, 2026\.
Company Statements:
#### **Equal Opportunity**
Rivian is an equal opportunity employer and complies with all applicable federal, state, and local fair employment practices laws.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Rivian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may share your Candidate Personal Data with (i) internal personnel who have a need to know such information in order to perform their duties, including individuals on our People Team, Finance, Legal, and the team(s) with the position(s) for which you are applying; (ii) Rivian affiliates; and (iii) Rivian’s service providers, including providers of background checks, staffing services, and cloud services.  
Rivian may transfer or store internationally your Candidate Personal Data, including to or in the United States, Canada, the United Kingdom, and the European Union and in the cloud, and this data may be subject to the laws and accessible to the courts, law enforcement and national security authorities of such jurisdictions. **Please note that we are currently not accepting applications from third party application services.**</t>
        </is>
      </c>
    </row>
    <row r="128">
      <c r="A128" t="inlineStr">
        <is>
          <t>in-03b0ce858e44a1f9</t>
        </is>
      </c>
      <c r="B128" t="inlineStr">
        <is>
          <t>Sr. Applied Scientist, Amazon Ads</t>
        </is>
      </c>
      <c r="C128" t="inlineStr">
        <is>
          <t>Amazon.com</t>
        </is>
      </c>
      <c r="D128" t="inlineStr">
        <is>
          <t>indeed</t>
        </is>
      </c>
      <c r="E128" t="inlineStr"/>
      <c r="F128" t="inlineStr"/>
      <c r="G128" t="inlineStr">
        <is>
          <t>Seattle, WA, US</t>
        </is>
      </c>
      <c r="H128" s="1" t="n">
        <v>45998</v>
      </c>
      <c r="I12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29">
      <c r="A129" t="inlineStr">
        <is>
          <t>in-977ba59658b40f1d</t>
        </is>
      </c>
      <c r="B129" t="inlineStr">
        <is>
          <t>Sr. Applied Scientist, Amazon Ads</t>
        </is>
      </c>
      <c r="C129" t="inlineStr">
        <is>
          <t>Amazon.com</t>
        </is>
      </c>
      <c r="D129" t="inlineStr">
        <is>
          <t>indeed</t>
        </is>
      </c>
      <c r="E129" t="inlineStr"/>
      <c r="F129" t="inlineStr"/>
      <c r="G129" t="inlineStr">
        <is>
          <t>Tukwila, WA, US</t>
        </is>
      </c>
      <c r="H129" s="1" t="n">
        <v>45998</v>
      </c>
      <c r="I12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30">
      <c r="A130" t="inlineStr">
        <is>
          <t>in-aa192e0cf0a8eef3</t>
        </is>
      </c>
      <c r="B130" t="inlineStr">
        <is>
          <t>Sr. Applied Scientist, Amazon Ads</t>
        </is>
      </c>
      <c r="C130" t="inlineStr">
        <is>
          <t>Amazon.com</t>
        </is>
      </c>
      <c r="D130" t="inlineStr">
        <is>
          <t>indeed</t>
        </is>
      </c>
      <c r="E130" t="inlineStr"/>
      <c r="F130" t="inlineStr"/>
      <c r="G130" t="inlineStr">
        <is>
          <t>Sunnyvale, CA, US</t>
        </is>
      </c>
      <c r="H130" s="1" t="n">
        <v>45998</v>
      </c>
      <c r="I13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31">
      <c r="A131" t="inlineStr">
        <is>
          <t>in-67a4dc06338fe070</t>
        </is>
      </c>
      <c r="B131" t="inlineStr">
        <is>
          <t>Sr. Applied Scientist, Amazon Ads</t>
        </is>
      </c>
      <c r="C131" t="inlineStr">
        <is>
          <t>Amazon.com</t>
        </is>
      </c>
      <c r="D131" t="inlineStr">
        <is>
          <t>indeed</t>
        </is>
      </c>
      <c r="E131" t="inlineStr"/>
      <c r="F131" t="inlineStr"/>
      <c r="G131" t="inlineStr">
        <is>
          <t>New York, NY, US</t>
        </is>
      </c>
      <c r="H131" s="1" t="n">
        <v>45998</v>
      </c>
      <c r="I13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32">
      <c r="A132" t="inlineStr">
        <is>
          <t>in-e981163251d04e60</t>
        </is>
      </c>
      <c r="B132" t="inlineStr">
        <is>
          <t>Sr. Applied Scientist, Amazon Ads</t>
        </is>
      </c>
      <c r="C132" t="inlineStr">
        <is>
          <t>Amazon.com</t>
        </is>
      </c>
      <c r="D132" t="inlineStr">
        <is>
          <t>indeed</t>
        </is>
      </c>
      <c r="E132" t="inlineStr"/>
      <c r="F132" t="inlineStr"/>
      <c r="G132" t="inlineStr">
        <is>
          <t>Palo Alto, CA, US</t>
        </is>
      </c>
      <c r="H132" s="1" t="n">
        <v>45998</v>
      </c>
      <c r="I13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33">
      <c r="A133" t="inlineStr">
        <is>
          <t>in-797129995d6031cb</t>
        </is>
      </c>
      <c r="B133" t="inlineStr">
        <is>
          <t>Sr. Applied Scientist, Amazon Ads</t>
        </is>
      </c>
      <c r="C133" t="inlineStr">
        <is>
          <t>Amazon.com</t>
        </is>
      </c>
      <c r="D133" t="inlineStr">
        <is>
          <t>indeed</t>
        </is>
      </c>
      <c r="E133" t="inlineStr"/>
      <c r="F133" t="inlineStr"/>
      <c r="G133" t="inlineStr">
        <is>
          <t>Santa Monica, CA, US</t>
        </is>
      </c>
      <c r="H133" s="1" t="n">
        <v>45998</v>
      </c>
      <c r="I13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34">
      <c r="A134" t="inlineStr">
        <is>
          <t>in-79bc1c4f768bd36c</t>
        </is>
      </c>
      <c r="B134" t="inlineStr">
        <is>
          <t>Sr. Applied Scientist, Amazon Ads</t>
        </is>
      </c>
      <c r="C134" t="inlineStr">
        <is>
          <t>Amazon.com</t>
        </is>
      </c>
      <c r="D134" t="inlineStr">
        <is>
          <t>indeed</t>
        </is>
      </c>
      <c r="E134" t="inlineStr"/>
      <c r="F134" t="inlineStr"/>
      <c r="G134" t="inlineStr">
        <is>
          <t>Brooklyn, NY, US</t>
        </is>
      </c>
      <c r="H134" s="1" t="n">
        <v>45998</v>
      </c>
      <c r="I13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35">
      <c r="A135" t="inlineStr">
        <is>
          <t>in-600bf2316884cc29</t>
        </is>
      </c>
      <c r="B135" t="inlineStr">
        <is>
          <t>Sr. Applied Scientist, Amazon Ads</t>
        </is>
      </c>
      <c r="C135" t="inlineStr">
        <is>
          <t>Amazon.com</t>
        </is>
      </c>
      <c r="D135" t="inlineStr">
        <is>
          <t>indeed</t>
        </is>
      </c>
      <c r="E135" t="inlineStr"/>
      <c r="F135" t="inlineStr"/>
      <c r="G135" t="inlineStr">
        <is>
          <t>Boulder, CO, US</t>
        </is>
      </c>
      <c r="H135" s="1" t="n">
        <v>45998</v>
      </c>
      <c r="I13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36">
      <c r="A136" t="inlineStr">
        <is>
          <t>in-28c9aee22c7b35ee</t>
        </is>
      </c>
      <c r="B136" t="inlineStr">
        <is>
          <t>Sr. Applied Scientist, Amazon Ads</t>
        </is>
      </c>
      <c r="C136" t="inlineStr">
        <is>
          <t>Amazon.com</t>
        </is>
      </c>
      <c r="D136" t="inlineStr">
        <is>
          <t>indeed</t>
        </is>
      </c>
      <c r="E136" t="inlineStr"/>
      <c r="F136" t="inlineStr"/>
      <c r="G136" t="inlineStr">
        <is>
          <t>Boston, MA, US</t>
        </is>
      </c>
      <c r="H136" s="1" t="n">
        <v>45998</v>
      </c>
      <c r="I13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37">
      <c r="A137" t="inlineStr">
        <is>
          <t>in-41282f79f444c43c</t>
        </is>
      </c>
      <c r="B137" t="inlineStr">
        <is>
          <t>Sr. Applied Scientist, Amazon Ads</t>
        </is>
      </c>
      <c r="C137" t="inlineStr">
        <is>
          <t>Amazon.com</t>
        </is>
      </c>
      <c r="D137" t="inlineStr">
        <is>
          <t>indeed</t>
        </is>
      </c>
      <c r="E137" t="inlineStr"/>
      <c r="F137" t="inlineStr"/>
      <c r="G137" t="inlineStr">
        <is>
          <t>Corvallis, OR, US</t>
        </is>
      </c>
      <c r="H137" s="1" t="n">
        <v>45998</v>
      </c>
      <c r="I13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38">
      <c r="A138" t="inlineStr">
        <is>
          <t>in-97dc645777d54d9b</t>
        </is>
      </c>
      <c r="B138" t="inlineStr">
        <is>
          <t>Senior Applied Scientist, Sponsored Products and Brands</t>
        </is>
      </c>
      <c r="C138" t="inlineStr">
        <is>
          <t>Amazon.com</t>
        </is>
      </c>
      <c r="D138" t="inlineStr">
        <is>
          <t>indeed</t>
        </is>
      </c>
      <c r="E138" t="inlineStr"/>
      <c r="F138" t="inlineStr"/>
      <c r="G138" t="inlineStr">
        <is>
          <t>Seattle, WA, US</t>
        </is>
      </c>
      <c r="H138" s="1" t="n">
        <v>45979</v>
      </c>
      <c r="I138"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139">
      <c r="A139" t="inlineStr">
        <is>
          <t>in-4aab84d5c724cba9</t>
        </is>
      </c>
      <c r="B139" t="inlineStr">
        <is>
          <t>Senior Applied Scientist, Sponsored Products and Brands</t>
        </is>
      </c>
      <c r="C139" t="inlineStr">
        <is>
          <t>Amazon.com</t>
        </is>
      </c>
      <c r="D139" t="inlineStr">
        <is>
          <t>indeed</t>
        </is>
      </c>
      <c r="E139" t="inlineStr"/>
      <c r="F139" t="inlineStr"/>
      <c r="G139" t="inlineStr">
        <is>
          <t>New York, NY, US</t>
        </is>
      </c>
      <c r="H139" s="1" t="n">
        <v>45979</v>
      </c>
      <c r="I139"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140">
      <c r="A140" t="inlineStr">
        <is>
          <t>in-042dce491ad0f216</t>
        </is>
      </c>
      <c r="B140" t="inlineStr">
        <is>
          <t>Applied Scientist II, Prime Video - Personalization and Discovery Science, Personalization and Discovery Science</t>
        </is>
      </c>
      <c r="C140" t="inlineStr">
        <is>
          <t>Amazon.com</t>
        </is>
      </c>
      <c r="D140" t="inlineStr">
        <is>
          <t>indeed</t>
        </is>
      </c>
      <c r="E140" t="inlineStr"/>
      <c r="F140" t="inlineStr"/>
      <c r="G140" t="inlineStr">
        <is>
          <t>Seattle, WA, US</t>
        </is>
      </c>
      <c r="H140" s="1" t="n">
        <v>45930</v>
      </c>
      <c r="I14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1">
      <c r="A141" t="inlineStr">
        <is>
          <t>in-7f75ebf939763fd7</t>
        </is>
      </c>
      <c r="B141" t="inlineStr">
        <is>
          <t>Applied Scientist II, Prime Video - Personalization and Discovery Science, Personalization and Discovery Science</t>
        </is>
      </c>
      <c r="C141" t="inlineStr">
        <is>
          <t>Amazon.com</t>
        </is>
      </c>
      <c r="D141" t="inlineStr">
        <is>
          <t>indeed</t>
        </is>
      </c>
      <c r="E141" t="inlineStr"/>
      <c r="F141" t="inlineStr"/>
      <c r="G141" t="inlineStr">
        <is>
          <t>Sunnyvale, CA, US</t>
        </is>
      </c>
      <c r="H141" s="1" t="n">
        <v>45930</v>
      </c>
      <c r="I14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2">
      <c r="A142" t="inlineStr">
        <is>
          <t>in-9b28e0d4b4a3ac42</t>
        </is>
      </c>
      <c r="B142" t="inlineStr">
        <is>
          <t>Applied Scientist II, Prime Video - Personalization and Discovery Science, Personalization and Discovery Science</t>
        </is>
      </c>
      <c r="C142" t="inlineStr">
        <is>
          <t>Amazon.com</t>
        </is>
      </c>
      <c r="D142" t="inlineStr">
        <is>
          <t>indeed</t>
        </is>
      </c>
      <c r="E142" t="inlineStr"/>
      <c r="F142" t="inlineStr"/>
      <c r="G142" t="inlineStr">
        <is>
          <t>New York, NY, US</t>
        </is>
      </c>
      <c r="H142" s="1" t="n">
        <v>45930</v>
      </c>
      <c r="I14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3">
      <c r="A143" t="inlineStr">
        <is>
          <t>in-b47feef493ca86f7</t>
        </is>
      </c>
      <c r="B143" t="inlineStr">
        <is>
          <t>Sr. Applied Scientist, Prime Video - Personalization and Discovery Science</t>
        </is>
      </c>
      <c r="C143" t="inlineStr">
        <is>
          <t>Amazon.com</t>
        </is>
      </c>
      <c r="D143" t="inlineStr">
        <is>
          <t>indeed</t>
        </is>
      </c>
      <c r="E143" t="inlineStr"/>
      <c r="F143" t="inlineStr"/>
      <c r="G143" t="inlineStr">
        <is>
          <t>New York, NY, US</t>
        </is>
      </c>
      <c r="H143" s="1" t="n">
        <v>45881</v>
      </c>
      <c r="I14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4">
      <c r="A144" t="inlineStr">
        <is>
          <t>in-9994f0446108a4f0</t>
        </is>
      </c>
      <c r="B144" t="inlineStr">
        <is>
          <t>Sr. Applied Scientist, Prime Video - Personalization and Discovery Science</t>
        </is>
      </c>
      <c r="C144" t="inlineStr">
        <is>
          <t>Amazon.com</t>
        </is>
      </c>
      <c r="D144" t="inlineStr">
        <is>
          <t>indeed</t>
        </is>
      </c>
      <c r="E144" t="inlineStr"/>
      <c r="F144" t="inlineStr"/>
      <c r="G144" t="inlineStr">
        <is>
          <t>Sunnyvale, CA, US</t>
        </is>
      </c>
      <c r="H144" s="1" t="n">
        <v>45881</v>
      </c>
      <c r="I14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5">
      <c r="A145" t="inlineStr">
        <is>
          <t>in-d121b5106e53b866</t>
        </is>
      </c>
      <c r="B145" t="inlineStr">
        <is>
          <t>Applied Scientist II, Prime Video - Personalization and Discovery Science</t>
        </is>
      </c>
      <c r="C145" t="inlineStr">
        <is>
          <t>Amazon.com</t>
        </is>
      </c>
      <c r="D145" t="inlineStr">
        <is>
          <t>indeed</t>
        </is>
      </c>
      <c r="E145" t="inlineStr"/>
      <c r="F145" t="inlineStr"/>
      <c r="G145" t="inlineStr">
        <is>
          <t>Seattle, WA, US</t>
        </is>
      </c>
      <c r="H145" s="1" t="n">
        <v>45881</v>
      </c>
      <c r="I14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6">
      <c r="A146" t="inlineStr">
        <is>
          <t>in-4bc1363d3fbdc5ad</t>
        </is>
      </c>
      <c r="B146" t="inlineStr">
        <is>
          <t>Applied Scientist II, Prime Video - Personalization and Discovery Science</t>
        </is>
      </c>
      <c r="C146" t="inlineStr">
        <is>
          <t>Amazon.com</t>
        </is>
      </c>
      <c r="D146" t="inlineStr">
        <is>
          <t>indeed</t>
        </is>
      </c>
      <c r="E146" t="inlineStr"/>
      <c r="F146" t="inlineStr"/>
      <c r="G146" t="inlineStr">
        <is>
          <t>New York, NY, US</t>
        </is>
      </c>
      <c r="H146" s="1" t="n">
        <v>45881</v>
      </c>
      <c r="I14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7">
      <c r="A147" t="inlineStr">
        <is>
          <t>in-51729af4a1ae1bf3</t>
        </is>
      </c>
      <c r="B147" t="inlineStr">
        <is>
          <t>Applied Scientist II, Prime Video - Personalization and Discovery Science</t>
        </is>
      </c>
      <c r="C147" t="inlineStr">
        <is>
          <t>Amazon.com</t>
        </is>
      </c>
      <c r="D147" t="inlineStr">
        <is>
          <t>indeed</t>
        </is>
      </c>
      <c r="E147" t="inlineStr"/>
      <c r="F147" t="inlineStr"/>
      <c r="G147" t="inlineStr">
        <is>
          <t>Sunnyvale, CA, US</t>
        </is>
      </c>
      <c r="H147" s="1" t="n">
        <v>45881</v>
      </c>
      <c r="I14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8">
      <c r="A148" t="inlineStr">
        <is>
          <t>in-1324a8edecd683c7</t>
        </is>
      </c>
      <c r="B148" t="inlineStr">
        <is>
          <t>Sr. Applied Scientist, Prime Video - Personalization and Discovery Science</t>
        </is>
      </c>
      <c r="C148" t="inlineStr">
        <is>
          <t>Amazon.com</t>
        </is>
      </c>
      <c r="D148" t="inlineStr">
        <is>
          <t>indeed</t>
        </is>
      </c>
      <c r="E148" t="inlineStr"/>
      <c r="F148" t="inlineStr"/>
      <c r="G148" t="inlineStr">
        <is>
          <t>Seattle, WA, US</t>
        </is>
      </c>
      <c r="H148" s="1" t="n">
        <v>45881</v>
      </c>
      <c r="I14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9">
      <c r="A149" t="inlineStr">
        <is>
          <t>in-07033ee573558eba</t>
        </is>
      </c>
      <c r="B149" t="inlineStr">
        <is>
          <t>Principal Applied Scientist, AWS Marketplace &amp; Partner Services</t>
        </is>
      </c>
      <c r="C149" t="inlineStr">
        <is>
          <t>Amazon Web Services</t>
        </is>
      </c>
      <c r="D149" t="inlineStr">
        <is>
          <t>indeed</t>
        </is>
      </c>
      <c r="E149" t="inlineStr"/>
      <c r="F149" t="inlineStr"/>
      <c r="G149" t="inlineStr">
        <is>
          <t>Austin, TX, US</t>
        </is>
      </c>
      <c r="H149" s="1" t="n">
        <v>46056</v>
      </c>
      <c r="I149" t="inlineStr">
        <is>
          <t>**DESCRIPTION**
---------------
The AWS Marketplace \&amp; Partner Services (AMPS) Science team is at the forefront of driving AWS's AI\-powered growth through developing and evaluating the next generation search, recommendations, and agentic systems. As a Principal Applied Scientist on our team, you'll own the technical strategy and execution for our most ambitious AI\-driven initiatives that directly accelerate AWS revenue growth through both customer discovery experiences and partner co\-selling capabilities.
Your work will establish Marketplace as customers' primary solution discovery and transaction platform while simultaneously transforming how AWS partners scale their business through insights and agentic workflow automation.  
You will be a trusted technical leader who tackles intrinsically complex scientific problems by leveraging deep expertise in information retrieval, recommendation systems, LLMs, and agentic systems. You'll innovate and set the standard for scientific excellence, making decisions that affect how products are built and integrated across AMPS. You'll align teams toward coherent strategies, guide peers in adopting the latest scientific trends, and force\-multiply by decomposing hard problems and executing through collaboration.  
Key job responsibilities  
* Define direction for next\-generation recommendation systems, including deep personalization, agentic architecture, and primitives that integrate customer usage patterns, infrastructure requirements, and business objectives to deliver personalized, outcome\-oriented guidance
* Lead information retrieval innovations, multi\-objective ranking, and reasoning over heterogeneous solution types
* Architect, implement, and design agentic AI systems that orchestrate complex workflows
* Bridge theoretical innovations with practical solutions, making critical judgments to select the best technical approaches for both short and long\-term objectives
* Mentor and guide applied scientists, holding the team to high standards of technical rigor and scientific excellence
* Contribute to the broader scientific community through patents, publications at conferences, and engagement with academic partners
About the team  
The AWS Marketplace \&amp; Partner Services Science team is at the forefront of developing and deploying AI/ML systems that serve multiple critical stakeholders:  
* AWS Customers: Through the AWS Marketplace, we support discovery experiences that streamline cloud adoption and innovation.
* AWS Partners: Via Partner Central, we offer advanced tools and insights to enhance collaboration and drive mutual growth.
* Internal AWS Sellers: We equip our sales teams with data\-driven recommendations to better serve our customers and partners.
**BASIC QUALIFICATIONS**
------------------------
* 5\+ years of practical work applying ML to solve complex problems experience
* Experience working in predictive modeling and analysis
* Experience programming in Java, C\+\+, Python or related language
* Experience in several of the following areas: machine learning, statistics, deep learning, natural language processing, or information retrieval
**PREFERRED QUALIFICATIONS**
----------------------------
* 10\+ years of relevant work in industry or academia experience
* Experience with leading experienced scientists as well as having a record of developing junior members from academia or industry to a career track in a business environment
* Experience creating novel algorithms and advancing the state of the art
* Have peer\-reviewed scientific contributions in premier journals and conferences
* PhD in Electrical Engineering, Computer Science, Mathematics, or a related technical field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\- 198,900\.00 \- 269,000\.00 USD annually  
USA, NY, New York \- 218,800\.00 \- 295,900\.00 USD annually  
USA, TX, Austin \- 198,900\.00 \- 269,000\.00 USD annually  
USA, WA, Seattle \- 198,900\.00 \- 269,000\.00 USD annually</t>
        </is>
      </c>
    </row>
    <row r="150">
      <c r="A150" t="inlineStr">
        <is>
          <t>in-e24470aef5cfa2fa</t>
        </is>
      </c>
      <c r="B150" t="inlineStr">
        <is>
          <t>Principal Applied Scientist, AWS Marketplace &amp; Partner Services</t>
        </is>
      </c>
      <c r="C150" t="inlineStr">
        <is>
          <t>Amazon Web Services</t>
        </is>
      </c>
      <c r="D150" t="inlineStr">
        <is>
          <t>indeed</t>
        </is>
      </c>
      <c r="E150" t="inlineStr"/>
      <c r="F150" t="inlineStr"/>
      <c r="G150" t="inlineStr">
        <is>
          <t>San Diego, CA, US</t>
        </is>
      </c>
      <c r="H150" s="1" t="n">
        <v>46056</v>
      </c>
      <c r="I150" t="inlineStr">
        <is>
          <t>**DESCRIPTION**
---------------
The AWS Marketplace \&amp; Partner Services (AMPS) Science team is at the forefront of driving AWS's AI\-powered growth through developing and evaluating the next generation search, recommendations, and agentic systems. As a Principal Applied Scientist on our team, you'll own the technical strategy and execution for our most ambitious AI\-driven initiatives that directly accelerate AWS revenue growth through both customer discovery experiences and partner co\-selling capabilities.
Your work will establish Marketplace as customers' primary solution discovery and transaction platform while simultaneously transforming how AWS partners scale their business through insights and agentic workflow automation.  
You will be a trusted technical leader who tackles intrinsically complex scientific problems by leveraging deep expertise in information retrieval, recommendation systems, LLMs, and agentic systems. You'll innovate and set the standard for scientific excellence, making decisions that affect how products are built and integrated across AMPS. You'll align teams toward coherent strategies, guide peers in adopting the latest scientific trends, and force\-multiply by decomposing hard problems and executing through collaboration.  
Key job responsibilities  
* Define direction for next\-generation recommendation systems, including deep personalization, agentic architecture, and primitives that integrate customer usage patterns, infrastructure requirements, and business objectives to deliver personalized, outcome\-oriented guidance
* Lead information retrieval innovations, multi\-objective ranking, and reasoning over heterogeneous solution types
* Architect, implement, and design agentic AI systems that orchestrate complex workflows
* Bridge theoretical innovations with practical solutions, making critical judgments to select the best technical approaches for both short and long\-term objectives
* Mentor and guide applied scientists, holding the team to high standards of technical rigor and scientific excellence
* Contribute to the broader scientific community through patents, publications at conferences, and engagement with academic partners
About the team  
The AWS Marketplace \&amp; Partner Services Science team is at the forefront of developing and deploying AI/ML systems that serve multiple critical stakeholders:  
* AWS Customers: Through the AWS Marketplace, we support discovery experiences that streamline cloud adoption and innovation.
* AWS Partners: Via Partner Central, we offer advanced tools and insights to enhance collaboration and drive mutual growth.
* Internal AWS Sellers: We equip our sales teams with data\-driven recommendations to better serve our customers and partners.
**BASIC QUALIFICATIONS**
------------------------
* 5\+ years of practical work applying ML to solve complex problems experience
* Experience working in predictive modeling and analysis
* Experience programming in Java, C\+\+, Python or related language
* Experience in several of the following areas: machine learning, statistics, deep learning, natural language processing, or information retrieval
**PREFERRED QUALIFICATIONS**
----------------------------
* 10\+ years of relevant work in industry or academia experience
* Experience with leading experienced scientists as well as having a record of developing junior members from academia or industry to a career track in a business environment
* Experience creating novel algorithms and advancing the state of the art
* Have peer\-reviewed scientific contributions in premier journals and conferences
* PhD in Electrical Engineering, Computer Science, Mathematics, or a related technical field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\- 198,900\.00 \- 269,000\.00 USD annually  
USA, NY, New York \- 218,800\.00 \- 295,900\.00 USD annually  
USA, TX, Austin \- 198,900\.00 \- 269,000\.00 USD annually  
USA, WA, Seattle \- 198,900\.00 \- 269,000\.00 USD annually</t>
        </is>
      </c>
    </row>
    <row r="151">
      <c r="A151" t="inlineStr">
        <is>
          <t>in-795d6ca559d8d72c</t>
        </is>
      </c>
      <c r="B151" t="inlineStr">
        <is>
          <t>Principal Applied Scientist, AWS Marketplace &amp; Partner Services</t>
        </is>
      </c>
      <c r="C151" t="inlineStr">
        <is>
          <t>Amazon Web Services</t>
        </is>
      </c>
      <c r="D151" t="inlineStr">
        <is>
          <t>indeed</t>
        </is>
      </c>
      <c r="E151" t="inlineStr"/>
      <c r="F151" t="inlineStr"/>
      <c r="G151" t="inlineStr">
        <is>
          <t>Seattle, WA, US</t>
        </is>
      </c>
      <c r="H151" s="1" t="n">
        <v>46056</v>
      </c>
      <c r="I151" t="inlineStr">
        <is>
          <t>**DESCRIPTION**
---------------
The AWS Marketplace \&amp; Partner Services (AMPS) Science team is at the forefront of driving AWS's AI\-powered growth through developing and evaluating the next generation search, recommendations, and agentic systems. As a Principal Applied Scientist on our team, you'll own the technical strategy and execution for our most ambitious AI\-driven initiatives that directly accelerate AWS revenue growth through both customer discovery experiences and partner co\-selling capabilities.
Your work will establish Marketplace as customers' primary solution discovery and transaction platform while simultaneously transforming how AWS partners scale their business through insights and agentic workflow automation.  
You will be a trusted technical leader who tackles intrinsically complex scientific problems by leveraging deep expertise in information retrieval, recommendation systems, LLMs, and agentic systems. You'll innovate and set the standard for scientific excellence, making decisions that affect how products are built and integrated across AMPS. You'll align teams toward coherent strategies, guide peers in adopting the latest scientific trends, and force\-multiply by decomposing hard problems and executing through collaboration.  
Key job responsibilities  
* Define direction for next\-generation recommendation systems, including deep personalization, agentic architecture, and primitives that integrate customer usage patterns, infrastructure requirements, and business objectives to deliver personalized, outcome\-oriented guidance
* Lead information retrieval innovations, multi\-objective ranking, and reasoning over heterogeneous solution types
* Architect, implement, and design agentic AI systems that orchestrate complex workflows
* Bridge theoretical innovations with practical solutions, making critical judgments to select the best technical approaches for both short and long\-term objectives
* Mentor and guide applied scientists, holding the team to high standards of technical rigor and scientific excellence
* Contribute to the broader scientific community through patents, publications at conferences, and engagement with academic partners
About the team  
The AWS Marketplace \&amp; Partner Services Science team is at the forefront of developing and deploying AI/ML systems that serve multiple critical stakeholders:  
* AWS Customers: Through the AWS Marketplace, we support discovery experiences that streamline cloud adoption and innovation.
* AWS Partners: Via Partner Central, we offer advanced tools and insights to enhance collaboration and drive mutual growth.
* Internal AWS Sellers: We equip our sales teams with data\-driven recommendations to better serve our customers and partners.
**BASIC QUALIFICATIONS**
------------------------
* 5\+ years of practical work applying ML to solve complex problems experience
* Experience working in predictive modeling and analysis
* Experience programming in Java, C\+\+, Python or related language
* Experience in several of the following areas: machine learning, statistics, deep learning, natural language processing, or information retrieval
**PREFERRED QUALIFICATIONS**
----------------------------
* 10\+ years of relevant work in industry or academia experience
* Experience with leading experienced scientists as well as having a record of developing junior members from academia or industry to a career track in a business environment
* Experience creating novel algorithms and advancing the state of the art
* Have peer\-reviewed scientific contributions in premier journals and conferences
* PhD in Electrical Engineering, Computer Science, Mathematics, or a related technical field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\- 198,900\.00 \- 269,000\.00 USD annually  
USA, NY, New York \- 218,800\.00 \- 295,900\.00 USD annually  
USA, TX, Austin \- 198,900\.00 \- 269,000\.00 USD annually  
USA, WA, Seattle \- 198,900\.00 \- 269,000\.00 USD annually</t>
        </is>
      </c>
    </row>
    <row r="152">
      <c r="A152" t="inlineStr">
        <is>
          <t>in-6b5d02f37f363355</t>
        </is>
      </c>
      <c r="B152" t="inlineStr">
        <is>
          <t>Principal Applied Scientist, AWS Marketplace &amp; Partner Services</t>
        </is>
      </c>
      <c r="C152" t="inlineStr">
        <is>
          <t>Amazon Web Services</t>
        </is>
      </c>
      <c r="D152" t="inlineStr">
        <is>
          <t>indeed</t>
        </is>
      </c>
      <c r="E152" t="inlineStr"/>
      <c r="F152" t="inlineStr"/>
      <c r="G152" t="inlineStr">
        <is>
          <t>New York, NY, US</t>
        </is>
      </c>
      <c r="H152" s="1" t="n">
        <v>46056</v>
      </c>
      <c r="I152" t="inlineStr">
        <is>
          <t>**DESCRIPTION**
---------------
The AWS Marketplace \&amp; Partner Services (AMPS) Science team is at the forefront of driving AWS's AI\-powered growth through developing and evaluating the next generation search, recommendations, and agentic systems. As a Principal Applied Scientist on our team, you'll own the technical strategy and execution for our most ambitious AI\-driven initiatives that directly accelerate AWS revenue growth through both customer discovery experiences and partner co\-selling capabilities.
Your work will establish Marketplace as customers' primary solution discovery and transaction platform while simultaneously transforming how AWS partners scale their business through insights and agentic workflow automation.  
You will be a trusted technical leader who tackles intrinsically complex scientific problems by leveraging deep expertise in information retrieval, recommendation systems, LLMs, and agentic systems. You'll innovate and set the standard for scientific excellence, making decisions that affect how products are built and integrated across AMPS. You'll align teams toward coherent strategies, guide peers in adopting the latest scientific trends, and force\-multiply by decomposing hard problems and executing through collaboration.  
Key job responsibilities  
* Define direction for next\-generation recommendation systems, including deep personalization, agentic architecture, and primitives that integrate customer usage patterns, infrastructure requirements, and business objectives to deliver personalized, outcome\-oriented guidance
* Lead information retrieval innovations, multi\-objective ranking, and reasoning over heterogeneous solution types
* Architect, implement, and design agentic AI systems that orchestrate complex workflows
* Bridge theoretical innovations with practical solutions, making critical judgments to select the best technical approaches for both short and long\-term objectives
* Mentor and guide applied scientists, holding the team to high standards of technical rigor and scientific excellence
* Contribute to the broader scientific community through patents, publications at conferences, and engagement with academic partners
About the team  
The AWS Marketplace \&amp; Partner Services Science team is at the forefront of developing and deploying AI/ML systems that serve multiple critical stakeholders:  
* AWS Customers: Through the AWS Marketplace, we support discovery experiences that streamline cloud adoption and innovation.
* AWS Partners: Via Partner Central, we offer advanced tools and insights to enhance collaboration and drive mutual growth.
* Internal AWS Sellers: We equip our sales teams with data\-driven recommendations to better serve our customers and partners.
**BASIC QUALIFICATIONS**
------------------------
* 5\+ years of practical work applying ML to solve complex problems experience
* Experience working in predictive modeling and analysis
* Experience programming in Java, C\+\+, Python or related language
* Experience in several of the following areas: machine learning, statistics, deep learning, natural language processing, or information retrieval
**PREFERRED QUALIFICATIONS**
----------------------------
* 10\+ years of relevant work in industry or academia experience
* Experience with leading experienced scientists as well as having a record of developing junior members from academia or industry to a career track in a business environment
* Experience creating novel algorithms and advancing the state of the art
* Have peer\-reviewed scientific contributions in premier journals and conferences
* PhD in Electrical Engineering, Computer Science, Mathematics, or a related technical field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\- 198,900\.00 \- 269,000\.00 USD annually  
USA, NY, New York \- 218,800\.00 \- 295,900\.00 USD annually  
USA, TX, Austin \- 198,900\.00 \- 269,000\.00 USD annually  
USA, WA, Seattle \- 198,900\.00 \- 269,000\.00 USD annually</t>
        </is>
      </c>
    </row>
    <row r="153">
      <c r="A153" t="inlineStr">
        <is>
          <t>in-05231d52d759ed17</t>
        </is>
      </c>
      <c r="B153" t="inlineStr">
        <is>
          <t>Sr. Applied Scientist, AWS Healthcare-AI</t>
        </is>
      </c>
      <c r="C153" t="inlineStr">
        <is>
          <t>Amazon.com</t>
        </is>
      </c>
      <c r="D153" t="inlineStr">
        <is>
          <t>indeed</t>
        </is>
      </c>
      <c r="E153" t="inlineStr"/>
      <c r="F153" t="inlineStr"/>
      <c r="G153" t="inlineStr">
        <is>
          <t>Seattle, WA, US</t>
        </is>
      </c>
      <c r="H153" s="1" t="n">
        <v>46055</v>
      </c>
      <c r="I153" t="inlineStr">
        <is>
          <t>**DESCRIPTION**
---------------
At AWS Healthcare AI, we're revolutionizing healthcare delivery through AI solutions that serve millions globally. As a pioneer in healthcare technology, we're building next\-generation services that combine Amazon's world\-class AI infrastructure with deep healthcare expertise. Our mission is to accelerate our healthcare businesses by delivering intuitive and differentiated technology solutions that solve enduring business challenges. The AWS Healthcare AI organization includes services such as HealthScribe, Comprehend Medical, HealthLake, and more.  
We're seeking a Senior Applied Scientist to join our team working on our AI driven clinical solutions that are transforming how clinicians interact with patients and document care.  
Key Job Responsibilities
To be successful in this mission, we are seeking an experienced Applied Scientist to lead pioneering research and development of new, highly confidential AI applications that re\-imagine experiences for end\-customers (e.g., consumers, patients), frontline workers (e.g., customer service agents, clinicians), and back\-office staff (e.g., claims processing, medical coding). As a leading subject matter expert in NLU, deep learning, knowledge representation, foundation models, and reinforcement learning, you will guide a team of scientists to invent novel, generative AI\-powered experiences. This role involves defining research directions, developing new ML techniques, conducting rigorous experiments, and ensuring research translates to impactful products. You will be a hands\-on technical innovator who is passionate about building scalable scientific solutions. You will set the standard for excellence, invent scalable, scientifically sound solutions across teams, define evaluation methods, and lead complex reviews. This role wields significant influence across AWS, Amazon, and the global research community.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Mountain View \- 192,200\.00 \- 260,000\.00 USD annually  
USA, WA, Seattle \- 167,100\.00 \- 226,100\.00 USD annually</t>
        </is>
      </c>
    </row>
    <row r="154">
      <c r="A154" t="inlineStr">
        <is>
          <t>in-a46deac0150ac7db</t>
        </is>
      </c>
      <c r="B154" t="inlineStr">
        <is>
          <t>Sr. Applied Scientist, AWS Healthcare-AI</t>
        </is>
      </c>
      <c r="C154" t="inlineStr">
        <is>
          <t>Amazon.com</t>
        </is>
      </c>
      <c r="D154" t="inlineStr">
        <is>
          <t>indeed</t>
        </is>
      </c>
      <c r="E154" t="inlineStr"/>
      <c r="F154" t="inlineStr"/>
      <c r="G154" t="inlineStr">
        <is>
          <t>Mountain View, CA, US</t>
        </is>
      </c>
      <c r="H154" s="1" t="n">
        <v>46055</v>
      </c>
      <c r="I154" t="inlineStr">
        <is>
          <t>**DESCRIPTION**
---------------
At AWS Healthcare AI, we're revolutionizing healthcare delivery through AI solutions that serve millions globally. As a pioneer in healthcare technology, we're building next\-generation services that combine Amazon's world\-class AI infrastructure with deep healthcare expertise. Our mission is to accelerate our healthcare businesses by delivering intuitive and differentiated technology solutions that solve enduring business challenges. The AWS Healthcare AI organization includes services such as HealthScribe, Comprehend Medical, HealthLake, and more.  
We're seeking a Senior Applied Scientist to join our team working on our AI driven clinical solutions that are transforming how clinicians interact with patients and document care.  
Key Job Responsibilities
To be successful in this mission, we are seeking an experienced Applied Scientist to lead pioneering research and development of new, highly confidential AI applications that re\-imagine experiences for end\-customers (e.g., consumers, patients), frontline workers (e.g., customer service agents, clinicians), and back\-office staff (e.g., claims processing, medical coding). As a leading subject matter expert in NLU, deep learning, knowledge representation, foundation models, and reinforcement learning, you will guide a team of scientists to invent novel, generative AI\-powered experiences. This role involves defining research directions, developing new ML techniques, conducting rigorous experiments, and ensuring research translates to impactful products. You will be a hands\-on technical innovator who is passionate about building scalable scientific solutions. You will set the standard for excellence, invent scalable, scientifically sound solutions across teams, define evaluation methods, and lead complex reviews. This role wields significant influence across AWS, Amazon, and the global research community.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Mountain View \- 192,200\.00 \- 260,000\.00 USD annually  
USA, WA, Seattle \- 167,100\.00 \- 226,100\.00 USD annually</t>
        </is>
      </c>
    </row>
    <row r="155">
      <c r="A155" t="inlineStr">
        <is>
          <t>in-804dfd31777b2a0a</t>
        </is>
      </c>
      <c r="B155" t="inlineStr">
        <is>
          <t>Applied Scientist (Contract), Artificial General Intelligence</t>
        </is>
      </c>
      <c r="C155" t="inlineStr">
        <is>
          <t>Amazon.com</t>
        </is>
      </c>
      <c r="D155" t="inlineStr">
        <is>
          <t>indeed</t>
        </is>
      </c>
      <c r="E155" t="inlineStr"/>
      <c r="F155" t="inlineStr"/>
      <c r="G155" t="inlineStr">
        <is>
          <t>Bellevue, WA, US</t>
        </is>
      </c>
      <c r="H155" s="1" t="n">
        <v>46055</v>
      </c>
      <c r="I155"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156">
      <c r="A156" t="inlineStr">
        <is>
          <t>in-b18665721738381c</t>
        </is>
      </c>
      <c r="B156" t="inlineStr">
        <is>
          <t>Applied Scientist (Contract), Artificial General Intelligence</t>
        </is>
      </c>
      <c r="C156" t="inlineStr">
        <is>
          <t>Amazon.com</t>
        </is>
      </c>
      <c r="D156" t="inlineStr">
        <is>
          <t>indeed</t>
        </is>
      </c>
      <c r="E156" t="inlineStr"/>
      <c r="F156" t="inlineStr"/>
      <c r="G156" t="inlineStr">
        <is>
          <t>Boston, MA, US</t>
        </is>
      </c>
      <c r="H156" s="1" t="n">
        <v>46055</v>
      </c>
      <c r="I156"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157">
      <c r="A157" t="inlineStr">
        <is>
          <t>in-89b2a5b431c0d743</t>
        </is>
      </c>
      <c r="B157" t="inlineStr">
        <is>
          <t>Applied Scientist (Contract), Artificial General Intelligence</t>
        </is>
      </c>
      <c r="C157" t="inlineStr">
        <is>
          <t>Amazon.com</t>
        </is>
      </c>
      <c r="D157" t="inlineStr">
        <is>
          <t>indeed</t>
        </is>
      </c>
      <c r="E157" t="inlineStr"/>
      <c r="F157" t="inlineStr"/>
      <c r="G157" t="inlineStr">
        <is>
          <t>Boston, MA, US</t>
        </is>
      </c>
      <c r="H157" s="1" t="n">
        <v>46055</v>
      </c>
      <c r="I157"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158">
      <c r="A158" t="inlineStr">
        <is>
          <t>in-1b7b32b08b6a2ca2</t>
        </is>
      </c>
      <c r="B158" t="inlineStr">
        <is>
          <t>Applied Scientist (Contract), Artificial General Intelligence</t>
        </is>
      </c>
      <c r="C158" t="inlineStr">
        <is>
          <t>Amazon.com</t>
        </is>
      </c>
      <c r="D158" t="inlineStr">
        <is>
          <t>indeed</t>
        </is>
      </c>
      <c r="E158" t="inlineStr"/>
      <c r="F158" t="inlineStr"/>
      <c r="G158" t="inlineStr">
        <is>
          <t>Boston, MA, US</t>
        </is>
      </c>
      <c r="H158" s="1" t="n">
        <v>46055</v>
      </c>
      <c r="I158"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159">
      <c r="A159" t="inlineStr">
        <is>
          <t>in-cfd4f98d98e48675</t>
        </is>
      </c>
      <c r="B159" t="inlineStr">
        <is>
          <t>Applied Scientist (Contract), Artificial General Intelligence</t>
        </is>
      </c>
      <c r="C159" t="inlineStr">
        <is>
          <t>Amazon.com</t>
        </is>
      </c>
      <c r="D159" t="inlineStr">
        <is>
          <t>indeed</t>
        </is>
      </c>
      <c r="E159" t="inlineStr"/>
      <c r="F159" t="inlineStr"/>
      <c r="G159" t="inlineStr">
        <is>
          <t>Bellevue, WA, US</t>
        </is>
      </c>
      <c r="H159" s="1" t="n">
        <v>46055</v>
      </c>
      <c r="I159"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160">
      <c r="A160" t="inlineStr">
        <is>
          <t>in-0f98daffa56e70b3</t>
        </is>
      </c>
      <c r="B160" t="inlineStr">
        <is>
          <t>Applied Scientist (Contract), Artificial General Intelligence</t>
        </is>
      </c>
      <c r="C160" t="inlineStr">
        <is>
          <t>Amazon.com</t>
        </is>
      </c>
      <c r="D160" t="inlineStr">
        <is>
          <t>indeed</t>
        </is>
      </c>
      <c r="E160" t="inlineStr"/>
      <c r="F160" t="inlineStr"/>
      <c r="G160" t="inlineStr">
        <is>
          <t>Bellevue, WA, US</t>
        </is>
      </c>
      <c r="H160" s="1" t="n">
        <v>46055</v>
      </c>
      <c r="I160"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161">
      <c r="A161" t="inlineStr">
        <is>
          <t>in-4fe481bdfb54512a</t>
        </is>
      </c>
      <c r="B161" t="inlineStr">
        <is>
          <t>Applied Scientist (Contract), Artificial General Intelligence</t>
        </is>
      </c>
      <c r="C161" t="inlineStr">
        <is>
          <t>Amazon.com</t>
        </is>
      </c>
      <c r="D161" t="inlineStr">
        <is>
          <t>indeed</t>
        </is>
      </c>
      <c r="E161" t="inlineStr"/>
      <c r="F161" t="inlineStr"/>
      <c r="G161" t="inlineStr">
        <is>
          <t>Boston, MA, US</t>
        </is>
      </c>
      <c r="H161" s="1" t="n">
        <v>46051</v>
      </c>
      <c r="I161"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162">
      <c r="A162" t="inlineStr">
        <is>
          <t>in-a4e116317193771f</t>
        </is>
      </c>
      <c r="B162" t="inlineStr">
        <is>
          <t>Applied Scientist (Contract), Artificial General Intelligence</t>
        </is>
      </c>
      <c r="C162" t="inlineStr">
        <is>
          <t>Amazon.com</t>
        </is>
      </c>
      <c r="D162" t="inlineStr">
        <is>
          <t>indeed</t>
        </is>
      </c>
      <c r="E162" t="inlineStr"/>
      <c r="F162" t="inlineStr"/>
      <c r="G162" t="inlineStr">
        <is>
          <t>Bellevue, WA, US</t>
        </is>
      </c>
      <c r="H162" s="1" t="n">
        <v>46051</v>
      </c>
      <c r="I162"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163">
      <c r="A163" t="inlineStr">
        <is>
          <t>in-495f99757a967cfc</t>
        </is>
      </c>
      <c r="B163" t="inlineStr">
        <is>
          <t>Sr. Applied Scientist - SLAM, Amazon Industrial Robotics</t>
        </is>
      </c>
      <c r="C163" t="inlineStr">
        <is>
          <t>Amazon.com</t>
        </is>
      </c>
      <c r="D163" t="inlineStr">
        <is>
          <t>indeed</t>
        </is>
      </c>
      <c r="E163" t="inlineStr"/>
      <c r="F163" t="inlineStr"/>
      <c r="G163" t="inlineStr">
        <is>
          <t>Reading, MA, US</t>
        </is>
      </c>
      <c r="H163" s="1" t="n">
        <v>46050</v>
      </c>
      <c r="I163" t="inlineStr">
        <is>
          <t>**DESCRIPTION**
---------------
Amazon Industrial Robotics (AIR)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the latest software and AI tools for robots.
We are seeking an expert to lead the development of our SLAM and Spatial AI module. In this role, you will create methods that will enable our robot to perceive the environment and navigate with unrivaled vision and fidelity. The system will combine an array of diverse sensors with simultaneous localization and mapping software that continuously updates the map in real\-time automatically. It will have the capability to ‘see’ and identify different objects, people, vehicles, and places as it moves and react to moving people and vehicles in an intelligent way.  
The system combines a mix of high\-performance sensors with simultaneous localization and mapping software that builds and continuously updates maps in real\-time, completely automatically. It has the capability to ‘see’ and identify different objects, people, vehicles, and places as it moves and react to moving people and vehicles in an intelligent way.  
Key job responsibilities  
* Analyze, design, develop, and test existing and new perception capabilities using cameras and LIDAR sensor inputs for obstacle detection and semantic understanding.
* Research, design, implement and evaluate scientific approaches to a variety of autonomy challenges..
* Create experiments and prototype implementations of new perception algorithms.
* Deliver high quality production level code (C\+\+ or Python) and support systems in production.
* Collaborate with other functional teams in a robotics organization.
* Collaborate closely with hardware engineering team members on developing systems from prototyping to production level.
* Represent Amazon in academia community through publications and scientific presentations.
* Work with stakeholders across hardware, science, and operations teams to iterate on systems design and implementation.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164">
      <c r="A164" t="inlineStr">
        <is>
          <t>in-b1dfa963c71a4e4f</t>
        </is>
      </c>
      <c r="B164" t="inlineStr">
        <is>
          <t>Sr. Applied Scientist - SLAM, Amazon Industrial Robotics</t>
        </is>
      </c>
      <c r="C164" t="inlineStr">
        <is>
          <t>Amazon.com</t>
        </is>
      </c>
      <c r="D164" t="inlineStr">
        <is>
          <t>indeed</t>
        </is>
      </c>
      <c r="E164" t="inlineStr"/>
      <c r="F164" t="inlineStr"/>
      <c r="G164" t="inlineStr">
        <is>
          <t>Reading, MA, US</t>
        </is>
      </c>
      <c r="H164" s="1" t="n">
        <v>46050</v>
      </c>
      <c r="I164" t="inlineStr">
        <is>
          <t>**DESCRIPTION**
---------------
Amazon Industrial Robotics (AIR)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the latest software and AI tools for robots.
We are seeking an expert to lead the development of our SLAM and Spatial AI module. In this role, you will create methods that will enable our robot to perceive the environment and navigate with unrivaled vision and fidelity. The system will combine an array of diverse sensors with simultaneous localization and mapping software that continuously updates the map in real\-time automatically. It will have the capability to ‘see’ and identify different objects, people, vehicles, and places as it moves and react to moving people and vehicles in an intelligent way.  
The system combines a mix of high\-performance sensors with simultaneous localization and mapping software that builds and continuously updates maps in real\-time, completely automatically. It has the capability to ‘see’ and identify different objects, people, vehicles, and places as it moves and react to moving people and vehicles in an intelligent way.  
Key job responsibilities  
* Analyze, design, develop, and test existing and new perception capabilities using cameras and LIDAR sensor inputs for obstacle detection and semantic understanding.
* Research, design, implement and evaluate scientific approaches to a variety of autonomy challenges..
* Create experiments and prototype implementations of new perception algorithms.
* Deliver high quality production level code (C\+\+ or Python) and support systems in production.
* Collaborate with other functional teams in a robotics organization.
* Collaborate closely with hardware engineering team members on developing systems from prototyping to production level.
* Represent Amazon in academia community through publications and scientific presentations.
* Work with stakeholders across hardware, science, and operations teams to iterate on systems design and implementation.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165">
      <c r="A165" t="inlineStr">
        <is>
          <t>in-993ccd3e2d28cfbd</t>
        </is>
      </c>
      <c r="B165" t="inlineStr">
        <is>
          <t>Principal Applied Scientist, Sensing, Industrial Robotics Group</t>
        </is>
      </c>
      <c r="C165" t="inlineStr">
        <is>
          <t>Amazon.com</t>
        </is>
      </c>
      <c r="D165" t="inlineStr">
        <is>
          <t>indeed</t>
        </is>
      </c>
      <c r="E165" t="inlineStr"/>
      <c r="F165" t="inlineStr"/>
      <c r="G165" t="inlineStr">
        <is>
          <t>Reading, MA, US</t>
        </is>
      </c>
      <c r="H165" s="1" t="n">
        <v>46050</v>
      </c>
      <c r="I165" t="inlineStr">
        <is>
          <t>**DESCRIPTION**
---------------
Amazon's Industrial Robotics Group (IRG)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As a Principal Scientist, you will lead the research and development of complex sensing systems that help our robots perceive the world around them. You will explore and guide the exploration of novel sensing modalities, refining the existing ones, and imagine the future of robot–based perception, safety, and navigation. You will formulate a robust sensing architecture, lead the experimentation and prototyping, and take part in creating future robots that are fully aware of their surroundings.
Key job responsibilities  
* Build and lead teams focused on hardware, firmware, and embedded systems
* Drive technical roadmaps for next\-generation robotics platforms
* Drive architecture decisions for complex robotics perception systems
* Bring the latest trends and scientific developments in robotic perception to the technical team
* Create technical standards for robotics sensing platforms
* Drive innovation in real\-time perception and control systems
**BASIC QUALIFICATIONS**
------------------------
* PhD in computer science, machine learning, engineering, or related fields
* 10\+ years experience in sensing and perception research
* 5\+ years technical leadership in perception systems and learning
* Strong background in real\-time multimodal sensing
* Proven track record in robotics computing platforms
**PREFERRED QUALIFICATIONS**
----------------------------
* Experience with robotics perception\-driven control systems and sensor integration
* Background in real\-time operating systems and deterministic computing
* Experience developing complex perception\-driven robotic architectures
* Track record of innovation in robotics sensing platforms
* Experience with safety applications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\- 198,900\.00 \- 269,000\.00 USD annually</t>
        </is>
      </c>
    </row>
    <row r="166">
      <c r="A166" t="inlineStr">
        <is>
          <t>in-c85ffe769953097c</t>
        </is>
      </c>
      <c r="B166" t="inlineStr">
        <is>
          <t>Principal Applied Scientist, Sensing, Industrial Robotics Group</t>
        </is>
      </c>
      <c r="C166" t="inlineStr">
        <is>
          <t>Amazon.com</t>
        </is>
      </c>
      <c r="D166" t="inlineStr">
        <is>
          <t>indeed</t>
        </is>
      </c>
      <c r="E166" t="inlineStr"/>
      <c r="F166" t="inlineStr"/>
      <c r="G166" t="inlineStr">
        <is>
          <t>Reading, MA, US</t>
        </is>
      </c>
      <c r="H166" s="1" t="n">
        <v>46050</v>
      </c>
      <c r="I166" t="inlineStr">
        <is>
          <t>**DESCRIPTION**
---------------
Amazon's Industrial Robotics Group (IRG)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As a Principal Scientist, you will lead the research and development of complex sensing systems that help our robots perceive the world around them. You will explore and guide the exploration of novel sensing modalities, refining the existing ones, and imagine the future of robot–based perception, safety, and navigation. You will formulate a robust sensing architecture, lead the experimentation and prototyping, and take part in creating future robots that are fully aware of their surroundings.
Key job responsibilities  
* Build and lead teams focused on hardware, firmware, and embedded systems
* Drive technical roadmaps for next\-generation robotics platforms
* Drive architecture decisions for complex robotics perception systems
* Bring the latest trends and scientific developments in robotic perception to the technical team
* Create technical standards for robotics sensing platforms
* Drive innovation in real\-time perception and control systems
**BASIC QUALIFICATIONS**
------------------------
* PhD in computer science, machine learning, engineering, or related fields
* 10\+ years experience in sensing and perception research
* 5\+ years technical leadership in perception systems and learning
* Strong background in real\-time multimodal sensing
* Proven track record in robotics computing platforms
**PREFERRED QUALIFICATIONS**
----------------------------
* Experience with robotics perception\-driven control systems and sensor integration
* Background in real\-time operating systems and deterministic computing
* Experience developing complex perception\-driven robotic architectures
* Track record of innovation in robotics sensing platforms
* Experience with safety applications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\- 198,900\.00 \- 269,000\.00 USD annually</t>
        </is>
      </c>
    </row>
    <row r="167">
      <c r="A167" t="inlineStr">
        <is>
          <t>in-610ca9abb67a8ad6</t>
        </is>
      </c>
      <c r="B167" t="inlineStr">
        <is>
          <t>Senior Applied Scientist, Amazon Industrial Robotics</t>
        </is>
      </c>
      <c r="C167" t="inlineStr">
        <is>
          <t>Amazon.com</t>
        </is>
      </c>
      <c r="D167" t="inlineStr">
        <is>
          <t>indeed</t>
        </is>
      </c>
      <c r="E167" t="inlineStr"/>
      <c r="F167" t="inlineStr"/>
      <c r="G167" t="inlineStr">
        <is>
          <t>Reading, MA, US</t>
        </is>
      </c>
      <c r="H167" s="1" t="n">
        <v>46048</v>
      </c>
      <c r="I167"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Collaborate with simulation and robotics experts to translate physical modeling needs into robust, scalable, and maintainable simulation solutions.
* Design and implement high\-performance simulation modeling and tools for rigid and deformable body simulation.
* Identify and optimize performance bottlenecks in simulation pipelines to support real\-time and batch simulation workflows.
* Help build validation and unit testing pipelines to ensure correctness and physical fidelity of simulation results.
* Identify potential sources of sim\-to\-real gaps and propose modeling and numerical approximations to reduce them.
* Stay current with the latest advances in numerical methods, parallel computing, and GPU architectures, and incorporate them into our tools.
**BASIC QUALIFICATIONS**
------------------------
* PhD, or PhD and 4\+ years of CS, CE, ML or related field experience
* Strong programming skills in modern Python and/or C\+\+ and experience with GPU programming (CUDA, Warp, or similar).
* Experience with robotics simulation environments such as MuJoCo, Newton, Drake and/or Isaac Lab.
* Expertise in one or more of the following: Solid foundation in numerical methods for multibody dynamics, frictional contact, Finite Element Method (FEM), Material Point Method (MPM) or other approaches for physics\-based simulation.
* Experience implementing scientific or simulation software in a collaborative, production\-quality codebase.
* Proficiency in linear algebra, differential equations, and numerical analysis.
**PREFERRED QUALIFICATIONS**
----------------------------
* Experience programming in Java, C\+\+, Python or related language
* Experience working effectively across cross\-functional teams and partnering well with people at all levels within an organization
* PhD in simulation
* Experience in one or more of the following: bimanual manipulation, imitation learning for dexterous manipulation, reinforcement learning for locomotion, teleoperation systems for data collection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168">
      <c r="A168" t="inlineStr">
        <is>
          <t>in-bc027ed92738cf8d</t>
        </is>
      </c>
      <c r="B168" t="inlineStr">
        <is>
          <t>Senior Applied Scientist, Amazon Industrial Robotics</t>
        </is>
      </c>
      <c r="C168" t="inlineStr">
        <is>
          <t>Amazon.com</t>
        </is>
      </c>
      <c r="D168" t="inlineStr">
        <is>
          <t>indeed</t>
        </is>
      </c>
      <c r="E168" t="inlineStr"/>
      <c r="F168" t="inlineStr"/>
      <c r="G168" t="inlineStr">
        <is>
          <t>Reading, MA, US</t>
        </is>
      </c>
      <c r="H168" s="1" t="n">
        <v>46048</v>
      </c>
      <c r="I168"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Collaborate with simulation and robotics experts to translate physical modeling needs into robust, scalable, and maintainable simulation solutions.
* Design and implement high\-performance simulation modeling and tools for rigid and deformable body simulation.
* Identify and optimize performance bottlenecks in simulation pipelines to support real\-time and batch simulation workflows.
* Help build validation and unit testing pipelines to ensure correctness and physical fidelity of simulation results.
* Identify potential sources of sim\-to\-real gaps and propose modeling and numerical approximations to reduce them.
* Stay current with the latest advances in numerical methods, parallel computing, and GPU architectures, and incorporate them into our tools.
**BASIC QUALIFICATIONS**
------------------------
* PhD, or PhD and 4\+ years of CS, CE, ML or related field experience
* Strong programming skills in modern Python and/or C\+\+ and experience with GPU programming (CUDA, Warp, or similar).
* Experience with robotics simulation environments such as MuJoCo, Newton, Drake and/or Isaac Lab.
* Expertise in one or more of the following: Solid foundation in numerical methods for multibody dynamics, frictional contact, Finite Element Method (FEM), Material Point Method (MPM) or other approaches for physics\-based simulation.
* Experience implementing scientific or simulation software in a collaborative, production\-quality codebase.
* Proficiency in linear algebra, differential equations, and numerical analysis.
**PREFERRED QUALIFICATIONS**
----------------------------
* Experience programming in Java, C\+\+, Python or related language
* Experience working effectively across cross\-functional teams and partnering well with people at all levels within an organization
* PhD in simulation
* Experience in one or more of the following: bimanual manipulation, imitation learning for dexterous manipulation, reinforcement learning for locomotion, teleoperation systems for data collection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169">
      <c r="A169" t="inlineStr">
        <is>
          <t>in-905e98cd09d60d6c</t>
        </is>
      </c>
      <c r="B169" t="inlineStr">
        <is>
          <t>Applied Scientist II, Prime Video Personalization and Discovery Science</t>
        </is>
      </c>
      <c r="C169" t="inlineStr">
        <is>
          <t>Amazon.com</t>
        </is>
      </c>
      <c r="D169" t="inlineStr">
        <is>
          <t>indeed</t>
        </is>
      </c>
      <c r="E169" t="inlineStr"/>
      <c r="F169" t="inlineStr"/>
      <c r="G169" t="inlineStr">
        <is>
          <t>New York, NY, US</t>
        </is>
      </c>
      <c r="H169" s="1" t="n">
        <v>46047</v>
      </c>
      <c r="I16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70">
      <c r="A170" t="inlineStr">
        <is>
          <t>in-4e71351d227a13de</t>
        </is>
      </c>
      <c r="B170" t="inlineStr">
        <is>
          <t>Applied Scientist II, Prime Video Personalization and Discovery Science</t>
        </is>
      </c>
      <c r="C170" t="inlineStr">
        <is>
          <t>Amazon.com</t>
        </is>
      </c>
      <c r="D170" t="inlineStr">
        <is>
          <t>indeed</t>
        </is>
      </c>
      <c r="E170" t="inlineStr"/>
      <c r="F170" t="inlineStr"/>
      <c r="G170" t="inlineStr">
        <is>
          <t>Seattle, WA, US</t>
        </is>
      </c>
      <c r="H170" s="1" t="n">
        <v>46047</v>
      </c>
      <c r="I17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71">
      <c r="A171" t="inlineStr">
        <is>
          <t>in-6abe8dfd61221301</t>
        </is>
      </c>
      <c r="B171" t="inlineStr">
        <is>
          <t>Applied Scientist II, Prime Video Personalization and Discovery Science</t>
        </is>
      </c>
      <c r="C171" t="inlineStr">
        <is>
          <t>Amazon.com</t>
        </is>
      </c>
      <c r="D171" t="inlineStr">
        <is>
          <t>indeed</t>
        </is>
      </c>
      <c r="E171" t="inlineStr"/>
      <c r="F171" t="inlineStr"/>
      <c r="G171" t="inlineStr">
        <is>
          <t>Sunnyvale, CA, US</t>
        </is>
      </c>
      <c r="H171" s="1" t="n">
        <v>46047</v>
      </c>
      <c r="I17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72">
      <c r="A172" t="inlineStr">
        <is>
          <t>in-837355c9eeae5daa</t>
        </is>
      </c>
      <c r="B172" t="inlineStr">
        <is>
          <t>Applied Scientist, Amazon Connect</t>
        </is>
      </c>
      <c r="C172" t="inlineStr">
        <is>
          <t>Amazon Web Services</t>
        </is>
      </c>
      <c r="D172" t="inlineStr">
        <is>
          <t>indeed</t>
        </is>
      </c>
      <c r="E172" t="inlineStr"/>
      <c r="F172" t="inlineStr"/>
      <c r="G172" t="inlineStr">
        <is>
          <t>New York, NY, US</t>
        </is>
      </c>
      <c r="H172" s="1" t="n">
        <v>46047</v>
      </c>
      <c r="I172"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73">
      <c r="A173" t="inlineStr">
        <is>
          <t>in-16d12fd610bb1096</t>
        </is>
      </c>
      <c r="B173" t="inlineStr">
        <is>
          <t>Applied Scientist, Amazon Connect</t>
        </is>
      </c>
      <c r="C173" t="inlineStr">
        <is>
          <t>Amazon Web Services</t>
        </is>
      </c>
      <c r="D173" t="inlineStr">
        <is>
          <t>indeed</t>
        </is>
      </c>
      <c r="E173" t="inlineStr"/>
      <c r="F173" t="inlineStr"/>
      <c r="G173" t="inlineStr">
        <is>
          <t>Seattle, WA, US</t>
        </is>
      </c>
      <c r="H173" s="1" t="n">
        <v>46047</v>
      </c>
      <c r="I173"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74">
      <c r="A174" t="inlineStr">
        <is>
          <t>in-5e93303afbb31a6c</t>
        </is>
      </c>
      <c r="B174" t="inlineStr">
        <is>
          <t>Applied Scientist, Safety ML</t>
        </is>
      </c>
      <c r="C174" t="inlineStr">
        <is>
          <t>Amazon.com</t>
        </is>
      </c>
      <c r="D174" t="inlineStr">
        <is>
          <t>indeed</t>
        </is>
      </c>
      <c r="E174" t="inlineStr"/>
      <c r="F174" t="inlineStr"/>
      <c r="G174" t="inlineStr">
        <is>
          <t>Seattle, WA, US</t>
        </is>
      </c>
      <c r="H174" s="1" t="n">
        <v>46037</v>
      </c>
      <c r="I17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175">
      <c r="A175" t="inlineStr">
        <is>
          <t>in-084b8dd800ed126b</t>
        </is>
      </c>
      <c r="B175" t="inlineStr">
        <is>
          <t>Applied Scientist, Safety ML</t>
        </is>
      </c>
      <c r="C175" t="inlineStr">
        <is>
          <t>Amazon.com</t>
        </is>
      </c>
      <c r="D175" t="inlineStr">
        <is>
          <t>indeed</t>
        </is>
      </c>
      <c r="E175" t="inlineStr"/>
      <c r="F175" t="inlineStr"/>
      <c r="G175" t="inlineStr">
        <is>
          <t>San Francisco, CA, US</t>
        </is>
      </c>
      <c r="H175" s="1" t="n">
        <v>46037</v>
      </c>
      <c r="I17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176">
      <c r="A176" t="inlineStr">
        <is>
          <t>in-948fc6d03a2ecb38</t>
        </is>
      </c>
      <c r="B176" t="inlineStr">
        <is>
          <t>Principal Applied Scientist, Measurement, AdTech and Data Science, Ads Performance Measurement</t>
        </is>
      </c>
      <c r="C176" t="inlineStr">
        <is>
          <t>Amazon.com</t>
        </is>
      </c>
      <c r="D176" t="inlineStr">
        <is>
          <t>indeed</t>
        </is>
      </c>
      <c r="E176" t="inlineStr"/>
      <c r="F176" t="inlineStr"/>
      <c r="G176" t="inlineStr">
        <is>
          <t>Palo Alto, CA, US</t>
        </is>
      </c>
      <c r="H176" s="1" t="n">
        <v>46037</v>
      </c>
      <c r="I176" t="inlineStr">
        <is>
          <t>**DESCRIPTION**
---------------
The Principal Applied Scientist in Performance Measurement in the Measurement, Ad Tech, and Data Science (MADS) team leads the technical vision and execution for Amazon Advertising's performance measurement. Our measurement products and tools help customers understand the holistic impact of their spend on Amazon Ads and optimize their portfolios. This is a complex, multi\-disciplinary scientific space spanning machine learning, causal inference, statistics and experimentation, natural language processing, and generative AI. As a GenAI\-first organization, we build foundational and agentic models that power advertiser use cases across Ads, while empowering our Applied Scientists to directly build and ship products. You will guide a team of scientists with expertise across different domains to come together and innovate on some of the hardest problems in advertising, made more challenging by evolving privacy regulations and technological changes. In measuring the comprehensive impact of advertising, key challenges you will tackle include capturing impact: 1\) both for identified and increasing unidentified web traffic in light of an evolving global privacy landscape; 2\) for outcomes across retailers, including both within and beyond Amazon; and 3\) for both short\- and long\-term impacts of advertising.  
The ideal candidate will have deep expertise in ad serving, measurement, and application of advanced machine learning and innovate on measurement solutions that comply with complex privacy policies and regulatory requirements maintaining Amazon Advertising’s competitive edge.
Key job responsibilities  
Key job responsibilities include:  
* Driving the scientific vision of the teams in your organization and you advise and influence its technical leadership on performance measurement models and products.
* Identifying, tackling, and proposing innovative solutions to intrinsically hard, previously unsolved problems. You solve problems pragmatically, applying judgment and experience to balance trade\-offs between competing interests.
* Bringing clarity to complex problems, probe assumptions, illuminate pitfalls, foster shared understanding, and guide towards effective solutions.
* Serving and being recognized by internal and external peers as a thought leader in modeled measurement in Ads. You will engage routinely with the broader scientific community, e.g. as a reviewer, program committee member, workshop organizer, or chair at peer\-reviewed internal/external conferences.
* Leading by example, with your papers, analyses, and code setting the standard in your organization for scientific engineering excellence.
* Leading science and design reviews, aligning teams across your organization around coherent algorithmic strategies.
* Influencing your team’s science and business strategy by driving one or more team roadmaps contributing to the organization’s roadmap and taking responsibility for some organizational goals. You drive multiple new product features from inception to production launch.
* Guiding the career development of others, actively mentoring and educating the larger applied science community on trends, technologies, and best practices. You drive the documentation of scientific innovation. You attract bar\-raising talent from academia and industry.
* Staying abreast of academic and industry trends, knowing the state of the art, and building on top of existing solutions instead of reinventing when possible
**BASIC QUALIFICATIONS**
------------------------
* PhD in Computer Science, Statistics or related field.
* 10\+ years of applied ML experience in building complex, real\-time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\- 228,700\.00 \- 309,400\.00 USD annually  
USA, NY, New York \- 218,800\.00 \- 295,900\.00 USD annually  
USA, WA, Seattle \- 198,900\.00 \- 269,000\.00 USD annually</t>
        </is>
      </c>
    </row>
    <row r="177">
      <c r="A177" t="inlineStr">
        <is>
          <t>in-a2bb0eb9f1e2d1e5</t>
        </is>
      </c>
      <c r="B177" t="inlineStr">
        <is>
          <t>Principal Applied Scientist, Measurement, AdTech and Data Science, Ads Performance Measurement</t>
        </is>
      </c>
      <c r="C177" t="inlineStr">
        <is>
          <t>Amazon.com</t>
        </is>
      </c>
      <c r="D177" t="inlineStr">
        <is>
          <t>indeed</t>
        </is>
      </c>
      <c r="E177" t="inlineStr"/>
      <c r="F177" t="inlineStr"/>
      <c r="G177" t="inlineStr">
        <is>
          <t>Seattle, WA, US</t>
        </is>
      </c>
      <c r="H177" s="1" t="n">
        <v>46037</v>
      </c>
      <c r="I177" t="inlineStr">
        <is>
          <t>**DESCRIPTION**
---------------
The Principal Applied Scientist in Performance Measurement in the Measurement, Ad Tech, and Data Science (MADS) team leads the technical vision and execution for Amazon Advertising's performance measurement. Our measurement products and tools help customers understand the holistic impact of their spend on Amazon Ads and optimize their portfolios. This is a complex, multi\-disciplinary scientific space spanning machine learning, causal inference, statistics and experimentation, natural language processing, and generative AI. As a GenAI\-first organization, we build foundational and agentic models that power advertiser use cases across Ads, while empowering our Applied Scientists to directly build and ship products. You will guide a team of scientists with expertise across different domains to come together and innovate on some of the hardest problems in advertising, made more challenging by evolving privacy regulations and technological changes. In measuring the comprehensive impact of advertising, key challenges you will tackle include capturing impact: 1\) both for identified and increasing unidentified web traffic in light of an evolving global privacy landscape; 2\) for outcomes across retailers, including both within and beyond Amazon; and 3\) for both short\- and long\-term impacts of advertising.  
The ideal candidate will have deep expertise in ad serving, measurement, and application of advanced machine learning and innovate on measurement solutions that comply with complex privacy policies and regulatory requirements maintaining Amazon Advertising’s competitive edge.
Key job responsibilities  
Key job responsibilities include:  
* Driving the scientific vision of the teams in your organization and you advise and influence its technical leadership on performance measurement models and products.
* Identifying, tackling, and proposing innovative solutions to intrinsically hard, previously unsolved problems. You solve problems pragmatically, applying judgment and experience to balance trade\-offs between competing interests.
* Bringing clarity to complex problems, probe assumptions, illuminate pitfalls, foster shared understanding, and guide towards effective solutions.
* Serving and being recognized by internal and external peers as a thought leader in modeled measurement in Ads. You will engage routinely with the broader scientific community, e.g. as a reviewer, program committee member, workshop organizer, or chair at peer\-reviewed internal/external conferences.
* Leading by example, with your papers, analyses, and code setting the standard in your organization for scientific engineering excellence.
* Leading science and design reviews, aligning teams across your organization around coherent algorithmic strategies.
* Influencing your team’s science and business strategy by driving one or more team roadmaps contributing to the organization’s roadmap and taking responsibility for some organizational goals. You drive multiple new product features from inception to production launch.
* Guiding the career development of others, actively mentoring and educating the larger applied science community on trends, technologies, and best practices. You drive the documentation of scientific innovation. You attract bar\-raising talent from academia and industry.
* Staying abreast of academic and industry trends, knowing the state of the art, and building on top of existing solutions instead of reinventing when possible
**BASIC QUALIFICATIONS**
------------------------
* PhD in Computer Science, Statistics or related field.
* 10\+ years of applied ML experience in building complex, real\-time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\- 228,700\.00 \- 309,400\.00 USD annually  
USA, NY, New York \- 218,800\.00 \- 295,900\.00 USD annually  
USA, WA, Seattle \- 198,900\.00 \- 269,000\.00 USD annually</t>
        </is>
      </c>
    </row>
    <row r="178">
      <c r="A178" t="inlineStr">
        <is>
          <t>in-607d75ec3c748320</t>
        </is>
      </c>
      <c r="B178" t="inlineStr">
        <is>
          <t>Principal Applied Scientist, Measurement, AdTech and Data Science, Ads Performance Measurement</t>
        </is>
      </c>
      <c r="C178" t="inlineStr">
        <is>
          <t>Amazon.com</t>
        </is>
      </c>
      <c r="D178" t="inlineStr">
        <is>
          <t>indeed</t>
        </is>
      </c>
      <c r="E178" t="inlineStr"/>
      <c r="F178" t="inlineStr"/>
      <c r="G178" t="inlineStr">
        <is>
          <t>New York, NY, US</t>
        </is>
      </c>
      <c r="H178" s="1" t="n">
        <v>46037</v>
      </c>
      <c r="I178" t="inlineStr">
        <is>
          <t>**DESCRIPTION**
---------------
The Principal Applied Scientist in Performance Measurement in the Measurement, Ad Tech, and Data Science (MADS) team leads the technical vision and execution for Amazon Advertising's performance measurement. Our measurement products and tools help customers understand the holistic impact of their spend on Amazon Ads and optimize their portfolios. This is a complex, multi\-disciplinary scientific space spanning machine learning, causal inference, statistics and experimentation, natural language processing, and generative AI. As a GenAI\-first organization, we build foundational and agentic models that power advertiser use cases across Ads, while empowering our Applied Scientists to directly build and ship products. You will guide a team of scientists with expertise across different domains to come together and innovate on some of the hardest problems in advertising, made more challenging by evolving privacy regulations and technological changes. In measuring the comprehensive impact of advertising, key challenges you will tackle include capturing impact: 1\) both for identified and increasing unidentified web traffic in light of an evolving global privacy landscape; 2\) for outcomes across retailers, including both within and beyond Amazon; and 3\) for both short\- and long\-term impacts of advertising.  
The ideal candidate will have deep expertise in ad serving, measurement, and application of advanced machine learning and innovate on measurement solutions that comply with complex privacy policies and regulatory requirements maintaining Amazon Advertising’s competitive edge.
Key job responsibilities  
Key job responsibilities include:  
* Driving the scientific vision of the teams in your organization and you advise and influence its technical leadership on performance measurement models and products.
* Identifying, tackling, and proposing innovative solutions to intrinsically hard, previously unsolved problems. You solve problems pragmatically, applying judgment and experience to balance trade\-offs between competing interests.
* Bringing clarity to complex problems, probe assumptions, illuminate pitfalls, foster shared understanding, and guide towards effective solutions.
* Serving and being recognized by internal and external peers as a thought leader in modeled measurement in Ads. You will engage routinely with the broader scientific community, e.g. as a reviewer, program committee member, workshop organizer, or chair at peer\-reviewed internal/external conferences.
* Leading by example, with your papers, analyses, and code setting the standard in your organization for scientific engineering excellence.
* Leading science and design reviews, aligning teams across your organization around coherent algorithmic strategies.
* Influencing your team’s science and business strategy by driving one or more team roadmaps contributing to the organization’s roadmap and taking responsibility for some organizational goals. You drive multiple new product features from inception to production launch.
* Guiding the career development of others, actively mentoring and educating the larger applied science community on trends, technologies, and best practices. You drive the documentation of scientific innovation. You attract bar\-raising talent from academia and industry.
* Staying abreast of academic and industry trends, knowing the state of the art, and building on top of existing solutions instead of reinventing when possible
**BASIC QUALIFICATIONS**
------------------------
* PhD in Computer Science, Statistics or related field.
* 10\+ years of applied ML experience in building complex, real\-time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\- 228,700\.00 \- 309,400\.00 USD annually  
USA, NY, New York \- 218,800\.00 \- 295,900\.00 USD annually  
USA, WA, Seattle \- 198,900\.00 \- 269,000\.00 USD annually</t>
        </is>
      </c>
    </row>
    <row r="179">
      <c r="A179" t="inlineStr">
        <is>
          <t>in-cbc1e53c77de5081</t>
        </is>
      </c>
      <c r="B179" t="inlineStr">
        <is>
          <t>Applied Scientist, LLM Code Agents, Kiro Science</t>
        </is>
      </c>
      <c r="C179" t="inlineStr">
        <is>
          <t>Amazon.com</t>
        </is>
      </c>
      <c r="D179" t="inlineStr">
        <is>
          <t>indeed</t>
        </is>
      </c>
      <c r="E179" t="inlineStr"/>
      <c r="F179" t="inlineStr"/>
      <c r="G179" t="inlineStr">
        <is>
          <t>Santa Clara, CA, US</t>
        </is>
      </c>
      <c r="H179" s="1" t="n">
        <v>46035</v>
      </c>
      <c r="I179"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180">
      <c r="A180" t="inlineStr">
        <is>
          <t>in-a3070bfd4c6661ea</t>
        </is>
      </c>
      <c r="B180" t="inlineStr">
        <is>
          <t>Applied Scientist, LLM Code Agents, Kiro Science</t>
        </is>
      </c>
      <c r="C180" t="inlineStr">
        <is>
          <t>Amazon.com</t>
        </is>
      </c>
      <c r="D180" t="inlineStr">
        <is>
          <t>indeed</t>
        </is>
      </c>
      <c r="E180" t="inlineStr"/>
      <c r="F180" t="inlineStr"/>
      <c r="G180" t="inlineStr">
        <is>
          <t>Seattle, WA, US</t>
        </is>
      </c>
      <c r="H180" s="1" t="n">
        <v>46035</v>
      </c>
      <c r="I180"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181">
      <c r="A181" t="inlineStr">
        <is>
          <t>in-16aee54d24439515</t>
        </is>
      </c>
      <c r="B181" t="inlineStr">
        <is>
          <t>Applied Scientist II, Prime Video Personalization and Discovery Science</t>
        </is>
      </c>
      <c r="C181" t="inlineStr">
        <is>
          <t>Amazon.com</t>
        </is>
      </c>
      <c r="D181" t="inlineStr">
        <is>
          <t>indeed</t>
        </is>
      </c>
      <c r="E181" t="inlineStr"/>
      <c r="F181" t="inlineStr"/>
      <c r="G181" t="inlineStr">
        <is>
          <t>Sunnyvale, CA, US</t>
        </is>
      </c>
      <c r="H181" s="1" t="n">
        <v>46034</v>
      </c>
      <c r="I18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82">
      <c r="A182" t="inlineStr">
        <is>
          <t>in-7cf10ad23bb64810</t>
        </is>
      </c>
      <c r="B182" t="inlineStr">
        <is>
          <t>Applied Scientist II, Prime Video Personalization and Discovery Science</t>
        </is>
      </c>
      <c r="C182" t="inlineStr">
        <is>
          <t>Amazon.com</t>
        </is>
      </c>
      <c r="D182" t="inlineStr">
        <is>
          <t>indeed</t>
        </is>
      </c>
      <c r="E182" t="inlineStr"/>
      <c r="F182" t="inlineStr"/>
      <c r="G182" t="inlineStr">
        <is>
          <t>Seattle, WA, US</t>
        </is>
      </c>
      <c r="H182" s="1" t="n">
        <v>46034</v>
      </c>
      <c r="I18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83">
      <c r="A183" t="inlineStr">
        <is>
          <t>in-741efb904d14d0f9</t>
        </is>
      </c>
      <c r="B183" t="inlineStr">
        <is>
          <t>Applied Scientist, Alexa Smart Home</t>
        </is>
      </c>
      <c r="C183" t="inlineStr">
        <is>
          <t>Amazon.com</t>
        </is>
      </c>
      <c r="D183" t="inlineStr">
        <is>
          <t>indeed</t>
        </is>
      </c>
      <c r="E183" t="inlineStr"/>
      <c r="F183" t="inlineStr"/>
      <c r="G183" t="inlineStr">
        <is>
          <t>Sunnyvale, CA, US</t>
        </is>
      </c>
      <c r="H183" s="1" t="n">
        <v>46033</v>
      </c>
      <c r="I183"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84">
      <c r="A184" t="inlineStr">
        <is>
          <t>in-6b3da3422149ed90</t>
        </is>
      </c>
      <c r="B184" t="inlineStr">
        <is>
          <t>Applied Scientist, Alexa Smart Home</t>
        </is>
      </c>
      <c r="C184" t="inlineStr">
        <is>
          <t>Amazon.com</t>
        </is>
      </c>
      <c r="D184" t="inlineStr">
        <is>
          <t>indeed</t>
        </is>
      </c>
      <c r="E184" t="inlineStr"/>
      <c r="F184" t="inlineStr"/>
      <c r="G184" t="inlineStr">
        <is>
          <t>Seattle, WA, US</t>
        </is>
      </c>
      <c r="H184" s="1" t="n">
        <v>46033</v>
      </c>
      <c r="I184"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85">
      <c r="A185" t="inlineStr">
        <is>
          <t>in-46880216f33452b0</t>
        </is>
      </c>
      <c r="B185" t="inlineStr">
        <is>
          <t>Applied Scientist, AWS Applied AI Solutions</t>
        </is>
      </c>
      <c r="C185" t="inlineStr">
        <is>
          <t>Amazon Web Services</t>
        </is>
      </c>
      <c r="D185" t="inlineStr">
        <is>
          <t>indeed</t>
        </is>
      </c>
      <c r="E185" t="inlineStr"/>
      <c r="F185" t="inlineStr"/>
      <c r="G185" t="inlineStr">
        <is>
          <t>Seattle, WA, US</t>
        </is>
      </c>
      <c r="H185" s="1" t="n">
        <v>46030</v>
      </c>
      <c r="I185"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86">
      <c r="A186" t="inlineStr">
        <is>
          <t>in-f9990a0bff9f060d</t>
        </is>
      </c>
      <c r="B186" t="inlineStr">
        <is>
          <t>Applied Scientist, AWS Applied AI Solutions</t>
        </is>
      </c>
      <c r="C186" t="inlineStr">
        <is>
          <t>Amazon Web Services</t>
        </is>
      </c>
      <c r="D186" t="inlineStr">
        <is>
          <t>indeed</t>
        </is>
      </c>
      <c r="E186" t="inlineStr"/>
      <c r="F186" t="inlineStr"/>
      <c r="G186" t="inlineStr">
        <is>
          <t>New York, NY, US</t>
        </is>
      </c>
      <c r="H186" s="1" t="n">
        <v>46030</v>
      </c>
      <c r="I186"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87">
      <c r="A187" t="inlineStr">
        <is>
          <t>in-0c70edde3af00463</t>
        </is>
      </c>
      <c r="B187" t="inlineStr">
        <is>
          <t>Applied Scientist II, Prime Video Personalization and Discovery Science</t>
        </is>
      </c>
      <c r="C187" t="inlineStr">
        <is>
          <t>Amazon.com</t>
        </is>
      </c>
      <c r="D187" t="inlineStr">
        <is>
          <t>indeed</t>
        </is>
      </c>
      <c r="E187" t="inlineStr"/>
      <c r="F187" t="inlineStr"/>
      <c r="G187" t="inlineStr">
        <is>
          <t>New York, NY, US</t>
        </is>
      </c>
      <c r="H187" s="1" t="n">
        <v>46028</v>
      </c>
      <c r="I18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88">
      <c r="A188" t="inlineStr">
        <is>
          <t>in-62254fb7360468f3</t>
        </is>
      </c>
      <c r="B188" t="inlineStr">
        <is>
          <t>Applied Scientist II, Prime Video Personalization and Discovery Science</t>
        </is>
      </c>
      <c r="C188" t="inlineStr">
        <is>
          <t>Amazon.com</t>
        </is>
      </c>
      <c r="D188" t="inlineStr">
        <is>
          <t>indeed</t>
        </is>
      </c>
      <c r="E188" t="inlineStr"/>
      <c r="F188" t="inlineStr"/>
      <c r="G188" t="inlineStr">
        <is>
          <t>Sunnyvale, CA, US</t>
        </is>
      </c>
      <c r="H188" s="1" t="n">
        <v>46028</v>
      </c>
      <c r="I18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89">
      <c r="A189" t="inlineStr">
        <is>
          <t>in-611d8fcbd6002021</t>
        </is>
      </c>
      <c r="B189" t="inlineStr">
        <is>
          <t>Applied Scientist II, Prime Video Personalization and Discovery Science</t>
        </is>
      </c>
      <c r="C189" t="inlineStr">
        <is>
          <t>Amazon.com</t>
        </is>
      </c>
      <c r="D189" t="inlineStr">
        <is>
          <t>indeed</t>
        </is>
      </c>
      <c r="E189" t="inlineStr"/>
      <c r="F189" t="inlineStr"/>
      <c r="G189" t="inlineStr">
        <is>
          <t>Seattle, WA, US</t>
        </is>
      </c>
      <c r="H189" s="1" t="n">
        <v>46028</v>
      </c>
      <c r="I18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90">
      <c r="A190" t="inlineStr">
        <is>
          <t>in-24d6ffa995752312</t>
        </is>
      </c>
      <c r="B190" t="inlineStr">
        <is>
          <t>Senior Applied Scientist, Distributed SQL</t>
        </is>
      </c>
      <c r="C190" t="inlineStr">
        <is>
          <t>Amazon Web Services</t>
        </is>
      </c>
      <c r="D190" t="inlineStr">
        <is>
          <t>indeed</t>
        </is>
      </c>
      <c r="E190" t="inlineStr"/>
      <c r="F190" t="inlineStr"/>
      <c r="G190" t="inlineStr">
        <is>
          <t>East Palo Alto, CA, US</t>
        </is>
      </c>
      <c r="H190" s="1" t="n">
        <v>46012</v>
      </c>
      <c r="I190"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191">
      <c r="A191" t="inlineStr">
        <is>
          <t>in-6c9376e3c4df48cb</t>
        </is>
      </c>
      <c r="B191" t="inlineStr">
        <is>
          <t>Senior Applied Scientist, Distributed SQL</t>
        </is>
      </c>
      <c r="C191" t="inlineStr">
        <is>
          <t>Amazon Web Services</t>
        </is>
      </c>
      <c r="D191" t="inlineStr">
        <is>
          <t>indeed</t>
        </is>
      </c>
      <c r="E191" t="inlineStr"/>
      <c r="F191" t="inlineStr"/>
      <c r="G191" t="inlineStr">
        <is>
          <t>Seattle, WA, US</t>
        </is>
      </c>
      <c r="H191" s="1" t="n">
        <v>46012</v>
      </c>
      <c r="I191"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192">
      <c r="A192" t="inlineStr">
        <is>
          <t>in-5dd004f1f5f50661</t>
        </is>
      </c>
      <c r="B192" t="inlineStr">
        <is>
          <t>Applied Scientist, Delivery Foundation Model</t>
        </is>
      </c>
      <c r="C192" t="inlineStr">
        <is>
          <t>Amazon.com</t>
        </is>
      </c>
      <c r="D192" t="inlineStr">
        <is>
          <t>indeed</t>
        </is>
      </c>
      <c r="E192" t="inlineStr"/>
      <c r="F192" t="inlineStr"/>
      <c r="G192" t="inlineStr">
        <is>
          <t>Santa Clara, CA, US</t>
        </is>
      </c>
      <c r="H192" s="1" t="n">
        <v>46009</v>
      </c>
      <c r="I19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Drive technical direction for specific research initiatives, ensuring robust performance in production environments.
A day in the life  
As a member of the Delivery Foundation Model team, you’ll spend your day on the following:  
* Develop and implement novel foundation model architectures, working hands\-on with data and our extensive training and evaluation infrastructure
* Collaborate with fellow scientists in solving complex technical challenges, from trajectory planning to efficient multi\-task learning
* Collaborate with fellow engineers in building scalable and reusable infra to support model training, evaluation, and inference
* Contribute to focused technical initiatives from conception through deployment, ensuring successful integration with production systems
* Drive technical discussions within the team and and key stakeholders
* Conduct experiments and prototype new ideas
* Make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1\+ years of CS, CE, ML or related field experience
* 4\+ years of programming in Java, C\+\+, Python or related language experience
* Experience building machine learning models or developing algorithms for business application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Bellevue \- 142,800\.00 \- 193,200\.00 USD annually</t>
        </is>
      </c>
    </row>
    <row r="193">
      <c r="A193" t="inlineStr">
        <is>
          <t>in-418b7365951a1879</t>
        </is>
      </c>
      <c r="B193" t="inlineStr">
        <is>
          <t>Applied Scientist, Delivery Foundation Model</t>
        </is>
      </c>
      <c r="C193" t="inlineStr">
        <is>
          <t>Amazon.com</t>
        </is>
      </c>
      <c r="D193" t="inlineStr">
        <is>
          <t>indeed</t>
        </is>
      </c>
      <c r="E193" t="inlineStr"/>
      <c r="F193" t="inlineStr"/>
      <c r="G193" t="inlineStr">
        <is>
          <t>Bellevue, WA, US</t>
        </is>
      </c>
      <c r="H193" s="1" t="n">
        <v>46009</v>
      </c>
      <c r="I19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Drive technical direction for specific research initiatives, ensuring robust performance in production environments.
A day in the life  
As a member of the Delivery Foundation Model team, you’ll spend your day on the following:  
* Develop and implement novel foundation model architectures, working hands\-on with data and our extensive training and evaluation infrastructure
* Collaborate with fellow scientists in solving complex technical challenges, from trajectory planning to efficient multi\-task learning
* Collaborate with fellow engineers in building scalable and reusable infra to support model training, evaluation, and inference
* Contribute to focused technical initiatives from conception through deployment, ensuring successful integration with production systems
* Drive technical discussions within the team and and key stakeholders
* Conduct experiments and prototype new ideas
* Make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1\+ years of CS, CE, ML or related field experience
* 4\+ years of programming in Java, C\+\+, Python or related language experience
* Experience building machine learning models or developing algorithms for business application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Bellevue \- 142,800\.00 \- 193,200\.00 USD annually</t>
        </is>
      </c>
    </row>
    <row r="194">
      <c r="A194" t="inlineStr">
        <is>
          <t>in-9ef902da7013ff4d</t>
        </is>
      </c>
      <c r="B194" t="inlineStr">
        <is>
          <t>Principal Applied Scientist, Kiro Science</t>
        </is>
      </c>
      <c r="C194" t="inlineStr">
        <is>
          <t>Amazon Web Services</t>
        </is>
      </c>
      <c r="D194" t="inlineStr">
        <is>
          <t>indeed</t>
        </is>
      </c>
      <c r="E194" t="inlineStr"/>
      <c r="F194" t="inlineStr"/>
      <c r="G194" t="inlineStr">
        <is>
          <t>New York, NY, US</t>
        </is>
      </c>
      <c r="H194" s="1" t="n">
        <v>45999</v>
      </c>
      <c r="I194"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195">
      <c r="A195" t="inlineStr">
        <is>
          <t>in-2a04c7007e6a592b</t>
        </is>
      </c>
      <c r="B195" t="inlineStr">
        <is>
          <t>Principal Applied Scientist, Kiro Science</t>
        </is>
      </c>
      <c r="C195" t="inlineStr">
        <is>
          <t>Amazon Web Services</t>
        </is>
      </c>
      <c r="D195" t="inlineStr">
        <is>
          <t>indeed</t>
        </is>
      </c>
      <c r="E195" t="inlineStr"/>
      <c r="F195" t="inlineStr"/>
      <c r="G195" t="inlineStr">
        <is>
          <t>Santa Clara, CA, US</t>
        </is>
      </c>
      <c r="H195" s="1" t="n">
        <v>45999</v>
      </c>
      <c r="I195"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196">
      <c r="A196" t="inlineStr">
        <is>
          <t>in-11147eead4ed2c51</t>
        </is>
      </c>
      <c r="B196" t="inlineStr">
        <is>
          <t>Principal Applied Scientist, Sponsored Products and Brands</t>
        </is>
      </c>
      <c r="C196" t="inlineStr">
        <is>
          <t>Amazon.com</t>
        </is>
      </c>
      <c r="D196" t="inlineStr">
        <is>
          <t>indeed</t>
        </is>
      </c>
      <c r="E196" t="inlineStr"/>
      <c r="F196" t="inlineStr"/>
      <c r="G196" t="inlineStr">
        <is>
          <t>New York, NY, US</t>
        </is>
      </c>
      <c r="H196" s="1" t="n">
        <v>45979</v>
      </c>
      <c r="I196"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7">
      <c r="A197" t="inlineStr">
        <is>
          <t>in-34e7660167af5e10</t>
        </is>
      </c>
      <c r="B197" t="inlineStr">
        <is>
          <t>Principal Applied Scientist, Sponsored Products and Brands</t>
        </is>
      </c>
      <c r="C197" t="inlineStr">
        <is>
          <t>Amazon.com</t>
        </is>
      </c>
      <c r="D197" t="inlineStr">
        <is>
          <t>indeed</t>
        </is>
      </c>
      <c r="E197" t="inlineStr"/>
      <c r="F197" t="inlineStr"/>
      <c r="G197" t="inlineStr">
        <is>
          <t>Seattle, WA, US</t>
        </is>
      </c>
      <c r="H197" s="1" t="n">
        <v>45979</v>
      </c>
      <c r="I197"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8">
      <c r="A198" t="inlineStr">
        <is>
          <t>in-4325df9150f3f41a</t>
        </is>
      </c>
      <c r="B198" t="inlineStr">
        <is>
          <t>Sr. Applied Scientist, Sponsored Products</t>
        </is>
      </c>
      <c r="C198" t="inlineStr">
        <is>
          <t>Amazon.com</t>
        </is>
      </c>
      <c r="D198" t="inlineStr">
        <is>
          <t>indeed</t>
        </is>
      </c>
      <c r="E198" t="inlineStr"/>
      <c r="F198" t="inlineStr"/>
      <c r="G198" t="inlineStr">
        <is>
          <t>New York, NY, US</t>
        </is>
      </c>
      <c r="H198" s="1" t="n">
        <v>45976</v>
      </c>
      <c r="I198"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199">
      <c r="A199" t="inlineStr">
        <is>
          <t>in-a2471138b4e49dae</t>
        </is>
      </c>
      <c r="B199" t="inlineStr">
        <is>
          <t>Sr. Applied Scientist, Sponsored Products</t>
        </is>
      </c>
      <c r="C199" t="inlineStr">
        <is>
          <t>Amazon.com</t>
        </is>
      </c>
      <c r="D199" t="inlineStr">
        <is>
          <t>indeed</t>
        </is>
      </c>
      <c r="E199" t="inlineStr"/>
      <c r="F199" t="inlineStr"/>
      <c r="G199" t="inlineStr">
        <is>
          <t>Arlington, VA, US</t>
        </is>
      </c>
      <c r="H199" s="1" t="n">
        <v>45976</v>
      </c>
      <c r="I199"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200">
      <c r="A200" t="inlineStr">
        <is>
          <t>in-d21f533b0158dcdd</t>
        </is>
      </c>
      <c r="B200" t="inlineStr">
        <is>
          <t>Sr. Applied Scientist, Sponsored Products</t>
        </is>
      </c>
      <c r="C200" t="inlineStr">
        <is>
          <t>Amazon.com</t>
        </is>
      </c>
      <c r="D200" t="inlineStr">
        <is>
          <t>indeed</t>
        </is>
      </c>
      <c r="E200" t="inlineStr"/>
      <c r="F200" t="inlineStr"/>
      <c r="G200" t="inlineStr">
        <is>
          <t>Seattle, WA, US</t>
        </is>
      </c>
      <c r="H200" s="1" t="n">
        <v>45976</v>
      </c>
      <c r="I200"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201">
      <c r="A201" t="inlineStr">
        <is>
          <t>in-a16c917c7f7632dc</t>
        </is>
      </c>
      <c r="B201" t="inlineStr">
        <is>
          <t>Applied Scientist, AWS Agentic AI</t>
        </is>
      </c>
      <c r="C201" t="inlineStr">
        <is>
          <t>Amazon Web Services</t>
        </is>
      </c>
      <c r="D201" t="inlineStr">
        <is>
          <t>indeed</t>
        </is>
      </c>
      <c r="E201" t="inlineStr"/>
      <c r="F201" t="inlineStr"/>
      <c r="G201" t="inlineStr">
        <is>
          <t>Seattle, WA, US</t>
        </is>
      </c>
      <c r="H201" s="1" t="n">
        <v>45962</v>
      </c>
      <c r="I201"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2">
      <c r="A202" t="inlineStr">
        <is>
          <t>in-e67fdd2c19b9c30f</t>
        </is>
      </c>
      <c r="B202" t="inlineStr">
        <is>
          <t>Applied Scientist, AWS Agentic AI</t>
        </is>
      </c>
      <c r="C202" t="inlineStr">
        <is>
          <t>Amazon Web Services</t>
        </is>
      </c>
      <c r="D202" t="inlineStr">
        <is>
          <t>indeed</t>
        </is>
      </c>
      <c r="E202" t="inlineStr"/>
      <c r="F202" t="inlineStr"/>
      <c r="G202" t="inlineStr">
        <is>
          <t>Santa Clara, CA, US</t>
        </is>
      </c>
      <c r="H202" s="1" t="n">
        <v>45962</v>
      </c>
      <c r="I202"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3">
      <c r="A203" t="inlineStr">
        <is>
          <t>in-57bde09e1f822e51</t>
        </is>
      </c>
      <c r="B203" t="inlineStr">
        <is>
          <t>Applied Scientist, AWS Agentic AI</t>
        </is>
      </c>
      <c r="C203" t="inlineStr">
        <is>
          <t>Amazon Web Services</t>
        </is>
      </c>
      <c r="D203" t="inlineStr">
        <is>
          <t>indeed</t>
        </is>
      </c>
      <c r="E203" t="inlineStr"/>
      <c r="F203" t="inlineStr"/>
      <c r="G203" t="inlineStr">
        <is>
          <t>New York, NY, US</t>
        </is>
      </c>
      <c r="H203" s="1" t="n">
        <v>45962</v>
      </c>
      <c r="I203"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4">
      <c r="A204" t="inlineStr">
        <is>
          <t>in-97be5513c08008af</t>
        </is>
      </c>
      <c r="B204" t="inlineStr">
        <is>
          <t>Applied Scientist, Prime Video - Content Understanding, Localization &amp; Enrichment Team</t>
        </is>
      </c>
      <c r="C204" t="inlineStr">
        <is>
          <t>Amazon.com</t>
        </is>
      </c>
      <c r="D204" t="inlineStr">
        <is>
          <t>indeed</t>
        </is>
      </c>
      <c r="E204" t="inlineStr"/>
      <c r="F204" t="inlineStr"/>
      <c r="G204" t="inlineStr">
        <is>
          <t>San Francisco, CA, US</t>
        </is>
      </c>
      <c r="H204" s="1" t="n">
        <v>45943</v>
      </c>
      <c r="I20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205">
      <c r="A205" t="inlineStr">
        <is>
          <t>in-ce68175dfc9aee5b</t>
        </is>
      </c>
      <c r="B205" t="inlineStr">
        <is>
          <t>Applied Scientist, Prime Video - Content Understanding, Localization &amp; Enrichment Team</t>
        </is>
      </c>
      <c r="C205" t="inlineStr">
        <is>
          <t>Amazon.com</t>
        </is>
      </c>
      <c r="D205" t="inlineStr">
        <is>
          <t>indeed</t>
        </is>
      </c>
      <c r="E205" t="inlineStr"/>
      <c r="F205" t="inlineStr"/>
      <c r="G205" t="inlineStr">
        <is>
          <t>Seattle, WA, US</t>
        </is>
      </c>
      <c r="H205" s="1" t="n">
        <v>45943</v>
      </c>
      <c r="I20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206">
      <c r="A206" t="inlineStr">
        <is>
          <t>in-a6fbc7b71bf45780</t>
        </is>
      </c>
      <c r="B206" t="inlineStr">
        <is>
          <t>Principal Applied Scientist, Advertiser Growth, Amazon Sponsored Products &amp; Brands</t>
        </is>
      </c>
      <c r="C206" t="inlineStr">
        <is>
          <t>Amazon.com</t>
        </is>
      </c>
      <c r="D206" t="inlineStr">
        <is>
          <t>indeed</t>
        </is>
      </c>
      <c r="E206" t="inlineStr"/>
      <c r="F206" t="inlineStr"/>
      <c r="G206" t="inlineStr">
        <is>
          <t>New York, NY, US</t>
        </is>
      </c>
      <c r="H206" s="1" t="n">
        <v>45942</v>
      </c>
      <c r="I206"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7">
      <c r="A207" t="inlineStr">
        <is>
          <t>in-30b8a28ffa8d5396</t>
        </is>
      </c>
      <c r="B207" t="inlineStr">
        <is>
          <t>Principal Applied Scientist, Advertiser Growth, Amazon Sponsored Products &amp; Brands</t>
        </is>
      </c>
      <c r="C207" t="inlineStr">
        <is>
          <t>Amazon.com</t>
        </is>
      </c>
      <c r="D207" t="inlineStr">
        <is>
          <t>indeed</t>
        </is>
      </c>
      <c r="E207" t="inlineStr"/>
      <c r="F207" t="inlineStr"/>
      <c r="G207" t="inlineStr">
        <is>
          <t>Palo Alto, CA, US</t>
        </is>
      </c>
      <c r="H207" s="1" t="n">
        <v>45942</v>
      </c>
      <c r="I207"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8">
      <c r="A208" t="inlineStr">
        <is>
          <t>in-a4e3fc40298ed0b3</t>
        </is>
      </c>
      <c r="B208" t="inlineStr">
        <is>
          <t>Principal Applied Scientist, Advertiser Growth, Amazon Sponsored Products &amp; Brands</t>
        </is>
      </c>
      <c r="C208" t="inlineStr">
        <is>
          <t>Amazon.com</t>
        </is>
      </c>
      <c r="D208" t="inlineStr">
        <is>
          <t>indeed</t>
        </is>
      </c>
      <c r="E208" t="inlineStr"/>
      <c r="F208" t="inlineStr"/>
      <c r="G208" t="inlineStr">
        <is>
          <t>Seattle, WA, US</t>
        </is>
      </c>
      <c r="H208" s="1" t="n">
        <v>45942</v>
      </c>
      <c r="I208"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9">
      <c r="A209" t="inlineStr">
        <is>
          <t>in-4590f9c72111b71a</t>
        </is>
      </c>
      <c r="B209" t="inlineStr">
        <is>
          <t>Applied Scientist, Workplace Health &amp; Safety</t>
        </is>
      </c>
      <c r="C209" t="inlineStr">
        <is>
          <t>Amazon.com</t>
        </is>
      </c>
      <c r="D209" t="inlineStr">
        <is>
          <t>indeed</t>
        </is>
      </c>
      <c r="E209" t="inlineStr"/>
      <c r="F209" t="inlineStr"/>
      <c r="G209" t="inlineStr">
        <is>
          <t>Bellevue, WA, US</t>
        </is>
      </c>
      <c r="H209" s="1" t="n">
        <v>45917</v>
      </c>
      <c r="I209"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0">
      <c r="A210" t="inlineStr">
        <is>
          <t>in-704d545314d5de38</t>
        </is>
      </c>
      <c r="B210" t="inlineStr">
        <is>
          <t>Applied Scientist, Workplace Health &amp; Safety</t>
        </is>
      </c>
      <c r="C210" t="inlineStr">
        <is>
          <t>Amazon.com</t>
        </is>
      </c>
      <c r="D210" t="inlineStr">
        <is>
          <t>indeed</t>
        </is>
      </c>
      <c r="E210" t="inlineStr"/>
      <c r="F210" t="inlineStr"/>
      <c r="G210" t="inlineStr">
        <is>
          <t>Nashville, TN, US</t>
        </is>
      </c>
      <c r="H210" s="1" t="n">
        <v>45917</v>
      </c>
      <c r="I210"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1">
      <c r="A211" t="inlineStr">
        <is>
          <t>in-7d6d19ae8a3e0663</t>
        </is>
      </c>
      <c r="B211" t="inlineStr">
        <is>
          <t>Sr. Applied Scientist, Prime Video - Personalization and Discovery Science</t>
        </is>
      </c>
      <c r="C211" t="inlineStr">
        <is>
          <t>Amazon.com</t>
        </is>
      </c>
      <c r="D211" t="inlineStr">
        <is>
          <t>indeed</t>
        </is>
      </c>
      <c r="E211" t="inlineStr"/>
      <c r="F211" t="inlineStr"/>
      <c r="G211" t="inlineStr">
        <is>
          <t>New York, NY, US</t>
        </is>
      </c>
      <c r="H211" s="1" t="n">
        <v>45896</v>
      </c>
      <c r="I21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212">
      <c r="A212" t="inlineStr">
        <is>
          <t>in-97c06ce7ec056008</t>
        </is>
      </c>
      <c r="B212" t="inlineStr">
        <is>
          <t>Sr. Applied Scientist, Prime Video - Personalization and Discovery Science</t>
        </is>
      </c>
      <c r="C212" t="inlineStr">
        <is>
          <t>Amazon.com</t>
        </is>
      </c>
      <c r="D212" t="inlineStr">
        <is>
          <t>indeed</t>
        </is>
      </c>
      <c r="E212" t="inlineStr"/>
      <c r="F212" t="inlineStr"/>
      <c r="G212" t="inlineStr">
        <is>
          <t>Sunnyvale, CA, US</t>
        </is>
      </c>
      <c r="H212" s="1" t="n">
        <v>45896</v>
      </c>
      <c r="I21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213">
      <c r="A213" t="inlineStr">
        <is>
          <t>in-d908f5c50641aeca</t>
        </is>
      </c>
      <c r="B213" t="inlineStr">
        <is>
          <t>Sr. Applied Scientist, Prime Video - Personalization and Discovery Science</t>
        </is>
      </c>
      <c r="C213" t="inlineStr">
        <is>
          <t>Amazon.com</t>
        </is>
      </c>
      <c r="D213" t="inlineStr">
        <is>
          <t>indeed</t>
        </is>
      </c>
      <c r="E213" t="inlineStr"/>
      <c r="F213" t="inlineStr"/>
      <c r="G213" t="inlineStr">
        <is>
          <t>Seattle, WA, US</t>
        </is>
      </c>
      <c r="H213" s="1" t="n">
        <v>45896</v>
      </c>
      <c r="I21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214">
      <c r="A214" t="inlineStr">
        <is>
          <t>in-e74615e0cc70fc16</t>
        </is>
      </c>
      <c r="B214" t="inlineStr">
        <is>
          <t>Sr. Applied Scientist, Amazon Advertising</t>
        </is>
      </c>
      <c r="C214" t="inlineStr">
        <is>
          <t>Amazon.com</t>
        </is>
      </c>
      <c r="D214" t="inlineStr">
        <is>
          <t>indeed</t>
        </is>
      </c>
      <c r="E214" t="inlineStr"/>
      <c r="F214" t="inlineStr"/>
      <c r="G214" t="inlineStr">
        <is>
          <t>Palo Alto, CA, US</t>
        </is>
      </c>
      <c r="H214" s="1" t="n">
        <v>45851</v>
      </c>
      <c r="I21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5">
      <c r="A215" t="inlineStr">
        <is>
          <t>in-a8e8a50a09181b0e</t>
        </is>
      </c>
      <c r="B215" t="inlineStr">
        <is>
          <t>Sr. Applied Scientist, Amazon Advertising</t>
        </is>
      </c>
      <c r="C215" t="inlineStr">
        <is>
          <t>Amazon.com</t>
        </is>
      </c>
      <c r="D215" t="inlineStr">
        <is>
          <t>indeed</t>
        </is>
      </c>
      <c r="E215" t="inlineStr"/>
      <c r="F215" t="inlineStr"/>
      <c r="G215" t="inlineStr">
        <is>
          <t>Arlington, VA, US</t>
        </is>
      </c>
      <c r="H215" s="1" t="n">
        <v>45851</v>
      </c>
      <c r="I21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6">
      <c r="A216" t="inlineStr">
        <is>
          <t>in-77b3f84d2a589ebe</t>
        </is>
      </c>
      <c r="B216" t="inlineStr">
        <is>
          <t>Sr. Applied Scientist, Amazon Advertising</t>
        </is>
      </c>
      <c r="C216" t="inlineStr">
        <is>
          <t>Amazon.com</t>
        </is>
      </c>
      <c r="D216" t="inlineStr">
        <is>
          <t>indeed</t>
        </is>
      </c>
      <c r="E216" t="inlineStr"/>
      <c r="F216" t="inlineStr"/>
      <c r="G216" t="inlineStr">
        <is>
          <t>Seattle, WA, US</t>
        </is>
      </c>
      <c r="H216" s="1" t="n">
        <v>45851</v>
      </c>
      <c r="I21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7">
      <c r="A217" t="inlineStr">
        <is>
          <t>in-c0ca4ff591b81e57</t>
        </is>
      </c>
      <c r="B217" t="inlineStr">
        <is>
          <t>Sr. Applied Scientist, Amazon Advertising</t>
        </is>
      </c>
      <c r="C217" t="inlineStr">
        <is>
          <t>Amazon.com</t>
        </is>
      </c>
      <c r="D217" t="inlineStr">
        <is>
          <t>indeed</t>
        </is>
      </c>
      <c r="E217" t="inlineStr"/>
      <c r="F217" t="inlineStr"/>
      <c r="G217" t="inlineStr">
        <is>
          <t>Simi Valley, CA, US</t>
        </is>
      </c>
      <c r="H217" s="1" t="n">
        <v>45851</v>
      </c>
      <c r="I21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8">
      <c r="A218" t="inlineStr">
        <is>
          <t>in-3d306d19274cfb2e</t>
        </is>
      </c>
      <c r="B218" t="inlineStr">
        <is>
          <t>Sr. Applied Scientist, Amazon Advertising</t>
        </is>
      </c>
      <c r="C218" t="inlineStr">
        <is>
          <t>Amazon.com</t>
        </is>
      </c>
      <c r="D218" t="inlineStr">
        <is>
          <t>indeed</t>
        </is>
      </c>
      <c r="E218" t="inlineStr"/>
      <c r="F218" t="inlineStr"/>
      <c r="G218" t="inlineStr">
        <is>
          <t>Los Angeles, CA, US</t>
        </is>
      </c>
      <c r="H218" s="1" t="n">
        <v>45851</v>
      </c>
      <c r="I21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9">
      <c r="A219" t="inlineStr">
        <is>
          <t>in-74e203b2ef9bbfb3</t>
        </is>
      </c>
      <c r="B219" t="inlineStr">
        <is>
          <t>Sr. Applied Scientist, Amazon Advertising</t>
        </is>
      </c>
      <c r="C219" t="inlineStr">
        <is>
          <t>Amazon.com</t>
        </is>
      </c>
      <c r="D219" t="inlineStr">
        <is>
          <t>indeed</t>
        </is>
      </c>
      <c r="E219" t="inlineStr"/>
      <c r="F219" t="inlineStr"/>
      <c r="G219" t="inlineStr">
        <is>
          <t>Austin, TX, US</t>
        </is>
      </c>
      <c r="H219" s="1" t="n">
        <v>45851</v>
      </c>
      <c r="I21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0">
      <c r="A220" t="inlineStr">
        <is>
          <t>in-e2492082071b1086</t>
        </is>
      </c>
      <c r="B220" t="inlineStr">
        <is>
          <t>Sr. Applied Scientist, Amazon Advertising</t>
        </is>
      </c>
      <c r="C220" t="inlineStr">
        <is>
          <t>Amazon.com</t>
        </is>
      </c>
      <c r="D220" t="inlineStr">
        <is>
          <t>indeed</t>
        </is>
      </c>
      <c r="E220" t="inlineStr"/>
      <c r="F220" t="inlineStr"/>
      <c r="G220" t="inlineStr">
        <is>
          <t>New York, NY, US</t>
        </is>
      </c>
      <c r="H220" s="1" t="n">
        <v>45851</v>
      </c>
      <c r="I22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1">
      <c r="A221" t="inlineStr">
        <is>
          <t>in-96e0a6a0faf83dc0</t>
        </is>
      </c>
      <c r="B221" t="inlineStr">
        <is>
          <t>Sr. Applied Scientist, Amazon Advertising</t>
        </is>
      </c>
      <c r="C221" t="inlineStr">
        <is>
          <t>Amazon.com</t>
        </is>
      </c>
      <c r="D221" t="inlineStr">
        <is>
          <t>indeed</t>
        </is>
      </c>
      <c r="E221" t="inlineStr"/>
      <c r="F221" t="inlineStr"/>
      <c r="G221" t="inlineStr">
        <is>
          <t>West Hollywood, CA, US</t>
        </is>
      </c>
      <c r="H221" s="1" t="n">
        <v>45851</v>
      </c>
      <c r="I22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2">
      <c r="A222" t="inlineStr">
        <is>
          <t>in-b854b6121c14a7bc</t>
        </is>
      </c>
      <c r="B222" t="inlineStr">
        <is>
          <t>Applied Scientist, Prime Video - Personalization and Discovery Science</t>
        </is>
      </c>
      <c r="C222" t="inlineStr">
        <is>
          <t>Amazon.com</t>
        </is>
      </c>
      <c r="D222" t="inlineStr">
        <is>
          <t>indeed</t>
        </is>
      </c>
      <c r="E222" t="inlineStr"/>
      <c r="F222" t="inlineStr"/>
      <c r="G222" t="inlineStr">
        <is>
          <t>New York, NY, US</t>
        </is>
      </c>
      <c r="H222" s="1" t="n">
        <v>45845</v>
      </c>
      <c r="I2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223">
      <c r="A223" t="inlineStr">
        <is>
          <t>in-49cbc9640b299014</t>
        </is>
      </c>
      <c r="B223" t="inlineStr">
        <is>
          <t>Applied Scientist, Prime Video - Personalization and Discovery Science</t>
        </is>
      </c>
      <c r="C223" t="inlineStr">
        <is>
          <t>Amazon.com</t>
        </is>
      </c>
      <c r="D223" t="inlineStr">
        <is>
          <t>indeed</t>
        </is>
      </c>
      <c r="E223" t="inlineStr"/>
      <c r="F223" t="inlineStr"/>
      <c r="G223" t="inlineStr">
        <is>
          <t>Sunnyvale, CA, US</t>
        </is>
      </c>
      <c r="H223" s="1" t="n">
        <v>45845</v>
      </c>
      <c r="I22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224">
      <c r="A224" t="inlineStr">
        <is>
          <t>in-b87058ccb4a0d490</t>
        </is>
      </c>
      <c r="B224" t="inlineStr">
        <is>
          <t>Applied Scientist, Prime Video - Personalization and Discovery Science</t>
        </is>
      </c>
      <c r="C224" t="inlineStr">
        <is>
          <t>Amazon.com</t>
        </is>
      </c>
      <c r="D224" t="inlineStr">
        <is>
          <t>indeed</t>
        </is>
      </c>
      <c r="E224" t="inlineStr"/>
      <c r="F224" t="inlineStr"/>
      <c r="G224" t="inlineStr">
        <is>
          <t>Seattle, WA, US</t>
        </is>
      </c>
      <c r="H224" s="1" t="n">
        <v>45845</v>
      </c>
      <c r="I22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225">
      <c r="A225" t="inlineStr">
        <is>
          <t>in-fbd0f40a4c40b4e6</t>
        </is>
      </c>
      <c r="B225" t="inlineStr">
        <is>
          <t>Sr. Applied Scientist, AGI Info</t>
        </is>
      </c>
      <c r="C225" t="inlineStr">
        <is>
          <t>Amazon.com</t>
        </is>
      </c>
      <c r="D225" t="inlineStr">
        <is>
          <t>indeed</t>
        </is>
      </c>
      <c r="E225" t="inlineStr"/>
      <c r="F225" t="inlineStr"/>
      <c r="G225" t="inlineStr">
        <is>
          <t>Bellevue, WA, US</t>
        </is>
      </c>
      <c r="H225" s="1" t="n">
        <v>45811</v>
      </c>
      <c r="I225"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WA, BELLEVUE \- 167,100\.00 \- 226,100\.00 USD annually</t>
        </is>
      </c>
    </row>
    <row r="226">
      <c r="A226" t="inlineStr">
        <is>
          <t>in-16243c91f658ddcc</t>
        </is>
      </c>
      <c r="B226" t="inlineStr">
        <is>
          <t>Sr. Applied Scientist, AGI Info</t>
        </is>
      </c>
      <c r="C226" t="inlineStr">
        <is>
          <t>Amazon.com</t>
        </is>
      </c>
      <c r="D226" t="inlineStr">
        <is>
          <t>indeed</t>
        </is>
      </c>
      <c r="E226" t="inlineStr"/>
      <c r="F226" t="inlineStr"/>
      <c r="G226" t="inlineStr">
        <is>
          <t>Sunnyvale, CA, US</t>
        </is>
      </c>
      <c r="H226" s="1" t="n">
        <v>45811</v>
      </c>
      <c r="I226"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WA, BELLEVUE \- 167,100\.00 \- 226,100\.00 USD annually</t>
        </is>
      </c>
    </row>
    <row r="227">
      <c r="A227" t="inlineStr">
        <is>
          <t>in-c15463e34f9a6de9</t>
        </is>
      </c>
      <c r="B227" t="inlineStr">
        <is>
          <t>Principal Applied Scientist, Delivery Foundation Model</t>
        </is>
      </c>
      <c r="C227" t="inlineStr">
        <is>
          <t>Amazon.com</t>
        </is>
      </c>
      <c r="D227" t="inlineStr">
        <is>
          <t>indeed</t>
        </is>
      </c>
      <c r="E227" t="inlineStr"/>
      <c r="F227" t="inlineStr"/>
      <c r="G227" t="inlineStr">
        <is>
          <t>Bellevue, WA, US</t>
        </is>
      </c>
      <c r="H227" s="1" t="n">
        <v>45810</v>
      </c>
      <c r="I22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228">
      <c r="A228" t="inlineStr">
        <is>
          <t>in-6acc260248e8fa0e</t>
        </is>
      </c>
      <c r="B228" t="inlineStr">
        <is>
          <t>Principal Applied Scientist, Delivery Foundation Model</t>
        </is>
      </c>
      <c r="C228" t="inlineStr">
        <is>
          <t>Amazon.com</t>
        </is>
      </c>
      <c r="D228" t="inlineStr">
        <is>
          <t>indeed</t>
        </is>
      </c>
      <c r="E228" t="inlineStr"/>
      <c r="F228" t="inlineStr"/>
      <c r="G228" t="inlineStr">
        <is>
          <t>Santa Clara, CA, US</t>
        </is>
      </c>
      <c r="H228" s="1" t="n">
        <v>45810</v>
      </c>
      <c r="I22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229">
      <c r="A229" t="inlineStr">
        <is>
          <t>in-7da5c13d8867cca2</t>
        </is>
      </c>
      <c r="B229" t="inlineStr">
        <is>
          <t>Principal Applied Scientist, Delivery Foundation Model</t>
        </is>
      </c>
      <c r="C229" t="inlineStr">
        <is>
          <t>Amazon.com</t>
        </is>
      </c>
      <c r="D229" t="inlineStr">
        <is>
          <t>indeed</t>
        </is>
      </c>
      <c r="E229" t="inlineStr"/>
      <c r="F229" t="inlineStr"/>
      <c r="G229" t="inlineStr">
        <is>
          <t>Austin, TX, US</t>
        </is>
      </c>
      <c r="H229" s="1" t="n">
        <v>45810</v>
      </c>
      <c r="I22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230">
      <c r="A230" t="inlineStr">
        <is>
          <t>in-5d6b9fa875367985</t>
        </is>
      </c>
      <c r="B230" t="inlineStr">
        <is>
          <t>Principal Applied Scientist, Delivery Foundation Model</t>
        </is>
      </c>
      <c r="C230" t="inlineStr">
        <is>
          <t>Amazon.com</t>
        </is>
      </c>
      <c r="D230" t="inlineStr">
        <is>
          <t>indeed</t>
        </is>
      </c>
      <c r="E230" t="inlineStr"/>
      <c r="F230" t="inlineStr"/>
      <c r="G230" t="inlineStr">
        <is>
          <t>New York, NY, US</t>
        </is>
      </c>
      <c r="H230" s="1" t="n">
        <v>45810</v>
      </c>
      <c r="I23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231">
      <c r="A231" t="inlineStr">
        <is>
          <t>in-7261f2dc2810c26e</t>
        </is>
      </c>
      <c r="B231" t="inlineStr">
        <is>
          <t>Senior Applied Scientist, Delivery Foundation Model</t>
        </is>
      </c>
      <c r="C231" t="inlineStr">
        <is>
          <t>Amazon.com</t>
        </is>
      </c>
      <c r="D231" t="inlineStr">
        <is>
          <t>indeed</t>
        </is>
      </c>
      <c r="E231" t="inlineStr"/>
      <c r="F231" t="inlineStr"/>
      <c r="G231" t="inlineStr">
        <is>
          <t>Bellevue, WA, US</t>
        </is>
      </c>
      <c r="H231" s="1" t="n">
        <v>45806</v>
      </c>
      <c r="I23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2">
      <c r="A232" t="inlineStr">
        <is>
          <t>in-2581d949933459d6</t>
        </is>
      </c>
      <c r="B232" t="inlineStr">
        <is>
          <t>Senior Applied Scientist, Delivery Foundation Model</t>
        </is>
      </c>
      <c r="C232" t="inlineStr">
        <is>
          <t>Amazon.com</t>
        </is>
      </c>
      <c r="D232" t="inlineStr">
        <is>
          <t>indeed</t>
        </is>
      </c>
      <c r="E232" t="inlineStr"/>
      <c r="F232" t="inlineStr"/>
      <c r="G232" t="inlineStr">
        <is>
          <t>Santa Clara, CA, US</t>
        </is>
      </c>
      <c r="H232" s="1" t="n">
        <v>45806</v>
      </c>
      <c r="I23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3">
      <c r="A233" t="inlineStr">
        <is>
          <t>in-77f4d74291ee204f</t>
        </is>
      </c>
      <c r="B233" t="inlineStr">
        <is>
          <t>Senior Applied Scientist, Delivery Foundation Model</t>
        </is>
      </c>
      <c r="C233" t="inlineStr">
        <is>
          <t>Amazon.com</t>
        </is>
      </c>
      <c r="D233" t="inlineStr">
        <is>
          <t>indeed</t>
        </is>
      </c>
      <c r="E233" t="inlineStr"/>
      <c r="F233" t="inlineStr"/>
      <c r="G233" t="inlineStr">
        <is>
          <t>New York, NY, US</t>
        </is>
      </c>
      <c r="H233" s="1" t="n">
        <v>45806</v>
      </c>
      <c r="I23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4">
      <c r="A234" t="inlineStr">
        <is>
          <t>in-7a2fdcfe2f514e66</t>
        </is>
      </c>
      <c r="B234" t="inlineStr">
        <is>
          <t>Sr. Applied Scientist - Privacy, Privacy Engineering</t>
        </is>
      </c>
      <c r="C234" t="inlineStr">
        <is>
          <t>Amazon.com</t>
        </is>
      </c>
      <c r="D234" t="inlineStr">
        <is>
          <t>indeed</t>
        </is>
      </c>
      <c r="E234" t="inlineStr"/>
      <c r="F234" t="inlineStr"/>
      <c r="G234" t="inlineStr">
        <is>
          <t>San Francisco, CA, US</t>
        </is>
      </c>
      <c r="H234" s="1" t="n">
        <v>45787</v>
      </c>
      <c r="I234"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5">
      <c r="A235" t="inlineStr">
        <is>
          <t>in-2cff79f2f7d5ba5a</t>
        </is>
      </c>
      <c r="B235" t="inlineStr">
        <is>
          <t>Sr. Applied Scientist - Privacy, Privacy Engineering</t>
        </is>
      </c>
      <c r="C235" t="inlineStr">
        <is>
          <t>Amazon.com</t>
        </is>
      </c>
      <c r="D235" t="inlineStr">
        <is>
          <t>indeed</t>
        </is>
      </c>
      <c r="E235" t="inlineStr"/>
      <c r="F235" t="inlineStr"/>
      <c r="G235" t="inlineStr">
        <is>
          <t>Santa Clara, CA, US</t>
        </is>
      </c>
      <c r="H235" s="1" t="n">
        <v>45787</v>
      </c>
      <c r="I235"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6">
      <c r="A236" t="inlineStr">
        <is>
          <t>in-90568d121cd31c3a</t>
        </is>
      </c>
      <c r="B236" t="inlineStr">
        <is>
          <t>Sr. Applied Scientist - Privacy, Privacy Engineering</t>
        </is>
      </c>
      <c r="C236" t="inlineStr">
        <is>
          <t>Amazon.com</t>
        </is>
      </c>
      <c r="D236" t="inlineStr">
        <is>
          <t>indeed</t>
        </is>
      </c>
      <c r="E236" t="inlineStr"/>
      <c r="F236" t="inlineStr"/>
      <c r="G236" t="inlineStr">
        <is>
          <t>Seattle, WA, US</t>
        </is>
      </c>
      <c r="H236" s="1" t="n">
        <v>45787</v>
      </c>
      <c r="I236"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7">
      <c r="A237" t="inlineStr">
        <is>
          <t>in-6520ac104199dbe7</t>
        </is>
      </c>
      <c r="B237" t="inlineStr">
        <is>
          <t>Sr. Applied Scientist - Privacy, Privacy Engineering</t>
        </is>
      </c>
      <c r="C237" t="inlineStr">
        <is>
          <t>Amazon.com</t>
        </is>
      </c>
      <c r="D237" t="inlineStr">
        <is>
          <t>indeed</t>
        </is>
      </c>
      <c r="E237" t="inlineStr"/>
      <c r="F237" t="inlineStr"/>
      <c r="G237" t="inlineStr">
        <is>
          <t>Sunnyvale, CA, US</t>
        </is>
      </c>
      <c r="H237" s="1" t="n">
        <v>45787</v>
      </c>
      <c r="I237"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8">
      <c r="A238" t="inlineStr">
        <is>
          <t>in-67c70a6a15ea65b5</t>
        </is>
      </c>
      <c r="B238" t="inlineStr">
        <is>
          <t>Principal Applied Scientist, Delivery Foundation Model</t>
        </is>
      </c>
      <c r="C238" t="inlineStr">
        <is>
          <t>Amazon.com</t>
        </is>
      </c>
      <c r="D238" t="inlineStr">
        <is>
          <t>indeed</t>
        </is>
      </c>
      <c r="E238" t="inlineStr"/>
      <c r="F238" t="inlineStr"/>
      <c r="G238" t="inlineStr">
        <is>
          <t>New York, NY, US</t>
        </is>
      </c>
      <c r="H238" s="1" t="n">
        <v>45757</v>
      </c>
      <c r="I23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WA, Bellevue \- 198,900\.00 \- 269,000\.00 USD annually</t>
        </is>
      </c>
    </row>
    <row r="239">
      <c r="A239" t="inlineStr">
        <is>
          <t>in-3a8e27a63f36d5d1</t>
        </is>
      </c>
      <c r="B239" t="inlineStr">
        <is>
          <t>Principal Applied Scientist, Delivery Foundation Model</t>
        </is>
      </c>
      <c r="C239" t="inlineStr">
        <is>
          <t>Amazon.com</t>
        </is>
      </c>
      <c r="D239" t="inlineStr">
        <is>
          <t>indeed</t>
        </is>
      </c>
      <c r="E239" t="inlineStr"/>
      <c r="F239" t="inlineStr"/>
      <c r="G239" t="inlineStr">
        <is>
          <t>Bellevue, WA, US</t>
        </is>
      </c>
      <c r="H239" s="1" t="n">
        <v>45757</v>
      </c>
      <c r="I23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WA, Bellevue \- 198,900\.00 \- 269,000\.00 USD annually</t>
        </is>
      </c>
    </row>
    <row r="240">
      <c r="A240" t="inlineStr">
        <is>
          <t>in-7c4dc3249c590c87</t>
        </is>
      </c>
      <c r="B240" t="inlineStr">
        <is>
          <t>Principal Applied Scientist, Delivery Foundation Model</t>
        </is>
      </c>
      <c r="C240" t="inlineStr">
        <is>
          <t>Amazon.com</t>
        </is>
      </c>
      <c r="D240" t="inlineStr">
        <is>
          <t>indeed</t>
        </is>
      </c>
      <c r="E240" t="inlineStr"/>
      <c r="F240" t="inlineStr"/>
      <c r="G240" t="inlineStr">
        <is>
          <t>Santa Clara, CA, US</t>
        </is>
      </c>
      <c r="H240" s="1" t="n">
        <v>45757</v>
      </c>
      <c r="I24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WA, Bellevue \- 198,900\.00 \- 269,000\.00 USD annually</t>
        </is>
      </c>
    </row>
    <row r="241">
      <c r="A241" t="inlineStr">
        <is>
          <t>in-8ddedb459b158859</t>
        </is>
      </c>
      <c r="B241" t="inlineStr">
        <is>
          <t>Senior AI Engineer</t>
        </is>
      </c>
      <c r="C241" t="inlineStr">
        <is>
          <t>Osano</t>
        </is>
      </c>
      <c r="D241" t="inlineStr">
        <is>
          <t>indeed</t>
        </is>
      </c>
      <c r="E241" t="inlineStr"/>
      <c r="F241" t="inlineStr"/>
      <c r="G241" t="inlineStr">
        <is>
          <t>Remote, US</t>
        </is>
      </c>
      <c r="H241" s="1" t="n">
        <v>46081</v>
      </c>
      <c r="I241" t="inlineStr">
        <is>
          <t>### **About Osano:**
Osano is an innovative B\-Corporation built around a simple belief: privacy is a fundamental right. Since day one, we've been focused on giving modern enterprises the ability to innovate quickly, stay competitive, and earn customer trust by respecting data privacy and complying with consent guidelines. Our products help organizations operate confidently in a rapidly evolving regulatory and technological landscape.
### **About the Role:**
We're looking for a **Senior AI Engineer** to join our Engineering team. This person will play a pivotal role in architecting and delivering privacy\-first AI systems that power the next generation of Osano's product capabilities.
This role goes beyond wrapping APIs or building chat interfaces. You will design and deploy autonomous AI agents, strict\-source\-following RAG systems, and evaluation frameworks that ensure reliability, compliance, and production\-grade performance.
This position is ideal for someone who is highly technical, thrives in ambiguity, takes ownership of 01 initiatives, and believes responsible AI development is non\-negotiable.
### **Responsibilities:**
#### ***AI System Architecture***
* Architect and deploy autonomous AI agents and multi\-agent workflows
* Design strict\-source\-following Retrieval\-Augmented Generation (RAG) systems that minimize hallucination and enforce citation integrity
* Implement guardrails, structured outputs, and validation layers
#### ***Production Engineering***
* Build scalable backend services using FastAPI
* Orchestrate agentic workflows using LangGraph
* Deploy and manage AI workloads within AWS or Azure
*Optimize model performance, reliability, and cost*
#### ***Evaluation \&amp; Continuous Improvement***
* Develop rigorous evaluation pipelines measuring:
* + Accuracy
	+ Citation adherence
	+ Latency
	+ Reliability
* Establish metric\-driven iteration cycles
* Continuously refine deployed systems based on measurable outcomes
#### ***Privacy\-First Development***
* Embed privacy\-by\-design principles across the AI stack
* Ensure compliance, data sovereignty, and secure handling practices
* Collaborate cross\-functionally to align AI capabilities with regulatory standards
### **About You:**
* You're curious, self\-directed, and motivated to learn quickly.
* You're comfortable navigating ambiguity and creating clarity for others.
* You're excited about privacy, responsible AI, and building trustworthy technology.
* You are willing to relentlessly pursue the best, most responsible ways to leverage AI—without overselling its capabilities or ignoring its limitations.
#### **Must\-Haves:**
* 5\+ years of professional experience
* Experience deploying and managing AI workloads in AWS or Azure
* Deep technical understanding of LLM usage and orchestration beyond prompt engineering
* Strong expertise in Python AI ecosystem, specifically:
* + FastAPI
	+ LangGraph
* Proven experience building:
* + Complex RAG systems
	+ Autonomous AI agents
* Experience building evaluation frameworks and iterating based on performance metrics
#### **Nice\-to\-Haves:**
* Experience with Knowledge Graphs to enhance RAG precision
* Familiarity with Privacy\-Enhancing Technologies (PETs)
* Experience with data anonymization techniques
* Background in compliance\-heavy or regulated environments
### **Why Us:**
* We're a welcoming team that's dependable, curious, moves fast, and full of talented people
* We're a B\-corporation with a mission that matters, in a high\-growth space with significant potential
* You'll have access to our training program, well\-defined career paths, and a leadership team that values professional development
### **Benefits:**
* Competitive\-pay compensation and ownership interest/equity
* Unlimited paid time off, plus a requirement to take at least two weeks off per year
* We're a Best Place for Working Parents and offer paid parental leave for all new parents
* Osano sponsors individual premiums on base plans at 100% and dependent premiums at 50% for Medical, Dental, and Vision insurance via Aetna
* A fully and permanently remote company, so you can work from anywhere in the U.S.
* Receive a MacBook and $600 to craft your home workspace
* Annual company trip designed to foster connection, creativity, and fun
* Mental health benefits with free memberships to mindfulness and talk therapy services
### **A Bit More About Osano:**
### **Osano is a leading data privacy platform that helps organizations quickly and confidently comply with laws like GDPR, CCPA, and other global privacy regulations. From consent management to vendor risk monitoring, Osano makes complex privacy tasks refreshingly simple, so companies can focus on what they do best, while we handle the rest.**
We're backed by top\-tier investors, including Baird Capital, Jump Capital, and LiveOak, and we're scaling fast with a multi\-year runway and ambitious growth plans. We've also been recognized as a Great Place to Work for four years running, with 97% of employees saying Osano is a great place to work.
*Osano is an Equal Opportunity Employer. All qualified applicants will receive consideration for employment without regard to race, color, religion, sex, sexual orientation, gender identity or expression, national origin, age, marital status, genetic information, disability, veteran status, or any other characteristic protected by applicable law.*
### **A Bit More About Osano**
Osano is a leading data privacy platform that helps organizations quickly and confidently comply with laws like GDPR, CCPA, and other global privacy regulations. From consent management to vendor risk monitoring, Osano makes complex privacy tasks refreshingly simple, so companies can focus on what they do best, while we handle the rest.
We're backed by top\-tier investors including Baird Capital, Jump Capital, and LiveOak, and we're scaling fast with a multi\-year runway and ambitious growth plans. We've also been recognized as a Great Place to Work for four years running, with 97% of employees saying Osano is a great place to work.
As we grow, we're looking for individuals who lean into modern technologies and smarter systems to drive efficiency, clarity, and speed; both in our product and in how we operate. If you're excited by the idea of helping build a high\-growth, privacy\-first company that embraces thoughtful automation, emerging tech, and intentional collaboration, we'd love to hear from you.
*Osano is an Equal Opportunity Employer. All qualified applicants will receive consideration for employment without regard to race, color, religion, sex, sexual orientation, gender identity or expression, national origin, age, marital status, genetic information, disability, veteran status, or any other characteristic protected by applicable law.*</t>
        </is>
      </c>
    </row>
    <row r="242">
      <c r="A242" t="inlineStr">
        <is>
          <t>in-81b84ca310f3cda1</t>
        </is>
      </c>
      <c r="B242" t="inlineStr">
        <is>
          <t>ML Engineer, GO-AI Technology &amp; Development Team</t>
        </is>
      </c>
      <c r="C242" t="inlineStr">
        <is>
          <t>Amazon.com</t>
        </is>
      </c>
      <c r="D242" t="inlineStr">
        <is>
          <t>indeed</t>
        </is>
      </c>
      <c r="E242" t="inlineStr"/>
      <c r="F242" t="inlineStr"/>
      <c r="G242" t="inlineStr">
        <is>
          <t>Seattle, WA, US</t>
        </is>
      </c>
      <c r="H242" s="1" t="n">
        <v>45998</v>
      </c>
      <c r="I242"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243">
      <c r="A243" t="inlineStr">
        <is>
          <t>in-7234203ff4fd0c0c</t>
        </is>
      </c>
      <c r="B243" t="inlineStr">
        <is>
          <t>ML Engineer, GO-AI Technology &amp; Development Team</t>
        </is>
      </c>
      <c r="C243" t="inlineStr">
        <is>
          <t>Amazon.com</t>
        </is>
      </c>
      <c r="D243" t="inlineStr">
        <is>
          <t>indeed</t>
        </is>
      </c>
      <c r="E243" t="inlineStr"/>
      <c r="F243" t="inlineStr"/>
      <c r="G243" t="inlineStr">
        <is>
          <t>Westborough, MA, US</t>
        </is>
      </c>
      <c r="H243" s="1" t="n">
        <v>45998</v>
      </c>
      <c r="I243"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244">
      <c r="A244" t="inlineStr">
        <is>
          <t>in-4708eb61593fa838</t>
        </is>
      </c>
      <c r="B244" t="inlineStr">
        <is>
          <t>ML Engineer, GO-AI Technology &amp; Development Team</t>
        </is>
      </c>
      <c r="C244" t="inlineStr">
        <is>
          <t>Amazon.com</t>
        </is>
      </c>
      <c r="D244" t="inlineStr">
        <is>
          <t>indeed</t>
        </is>
      </c>
      <c r="E244" t="inlineStr"/>
      <c r="F244" t="inlineStr"/>
      <c r="G244" t="inlineStr">
        <is>
          <t>Boston, MA, US</t>
        </is>
      </c>
      <c r="H244" s="1" t="n">
        <v>45998</v>
      </c>
      <c r="I244"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245">
      <c r="A245" t="inlineStr">
        <is>
          <t>in-aa5f078d78b81a0b</t>
        </is>
      </c>
      <c r="B245" t="inlineStr">
        <is>
          <t>ML Engineer, GO-AI Technology &amp; Development Team</t>
        </is>
      </c>
      <c r="C245" t="inlineStr">
        <is>
          <t>Amazon.com</t>
        </is>
      </c>
      <c r="D245" t="inlineStr">
        <is>
          <t>indeed</t>
        </is>
      </c>
      <c r="E245" t="inlineStr"/>
      <c r="F245" t="inlineStr"/>
      <c r="G245" t="inlineStr">
        <is>
          <t>Reading, MA, US</t>
        </is>
      </c>
      <c r="H245" s="1" t="n">
        <v>45998</v>
      </c>
      <c r="I245"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246">
      <c r="A246" t="inlineStr">
        <is>
          <t>in-7a15f41ab7309791</t>
        </is>
      </c>
      <c r="B246" t="inlineStr">
        <is>
          <t>AI/ML Engineer (Mid-Level)</t>
        </is>
      </c>
      <c r="C246" t="inlineStr">
        <is>
          <t>TORCH.AI</t>
        </is>
      </c>
      <c r="D246" t="inlineStr">
        <is>
          <t>indeed</t>
        </is>
      </c>
      <c r="E246">
        <f>HYPERLINK("https://www.indeed.com/viewjob?jk=7a15f41ab7309791", "https://www.indeed.com/viewjob?jk=7a15f41ab7309791")</f>
        <v/>
      </c>
      <c r="F246">
        <f>HYPERLINK("https://www.paycomonline.net/v4/ats/web.php/jobs/ViewJobDetails?job=2577&amp;clientkey=8B7C9FCA26D4003F25205FA111369368&amp;source=Indeed", "https://www.paycomonline.net/v4/ats/web.php/jobs/ViewJobDetails?job=2577&amp;clientkey=8B7C9FCA26D4003F25205FA111369368&amp;source=Indeed")</f>
        <v/>
      </c>
      <c r="G246" t="inlineStr">
        <is>
          <t>Leawood, KS, US</t>
        </is>
      </c>
      <c r="H246" s="2" t="n">
        <v>46075</v>
      </c>
      <c r="I246" t="inlineStr">
        <is>
          <t>**The Work:** **Join a Mission That Matters**
Torch.AI is building the AI Control Layer for the United States Government.
Not another dashboard. Not another workflow app. Not another black\-box model glued to a PowerPoint.
The AI Control Layer is foundational data and intelligence infrastructure that makes sense of messy, adversarial, multi\-domain data at machine speed. Commanders, analysts, and operators can act with clarity when it matters most.
Our platform—ORCUS (data movement), NEXUS (deep semantic vectorization), and HALO (graph\-native reasoning)—is accredited, deployed, and operating today across enterprise clouds and tactical edge environments. We support multi\-INT fusion, predictive movement analysis, targeting workflows, anomaly detection, and decision support for cross\-domain operations including ISR, information advantage, joint effects, and force protection.
We are seeking candidates who want to build systems that operate under real constraints: degraded visibility, adversarial mis/disinformation, intermittent connectivity, low\-SWaP hardware, and seconds\-to\-decision timelines.
This is operational AI.  
It ships. It runs. It gets used.
If you’re driven to strengthen U.S. defense readiness and protect national interests, Torch.AI offers meaningful impact at national scale.
**What Makes Torch.AI Different**
We believe the government must own its data, its decision environment, and its reasoning infrastructure.
Our AI Control Layer increases the value of existing systems of record rather than replacing them. We measure performance by accuracy, latency, and efficiency, not slideware benchmarks.
We are craftsmen.  
We build with intention.  
We ship with discipline.
You’ll collaborate with engineers, data experts, veterans, and mission practitioners. You’ll own meaningful work, move quickly, and see your systems deployed in production, often within weeks.
We are fast\-paced, entrepreneurial, and mission\-driven. Every day is a new puzzle.
**The Type of Candidates Who Thrive**
Torch.AI is not for everyone.
People who succeed here:
* Are builders, not curators. They ship and iterate.
* Are comfortable with messy data, unclear requirements, and real mission constraints without always having the luxury of clear specs.
* Respect operators and prioritize utility over elegance.
* Care about explainability and determinism because real decisions demand auditability.
* Move quickly but understand security boundaries and accreditation realities.
* Measure success by operational impact, not model novelty.
If you need perfect conditions and months of runway, this may not be the right place.
If you want to see your work used in production and feel the weight of that responsibility, we should talk.
**Security Clearance**
Some roles require an active **Secret, Top Secret, or Top Secret/SCI** clearance. Where required, candidates must be eligible to obtain and maintain the appropriate clearance level.
U.S. citizenship is required for all positions. Torch.AI does not sponsor employment visas.
If you do not currently hold a clearance but are eligible, sponsorship may be available depending on role and mission requirements.
**Work Location**
Most roles are based at our headquarters in Leawood, KS. Some hybrid/remote positions across the Arlington, VA, Washington, DC, and Maryland (DMV) region are available. Limited travel (\&lt;10%) may be required for some roles.
**Compensation, Benefits,** **Incentives**
We offer competitive, performance\-aligned compensation tied to technical depth, clearance level, and mission impact.
Total Rewards Include:
* Competitive base salary
* Quarterly performance bonuses
* Equity participation within the first 12 months
* Unlimited PTO \+ 11 paid company holidays
* Professional development in a high\-growth, mission\-driven environment
* Weekly in\-office catering at HQ
Benefits:
* 401(k) plan (no current employer match)
* PPO, HSA, and TRICARE Supplement medical options
* Above\-market HSA contributions
* HSA, FSA, and Dependent Care FSA options
* Dental and vision plans above national averages
* Employer\-paid life insurance (1× salary)
* Employer\-paid Short\-Term and Long\-Term Disability
* Voluntary Accident, Critical Illness, and Hospital Indemnity coverage
* Up to $300/month in tax\-advantaged commuter benefits
Torch.AI is an Equal Opportunity / Affirmative Action Employer committed to building a team that reflects the mission we serve.
If you want to build AI systems that move from ingestion to actionable insight, and know exactly why they produced the answer they did, we should talk.
What You’ll Do
* Design and implement end\-to\-end ML workflows supporting semantic search, classification, entity resolution, and retrieval.
* Build production\-ready AI services with strong attention to reliability, testability, and maintainability.
* Develop and tune embedding pipelines, retrieval systems, and retrieval\-augmented generation (RAG) components.
* Collaborate with data engineering and backend teams to integrate ML capabilities into scalable systems.
* Implement evaluation workflows tied to measurable mission performance (accuracy, latency, robustness).
* Support deployment, monitoring, and versioning of ML models as part of a disciplined MLOps lifecycle.
* Participate in architecture discussions and propose solutions aligned to platform constraints and mission needs.
Core Skills \&amp; Qualifications
* B.S. or M.S. in Computer Science, Engineering, or related technical field.
* 3–6 years of experience building applied ML systems or NLP workflows.
* Strong Python development skills with ability to write production\-quality services.
* Experience training, tuning, evaluating, and deploying ML models.
* Familiarity with modern ML/NLP libraries (Transformers, spaCy, scikit\-learn, PyTorch).
* Exposure to cloud environments and containerized deployment patterns.
* Strong communication skills and ability to collaborate across teams.
Additional Valuable Experience
* Experience with embeddings, vector search, RAG, and semantic retrieval systems.
* Familiarity with MLflow, DVC, Kubeflow, SageMaker, or similar tooling.
* Experience with graph\-based retrieval, agentic systems, or tool\-use architectures.
* Experience supporting defense, intelligence, ISR, or mission environments.</t>
        </is>
      </c>
    </row>
    <row r="247">
      <c r="A247" t="inlineStr">
        <is>
          <t>in-319d94b41907c592</t>
        </is>
      </c>
      <c r="B247" t="inlineStr">
        <is>
          <t>Junior AI/ML Engineer</t>
        </is>
      </c>
      <c r="C247" t="inlineStr">
        <is>
          <t>TORCH.AI</t>
        </is>
      </c>
      <c r="D247" t="inlineStr">
        <is>
          <t>indeed</t>
        </is>
      </c>
      <c r="E247">
        <f>HYPERLINK("https://www.indeed.com/viewjob?jk=319d94b41907c592", "https://www.indeed.com/viewjob?jk=319d94b41907c592")</f>
        <v/>
      </c>
      <c r="F247">
        <f>HYPERLINK("https://www.paycomonline.net/v4/ats/web.php/jobs/ViewJobDetails?job=2132&amp;clientkey=8B7C9FCA26D4003F25205FA111369368&amp;source=Indeed", "https://www.paycomonline.net/v4/ats/web.php/jobs/ViewJobDetails?job=2132&amp;clientkey=8B7C9FCA26D4003F25205FA111369368&amp;source=Indeed")</f>
        <v/>
      </c>
      <c r="G247" t="inlineStr">
        <is>
          <t>Leawood, KS, US</t>
        </is>
      </c>
      <c r="H247" s="2" t="n">
        <v>46069</v>
      </c>
      <c r="I247" t="inlineStr">
        <is>
          <t>**The Work:** **Join a Mission That Matters**
Torch.AI is building the AI Control Layer for the United States Government.
Not another dashboard. Not another workflow app. Not another black\-box model glued to a PowerPoint.
The AI Control Layer is foundational data and intelligence infrastructure that makes sense of messy, adversarial, multi\-domain data at machine speed. Commanders, analysts, and operators can act with clarity when it matters most.
Our platform—ORCUS (data movement), NEXUS (deep semantic vectorization), and HALO (graph\-native reasoning)—is accredited, deployed, and operating today across enterprise clouds and tactical edge environments. We support multi\-INT fusion, predictive movement analysis, targeting workflows, anomaly detection, and decision support for cross\-domain operations including ISR, information advantage, joint effects, and force protection.
We are seeking candidates who want to build systems that operate under real constraints: degraded visibility, adversarial mis/disinformation, intermittent connectivity, low\-SWaP hardware, and seconds\-to\-decision timelines.
This is operational AI.  
It ships. It runs. It gets used.
If you’re driven to strengthen U.S. defense readiness and protect national interests, Torch.AI offers meaningful impact at national scale.
**What Makes Torch.AI Different**
We believe the government must own its data, its decision environment, and its reasoning infrastructure.
Our AI Control Layer increases the value of existing systems of record rather than replacing them. We measure performance by accuracy, latency, and efficiency, not slideware benchmarks.
We are craftsmen.  
We build with intention.  
We ship with discipline.
You’ll collaborate with engineers, data experts, veterans, and mission practitioners. You’ll own meaningful work, move quickly, and see your systems deployed in production, often within weeks.
We are fast\-paced, entrepreneurial, and mission\-driven. Every day is a new puzzle.
**The Type of Candidates Who Thrive**
Torch.AI is not for everyone.
People who succeed here:
* Are builders, not curators. They ship and iterate.
* Are comfortable with messy data, unclear requirements, and real mission constraints without always having the luxury of clear specs.
* Respect operators and prioritize utility over elegance.
* Care about explainability and determinism because real decisions demand auditability.
* Move quickly but understand security boundaries and accreditation realities.
* Measure success by operational impact, not model novelty.
If you need perfect conditions and months of runway, this may not be the right place. If you want to see your work used in production and feel the weight of that responsibility, we should talk.
**Security Clearance**
Some roles require an active **Secret, Top Secret, or Top Secret/SCI** clearance. Where required, candidates must be eligible to obtain and maintain the appropriate clearance level.
U.S. citizenship is required for all positions. Torch.AI does not sponsor employment visas.
If you do not currently hold a clearance but are eligible, sponsorship may be available depending on role and mission requirements.
**Work Location**
Most roles are based at our headquarters in Leawood, KS. Some hybrid/remote positions across the Arlington, VA, Washington, DC, and Maryland (DMV) region are available. Limited travel (\&lt;10%) may be required for some roles.
**Compensation, Benefits,** **Incentives**
We offer competitive, performance\-aligned compensation tied to technical depth, clearance level, and mission impact.
Total Rewards Include:
* Competitive base salary
* Quarterly performance bonuses
* Equity participation within the first 12 months
* Unlimited PTO \+ 11 paid company holidays
* Professional development in a high\-growth, mission\-driven environment
* Weekly in\-office catering at HQ
Benefits:
* 401(k) plan (no current employer match)
* PPO, HSA, and TRICARE Supplement medical options
* Above\-market HSA contributions
* HSA, FSA, and Dependent Care FSA options
* Dental and vision plans above national averages
* Employer\-paid life insurance (1× salary)
* Employer\-paid Short\-Term and Long\-Term Disability
* Voluntary Accident, Critical Illness, and Hospital Indemnity coverage
* Up to $300/month in tax\-advantaged commuter benefits
Torch.AI is an Equal Opportunity / Affirmative Action Employer committed to building a team that reflects the mission we serve.
If you want to build AI systems that move from ingestion to actionable insight, and know exactly why they produced the answer they did, we should talk.
What You’ll Do
* Implement and evaluate machine learning components under senior guidance, focusing on operational performance rather than academic novelty.
* Support data preparation, labeling, preprocessing, and feature engineering across structured and unstructured datasets.
* Contribute to retrieval, embedding, or LLM\-enabled pipelines with mentorship.
* Assist in building prototype and production\-ready AI services using frameworks such as PyTorch, scikit\-learn, or modern NLP toolkits.
* Execute experiments for NLP/NLU workflows including classification, entity extraction, semantic search, and retrieval.
* Support model evaluation using measurable metrics aligned with latency, accuracy, and mission constraints.
* Learn foundational deployment patterns including containerization, API exposure, monitoring, and model lifecycle practices.
* Participate in code reviews, sprint planning, documentation, and disciplined software development practices.
Core Skills \&amp; Qualifications
* B.S. in Computer Science, Engineering, Mathematics, or related technical field.
* 1–3 years of experience in software engineering or applied ML (internships included).
* Strong Python fundamentals and ability to write clean, testable code.
* Familiarity with at least one ML/NLP library (e.g., scikit\-learn, spaCy, PyTorch, TensorFlow, Transformers).
* Foundational understanding of ML workflows: data preprocessing, training loops, validation, and evaluation metrics.
* Basic understanding of APIs, containerization, or cloud environments is preferred but not required.
* Ability to work in ambiguous problem spaces and iterate quickly with guidance.
* Strong communication skills and willingness to collaborate across engineering disciplines.
Additional Valuable Experience
* Exposure to LLMs, embeddings, semantic search, or retrieval pipelines.
* Familiarity with vector databases or graph\-based data systems.
* Experience working with constrained environments (edge devices, low\-SWaP hardware).
* Understanding of real\-time or latency\-sensitive ML systems.
* Exposure to defense, ISR, or mission\-oriented problem domains.
* Experience integrating ML outputs into operational workflows.</t>
        </is>
      </c>
    </row>
    <row r="248">
      <c r="A248" t="inlineStr">
        <is>
          <t>in-288017dfe2453d5b</t>
        </is>
      </c>
      <c r="B248" t="inlineStr">
        <is>
          <t>Junior AI/ML Engineer</t>
        </is>
      </c>
      <c r="C248" t="inlineStr">
        <is>
          <t>TORCH.AI</t>
        </is>
      </c>
      <c r="D248" t="inlineStr">
        <is>
          <t>indeed</t>
        </is>
      </c>
      <c r="E248">
        <f>HYPERLINK("https://www.indeed.com/viewjob?jk=288017dfe2453d5b", "https://www.indeed.com/viewjob?jk=288017dfe2453d5b")</f>
        <v/>
      </c>
      <c r="F248">
        <f>HYPERLINK("https://www.paycomonline.net/v4/ats/web.php/jobs/ViewJobDetails?job=2132&amp;clientkey=8B7C9FCA26D4003F25205FA111369368&amp;source=Indeed", "https://www.paycomonline.net/v4/ats/web.php/jobs/ViewJobDetails?job=2132&amp;clientkey=8B7C9FCA26D4003F25205FA111369368&amp;source=Indeed")</f>
        <v/>
      </c>
      <c r="G248" t="inlineStr">
        <is>
          <t>Leawood, KS, US</t>
        </is>
      </c>
      <c r="H248" s="2" t="n">
        <v>46069</v>
      </c>
      <c r="I248" t="inlineStr">
        <is>
          <t>**The Work:** **Join a Mission That Matters**
Torch.AI is building the AI Control Layer for the United States Government.
Not another dashboard. Not another workflow app. Not another black\-box model glued to a PowerPoint.
The AI Control Layer is foundational data and intelligence infrastructure that makes sense of messy, adversarial, multi\-domain data at machine speed. Commanders, analysts, and operators can act with clarity when it matters most.
Our platform—ORCUS (data movement), NEXUS (deep semantic vectorization), and HALO (graph\-native reasoning)—is accredited, deployed, and operating today across enterprise clouds and tactical edge environments. We support multi\-INT fusion, predictive movement analysis, targeting workflows, anomaly detection, and decision support for cross\-domain operations including ISR, information advantage, joint effects, and force protection.
We are seeking candidates who want to build systems that operate under real constraints: degraded visibility, adversarial mis/disinformation, intermittent connectivity, low\-SWaP hardware, and seconds\-to\-decision timelines.
This is operational AI.  
It ships. It runs. It gets used.
If you’re driven to strengthen U.S. defense readiness and protect national interests, Torch.AI offers meaningful impact at national scale.
**What Makes Torch.AI Different**
We believe the government must own its data, its decision environment, and its reasoning infrastructure.
Our AI Control Layer increases the value of existing systems of record rather than replacing them. We measure performance by accuracy, latency, and efficiency, not slideware benchmarks.
We are craftsmen.  
We build with intention.  
We ship with discipline.
You’ll collaborate with engineers, data experts, veterans, and mission practitioners. You’ll own meaningful work, move quickly, and see your systems deployed in production, often within weeks.
We are fast\-paced, entrepreneurial, and mission\-driven. Every day is a new puzzle.
**The Type of Candidates Who Thrive**
Torch.AI is not for everyone.
People who succeed here:
* Are builders, not curators. They ship and iterate.
* Are comfortable with messy data, unclear requirements, and real mission constraints without always having the luxury of clear specs.
* Respect operators and prioritize utility over elegance.
* Care about explainability and determinism because real decisions demand auditability.
* Move quickly but understand security boundaries and accreditation realities.
* Measure success by operational impact, not model novelty.
If you need perfect conditions and months of runway, this may not be the right place. If you want to see your work used in production and feel the weight of that responsibility, we should talk.
**Security Clearance**
Some roles require an active **Secret, Top Secret, or Top Secret/SCI** clearance. Where required, candidates must be eligible to obtain and maintain the appropriate clearance level.
U.S. citizenship is required for all positions. Torch.AI does not sponsor employment visas.
If you do not currently hold a clearance but are eligible, sponsorship may be available depending on role and mission requirements.
**Work Location**
Most roles are based at our headquarters in Leawood, KS. Some hybrid/remote positions across the Arlington, VA, Washington, DC, and Maryland (DMV) region are available. Limited travel (\&lt;10%) may be required for some roles.
**Compensation, Benefits,** **Incentives**
We offer competitive, performance\-aligned compensation tied to technical depth, clearance level, and mission impact.
Total Rewards Include:
* Competitive base salary
* Quarterly performance bonuses
* Equity participation within the first 12 months
* Unlimited PTO \+ 11 paid company holidays
* Professional development in a high\-growth, mission\-driven environment
* Weekly in\-office catering at HQ
Benefits:
* 401(k) plan (no current employer match)
* PPO, HSA, and TRICARE Supplement medical options
* Above\-market HSA contributions
* HSA, FSA, and Dependent Care FSA options
* Dental and vision plans above national averages
* Employer\-paid life insurance (1× salary)
* Employer\-paid Short\-Term and Long\-Term Disability
* Voluntary Accident, Critical Illness, and Hospital Indemnity coverage
* Up to $300/month in tax\-advantaged commuter benefits
Torch.AI is an Equal Opportunity / Affirmative Action Employer committed to building a team that reflects the mission we serve.
If you want to build AI systems that move from ingestion to actionable insight, and know exactly why they produced the answer they did, we should talk.
What You’ll Do
* Implement and evaluate machine learning components under senior guidance, focusing on operational performance rather than academic novelty.
* Support data preparation, labeling, preprocessing, and feature engineering across structured and unstructured datasets.
* Contribute to retrieval, embedding, or LLM\-enabled pipelines with mentorship.
* Assist in building prototype and production\-ready AI services using frameworks such as PyTorch, scikit\-learn, or modern NLP toolkits.
* Execute experiments for NLP/NLU workflows including classification, entity extraction, semantic search, and retrieval.
* Support model evaluation using measurable metrics aligned with latency, accuracy, and mission constraints.
* Learn foundational deployment patterns including containerization, API exposure, monitoring, and model lifecycle practices.
* Participate in code reviews, sprint planning, documentation, and disciplined software development practices.
Core Skills \&amp; Qualifications
* B.S. in Computer Science, Engineering, Mathematics, or related technical field.
* 1–3 years of experience in software engineering or applied ML (internships included).
* Strong Python fundamentals and ability to write clean, testable code.
* Familiarity with at least one ML/NLP library (e.g., scikit\-learn, spaCy, PyTorch, TensorFlow, Transformers).
* Foundational understanding of ML workflows: data preprocessing, training loops, validation, and evaluation metrics.
* Basic understanding of APIs, containerization, or cloud environments is preferred but not required.
* Ability to work in ambiguous problem spaces and iterate quickly with guidance.
* Strong communication skills and willingness to collaborate across engineering disciplines.
Additional Valuable Experience
* Exposure to LLMs, embeddings, semantic search, or retrieval pipelines.
* Familiarity with vector databases or graph\-based data systems.
* Experience working with constrained environments (edge devices, low\-SWaP hardware).
* Understanding of real\-time or latency\-sensitive ML systems.
* Exposure to defense, ISR, or mission\-oriented problem domains.
* Experience integrating ML outputs into operational workflows.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4"/>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li-4359384263</t>
        </is>
      </c>
      <c r="B2" t="inlineStr">
        <is>
          <t>Lead Machine Learning Engineer</t>
        </is>
      </c>
      <c r="C2" t="inlineStr">
        <is>
          <t>Salesforce</t>
        </is>
      </c>
      <c r="D2" t="inlineStr">
        <is>
          <t>linkedin</t>
        </is>
      </c>
      <c r="E2" t="inlineStr"/>
      <c r="F2" t="inlineStr"/>
      <c r="G2" t="inlineStr">
        <is>
          <t>Bellevue, WA</t>
        </is>
      </c>
      <c r="H2" t="inlineStr"/>
      <c r="I2"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We are a foundation machine learning platform team within the Trust Intelligence Platform organization with a main focus to build and accelerate scalable and resilient machine learning pipelines across the security engineering organization.
 We are looking for a highly motivated, hands\-on lead machine learning engineer with a strong business understanding of cybersecurity problems, who acts as a force multiplier security data scientist for our security organization. The lead will not simply build models; they will architect the data\-driven strategy for our threat detection capabilities.
**Your Impact**
* Shape the Defense Strategy: You will own the decision\-making process—translating vague security threats into concrete mathematical problems. By championing a rapid prototyping culture, you will validate hypotheses in days rather than months, ensuring our engineering resources are focused only on high\-value detections while killing low\-signal ideas early.
* Detect the "Unknown Unknowns": You will lead the evolution of our threat detection, introducing more advanced probabilistic modeling, graph analytics, supervised and unsupervised learing. Your work will expose sophisticated threats—such as active system intrusions, lateral movement, beaconing, and insider attacks—that evade traditional defenses, directly reducing the organization's risk surface.
* Elevate the Organization: You will act as a force multiplier, mentoring junior scientists and engineers, and building the internal tooling, feature stores, and libraries that make the whole team faster. You will influence the broader security engineering roadmap to ensure a closed loop security telemetry that is treated as a first\-class citizen.
* Operationalize Intelligence: By prioritizing engineering rigor (CI/CD, scalable code) and adversarial resilience, you will deliver production\-grade models that the SOC actually trusts—minimizing "alert fatigue" and maximizing analyst efficiency.
**Required Skills**
* Extensive experience (3\-5\+ years) in data science, with at least 2\+ years dedicated to the cybersecurity domain designing, implementing and deploying systems of anomaly detection, clustering, and graph models in production.
* Extended practical knowledge and familiarity with security frameworks such as MITRE ATT\&amp;CK and OCSF.
* Hands\-on comfort with high\-volume logs and proficiency with Spark/Pyspark, Snowflake, Flink and streaming services such as Apache Kafka
* Deep understanding and application of containerization (Docker) and workflow orchestration (Kubernetes, Apache Airflow) for automated ML pipelines.
* Mastery of Python programming, including proficiency in leading ML frameworks (TensorFlow, PyTorch) and adherence to software engineering best practices.
* Demonstrated success in implementing comprehensive MLOps methodologies, encompassing CI/CD pipelines, testing protocols, and model performance monitoring.
* Solid foundation in feature engineering techniques and the implementation of feature stores.
* Experience in formulating ML governance policies and ensuring adherence to data security regulations.
* Ability to explain complex statistical concepts to non\-technical stakeholders and executive leadership.
* Proven ability to manage scope, timelines, and stakeholder expectations across multiple organizations.
* High degree of autonomy with the ability to look at a vague business problem and structure a data\-driven solution without needing a predefined roadmap.
* A related technical degree is required.
**Preferred Skills**
* Masters or PhD in a quantitative field
* Expertise in advanced Natural Language Processing (NLP) methodologies.
* Experience contributing to open\-source security data science tools.
* Presentations at major security conferences (Black Hat, DEF CON, BSides) or data conferences.
* Background in offensive security (Penetration Testing/Red Teaming) with an "attacker's mindset."
* Demonstrated experience conducting research or working collaboratively with Machine Learning (ML) research teams.
* Previous experience in a mentoring role for junior engineers.
* Track record of publications and/or patents in quantitative disciplines.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$172,500 \- $260,100 annually. In select cities within the San Francisco and New York City metropolitan area, the base salary range for this role is $207,800 \- $285,800 annually. The range represents base salary only, and does not include company bonus, incentive for sales roles, equity or benefits, as applicable.</t>
        </is>
      </c>
    </row>
    <row r="3">
      <c r="A3" t="inlineStr">
        <is>
          <t>li-4364014730</t>
        </is>
      </c>
      <c r="B3" t="inlineStr">
        <is>
          <t>Principal Applied Scientist, Kiro Science</t>
        </is>
      </c>
      <c r="C3" t="inlineStr">
        <is>
          <t>Amazon Web Services (AWS)</t>
        </is>
      </c>
      <c r="D3" t="inlineStr">
        <is>
          <t>linkedin</t>
        </is>
      </c>
      <c r="E3" t="inlineStr"/>
      <c r="F3" t="inlineStr"/>
      <c r="G3" t="inlineStr">
        <is>
          <t>New York, United States</t>
        </is>
      </c>
      <c r="H3" t="inlineStr"/>
      <c r="I3" t="inlineStr">
        <is>
          <t>**Description**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
**Basic Qualifications**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**Company** 
 \- Amazon Development Center U.S., Inc.
 Job ID: A3161064</t>
        </is>
      </c>
    </row>
    <row r="4">
      <c r="A4" t="inlineStr">
        <is>
          <t>li-4300118295</t>
        </is>
      </c>
      <c r="B4" t="inlineStr">
        <is>
          <t>Senior Applied Scientist, AWS Marketplace &amp; Partner Services</t>
        </is>
      </c>
      <c r="C4" t="inlineStr">
        <is>
          <t>Amazon Web Services (AWS)</t>
        </is>
      </c>
      <c r="D4" t="inlineStr">
        <is>
          <t>linkedin</t>
        </is>
      </c>
      <c r="E4" t="inlineStr"/>
      <c r="F4" t="inlineStr"/>
      <c r="G4" t="inlineStr">
        <is>
          <t>Austin, TX</t>
        </is>
      </c>
      <c r="H4" t="inlineStr"/>
      <c r="I4" t="inlineStr">
        <is>
          <t>**Description**
 The AWS Marketplace \&amp; Partner Services Science team seeks an experienced Applied Scientist to drive innovation across multiple AI domains, including Context Engineering in Agent\-based Systems, Agent Evaluation Frameworks, and Next\-generation Software Recommendations. This role will be instrumental in revolutionizing how customers discover software solutions for cloud migrations and modernization initiatives.
 The ideal candidate thrives in an environment of scientific rigor and practical application, demonstrating both technical excellence and business acumen. They should be passionate about mentoring others and contributing to a culture of continuous learning and innovation. This role directly influences how thousands of AWS customers discover and implement software solutions, making it crucial for AWS Marketplace's growth and customer success. The position offers the opportunity to shape the future of AI\-driven software recommendations while working with innovative technologies at AWS scale.
 Key job responsibilities
* Design and optimize context engineering solutions for large language models and agent\-based systems
* Establish evaluation frameworks and metrics for measuring agent performance and effectiveness
* Collaborate with cross\-functional teams, such as Product and Engineering leaders, to translate scientific innovations into customer value
* Mentor Scientists and influence scientific approach across the organization
**About The Team**
 The AWS Marketplace \&amp; Partner Services Science team is at the forefront of developing and deploying AI/ML systems that serve multiple critical stakeholders:
* AWS Customers: Through the AWS Marketplace, we support Discovery tools that streamline cloud adoption and innovation.
* AWS Partners: Via Partner Central, we offer advanced tools and insights to enhance collaboration and drive mutual growth.
* Internal AWS Sellers: We equip our sales force with data\-driven recommendations to better serve our customers and partners.
 Our primary objective is to accelerate cloud migrations and modernizations, fostering innovation for AWS customers while simultaneously supporting the growth and success of our extensive partner network.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**Basic Qualifications**
* 3\+ years of building machine learning models or developing algorithms for business application experience
* Experience programming in Java, C\+\+, Python or related language
**Preferred Qualifications**
* \- Deep expertise in state\-of\-the\-art AI approaches, particularly in recommendation systems and agent\-based architectures
* \- Demonstrated experience in prompt engineering and context optimization for large language models
* \- Track record of delivering production\-scale AI solutions
* \- Excellent ability to evaluate technical feasibility and communicate complex concepts to business stakeholders
* \- Proven experience in mentoring technical teams and driving collaborative research initiatives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Web Services, Inc.
 Job ID: A3082145</t>
        </is>
      </c>
    </row>
    <row r="5">
      <c r="A5" t="inlineStr">
        <is>
          <t>li-4359207879</t>
        </is>
      </c>
      <c r="B5" t="inlineStr">
        <is>
          <t>Machine Learning Engineer</t>
        </is>
      </c>
      <c r="C5" t="inlineStr">
        <is>
          <t>Cisco</t>
        </is>
      </c>
      <c r="D5" t="inlineStr">
        <is>
          <t>linkedin</t>
        </is>
      </c>
      <c r="E5" t="inlineStr"/>
      <c r="F5" t="inlineStr"/>
      <c r="G5" t="inlineStr">
        <is>
          <t>Milpitas, CA</t>
        </is>
      </c>
      <c r="H5" t="inlineStr"/>
      <c r="I5" t="inlineStr">
        <is>
          <t>The application window is expected to close on: 02/17/2026
**Job posting may be removed earlier if the position is filled or if a sufficient number of applications are received** 
 .
 The application window is open until further notice.
 Note: Job posting may be removed earlier if the position is filled or if a sufficient number of applicants are received.
 Meet the Team
 The Cisco AI Research team is composed of AI research scientists, data scientists, and network engineers with deep subject matter expertise. This diverse group collaborates on both foundational and applied research projects, driven by the challenge of connecting people and devices at a global scale. The team is newly formed and dynamic, blending AI and networking domain experts who work closely with engineers, product managers, and strategists experienced in AI and distributed systems. Members have the opportunity to shape the culture and direction of this growing team.
**Your Impact**
 We are seeking a Data Engineer to build and scale LLM training data pipelines, including human\-in\-the\-loop labeling, synthetic data generation, and dataset quality systems. This role sits at the intersection of data engineering, machine learning systems, and data quality, and is critical to enabling scalable, high\-quality training data for ML products.
* Design, build, and maintain data pipelines for labeling, validation, and continuous dataset improvement.
* Develop systems for synthetic data generation and enhance dataset quality and diversity.
* Build scalable processes for data ingestion, transformation, cleansing, and auditing of unstructured data.
* Collaborate with ML researchers and data annotation teams to define data requirements and quality metrics.
* Implement automation and ML\-assisted labeling workflows, including quality monitoring.
**Minimum Qualifications**
* 5–7 years of experience in data engineering, machine learning engineering, or related roles.
* Proven experience building large\-scale data pipelines for unstructured or semi\-structured data.
* Hands\-on expertise with ML data workflows, including dataset creation, labeling, and evaluation.
* Proficiency in Python and data processing frameworks (e.g., Spark, Beam, Ray).
* Experience with ML systems and tools, such as training pipelines and model evaluation frameworks.
**Preferred Qualifications**
* Experience with human\-in\-the\-loop ML systems, active learning, or weak supervision.
* Exposure to large language models, computer vision, or speech datasets.
* Experience building internal tools or platforms used by annotation or operations teams.
* Background in distributed systems or ML infrastructure.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$155,900\.00 to $214,100\.00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$155,900\.00 \- $246,200\.00
**Non\-Metro New York State \&amp; Washington State**
 $149,600\.00 \- $218,500\.00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6">
      <c r="A6" t="inlineStr">
        <is>
          <t>li-4299098257</t>
        </is>
      </c>
      <c r="B6" t="inlineStr">
        <is>
          <t>Machine Learning Engineer</t>
        </is>
      </c>
      <c r="C6" t="inlineStr">
        <is>
          <t>Skild AI</t>
        </is>
      </c>
      <c r="D6" t="inlineStr">
        <is>
          <t>linkedin</t>
        </is>
      </c>
      <c r="E6" t="inlineStr"/>
      <c r="F6" t="inlineStr"/>
      <c r="G6" t="inlineStr">
        <is>
          <t>San Mateo, CA</t>
        </is>
      </c>
      <c r="H6" t="inlineStr"/>
      <c r="I6" t="inlineStr">
        <is>
          <t>**Company Overview** 
 At Skild AI, we are building the world's first general purpose robotic intelligence that is robust and adapts to unseen scenarios without failing. We believe massive scale through data\-driven machine learning is the key to unlocking these capabilities for the widespread deployment of robots within society. Our team consists of individuals with varying levels of experience and backgrounds, from new graduates to domain experts. Relevant industry experience is important, but ultimately less so than your demonstrated abilities and attitude. We are looking for passionate individuals who are eager to explore uncharted waters and contribute to our innovative projects.
**Position Overview** 
 We are looking for a Machine Learning Engineer to be responsible for designing and implementing cutting\-edge reinforcement learning algorithms, conducting experiments, and optimizing these models to perform efficiently in real\-world robotic environments. This will require close collaboration with our robotics, research, and engineering team. Your work will directly impact the development of intelligent, adaptable robots capable of learning and performing complex tasks autonomously.
**Responsibilities** 
* Develop and implement state\-of\-the\-art reinforcement learning algorithms for robotic applications.
* Design and conduct experiments to train RL models and conduct real\-world tests.
* Collaborate closely with researchers to explore novel methods of scaling up reinforcement learning model training.
* Communicate effectively with inference, application, and deployment engineers to integrate RL models into robotic systems and iterate on methods to enable robust deployment.
* Analyze and interpret experimental results, iterating on model design to achieve desired performance.
* Stay up\-to\-date with the latest research and advancements in reinforcement learning.
**Preferred Qualifications** 
* BS, MS or higher degree in Computer Science, Robotics, Engineering or a related field, or equivalent practical experience.
* Proficiency in Python, C\+\+, or similar and at least one deep learning library such as PyTorch, TensorFlow, JAX, etc.
* Deep understanding and practical experience with various reinforcement learning algorithms and techniques (model\-free, model\-based, multi\-task, hierarchical, multi\-agent, etc.).
* Strong background in algorithms, data structures, and software engineering principles.
* Experience with physics simulation engines and tools for training RL.
* Deep understanding of state\-of\-the\-art machine learning techniques and models.
* Extensive industry experience with reinforcement learning and robotic systems.
 Base Salary Range: $100,000 USD \- $300,000 USD</t>
        </is>
      </c>
    </row>
    <row r="7">
      <c r="A7" t="inlineStr">
        <is>
          <t>li-4318297613</t>
        </is>
      </c>
      <c r="B7" t="inlineStr">
        <is>
          <t>ML/AI Engineer</t>
        </is>
      </c>
      <c r="C7" t="inlineStr">
        <is>
          <t>Rillet</t>
        </is>
      </c>
      <c r="D7" t="inlineStr">
        <is>
          <t>linkedin</t>
        </is>
      </c>
      <c r="E7" t="inlineStr"/>
      <c r="F7" t="inlineStr"/>
      <c r="G7" t="inlineStr">
        <is>
          <t>New York, NY</t>
        </is>
      </c>
      <c r="H7" t="inlineStr"/>
      <c r="I7" t="inlineStr">
        <is>
          <t>**What We Do**
 Rillet serves accounting and finance teams. Our customers are the financial brains of their companies. Our job is to help them run the numbers with impossible speed, accuracy, and insight.
 Rillet is an AI\-native ERP that can drive a zero\-day close. We are different because of our unified source\-of\-truth data model, hundreds of best\-in\-class native integrations (Stripe, Ramp, Salesforce, etc), automated \&amp; auditable workflows, multi\-entity consolidation, and quickly expanding army of specialized AI agents (e.g., accrual, audit, P\&amp;L flux, board decks, etc). These earn us a consistently perfect customer satisfaction score. High\-growth AI customers like Mercer, Windsurf, and Function Health love our ship velocity, because their financial stack needs to scale as quickly as they do.
 This huge market is ours to take. We have raised $100M from leading investors (including Sequoia, a16z, Iconiq, Oak HC/FT, and First Round) to
 **help everyone run their numbers at the speed of AI.**
**Who We Are**
 Rillet’s pace is not for everyone. Intelligence is table stakes. To succeed here, you need extreme speed, agency, and flexibility.
 Successful Rilleteers do not wait for assignments. They internalize a mission, design a strategy, and bring back results that are better, faster, and more creative than a manager could have asked for.
 Work revolves around our customers. Successful Rilleteers are energized by delivering the most important things, even those that weren’t in the original plan.
 In this role, you do not need to be an accountant. But you do need to appreciate the value that our customers can create for their own company when we equip them with the perfect financial tools. Successful Rilleteers love powering the financial core of the world’s fastest\-growing companies.
**Who We Need**
 We're looking for a machine learning engineer to build the AI systems that will define the future of accounting software. You'll work directly with our CTO to architect solutions that turn complex financial workflows into elegant, automated experiences—the kind of problems that actually matter.
 We're looking for teammates who value in\-person collaboration and are within commutable distance of our NYC or San Francisco offices (or willing to relocate). Team members are required to work in\-office Tuesdays and Thursdays, plus one additional flexible in\-office day. Certain roles may require additional in\-office time based on function.
**What You'll Do**
* Shape Rillet's ML strategy and infrastructure for the long term
* Own problems end\-to\-end, from understanding user needs with product and design teams to deploying production systems
* Build automated pipelines for model training, evaluation, and deployment
* Ensure ML systems scale reliably under real\-world conditions
**Who We're Looking For**
* 3\+ years building ML products at tech companies
* Strong Python skills (numpy, pandas, sklearn, pytorch) and experience across ML techniques and backend systems
* Experience with LLM\-based agent frameworks
* Bachelor's in CS or related field (Master's/PhD in AI preferred)
* Someone who finds practical solutions without cutting corners and enjoys both independent work and tight collaboration
**Life At Rillet**
* Competitive Pay \&amp; Benefits: Backed by world\-class investors, we offer strong salaries plus equity so you share in our success. We've got you covered with top\-tier health and dental insurance, premiums partially or fully covered for you, plus 90% coverage for dependents.
* Room to Grow: We're building a team of ambitious, high\-performing people who will grow with the company. As Rillet scales, so will your role, responsibilities, and compensation.
* Flexibility That Works: Take the time you need with flexible PTO and 9 company\-wide holidays. We value both the flexibility of remote and hybrid work and the creativity and energy that comes from in\-person collaboration at our hubs in San Francisco, NYC, and Barcelona.
* Build Real Connections: Great work happens when people connect. Join us for team offsites in incredible locations, our team has bonded everywhere from New York and San Francisco to Toronto, Italy, France, and beyond.</t>
        </is>
      </c>
    </row>
    <row r="8">
      <c r="A8" t="inlineStr">
        <is>
          <t>li-4121965577</t>
        </is>
      </c>
      <c r="B8" t="inlineStr">
        <is>
          <t>Machine Learning Engineer, Core Engineering</t>
        </is>
      </c>
      <c r="C8" t="inlineStr">
        <is>
          <t>Pinterest</t>
        </is>
      </c>
      <c r="D8" t="inlineStr">
        <is>
          <t>linkedin</t>
        </is>
      </c>
      <c r="E8" t="inlineStr"/>
      <c r="F8" t="inlineStr"/>
      <c r="G8" t="inlineStr"/>
      <c r="H8" t="inlineStr"/>
      <c r="I8"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With more than 500 million users around the world and 300 billion ideas saved, Pinterest Machine Learning engineers build personalized experiences to help Pinners create a life they love. With just over 3,000 global employees, our teams are small, mighty, and still growing. At Pinterest, you’ll experience hands\-on access to an incredible vault of data and contribute large\-scale recommendation systems in ways you won’t find anywhere else.
**What You’ll Do**
* Build cutting edge technology using the latest advances in deep learning and machine learning to personalize Pinterest
* Partner closely with teams across Pinterest to experiment and improve ML models for various product surfaces (Homefeed, Ads, Growth, Shopping, and Search), while gaining knowledge of how ML works in different areas
* Use data driven methods and leverage the unique properties of our data to improve candidates retrieval
* Work in a high\-impact environment with quick experimentation and product launches
* Keeping up with industry trends in recommendation systems
**What We’re Looking For** 
* 2\+ years of industry experience applying machine learning methods (e.g., user modeling, personalization, recommender systems, search, ranking, natural language processing, reinforcement learning, and graph representation learning)
* End\-to\-end hands\-on experience with building data processing pipelines, large scale machine learning systems, and big data technologies (e.g., Hadoop/Spark)
* Degree in computer science, machine learning, statistics, or related field
* Nice to have:
+ M.S. or PhD in Machine Learning or related areas
+ Publications at top ML conferences
+ Expertise in scalable realtime systems that process stream data
+ Passion for applied ML and the Pinterest product
**Relocation Statement:**
* This position is not eligible for relocation assistance. Visit our PinFlex page to learn more about our working model.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$138,905—$285,982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t>
        </is>
      </c>
    </row>
    <row r="9">
      <c r="A9" t="inlineStr">
        <is>
          <t>li-4121963772</t>
        </is>
      </c>
      <c r="B9" t="inlineStr">
        <is>
          <t>Machine Learning Engineer, Core Engineering</t>
        </is>
      </c>
      <c r="C9" t="inlineStr">
        <is>
          <t>Pinterest</t>
        </is>
      </c>
      <c r="D9" t="inlineStr">
        <is>
          <t>linkedin</t>
        </is>
      </c>
      <c r="E9" t="inlineStr"/>
      <c r="F9" t="inlineStr"/>
      <c r="G9" t="inlineStr">
        <is>
          <t>San Francisco, CA</t>
        </is>
      </c>
      <c r="H9" t="inlineStr"/>
      <c r="I9"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With more than 500 million users around the world and 300 billion ideas saved, Pinterest Machine Learning engineers build personalized experiences to help Pinners create a life they love. With just over 3,000 global employees, our teams are small, mighty, and still growing. At Pinterest, you’ll experience hands\-on access to an incredible vault of data and contribute large\-scale recommendation systems in ways you won’t find anywhere else.
**What You’ll Do**
* Build cutting edge technology using the latest advances in deep learning and machine learning to personalize Pinterest
* Partner closely with teams across Pinterest to experiment and improve ML models for various product surfaces (Homefeed, Ads, Growth, Shopping, and Search), while gaining knowledge of how ML works in different areas
* Use data driven methods and leverage the unique properties of our data to improve candidates retrieval
* Work in a high\-impact environment with quick experimentation and product launches
* Keeping up with industry trends in recommendation systems
**What We’re Looking For** 
* 2\+ years of industry experience applying machine learning methods (e.g., user modeling, personalization, recommender systems, search, ranking, natural language processing, reinforcement learning, and graph representation learning)
* End\-to\-end hands\-on experience with building data processing pipelines, large scale machine learning systems, and big data technologies (e.g., Hadoop/Spark)
* Degree in computer science, machine learning, statistics, or related field
* Nice to have:
+ M.S. or PhD in Machine Learning or related areas
+ Publications at top ML conferences
+ Expertise in scalable realtime systems that process stream data
+ Passion for applied ML and the Pinterest product
**Relocation Statement:**
* This position is not eligible for relocation assistance. Visit our PinFlex page to learn more about our working model.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$138,905—$285,982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t>
        </is>
      </c>
    </row>
    <row r="10">
      <c r="A10" t="inlineStr">
        <is>
          <t>li-4251319181</t>
        </is>
      </c>
      <c r="B10" t="inlineStr">
        <is>
          <t>AI Engineer</t>
        </is>
      </c>
      <c r="C10" t="inlineStr">
        <is>
          <t>PepsiCo</t>
        </is>
      </c>
      <c r="D10" t="inlineStr">
        <is>
          <t>linkedin</t>
        </is>
      </c>
      <c r="E10" t="inlineStr"/>
      <c r="F10" t="inlineStr"/>
      <c r="G10" t="inlineStr">
        <is>
          <t>Chicago, IL</t>
        </is>
      </c>
      <c r="H10" t="inlineStr"/>
      <c r="I10" t="inlineStr">
        <is>
          <t>**Overview**
 As an AI Engineer specializing in AI Agents, you will play a pivotal role in our organization's transformation strategies by designing and developing domain\-specific AI agents and solutions. Prototyping, iterating, and taking these solutions to production, you serve as the technical complement to the business side of the AI Solutions Lead. Your work will involve close collaboration with transformation teams, business stakeholders, and AI platform teams to create scalable, cross\-domain AI solutions that deliver actionable insights and perform intelligent tasks.
**Responsibilities**
**AI Development (40%)**
* Prototyping, iterating, and taking to production domain\-specific AI agents that can communicate and work with other AI agents, performing tasks such as information gathering, insight generation, and intelligent actions.
* Writing and optimizing code for high\-performance AI models.
* Develop an actionable Generative AI roadmap and drive solution development using Gen\-AI and Agentic AI capabilities.
**Collaboration with Teams (20%)**
* Collaborate with transformation teams and business stakeholders to understand requirements and tailor AI agents to specific domains.
* Work closely with AI platform teams to build scalable and cross\-domain AI agents while ensuring end\-to\-end observability.
**Integration \&amp; Deployment (20%)**
* Lead AI projects, demonstrating hands\-on experience in code development and software engineering.
* Deploy, monitor, and optimize AI agents on cloud infrastructure, ensuring high availability and performance.
**Continuous Learning (20%)**
* Stay updated with the latest advancements in AI and machine learning technologies and integrate these into existing or new AI agents.
* Conduct thorough testing and validation to ensure the reliability and accuracy of AI agents and solutions.
* Decision\-Making Autonomy Moderate – Significant autonomy in the technical aspects of AI model development and implementation, working under the strategic direction provided by the Senior AI Solutions Manager.
* Supervision Required Moderate – Operates with general guidance from the Senior AI Solutions Manager, with regular updates for alignment and support.
* Complexity of Role High – The role requires managing complex AI/ML projects, working with large datasets, and ensuring successful integration with existing systems while maintaining scalability.
* Cross\-Functional Interactions Yes – Regular interaction with Data Science, Engineering, IT, digital products and business stakeholders to ensure effective AI solution deployment.
**Compensation and Benefits:**
* The expected compensation range for this position is between $106,400 \- $178,100\.
* Location, confirmed job\-related skills, experience, and education will be considered in setting actual starting salary. Your recruiter can share more about the specific salary range during the hiring process.
* Bonus based on performance and eligibility target payout is 12% of annual salary paid out annually.
* Paid time off subject to eligibility, including paid parental leave, vacation, sick, and bereavement.
* In addition to salary, PepsiCo offers a comprehensive benefits package to support our employees and their families, subject to elections and eligibility: Medical, Dental, Vision, Disability, Health, and Dependent Care Reimbursement Accounts, Employee Assistance Program (EAP), Insurance (Accident, Group Legal, Life), Defined Contribution Retirement Plan.
**Qualifications**
* Education: Bachelor’s or Master’s degree in Computer Science, AI/ML, Data Science, or a related field.
* Experience: Proven experience in leading AI projects with hands\-on experience in code development and software engineering.
* Required Expertise:
* 
+ Proficiency in programming languages such as Python, Java, or C(.
+ Experience and working knowledge with Agentic AI frameworks (e.g., Langchain, CrewAi, MCP, A2A) and deployment of AI solutions on cloud infrastructures (AWS, Azure, or Google Cloud).
+ Strong understanding and experience in designing AI agents and integrating advancements in AI/ML technologies.
+ Excellent analytical, problem\-solving, and communication skills.
+ Ability to work collaboratively in a cross\-functional team environment.
* Technical Proficiency: Deep understanding of new technologies, GenAI algorithms and Agentic tools.
* Problem\-Solving: Ability to translate business challenges into technical solutions.
* Collaboration Skills: Effective at working within cross\-functional teams.
* Agility: Flexibility to adapt to changing requirements and new technologies.
* Communication Skills: Capable of explaining complex technical concepts to non\-technical stakeholders.
**EEO Statement**
 Our Company will consider for employment qualified applicants with criminal histories in a manner consistent with the requirements of the Fair Credit Reporting Act, and all other applicable laws, including but not limited to, San Francisco Police Code Sections 4901\-4919, commonly referred to as the San Francisco Fair Chance Ordinance; and Chapter XVII, Article 9 of the Los Angeles Municipal Code, commonly referred to as the Fair Chance Initiative for Hiring Ordinance.
 All qualified applicants will receive consideration for employment without regard to age, race, color, religion, sex, sexual orientation, gender identity, national origin, protected veteran status, or disability status.
 PepsiCo is an Equal Opportunity Employer: Female / Minority / Disability / Protected Veteran / Sexual Orientation / Gender Identity / Age
 If you'd like more information about your EEO rights as an applicant under the law, please download the available EEO is the Law \&amp; EEO is the Law Supplement documents. View PepsiCo EEO Policy.
 Please view our Pay Transparency Statement</t>
        </is>
      </c>
    </row>
    <row r="11">
      <c r="A11" t="inlineStr">
        <is>
          <t>li-3981020696</t>
        </is>
      </c>
      <c r="B11" t="inlineStr">
        <is>
          <t>Machine Learning Engineer, Monetization Engineering</t>
        </is>
      </c>
      <c r="C11" t="inlineStr">
        <is>
          <t>Pinterest</t>
        </is>
      </c>
      <c r="D11" t="inlineStr">
        <is>
          <t>linkedin</t>
        </is>
      </c>
      <c r="E11" t="inlineStr"/>
      <c r="F11" t="inlineStr"/>
      <c r="G11" t="inlineStr">
        <is>
          <t>Seattle, WA</t>
        </is>
      </c>
      <c r="H11" t="inlineStr"/>
      <c r="I11"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With more than 600 million users around the world and 300 billion ideas saved, Pinterest Machine Learning engineers build personalized experiences to help Pinners create a life they love. With just over 4,000 global employees, our teams are small, mighty, and still growing. At Pinterest, you’ll experience hands\-on access to an incredible vault of data and contribute large\-scale recommendation systems in ways you won’t find anywhere else.
 Within the Monetization ML Engineering team, we try to connect the dots between the aspirations of Pinners and the products offered by our partners. In this role, you will be responsible for developing and executing a vision for the evolution of the machine learning technology stack within Ads.
**What You’ll Do**
* Build cutting edge technology using the latest advances in deep learning and machine learning to personalize Pinterest
* Partner closely with teams across Pinterest to experiment and improve ML models for various product surfaces (Homefeed, Ads, Growth, Shopping, and Search), while gaining knowledge of how ML works in different areas
* Use data driven methods and leverage the unique properties of our data to improve candidates retrieval
* Work in a high\-impact environment with quick experimentation and product launches
* Keep up with industry trends in recommendation systems
* Leverage LLMs to enhance content understanding
**What We’re Looking For** 
* 2\+ years of industry experience applying machine learning methods (e.g., user modeling, personalization, recommender systems, search, ranking, natural language processing, reinforcement learning, and graph representation learning)
* Degree in computer science, machine learning, statistics, or related field
* End\-to\-end hands\-on experience with building data processing pipelines, large scale machine learning systems, and big data technologies (e.g., Hadoop/Spark)
* Practical knowledge of large scale recommender systems, or modern ads ranking, retrieval, targeting, marketplace systems
* Nice to have:
+ Publications at top ML conferences
+ Expertise in scalable realtime systems that process stream data
+ Passion for applied ML and the Pinterest product
+ Background in computational advertising
**Relocation Statement:**
* This position is not eligible for relocation assistance. Visit our PinFlex page to learn more about our working model.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$163,418—$285,982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t>
        </is>
      </c>
    </row>
    <row r="12">
      <c r="A12" t="inlineStr">
        <is>
          <t>li-4251316421</t>
        </is>
      </c>
      <c r="B12" t="inlineStr">
        <is>
          <t>AI Engineer</t>
        </is>
      </c>
      <c r="C12" t="inlineStr">
        <is>
          <t>PepsiCo</t>
        </is>
      </c>
      <c r="D12" t="inlineStr">
        <is>
          <t>linkedin</t>
        </is>
      </c>
      <c r="E12" t="inlineStr"/>
      <c r="F12" t="inlineStr"/>
      <c r="G12" t="inlineStr">
        <is>
          <t>Plano, TX</t>
        </is>
      </c>
      <c r="H12" t="inlineStr"/>
      <c r="I12" t="inlineStr">
        <is>
          <t>**Overview**
 As an AI Engineer specializing in AI Agents, you will play a pivotal role in our organization's transformation strategies by designing and developing domain\-specific AI agents and solutions. Prototyping, iterating, and taking these solutions to production, you serve as the technical complement to the business side of the AI Solutions Lead. Your work will involve close collaboration with transformation teams, business stakeholders, and AI platform teams to create scalable, cross\-domain AI solutions that deliver actionable insights and perform intelligent tasks.
**Responsibilities**
**AI Development (40%)**
* Prototyping, iterating, and taking to production domain\-specific AI agents that can communicate and work with other AI agents, performing tasks such as information gathering, insight generation, and intelligent actions.
* Writing and optimizing code for high\-performance AI models.
* Develop an actionable Generative AI roadmap and drive solution development using Gen\-AI and Agentic AI capabilities.
**Collaboration with Teams (20%)**
* Collaborate with transformation teams and business stakeholders to understand requirements and tailor AI agents to specific domains.
* Work closely with AI platform teams to build scalable and cross\-domain AI agents while ensuring end\-to\-end observability.
**Integration \&amp; Deployment (20%)**
* Lead AI projects, demonstrating hands\-on experience in code development and software engineering.
* Deploy, monitor, and optimize AI agents on cloud infrastructure, ensuring high availability and performance.
**Continuous Learning (20%)**
* Stay updated with the latest advancements in AI and machine learning technologies and integrate these into existing or new AI agents.
* Conduct thorough testing and validation to ensure the reliability and accuracy of AI agents and solutions.
* Decision\-Making Autonomy Moderate – Significant autonomy in the technical aspects of AI model development and implementation, working under the strategic direction provided by the Senior AI Solutions Manager.
* Supervision Required Moderate – Operates with general guidance from the Senior AI Solutions Manager, with regular updates for alignment and support.
* Complexity of Role High – The role requires managing complex AI/ML projects, working with large datasets, and ensuring successful integration with existing systems while maintaining scalability.
* Cross\-Functional Interactions Yes – Regular interaction with Data Science, Engineering, IT, digital products and business stakeholders to ensure effective AI solution deployment.
**Compensation and Benefits:**
* The expected compensation range for this position is between $106,400 \- $178,100\.
* Location, confirmed job\-related skills, experience, and education will be considered in setting actual starting salary. Your recruiter can share more about the specific salary range during the hiring process.
* Bonus based on performance and eligibility target payout is 12% of annual salary paid out annually.
* Paid time off subject to eligibility, including paid parental leave, vacation, sick, and bereavement.
* In addition to salary, PepsiCo offers a comprehensive benefits package to support our employees and their families, subject to elections and eligibility: Medical, Dental, Vision, Disability, Health, and Dependent Care Reimbursement Accounts, Employee Assistance Program (EAP), Insurance (Accident, Group Legal, Life), Defined Contribution Retirement Plan.
**Qualifications**
* Education: Bachelor’s or Master’s degree in Computer Science, AI/ML, Data Science, or a related field.
* Experience: Proven experience in leading AI projects with hands\-on experience in code development and software engineering.
* Required Expertise:
* 
+ Proficiency in programming languages such as Python, Java, or C(.
+ Experience and working knowledge with Agentic AI frameworks (e.g., Langchain, CrewAi, MCP, A2A) and deployment of AI solutions on cloud infrastructures (AWS, Azure, or Google Cloud).
+ Strong understanding and experience in designing AI agents and integrating advancements in AI/ML technologies.
+ Excellent analytical, problem\-solving, and communication skills.
+ Ability to work collaboratively in a cross\-functional team environment.
* Technical Proficiency: Deep understanding of new technologies, GenAI algorithms and Agentic tools.
* Problem\-Solving: Ability to translate business challenges into technical solutions.
* Collaboration Skills: Effective at working within cross\-functional teams.
* Agility: Flexibility to adapt to changing requirements and new technologies.
* Communication Skills: Capable of explaining complex technical concepts to non\-technical stakeholders.
**EEO Statement**
 Our Company will consider for employment qualified applicants with criminal histories in a manner consistent with the requirements of the Fair Credit Reporting Act, and all other applicable laws, including but not limited to, San Francisco Police Code Sections 4901\-4919, commonly referred to as the San Francisco Fair Chance Ordinance; and Chapter XVII, Article 9 of the Los Angeles Municipal Code, commonly referred to as the Fair Chance Initiative for Hiring Ordinance.
 All qualified applicants will receive consideration for employment without regard to age, race, color, religion, sex, sexual orientation, gender identity, national origin, protected veteran status, or disability status.
 PepsiCo is an Equal Opportunity Employer: Female / Minority / Disability / Protected Veteran / Sexual Orientation / Gender Identity / Age
 If you'd like more information about your EEO rights as an applicant under the law, please download the available EEO is the Law \&amp; EEO is the Law Supplement documents. View PepsiCo EEO Policy.
 Please view our Pay Transparency Statement</t>
        </is>
      </c>
    </row>
    <row r="13">
      <c r="A13" t="inlineStr">
        <is>
          <t>li-4297038463</t>
        </is>
      </c>
      <c r="B13" t="inlineStr">
        <is>
          <t>ML Engineer</t>
        </is>
      </c>
      <c r="C13" t="inlineStr">
        <is>
          <t>Sesame</t>
        </is>
      </c>
      <c r="D13" t="inlineStr">
        <is>
          <t>linkedin</t>
        </is>
      </c>
      <c r="E13" t="inlineStr"/>
      <c r="F13" t="inlineStr"/>
      <c r="G13" t="inlineStr">
        <is>
          <t>San Francisco, CA</t>
        </is>
      </c>
      <c r="H13" t="inlineStr"/>
      <c r="I13" t="inlineStr">
        <is>
          <t>**About Sesame**
 Sesame believes in a future where computers are lifelike \- with the ability to see, hear, and collaborate with us in ways that feel natural and human. With this vision, we're designing a new kind of computer, focused on making voice agents part of our daily lives. Our team brings together founders from Oculus and Ubiquity6, alongside proven leaders from Meta, Google, and Apple, with deep expertise spanning hardware and software. Join us in shaping a future where computers truly come alive.
**Responsibilities**
* Own evaluation pipelines — design, build, and automate offline and live evals that keep our speech and multimodal models honest in production.
* Harness the data — create tooling for safe, versioned, privacy\-aware dataset curation and discovery.
* Ship models, not slide decks — partner with research and infra to prototype, train, and deploy state\-of\-the\-art voice models that power Sesame’s real\-time companion experience.
* Squeeze silicon — scale training and inference for LLM\-class workloads; chase latency, throughput, and cost until the graphs flatten.
* Wire up monitoring and live evals — surface quality regressions before users or PMs notice.
* Move at startup speed — take ideas from whiteboard to production in days, not quarters; leave a clean trail of tests and dashboards behind.
**Required Qualifications**
* Expert\-level PyTorch.
* Proven software engineer who loves ML; comfortable writing production code across the stack.
* Hands\-on experience training or fine\-tuning large language or other large\-scale models with a variety of techniques.
* Evaluation expert — you’ve designed metrics and harnesses that actually predict user happiness.
* Deep knowledge of the ML lifecycle: dataset ops, training pipelines, eval frameworks, deployment, and monitoring.
* History of shipping complex projects to production—especially user\-facing, online ML systems—despite shifting requirements and surprise roadblocks.
* High agency and the judgment to know when to sprint solo vs. pull in the squad.
* Track record of setting technical direction, driving consensus, and partnering smoothly with product, infra, and research.
 Sesame is committed to a workplace where everyone feels valued, respected, and empowered. We welcome all qualified applicants, embracing diversity in race, gender, identity, orientation, ability, and more. We provide reasonable accommodations for applicants with disabilities—contact careers@sesame.com for assistance.
**Full\-time Employee Benefits**
* 401k matching
* 100% employer\-paid health, vision, and dental benefits
* Unlimited PTO and sick time
* Flexible spending account matching (medical FSA)
 Benefits do not apply to contingent/contract workers.
 Compensation Range: $190K \- $320K</t>
        </is>
      </c>
    </row>
    <row r="14">
      <c r="A14" t="inlineStr">
        <is>
          <t>li-4367554970</t>
        </is>
      </c>
      <c r="B14" t="inlineStr">
        <is>
          <t>Machine Learning Engineer, AI Recommendation and Search</t>
        </is>
      </c>
      <c r="C14" t="inlineStr">
        <is>
          <t>hackajob</t>
        </is>
      </c>
      <c r="D14" t="inlineStr">
        <is>
          <t>linkedin</t>
        </is>
      </c>
      <c r="E14" t="inlineStr"/>
      <c r="F14" t="inlineStr"/>
      <c r="G14" t="inlineStr">
        <is>
          <t>Philadelphia, PA</t>
        </is>
      </c>
      <c r="H14" t="inlineStr"/>
      <c r="I14" t="inlineStr">
        <is>
          <t>***hackajob** 
 is collaborating with
 **Comcast** 
 to connect them with exceptional tech professionals for this role.*
 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Comcast brings together the best in media and technology. We drive innovation to create the world's best entertainment and online experiences. As a Fortune 50 leader, we set the pace in a variety of innovative and fascinating businesses and create career opportunities across a wide range of locations and disciplines. We are at the forefront of change and move at an amazing pace, thanks to our remarkable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The AI Search and Recommendation team is seeking a highly skilled Engineer Machine Learning to design, develop, and deploy ML models and services that power next\-generation products and platforms across Comcast, Sky, and NBCUniversal. This role combines strong coding ability, applied ML expertise, and system design skills to deliver reliable, scalable solutions. You will work closely with senior engineers and product teams to break down complex problems, implement robust architectures, and ensure high\-quality delivery.
****Job Description****
**Core Responsibilities**
* Build and optimize ML models and pipelines for production use cases.
* Participate in system design for scalable ML services; ensure reliability, performance, and cost\-efficiency.
* Write clean, efficient, and well\-tested code in Python; actively engage in code reviews.
* Implement end\-to\-end ML workflows including data ingestion, feature engineering, training, evaluation, and deployment.
* Work with product and engineering teams to break down complex projects into smaller deliverables; assist with effort estimation and sequencing.
* Ensure robust testing, monitoring, and performance tuning for ML systems; implement observability\-first practices.
* Stay current with emerging ML techniques and tools; evaluate and integrate new technologies where appropriate.
* Maintain clear documentation of designs, workflows, and best practices; contribute to internal knowledge bases.
* Provide guidance to junior engineers and interns on ML development practices and coding standards.
****Qualifications****
* Bachelor’s Degree in Computer Science, Electrical Engineering, or related field.
* 5\-7 years building platform engineering initiatives in technology\-driven organizations
* Proven experience in AI/ML, Cloud Computing, knowledge of distributed systems and MLOps (feature stores, model registries, pipelines, monitoring for data/concept drift).
* Strong coding proficiency in Python; excellence in code quality, testing, performance, and reliability.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Respect and promote inclusion \&amp; diversity.
* Do what's right for each other, our customers, investors and our communities.
**Education**
 Bachelor's Degree
 While possessing the stated degree is preferred, Comcast also may consider applicants who hold some combination of coursework and experience, or who have extensive related professional experience.
****Relevant Work Experience****
 5\-7\+ Years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Comcast is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Machine Learning Model Development; Code Development; Python (Programming Language); Communication; Machine Learning Operations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**Education**
 Bachelor's Degree
 While possessing the stated degree is preferred, Comcast also may consider applicants who hold some combination of coursework and experience, or who have extensive related professional experience.
****Relevant Work Experience****
 5\-7 Years</t>
        </is>
      </c>
    </row>
    <row r="15">
      <c r="A15" t="inlineStr">
        <is>
          <t>li-4323965100</t>
        </is>
      </c>
      <c r="B15" t="inlineStr">
        <is>
          <t>Machine Learning Engineer - Perception Attributes</t>
        </is>
      </c>
      <c r="C15" t="inlineStr">
        <is>
          <t>Zoox</t>
        </is>
      </c>
      <c r="D15" t="inlineStr">
        <is>
          <t>linkedin</t>
        </is>
      </c>
      <c r="E15" t="inlineStr"/>
      <c r="F15" t="inlineStr"/>
      <c r="G15" t="inlineStr">
        <is>
          <t>Foster City, CA</t>
        </is>
      </c>
      <c r="H15" t="inlineStr"/>
      <c r="I15" t="inlineStr">
        <is>
          <t>The Perception team at Zoox is fundamental to our autonomous vehicle technology, creating the understanding of the world for our self\-driving robots. We enable safe and efficient navigation in complex environments through sophisticated detection, classification, and tracking systems.
 As a Machine Learning Engineer on the Attributes team within the Perception department, you will take ownership of developing and enhancing sophisticated behavioral models for various road users, including vehicles, pedestrians, and cyclists. Your work will focus on creating and maintaining robust perception attribute models that generate critical signals for our autonomous driving stack. These signals are essential inputs that enable our Prediction and Planning teams to make intelligent, safe driving decisions for our autonomous vehicles. In this role, you will bridge the crucial gap between raw perception data and autonomous decision\-making, working closely with cross\-functional teams to optimize model outputs and enhance our system's overall perception capabilities. Your contributions will directly impact the safety and effectiveness of Zoox's autonomous vehicle platform, advancing our mission of revolutionizing urban mobility.
 Your work in the Attributes team is fundamental to Zoox's autonomous driving capabilities. The models you develop and the impact you will have will serve as the foundation for how our vehicles understand and interact with other road users, directly contributing to the safety and effectiveness of our autonomous driving system. By creating reliable and accurate behavioral models, you enable Zoox's vehicles to make smart, safe decisions in complex urban environments, bringing us closer to our goal of revolutionizing urban mobility
**In This Role, You Will**
* Work with Data Labeling and Ontology teams on data labeling and ontology definitions of the road users in different attributes and generate auto\-labeling or data mining strategies for different attributes.
* Lead the development of sophisticated behavioral models for vehicles, pedestrians, and cyclists as a key member of the Attributes team within Zoox's Perception department.
* Create and maintain Perception attribute models that generate essential signals, enabling our autonomous vehicles to understand and predict the behavior of various road users.
* Collaborate closely with Prediction and Planning teams to optimize your models' outputs. This will directly influence how our autonomous vehicles make real\-time driving decisions and bridge the critical gap between raw perception data and autonomous decision\-making.
**Qualifications**
* MS/PhD in Computer Science or related fields with a minimum of 5 years of relevant experience
* Experience with training and deploying Deep Learning models
* Experience with production Machine Learning pipelines: dataset creation, training frameworks, metrics pipelines
* Fluency programming in Python and extensive experience with algorithm design
* Strong mathematics skills
**Bonus Qualifications**
* Familiarity of VLMs/VLAs/ViTs
* Experience with large model distillation in a production environment
* Familiarity with C\+\+
 $189,000 \- $257,000 a year
**Base Salary Range**
 There are three major components to compensation for this position: salary, Amazon Restricted Stock Units (RSUs), and Zoox Stock Appreciation Rights. A sign\-on bonus may be offered as part of the compensation package. The listed range applies only to the base salary. Compensation will vary based on geographic location and level. Leveling, as well as positioning within a level, is determined by a range of factors, including, but not limited to, a candidate's relevant years of experience, domain knowledge, and interview performance. The salary range listed in this posting is representative of the range of levels Zoox is considering for this position.
 Zoox also offers a comprehensive package of benefits, including paid time off (e.g. sick leave, vacation, bereavement), unpaid time off, Zoox Stock Appreciation Rights, Amazon RSUs, health insurance, long\-term care insurance, long\-term and short\-term disability insurance, and life insurance.
**About Zoox**
 Zoox is developing the first ground\-up, fully autonomous vehicle fleet and the supporting ecosystem required to bring this technology to market. Sitting at the intersection of robotics, machine learning, and design, Zoox aims to provide the next generation of mobility\-as\-a\-service in urban environments. We’re looking for top talent that shares our passion and wants to be part of a fast\-moving and highly execution\-oriented team.
 Follow us on LinkedIn
**Accommodations**
 If you need an accommodation to participate in the application or interview process please reach out to \[email protected] or your assigned recruiter.
**A Final Note**
*You do not need to match every listed expectation to apply for this position. Here at Zoox, we know that diverse perspectives foster the innovation we need to be successful, and we are committed to building a team that encompasses a variety of backgrounds, experiences, and skills.*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6">
      <c r="A16" t="inlineStr">
        <is>
          <t>li-4378038411</t>
        </is>
      </c>
      <c r="B16" t="inlineStr">
        <is>
          <t>AI Engineer, ML Systems</t>
        </is>
      </c>
      <c r="C16" t="inlineStr">
        <is>
          <t>Salesforce</t>
        </is>
      </c>
      <c r="D16" t="inlineStr">
        <is>
          <t>linkedin</t>
        </is>
      </c>
      <c r="E16" t="inlineStr"/>
      <c r="F16" t="inlineStr"/>
      <c r="G16" t="inlineStr">
        <is>
          <t>San Francisco, CA</t>
        </is>
      </c>
      <c r="H16" t="inlineStr"/>
      <c r="I16"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We are seeking a Lead AI Engineer, ML Systems to join the Salesforce AI Research Incubation Team.
 In this role, you will own the engineering systems that power model inference, fine\-tuning, and evaluation, enabling research models to be reliably deployed and evolved in production environments.
 You will work closely with AI researchers, agent engineers, and platform teams to support model serving, LoRA\-based fine\-tuning workflows, and model lifecycle management. This role focuses on production ML systems, not on inventing new model architectures.
 This is a lead\-level individual contributor role with deep ownership of model\-facing systems and strong cross\-team influence.
 Key Responsibilities
* Design, build, and maintain model inference and serving systems, including integration with AI gateways.
* Own and evolve fine\-tuning pipelines (e.g., LoRA / PEFT) using internal model tooling.
* Develop and maintain model evaluation, regression detection, and rollout workflows.
* Collaborate with AI researchers to transition research models into production\-ready assets.
* Optimize inference systems for latency, throughput, stability, and cost efficiency.
* Implement best practices for model versioning, deployment, rollback, and monitoring.
* Partner with agent and platform engineers to ensure smooth integration between model systems and agent runtimes.
* Provide technical leadership and mentorship on ML system design and operational excellence.
**Required Qualifications**
* Bachelor’s degree in Computer Science, Software Engineering, or a related field.
* 5\+ years of experience in software engineering, with significant ownership of backend or distributed systems.
* Strong proficiency in Python, with experience building production services.
* Hands\-on experience with AI/ML model serving, inference pipelines, or ML systems engineering.
* Experience designing reliable, scalable systems for production environments.
* Familiarity with cloud platforms (AWS, GCP) and containerized environments (Docker, Kubernetes).
* Strong debugging skills across system, data, and model\-facing failures.
* Excellent communication skills and ability to collaborate across research and engineering teams.
**Preferred Qualifications**
* Experience with fine\-tuning techniques such as LoRA or PEFT.
* Familiarity with model evaluation frameworks and regression testing.
* Experience with GPU\-based workloads or ML infrastructure.
* Knowledge of data formats and pipelines commonly used in ML systems.
* Prior experience working closely with AI research or incubation teams.
 Why Join Us?
* Own the systems that turn research models into production AI capabilities.
* Work at the intersection of AI research and large\-scale engineering systems.
* Shape how models are trained, deployed, evaluated, and evolved.
* Competitive compensation, benefits, and strong long\-term growth opportunities.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$172,500 \- $260,100 annually. In select cities within the San Francisco and New York City metropolitan area, the base salary range for this role is $207,800 \- $285,800 annually. The range represents base salary only, and does not include company bonus, incentive for sales roles, equity or benefits, as applicable.</t>
        </is>
      </c>
    </row>
    <row r="17">
      <c r="A17" t="inlineStr">
        <is>
          <t>li-4379589112</t>
        </is>
      </c>
      <c r="B17" t="inlineStr">
        <is>
          <t>Principal AI Engineer  - AI/ML</t>
        </is>
      </c>
      <c r="C17" t="inlineStr">
        <is>
          <t>TekVizor</t>
        </is>
      </c>
      <c r="D17" t="inlineStr">
        <is>
          <t>linkedin</t>
        </is>
      </c>
      <c r="E17" t="inlineStr"/>
      <c r="F17" t="inlineStr"/>
      <c r="G17" t="inlineStr">
        <is>
          <t>Pennsylvania, United States</t>
        </is>
      </c>
      <c r="H17" t="inlineStr"/>
      <c r="I17" t="inlineStr">
        <is>
          <t>**Principal AI Engineer \- AI/ML Engineer** 
 📍
 **Pittsburgh, PA OR New York, NYC (On‑site)** 
 🕒
 **Full\-Time** 
 🌍
 **U.S. Citizenship Required** 
 ✈️ Up to 10% Travel
 We are seeking an experienced Principal
 **AI Engineer** 
 to join our AI/ML team as we scale agentic capabilities. Our bespoke platform and suite of AI\-enabled applications accelerate the decision\-making process in real\-time, all in one place.
**What You’ll Do** 
* Design and build multi\-agent systems, memory, routing, and planning.
* Develop Agent Skills and tools as modular, composable services connected to backend systems, models, and data processing pipelines.
* Contribute to automated evaluation and observability systems for agents, tools, workflows, and prompts across the entire product lifecycle.
* Collaborate cross\-functionally with Product and Engineering to deploy agentic systems.
**Required Skills \&amp; Experience** 
* Bachelor’s, Master’s, or PhD in Computer Science, Computer Engineering, Data Science, Neuroscience, statistics or related field.
* 5\+ years building and deploying Agentic, ML or LLM\-powered systems in production environments.
* Hands\-on experience designing autonomous multi\-agent workflows that include state/action models for AI\-driven interaction (agent\-controlled UI, tool invocation, deterministic flows).
* Experience with agent frameworks such as Claude Agent SDK or OpenAI Agent SDK.
* Solid Python engineering skills.
* Hands\-on with MCP, LLM evaluation frameworks, deep learning, transformer architecture, agent orchestration, LangGraph.
* A passion for coding agents, exploring new technologies and Agentic Engineering.
**Strong Candidates Have** 
* Proven experience designing and deploying complex agentic systems using LLMs.
* Hands\-on work with
 **multi\-agent coordination** 
 , routing, and tool orchestration.
* Demonstrated portfolio or project showing LLMs interacting with frontend interfaces agentically.
* Passion for building, experimenting with, and optimizing agents.
**Desired Qualifications** 
* Experience in fast\-paced startup environments.
* Comfort with
 **Claude Code** 
**SDK,** 
 and modern GenAI coding best practices.
* Frameworks LangChain, AutoGen, Semantic Kernal.
**About the Role** 
 This is a full\-time, on\-site position based in Pittsburgh, PA, with occasional travel (up to 10%). You’ll be joining a high\-velocity team building the next generation of agentic AI systems. If you thrive in ambiguity, love building real agentic systems, and want to shape how LLMs interact with software interfaces at scale, this role is for you!
**Benefits:** 
* Employees manage their time off \- unlimited sick days and PTO.
* Professional Development \- Tuition reimbursement towards advanced education and specialized certifications.
* 401k with 4% and immediate vesting.
 \#AIJobs \#AgenticAI \#LLMEngineering \#AIEngineer \#Hiring \#MachineLearning \#GenerativeAI \#TechJobs \#Pittsburgh \#Manhattan \#Newyork \#NYC</t>
        </is>
      </c>
    </row>
    <row r="18">
      <c r="A18" t="inlineStr">
        <is>
          <t>li-4378429567</t>
        </is>
      </c>
      <c r="B18" t="inlineStr">
        <is>
          <t>AI/ML Engineer</t>
        </is>
      </c>
      <c r="C18" t="inlineStr">
        <is>
          <t>Wiraa</t>
        </is>
      </c>
      <c r="D18" t="inlineStr">
        <is>
          <t>linkedin</t>
        </is>
      </c>
      <c r="E18" t="inlineStr"/>
      <c r="F18" t="inlineStr"/>
      <c r="G18" t="inlineStr"/>
      <c r="H18" t="inlineStr"/>
      <c r="I18" t="inlineStr">
        <is>
          <t>About the Company
 Oddball is a forward\-thinking technology company committed to developing innovative solutions that make a meaningful impact on society. Believing that the best products are built when companies understand and value their work, Oddball fosters a culture of continuous learning and growth. With a focus on delivering high\-quality software to the federal space, the company aims to improve the daily lives of millions of people through technological advancements. Emphasizing collaboration, creativity, and technical excellence, Oddball is dedicated to making big changes happen in a dynamic and supportive environment.
 About the Role
 We are seeking a highly skilled Applied AI / Machine Learning Engineer to join our team. In this hands\-on role, you will be responsible for designing, building, and deploying practical AI\-powered solutions that address real\-world challenges. Your work will involve applying modern machine learning and Generative AI (GenAI) techniques across production systems, from initial experimentation and prototyping to deployment, evaluation, and iteration. Collaborating closely with engineers, designers, and product stakeholders, you will transform ambiguous problems into scalable, reliable, AI\-driven capabilities. This position offers an exciting opportunity for someone passionate about shipping impactful solutions, learning rapidly, and balancing technical rigor with real\-world constraints.
 Qualifications
* Strong foundation in machine learning concepts, including model selection, training, validation, and evaluation
* Experience building and deploying machine learning models in real\-world applications
* Proficiency in Python and common ML libraries (e.g., PyTorch, TensorFlow, scikit\-learn)
* Experience working with large language models, embeddings, and prompt\-driven systems
* Familiarity with data processing tools and workflows (e.g., Pandas, SQL, Spark)
* Understanding of software engineering best practices such as version control, testing, and code reviews
* Ability to reason about tradeoffs between accuracy, latency, cost, and maintainability
* Strong communication skills and ability to work effectively in cross\-functional teams
* Authorized to work in the United States
 Responsibilities
* Design, develop, and deploy machine learning and AI\-powered features into production systems
* Apply supervised, unsupervised, and deep learning techniques to structured and unstructured data
* Build and evaluate models for tasks such as classification, ranking, prediction, NLP, or anomaly detection
* Develop and integrate GenAI solutions, including LLM\-based workflows, retrieval\-augmented generation, and agents
* Translate business and user needs into ML problem statements, metrics, and experiments
* Implement data pipelines and feature engineering workflows to support model training and inference
* Evaluate model performance, bias, drift, and reliability, iterating based on results
* Collaborate with software engineers to integrate models into APIs, services, and user\-facing applications
* Contribute to architecture decisions related to model serving, scalability, and cost optimization
* Document approaches, assumptions, and tradeoffs to ensure maintainability and knowledge sharing
 Benefits
* Fully remote work environment
* Annual stipend to support professional development and other needs
* Comprehensive benefits package including health, dental, and vision insurance
* Company match 401(k) plan to help secure your financial future
* Flexible paid time off and paid holidays to promote work\-life balance
 Equal Opportunity
 Oddball is an Equal Opportunity Employer and is committed to creating an inclusive environment for all employees and applicants. We do not discriminate based on race, religion, color, disability, medical condition, legally protected genetic information, national origin, gender, sexual orientation, marital status, gender identity or expression, sex (including pregnancy, childbirth, or related medical conditions), age, veteran status, or other protected characteristics. We welcome applicants with disabilities and provide accommodations during the application process upon request.</t>
        </is>
      </c>
    </row>
    <row r="19">
      <c r="A19" t="inlineStr">
        <is>
          <t>li-4378049257</t>
        </is>
      </c>
      <c r="B19" t="inlineStr">
        <is>
          <t>AI Engineer, ML Systems</t>
        </is>
      </c>
      <c r="C19" t="inlineStr">
        <is>
          <t>Salesforce</t>
        </is>
      </c>
      <c r="D19" t="inlineStr">
        <is>
          <t>linkedin</t>
        </is>
      </c>
      <c r="E19" t="inlineStr"/>
      <c r="F19" t="inlineStr"/>
      <c r="G19" t="inlineStr">
        <is>
          <t>Palo Alto, CA</t>
        </is>
      </c>
      <c r="H19" t="inlineStr"/>
      <c r="I19"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We are seeking a Lead AI Engineer, ML Systems to join the Salesforce AI Research Incubation Team.
 In this role, you will own the engineering systems that power model inference, fine\-tuning, and evaluation, enabling research models to be reliably deployed and evolved in production environments.
 You will work closely with AI researchers, agent engineers, and platform teams to support model serving, LoRA\-based fine\-tuning workflows, and model lifecycle management. This role focuses on production ML systems, not on inventing new model architectures.
 This is a lead\-level individual contributor role with deep ownership of model\-facing systems and strong cross\-team influence.
 Key Responsibilities
* Design, build, and maintain model inference and serving systems, including integration with AI gateways.
* Own and evolve fine\-tuning pipelines (e.g., LoRA / PEFT) using internal model tooling.
* Develop and maintain model evaluation, regression detection, and rollout workflows.
* Collaborate with AI researchers to transition research models into production\-ready assets.
* Optimize inference systems for latency, throughput, stability, and cost efficiency.
* Implement best practices for model versioning, deployment, rollback, and monitoring.
* Partner with agent and platform engineers to ensure smooth integration between model systems and agent runtimes.
* Provide technical leadership and mentorship on ML system design and operational excellence.
**Required Qualifications**
* Bachelor’s degree in Computer Science, Software Engineering, or a related field.
* 5\+ years of experience in software engineering, with significant ownership of backend or distributed systems.
* Strong proficiency in Python, with experience building production services.
* Hands\-on experience with AI/ML model serving, inference pipelines, or ML systems engineering.
* Experience designing reliable, scalable systems for production environments.
* Familiarity with cloud platforms (AWS, GCP) and containerized environments (Docker, Kubernetes).
* Strong debugging skills across system, data, and model\-facing failures.
* Excellent communication skills and ability to collaborate across research and engineering teams.
**Preferred Qualifications**
* Experience with fine\-tuning techniques such as LoRA or PEFT.
* Familiarity with model evaluation frameworks and regression testing.
* Experience with GPU\-based workloads or ML infrastructure.
* Knowledge of data formats and pipelines commonly used in ML systems.
* Prior experience working closely with AI research or incubation teams.
 Why Join Us?
* Own the systems that turn research models into production AI capabilities.
* Work at the intersection of AI research and large\-scale engineering systems.
* Shape how models are trained, deployed, evaluated, and evolved.
* Competitive compensation, benefits, and strong long\-term growth opportunities.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$172,500 \- $260,100 annually. In select cities within the San Francisco and New York City metropolitan area, the base salary range for this role is $207,800 \- $285,800 annually. The range represents base salary only, and does not include company bonus, incentive for sales roles, equity or benefits, as applicable.</t>
        </is>
      </c>
    </row>
    <row r="20">
      <c r="A20" t="inlineStr">
        <is>
          <t>li-4379595659</t>
        </is>
      </c>
      <c r="B20" t="inlineStr">
        <is>
          <t>Applied AI Engineer</t>
        </is>
      </c>
      <c r="C20" t="inlineStr">
        <is>
          <t>Ramp</t>
        </is>
      </c>
      <c r="D20" t="inlineStr">
        <is>
          <t>linkedin</t>
        </is>
      </c>
      <c r="E20" t="inlineStr"/>
      <c r="F20" t="inlineStr"/>
      <c r="G20" t="inlineStr">
        <is>
          <t>New York, United States</t>
        </is>
      </c>
      <c r="H20" t="inlineStr"/>
      <c r="I20" t="inlineStr">
        <is>
          <t>**About Ramp**
 At Ramp, we’re rethinking how modern finance teams function in the age of AI. We believe AI isn’t just the next big wave. It’s the new foundation for how business gets done. We’re investing in that future — and in the people bold enough to build it.
 Ramp is a financial operations platform designed to save companies time and money. Our all\-in\-one solution combines payments, corporate cards, vendor management, procurement, travel booking, and automated bookkeeping with built\-in intelligence to maximize the impact of every dollar and hour spent. More than 50,000 businesses, from family\-owned farms to e\-commerce giants to space startups, have saved $10B and 27\.5M hours with Ramp. Founded in 2019, Ramp powers the fastest\-growing corporate card and bill payment platform in America, and enables over $100 billion in purchases each year.
 Ramp’s investors include Lightspeed Venture Partners, Thrive Capital, Sands Capital, General Catalyst, Founders Fund, Khosla Ventures, Sequoia Capital, Greylock, Redpoint, and ICONIQ, as well as over 100 angel investors who were founders or executives of leading companies. The Ramp team comprises talented leaders from leading financial services and fintech companies—Stripe, Affirm, Goldman Sachs, American Express, Mastercard, Visa, Capital One—as well as technology companies such as Meta, Uber, Netflix, Twitter, Dropbox, and Instacart.
 Ramp has been named to Fast Company’s Most Innovative Companies list and LinkedIn’s Top U.S. Startups for more than 3 years, as well as the Forbes Cloud 100, CNBC Disruptor 50, and TIME Magazine’s 100 Most Influential Companies.
**About The Role**
 The Applied AI team at Ramp is at the forefront of leveraging AI to drive innovation across our platform. We are seeking strong full\-stack engineers who are proficient in web frameworks, backend development, and infrastructure. You will work on exciting projects such as AI Agents, Retrieval\-Augmented Generation, Structured Extraction (we made https://github.com/1rgs/jsonformer), internal tooling for customer\-facing teams, fine\-tuning models, and build infrastructure for LLM inference. If you're passionate about working on real production use cases of large language models (LLMs) and want to contribute to groundbreaking AI applications, this role is for you.
 What You’ll Do
* Ship full\-stack AI projects end to end
* Build and integrate components for AI infrastructure, supporting production\-level inference and fine\-tuning
* Develop and improve engineering processes, tools, and systems to scale AI solutions across Ramp
* Create tools and internal platforms to enhance the productivity and capabilities of Ramp's AI and engineering teams
 What You Need
* Proficiency in full\-stack development, with a strong understanding of web frameworks, backend systems, and cloud infrastructure
* A track record of working on full\-stack AI projects, particularly those involving production use cases of LLMs
* Experience building backend systems and infrastructure that can support AI\-driven products
**Benefits (for U.S.\-based Full\-time Employees)**
* 100% medical, dental \&amp; vision insurance coverage for you
+ Partially covered for your dependents
+ One Medical annual membership
* 401k (including employer match on contributions made while employed by Ramp)
* Flexible PTO
* Fertility HRA (up to $10,000 per year)
* Parental Leave
* Unlimited AI token usage
* Pet insurance
* Centralized home\-office equipment ordering for all employees
* Health and Wellness stipend
* In\-office perks: lunch, snacks, drinks, and more
* Budget for intra\-office travel
* Relocation support to NYC or SF (as needed)
**Referral Instructions**
 If you are being referred for the role, please contact that person to apply on your behalf.
**Other Notices**
 Pursuant to the San Francisco Fair Chance Ordinance, we will consider for employment qualified applicants with arrest and conviction records.
*Beware of recruiting scams: Ramp will only contact you through official @* 
*Ramp.com* 
*email addresses and will never ask for payment or sensitive personal information during the hiring process.*
 Ramp Applicant Privacy Notice</t>
        </is>
      </c>
    </row>
    <row r="21">
      <c r="A21" t="inlineStr">
        <is>
          <t>li-4379591403</t>
        </is>
      </c>
      <c r="B21" t="inlineStr">
        <is>
          <t>Machine Learning Engineer</t>
        </is>
      </c>
      <c r="C21" t="inlineStr">
        <is>
          <t>JCSI</t>
        </is>
      </c>
      <c r="D21" t="inlineStr">
        <is>
          <t>linkedin</t>
        </is>
      </c>
      <c r="E21" t="inlineStr"/>
      <c r="F21" t="inlineStr"/>
      <c r="G21" t="inlineStr">
        <is>
          <t>Chicago, IL</t>
        </is>
      </c>
      <c r="H21" t="inlineStr"/>
      <c r="I21" t="inlineStr">
        <is>
          <t>**Machine Learning Engineer (NLP Focus)** 
**Fully Remote**
**Preferred Location:** 
 Midwest (Indianapolis, IN or Chicagoland area preferred)
**About the Company** 
 We are a fast\-growing, AI\-driven fintech company transforming how alternative investment firms manage complex tax and financial reporting workflows. Our proprietary technology digitizes and extracts critical data from partnership tax documents, bringing automation and intelligence to a traditionally manual and fragmented process.
 Our platform leverages advanced machine learning and natural language processing to solve highly complex document challenges at scale. As we continue to grow, we are expanding our machine learning team to further enhance the accuracy, efficiency, and scalability of our solutions.
**About the Role** 
 We are seeking a highly skilled and experienced Machine Learning Engineer with deep expertise in Natural Language Processing (NLP/NLU) and experience working with unstructured and semi\-structured data, particularly financial statements and tax documents.
 In this role, you will design, build, optimize, and deploy machine learning models that power a sophisticated document intelligence platform. You will work on challenging real\-world problems involving complex PDF tax documents and financial data, playing a key role in advancing our AI capabilities.
 This is an ideal opportunity for an experienced Machine Learning Engineer or Data Scientist who thrives in a startup environment and enjoys delivering production\-grade ML solutions that directly impact customers.
**Key Responsibilities** 
* Develop and optimize machine learning models to parse, extract, and categorize data from complex PDF tax documents
* Build and refine NLP/NLU systems for processing unstructured and semi\-structured financial data
* Lead end\-to\-end data science initiatives — from problem definition and experimentation to deployment and monitoring
* Apply statistical analysis to uncover signals, trends, and insights that inform product enhancements
* Collaborate cross\-functionally with engineering, product, and leadership teams to integrate ML solutions into customer\-facing applications
* Mentor junior data scientists and contribute to a collaborative, high\-performing technical culture
* Clearly communicate complex technical findings to both technical and non\-technical stakeholders
**Required Qualifications** 
* Master’s or PhD in Computer Science, Mathematics, Statistics, Data Science, or a related field — or equivalent practical experience
* 6\+ years of industry experience as a Data Scientist or Machine Learning Engineer, with a strong focus on NLP/NLU
* Proven experience leading full lifecycle data science projects in production environments
* Strong proficiency in Python
* Deep experience with machine learning frameworks and libraries such as:
	+ scikit\-learn
	+ PyTorch
	+ spaCy
	+ Hugging Face
* Excellent analytical, problem\-solving, and communication skills
**Preferred Experience** 
* Experience applying NLP to financial or tax\-related documents
* Familiarity with alternative investment accounting or partnership reporting requirements
* Experience deploying machine learning models using containerization and orchestration technologies (e.g., Docker, Kubernetes)
* Experience working in a high\-growth startup or fast\-paced environment
**What We Offer** 
* Fully Remote Work Environment
* Unlimited PTO \+ Sick Time \+ Paid Holidays
* Paid Parental Leave
* Comprehensive Healthcare Benefits
* 401(k) Plan
* Opportunity to work on complex, high\-impact AI challenges
* Collaborative and innovative startup culture</t>
        </is>
      </c>
    </row>
    <row r="22">
      <c r="A22" t="inlineStr">
        <is>
          <t>li-4363857444</t>
        </is>
      </c>
      <c r="B22" t="inlineStr">
        <is>
          <t>Senior ML Engineer</t>
        </is>
      </c>
      <c r="C22" t="inlineStr">
        <is>
          <t>Uber</t>
        </is>
      </c>
      <c r="D22" t="inlineStr">
        <is>
          <t>linkedin</t>
        </is>
      </c>
      <c r="E22" t="inlineStr"/>
      <c r="F22" t="inlineStr"/>
      <c r="G22" t="inlineStr">
        <is>
          <t>San Francisco, CA</t>
        </is>
      </c>
      <c r="H22" t="inlineStr"/>
      <c r="I22" t="inlineStr">
        <is>
          <t>**About The Role**
 Uber's newly formed AI Security team, part of the Core Security Engineering organization, is building the foundation for dynamic, data\-driven security systems. We're evolving Uber's Zero Trust Architecture (ZTA) to be more risk\-adaptive across authentication and authorization, moving beyond static rules and manual approvals toward real\-time, ML\-driven access decisions that secure both humans and AI agents without slowing them down.
 As a Senior ML Engineer, you'll translate ambiguous business and security needs into concrete ML problems, design and iterate on solutions, and take them end\-to\-end into production. This is greenfield work at the intersection of ML, security, and infrastructure, shaping how Uber secures AI at scale.
**What The Candidate Will Need / Bonus Points**
 \-\-\-\- What the Candidate Will Do \-\-\-\-
* Translate business and security needs into well\-defined ML problems.
* Develop, iterate, and productionize ML models that drive risk\-adaptive decisions in real\-time.
* Engineer features from Uber's risk systems, logs, and contextual signals.
* Integrate ML systems into Uber's critical access pathways (containers, APIs, gateways, data).
* Collaborate across Security, Risk, and Infra teams to deliver scalable, production\-ready solutions.
* Provide leadership by mentoring junior engineers, evangelize ML best practices, and help shape ML strategy within AI Security.
**Basic Qualifications**
* 5\+ years experience in formulating ML problems from ambiguous business requirements, especially in risk, fraud, or security contexts.
* Proficiency across a broad range of ML algorithms: tree\-based models (XGBoost, LightGBM), classical statistical models (logistic regression, SVMs), and deep learning architectures (CNNs, RNNs, Transformers), with the ability to select and apply the right approach based on context and data characteristics.
* Hands\-on experience with feature engineering, model development, and productionization of ML pipelines.
* Proficiency in PyTorch, TensorFlow, or similar ML frameworks, and in Python or comparable languages for scalable, production\-grade systems.
**Preferred Qualifications**
* Proven ability to own ML systems end\-to\-end: from requirement discovery → feature design → modeling → deployment.
* Deep experience with advanced ML techniques, including ensemble methods, neural networks, graph\-based models, and handling challenges like imbalanced data, feedback loops, and iterative retraining.
* Familiarity with large\-scale data/infra systems (Kafka, Pinot, Hive, Cassandra, Spark, Flink).
* Background in access control, authentication, or enterprise security systems.
* Track record of technical leadership: mentoring engineers, driving cross\-functional initiatives, or shaping ML/security strategy.
 For San Francisco, CA\-based roles: The base salary range for this role is USD$202,000 per year \- USD$224,000 per year. For Seattle, WA\-based roles: The base salary range for this role is USD$202,000 per year \- USD$224,000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23">
      <c r="A23" t="inlineStr">
        <is>
          <t>li-4378438728</t>
        </is>
      </c>
      <c r="B23" t="inlineStr">
        <is>
          <t>ML Engineer</t>
        </is>
      </c>
      <c r="C23" t="inlineStr">
        <is>
          <t>Wiraa</t>
        </is>
      </c>
      <c r="D23" t="inlineStr">
        <is>
          <t>linkedin</t>
        </is>
      </c>
      <c r="E23" t="inlineStr"/>
      <c r="F23" t="inlineStr"/>
      <c r="G23" t="inlineStr"/>
      <c r="H23" t="inlineStr"/>
      <c r="I23" t="inlineStr">
        <is>
          <t>About the Company
 Tenstorrent is a pioneering leader in the AI technology industry, dedicated to transforming the landscape of high\-performance computing. Our company is at the forefront of developing innovative solutions that unify software models, compilers, platforms, networking, and semiconductor technologies to meet the evolving demands of artificial intelligence. With a team composed of passionate technologists, we have successfully developed a high\-performance RISC\-V CPU from scratch, demonstrating our commitment to pushing technological boundaries. Our culture emphasizes collaboration, curiosity, and a relentless pursuit of solving complex problems, making us an exciting place for talented individuals to grow and contribute to groundbreaking advancements in AI. Headquartered in Toronto, ON, with additional offices in Austin, TX, and Santa Clara, CA, we offer a hybrid working environment with opportunities for remote work based on individual circumstances.
 About the Role
 As a Machine Learning Engineer within the AI Models team at Tenstorrent, you will play a critical role in bringing state\-of\-the\-art AI models to life on our custom AI hardware. Your responsibilities will include experimenting with, optimizing, and deploying advanced machine learning models to ensure they perform efficiently and accurately on our platforms. You will collaborate closely with software, hardware, and compiler teams to enhance model performance, troubleshoot issues, and implement innovative solutions. This role offers a unique opportunity to work on real\-world applications, translating research into production\-ready systems. The position is hybrid, based out of Toronto, Austin, or Santa Clara, with the possibility of remote work for suitable candidates. We welcome applicants across various experience levels, with the understanding that compensation and responsibilities will be aligned accordingly.
 Qualifications
* Proficiency in Python programming and hands\-on experience with PyTorch for deep learning development
* Strong understanding of machine learning model architectures and optimization techniques
* Experience deploying ML models on new hardware platforms
* Excellent debugging skills to analyze performance bottlenecks and improve model robustness
* Knowledge of model optimization methods such as quantization, flash attention, and kernel fusing
* Familiarity with hardware features like matrix engines and memory hierarchies
* Curiosity\-driven mindset with a passion for staying current with ML research and innovations
* Ability to collaborate effectively across cross\-functional teams including software, hardware, and compiler engineers
 Responsibilities
* Bring up and optimize cutting\-edge AI models to run efficiently on Tenstorrent’s custom AI hardware
* Experiment with model architectures and tune performance to achieve desired accuracy and robustness
* Investigate and resolve performance issues through detailed debugging and analysis
* Implement and refine model optimization techniques, leveraging hardware features for maximum efficiency
* Collaborate with hardware, compiler, and kernel teams to develop new features and performance enhancements
* Translate research models into production systems, ensuring scalability and reliability
* Stay informed on the latest ML research and incorporate practical insights into engineering solutions
 Benefits
* Competitive compensation package ranging from $100,000 to $500,000, including base salary and variable incentives
* Comprehensive health, dental, and vision insurance plans
* Flexible hybrid work environment with remote work options
* Opportunities for professional growth and development in a cutting\-edge technological environment
* Collaborative and innovative company culture that values curiosity and problem\-solving
* Participation in groundbreaking projects shaping the future of AI hardware and software
 Equal Opportunity
 Tenstorrent is committed to fostering an inclusive and diverse workplace. We are an equal opportunity employer and do not discriminate based on race, color, religion, gender, gender identity or expression, sexual orientation, national origin, age, disability, or any other protected status under applicable laws. We believe that diverse teams drive innovation and excellence and welcome candidates from all backgrounds to apply and join our mission to revolutionize AI technology.</t>
        </is>
      </c>
    </row>
    <row r="24">
      <c r="A24" t="inlineStr">
        <is>
          <t>li-4299041626</t>
        </is>
      </c>
      <c r="B24" t="inlineStr">
        <is>
          <t>Staff Machine Learning Engineer - Generative AI</t>
        </is>
      </c>
      <c r="C24" t="inlineStr">
        <is>
          <t>Xometry</t>
        </is>
      </c>
      <c r="D24" t="inlineStr">
        <is>
          <t>linkedin</t>
        </is>
      </c>
      <c r="E24" t="inlineStr"/>
      <c r="F24" t="inlineStr"/>
      <c r="G24" t="inlineStr">
        <is>
          <t>Waltham, MA</t>
        </is>
      </c>
      <c r="H24" t="inlineStr"/>
      <c r="I24" t="inlineStr">
        <is>
          <t>Xometry (NASDAQ: XMTR) powers the industries of today and tomorrow by connecting the people with big ideas to the manufacturers who can bring them to life. Xometry’s digital marketplace gives manufacturers the critical resources they need to grow their business while also making it easy for buyers at Fortune 1000 companies to tap into global manufacturing capacity.
 Xometry is seeking a
 **Staff Machine Learning Engineer** 
 to lead our Generative AI efforts. This is a rare opportunity to shape the future of manufacturing by applying cutting\-edge AI research to real\-world problems: from multimodal document understanding, to extracting structured data from technical drawings, to building new ways of reasoning across text, images, and 3D data. If you’re passionate about building state\-of\-the\-art AI systems and want to see your work have immediate business and customer impact, we’d love to talk.
**Responsibilities:**
* Lead with vision – Set the technical direction for our Generative AI team, establish best practices, and inspire high\-impact innovation.
* Drive strategy – Help shape the AI roadmap, identifying the most valuable opportunities to apply generative AI across Xometry’s marketplace.
* Build cutting\-edge models – Develop and deploy large language and generative models for multimodal document processing and structured data extraction.
* Innovate across modalities – Explore new ways to combine text, images, and 3D data to unlock smarter, faster solutions.
* Engineer at scale – Create data pipelines and training workflows that can handle massive, complex datasets.
* Deploy in the cloud – Use AWS and other platforms to train, optimize, and deploy models into production at scale.
* Collaborate widely – Work with engineers, product leaders, and business teams to bring AI solutions into real products and customer workflows.
* Mentor and grow – Guide teammates on advanced ML methods, model architecture, and best practices, elevating the entire team.
* Stay ahead – Keep up with the latest generative AI and deep learning research, and bring fresh ideas into production.
**Qualifications:**
* Bachelor’s degree required; advanced degree (M.S. or PhD) in Computer Science, Machine Learning, AI, or related field is a big plus.
* 5\+ years of experience in machine learning or data science, with deep expertise in generative models, LLMs, or computer vision.
* Strong track record working with large\-scale language and vision models (Transformers, GPT, VLMs).
* Hands\-on experience with multimodal data (text, images, 3D).
* Proficiency in Python and key ML libraries (PyTorch, TensorFlow, pandas, NumPy).
* Solid grounding in probability, statistics, and optimization for generative modeling.
* Experience deploying ML and AI models using cloud microservice architecture (AWS preferred).
* Strong software engineering skills, including object oriented programming, testing, version control, CI/CD best practices and IaC (terraform preferred).
* A proven ability to communicate effectively with all levels of the organization, from executives to product managers and various stakeholders.
* Background in manufacturing, supply chain, or related industries is a plus — but curiosity and drive matter more.
* Must be a U.S. Citizen or Green Card holder (ITAR compliance)
 The estimated base salary range for new hires into this role is $140,000\-$230,000 annually \+ annual bonus depending on factors such as job\-related skills, relevant experience, and location. We also offer a competitive benefits package, including 401(k) match, medical, dental and vision insurance; life and disability insurance; generous paid time off including vacation, sick leave, floating and fixed holidays, maternity and bonding leave; EAP, other wellbeing resources; and much more.
 Xometry is an equal opportunity employer. All applicants will be considered for employment without attention to race, color, religion, sex, sexual orientation, gender identity, national origin, veteran, or disability status.
 For US based roles: Xometry participates in E\-Verify and after a job offer is accepted, will provide the federal government with your Form I\-9 information to confirm that you are authorized to work in the U.S.</t>
        </is>
      </c>
    </row>
    <row r="25">
      <c r="A25" t="inlineStr">
        <is>
          <t>li-4262545434</t>
        </is>
      </c>
      <c r="B25" t="inlineStr">
        <is>
          <t>Engineer Graduate: (Machine Learning Engineer, Data-Search-TikTok Recommendation - Seattle) - 2026 Start (PhD)</t>
        </is>
      </c>
      <c r="C25" t="inlineStr">
        <is>
          <t>TikTok</t>
        </is>
      </c>
      <c r="D25" t="inlineStr">
        <is>
          <t>linkedin</t>
        </is>
      </c>
      <c r="E25" t="inlineStr"/>
      <c r="F25" t="inlineStr"/>
      <c r="G25" t="inlineStr">
        <is>
          <t>Seattle, WA</t>
        </is>
      </c>
      <c r="H25" t="inlineStr"/>
      <c r="I25" t="inlineStr">
        <is>
          <t>**Responsibilities**
 The Search Growth E\-commerce team is at the forefront of developing the search recommendation algorithm for TikTok's rapidly expanding global e\-commerce enterprise. Utilizing cutting\-edge machine learning technology, advanced NLP, CV, recommendation, and multi\-modal technology, we're shaping a pioneering engine within the industry. Our objective is to deliver the ultimate e\-commerce search experience to over 1 billion active TikTok users worldwide. Our mission: to create a world where "there are no hard\-to\-sell, overpriced products."
**Responsibilities:**
 Participate in the improvement of the search core algorithm, possible directions include:
* Content understanding/matching: Applying the industry's cutting\-edge NLP and CV technology to match the most relevant videos for each search query, and continuously improve the relevance of TikTok search.
* User Behavior Modeling: solving the recommendation problem in search, let TikTok search increase the ability of personalization on the basis of "relevant", and understand users better.
* Video understanding: comprehensive use of NLP, CV, and other technologies for better video understanding from the perspective of the video itself and social network, improve the authority, credibility, and usefulness of search results.
**Qualifications**
 Minimum qualification:
* Final year or recent graduate with a background in Software Development, Computer Science, Computer Engineering, or a related technical discipline.
* Must obtain work authorization in country of employment at the time of hire, and maintain ongoing work authorization during employment.
* Proficient coding skills and strong algorithm \&amp; data structure basis.
* Effective communication and teamwork skills.
* Experience in one or more of the following areas: NLP, Ranking, Ads, search engine, recommender system, distributed system, and machine learning.
 Job Information
**【For Pay Transparency】Compensation Description (Annually)**
 The base salary range for this position in the selected city is $129960 \- $246240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Interacting and occasionally having unsupervised contact with internal/external clients and/or colleagues;
* Appropriately handling and managing confidential information including proprietary and trade secret information and access to information technology systems; and
* Exercising sound judgment.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26">
      <c r="A26" t="inlineStr">
        <is>
          <t>li-3981025376</t>
        </is>
      </c>
      <c r="B26" t="inlineStr">
        <is>
          <t>Sr. Machine Learning Engineer, Monetization Engineering</t>
        </is>
      </c>
      <c r="C26" t="inlineStr">
        <is>
          <t>Pinterest</t>
        </is>
      </c>
      <c r="D26" t="inlineStr">
        <is>
          <t>linkedin</t>
        </is>
      </c>
      <c r="E26" t="inlineStr"/>
      <c r="F26" t="inlineStr"/>
      <c r="G26" t="inlineStr">
        <is>
          <t>Seattle, WA</t>
        </is>
      </c>
      <c r="H26" t="inlineStr"/>
      <c r="I26"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With more than 500 million users around the world and 300 billion ideas saved, Pinterest Machine Learning engineers build personalized experiences to help Pinners create a life they love. With just over 4,000 global employees, our teams are small, mighty, and still growing. At Pinterest, you’ll experience hands\-on access to an incredible vault of data and contribute large\-scale recommendation systems in ways you won’t find anywhere else.
 Within the Monetization ML Engineering team, we try to connect the dots between the aspirations of Pinners and the products offered by our partners. In this role, you will be responsible for developing and executing a vision for the evolution of the machine learning technology stack within Ads.
**What You’ll Do**
* Build cutting edge technology using the latest advances in deep learning and machine learning to personalize Pinterest
* Partner closely with teams across Pinterest to experiment and improve ML models for various product surfaces (Homefeed, Ads, Growth, Shopping, and Search), while gaining knowledge of how ML works in different areas
* Use data driven methods and leverage the unique properties of our data to improve candidates retrieval
* Work in a high\-impact environment with quick experimentation and product launches
* Keep up with industry trends in recommendation systems
* Leverage LLMs to enhance content understanding
**What We’re Looking For** 
* 2\+ years of industry experience applying machine learning methods (e.g., user modeling, personalization, recommender systems, search, ranking, natural language processing, reinforcement learning, and graph representation learning)
* Degree in computer science, statistics, or related field; or equivalent experience
* End\-to\-end hands\-on experience with building data processing pipelines, large scale machine learning systems, and big data technologies (e.g., Hadoop/Spark)
* Practical knowledge of large scale recommender systems, or modern ads ranking, retrieval, targeting, marketplace systems
* Nice to have:
+ M.S. or PhD in Machine Learning or related areas
+ Publications at top ML conferences
+ Expertise in scalable realtime systems that process stream data
+ Passion for applied ML and the Pinterest product
+ Background in computational advertising
**Relocation Statement:**
* This position is not eligible for relocation assistance. Visit our PinFlex page to learn more about our working model.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$189,721—$332,012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t>
        </is>
      </c>
    </row>
    <row r="27">
      <c r="A27" t="inlineStr">
        <is>
          <t>li-4376650614</t>
        </is>
      </c>
      <c r="B27" t="inlineStr">
        <is>
          <t>AI Engineer - FDE (Forward Deployed Engineer)</t>
        </is>
      </c>
      <c r="C27" t="inlineStr">
        <is>
          <t>Databricks</t>
        </is>
      </c>
      <c r="D27" t="inlineStr">
        <is>
          <t>linkedin</t>
        </is>
      </c>
      <c r="E27" t="inlineStr"/>
      <c r="F27" t="inlineStr"/>
      <c r="G27" t="inlineStr"/>
      <c r="H27" t="inlineStr"/>
      <c r="I27" t="inlineStr">
        <is>
          <t>CSQ127R66
 The AI Forward Deployed Engineering (AI FDE) team is a highly specialized customer\-facing AI team at Databricks. We deliver professional services engagements to help our customers build and productionize first\-of\-its\-kind AI applications. We work cross\-functionally to shape long\-term strategic priorities and initiatives alongside engineering, product, and developer relations, as well as support internal subject matter expert (SME) teams. We view our team as an ensemble: we look for individuals with strong, unique specializations to improve the overall strength of the team. This team is the right fit for you if you love working with customers, teammates, and fueling your curiosity for the latest trends in GenAI, LLMOps, and ML more broadly. This role can be remote.
**The Impact You Will Have**
* Develop cutting\-edge GenAI solutions, incorporating the latest techniques from our Mosaic AI Research to solve customer problems.
* Own production rollouts of consumer and internally facing GenAI applications.
* Serve as a trusted technical advisor to customers across a variety of domains.
* Present at conferences such as Data \+ AI Summit, recognized as a thought leader internally and externally.
* Collaborate cross\-functionally with the product and engineering teams to influence priorities and shape the product roadmap.
**What We Look For**
* Experience building GenAI applications, including RAG, multi\-agent systems, Text2SQL, fine\-tuning, etc., with tools such as HuggingFace, LangChain, and DSPy.
* Expertise in deploying production\-grade GenAI applications, including evaluation and optimizations.
* Extensive years of hands\-on industry data science experience, leveraging common machine learning and data science tools (i.e., pandas, scikit\-learn, PyTorch, etc.).
* Experience building production\-grade machine learning deployments on AWS, Azure, or GCP.
* Graduate degree in a quantitative discipline (Computer Science, Engineering, Statistics, Operations Research, etc.) or equivalent practical experience.
* Experience communicating and/or teaching technical concepts to non\-technical and technical audiences alike.
* Passion for collaboration, life\-long learning, and driving business value through AI.
* \[Preferred] Experience using the Databricks Intelligence Platform and Apache Spark™ to process large\-scale distributed datasets.
**Pay Range Transparency**
 Databricks is committed to fair and equitable compensation practices. The pay range(s) for this role is listed below and represents the expected base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anticipated utilizing the full width of the range. The total compensation package for this position may also include eligibility for annual performance bonus, equity, and the benefits listed above. For more information regarding which range your location is in visit our page here.
 Zone 1 Pay Range
 $180,656—$248,360 USD
 Zone 2 Pay Range
 $180,656—$248,360 USD
 Zone 3 Pay Range
 $180,656—$248,360 USD
 Zone 4 Pay Range
 $180,656—$248,360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**Benefits**
 At Databricks, we strive to provide comprehensive benefits and perks that meet the needs of all of our employees. For specific details on the benefits offered in your region, please visit https://www.mybenefitsnow.com/databricks.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is>
      </c>
    </row>
    <row r="28">
      <c r="A28" t="inlineStr">
        <is>
          <t>li-4379574606</t>
        </is>
      </c>
      <c r="B28" t="inlineStr">
        <is>
          <t>AI Engineer (Data &amp; Infrastructure)</t>
        </is>
      </c>
      <c r="C28" t="inlineStr">
        <is>
          <t>brightplace</t>
        </is>
      </c>
      <c r="D28" t="inlineStr">
        <is>
          <t>linkedin</t>
        </is>
      </c>
      <c r="E28" t="inlineStr"/>
      <c r="F28" t="inlineStr"/>
      <c r="G28" t="inlineStr"/>
      <c r="H28" t="inlineStr"/>
      <c r="I28" t="inlineStr">
        <is>
          <t>We're looking for an AI Engineer who thrives at the intersection of data, APIs, and intelligent systems. You'll own the backend infrastructure that powers our AI\-first platform, from data acquisition and normalization to API design and system architecture. This is a founding engineer role where your decisions will shape our technical foundation.
**You'll focus on:** 
* Designing and building data pipelines that transform diverse sources into clean, queryable datasets
* Creating robust APIs that serve both internal AI systems and external partners
* Architecting backend services that handle high\-volume, real\-time data processing
* Partner with other engineers to build a seamless full\-stack product
* Shipping features quickly, learning from real usage, and iterating
**WHAT WE ARE LOOKING FOR:** 
**Technical foundation:** 
* 5\-8 years building production systems with modern Python (FastAPI, Django, or similar)
* Strong experience with data extraction, normalization, and database design (SQL \+ NoSQL)
* Proven ability to design and scale RESTful or GraphQL APIs
* Comfort with cloud infrastructure (AWS, GCP, or Azure)
* Real experience integrating LLMs into production systems (not just experiments)
**AI\-first mindset:** 
* You default to using AI tools (Claude, Cursor, Copilot) to accelerate development
* You think about how to build systems that get smarter with data
* You're excited about prompt engineering, embeddings, and working with unstructured data
**Startup DNA:** 
* Early\-stage company experience required
* Ship fast, learn from production, iterate based on data
* Thrive in ambiguity and make smart trade\-offs without perfect specs
**WHAT WE VALUE:** 
* **Velocity over perfection** 
 : We'd rather ship and learn than build the "right" architecture in a vacuum
* **Ownership** 
 : You'll own significant parts of the product: autonomy and accountability
* **AI\-native thinking** 
 : We're building for an AI\-first world, not bolting AI onto old patterns
* **Pragmatism** 
 : Use the right tool for the job, even if it's not the coolest technology
 NOTE:
* Candidates outside of NYC are not being considered
* We are unable to provide sponsorship for this role</t>
        </is>
      </c>
    </row>
    <row r="29">
      <c r="A29" t="inlineStr">
        <is>
          <t>li-4363840488</t>
        </is>
      </c>
      <c r="B29" t="inlineStr">
        <is>
          <t>Senior Machine Learning Engineer</t>
        </is>
      </c>
      <c r="C29" t="inlineStr">
        <is>
          <t>Salesforce</t>
        </is>
      </c>
      <c r="D29" t="inlineStr">
        <is>
          <t>linkedin</t>
        </is>
      </c>
      <c r="E29" t="inlineStr"/>
      <c r="F29" t="inlineStr"/>
      <c r="G29" t="inlineStr">
        <is>
          <t>Palo Alto, CA</t>
        </is>
      </c>
      <c r="H29" t="inlineStr"/>
      <c r="I29"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*Salesforce AI Research is looking for a Machine Learning Engineer to incubate next\-generation agentic AI platform. You will work with research scientists, software engineers, product managers and solution engineers closely to design, implement and iterate agentic AI systems with customers.*
***With your strong technical competence, strategic thinking and customer engagement, you will innovate at the frontier of the field, having the opportunity to create new solutions and define new categories of product with meaningful impact to Salesforce customers and beyond.***
**We Are Looking For Candidates Who**
* Has exceptional engineering skills.
* Has deep ML knowledge with meaningful implementation track records.
* Prioritize deep and strategic thinking.
* Has dedication, patience and resilience to build exceptional product experience.
* Collaborative and win with teams.
* Proactive and bias to action, comfortable in fast\-pacing environment.
* For this role, we mainly look for BS/MS student instead of PHD student (For PhD, only look for candidate who fulfill one of the 5 criteria below, and interested in MLE instead of RS role)
* Top school majoring in CS (Stanford, Berkeley, CMU, MIT)
* Competitive coding winner (ACM\-ICPC, etc). Look for global and competitive competition, Kaggle dose not count.
* Startup founders in agentic AI, LLM, area (e.g., YC backed startup)
* As first contributor, open source and maintain projects that gets traction (2k\+ stars)
* For BS/MS, as first author, publish at least one high\-impact paper (500\+ citations). For PhD, the bar will be higher (2\-3 first\-author high impact (500\+ citations) papers or 1 first\-author stellar (3000\+citations) paper)
* Programming \&amp; Systems
+ Strong proficiency in Python; solid experience with C\+\+ and/or Java
+ Strong software engineering fundamentals (data structures, algorithms, system design)
+ Experience building production\-quality systems
* Agentic / LLM Systems
+ Practical experience with LLMs and agentic workflows (tool use, planning, memory, multi\-step reasoning)
+ Experience building end\-to\-end AI agents or complex AI\-driven applications
+ Familiarity with prompting, orchestration, and evaluation for LLM\-based systems
* Machine Learning \&amp; AI
+ Hands\-on experience with deep learning frameworks
+ Strong understanding of ML fundamentals
+ Experience implementing and debugging model training, evaluation, and inference pipelines
* Infrastructure \&amp; Deployment
+ Experience deploying ML systems using Docker and cloud platforms (AWS, GCP, or Azure)
+ Familiarity with distributed training or inference and performance optimization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$148,500 \- $223,900 annually. In select cities within the San Francisco and New York City metropolitan area, the base salary range for this role is $178,900 \- $246,000 annually. The range represents base salary only, and does not include company bonus, incentive for sales roles, equity or benefits, as applicable.</t>
        </is>
      </c>
    </row>
    <row r="30">
      <c r="A30" t="inlineStr">
        <is>
          <t>li-4378447694</t>
        </is>
      </c>
      <c r="B30" t="inlineStr">
        <is>
          <t>Machine Learning Engineer</t>
        </is>
      </c>
      <c r="C30" t="inlineStr">
        <is>
          <t>Wiraa</t>
        </is>
      </c>
      <c r="D30" t="inlineStr">
        <is>
          <t>linkedin</t>
        </is>
      </c>
      <c r="E30" t="inlineStr"/>
      <c r="F30" t="inlineStr"/>
      <c r="G30" t="inlineStr"/>
      <c r="H30" t="inlineStr"/>
      <c r="I30" t="inlineStr">
        <is>
          <t>About the Company
 Shippo is a pioneering technology company dedicated to revolutionizing the shipping industry by providing seamless logistics solutions for e\-commerce businesses worldwide. Our vision is to be the shipping layer of the internet, connecting merchants to carriers through a unified API and intuitive dashboard. We aim to empower merchants of all sizes to succeed by simplifying shipping processes and delivering world\-class logistics infrastructure. As a remote\-first and globally distributed team, we foster a culture of flexibility, trust, and innovation. Our diverse team spans continents, cultures, and time zones, driving creative solutions and ensuring our technology serves businesses everywhere. We prioritize modern, scalable technology stacks to enable rapid development, deployment, and iteration, ensuring our solutions stay at the forefront of the industry.
 About the Role
 We are seeking a highly experienced Principal Machine Learning Engineer to lead the development and enhancement of our ML platform. In this role, you will be responsible for designing, building, and maintaining a standardized, production\-grade ML infrastructure that accelerates the deployment, testing, and operation of machine learning models. Your expertise will directly impact our ability to expand applied ML across core business areas such as delivery\-date prediction, fraud detection, and logistics optimization.
 You will set the technical strategy, drive multi\-quarter roadmaps, and own cross\-team architecture decisions to ensure reliability, scalability, and operational excellence of our ML systems. The ideal candidate will have a strong background in building scalable ML platforms, expertise in Kubernetes and ML lifecycle tooling, and demonstrated leadership in guiding engineering teams through complex technical challenges. This role offers a unique opportunity to shape the future of shipping technology and influence the infrastructure that powers global commerce.
 Qualifications
* 15\+ years of software engineering experience, including ownership of production systems such as platforms, infrastructure, or distributed systems.
* 4\+ years of end\-to\-end ownership of ML systems in production, including incident response and architecture decisions based on operational constraints.
* Extensive experience building and maintaining services on Kubernetes, including deployment, autoscaling, and observability practices.
* Hands\-on experience with ML lifecycle tools such as MLflow or equivalent, including tracking, registry, packaging, and promotion workflows.
* Strong understanding of inference frameworks and deployment patterns, with the ability to evaluate tradeoffs across batch and real\-time serving, latency, throughput, and operational complexity.
* Proven technical leadership at the principal level, including setting strategic direction, conducting architecture reviews, and delivering multi\-quarter roadmaps.
* Experience managing reliability and operational outcomes for production systems, including defining SLAs, incident management, and performance improvements.
* Ability to prioritize pragmatic solutions that balance reliability, performance, and cost, with a focus on incremental delivery.
* Experience working with or evaluating managed ML platforms such as Databricks, SageMaker, or Vertex AI, with the ability to make build\-vs\-buy decisions.
 Responsibilities
* Define and execute the technical strategy and roadmap for the ML platform, aligned with business priorities and growth objectives.
* Make architecture decisions and lead design reviews for ML lifecycle components, inference services, and deployment pipelines.
* Develop and maintain core ML platform components including experiment tracking, model registry, reproducibility tools, and CI/CD pipelines.
* Implement Kubernetes\-native model serving solutions for real\-time inference, ensuring reliable, scalable, and cost\-effective deployment.
* Build batch inference and scoring pipelines that support retraining, backfilling, and consistent packaging of models.
* Establish observability standards for ML systems, including metrics, alerting, and model quality signals such as drift detection and data validation.
* Enhance developer experience through templates, documentation, reusable frameworks, and self\-service workflows for data scientists and engineers.
* Evaluate inference frameworks and deployment strategies, documenting tradeoffs and optimizing performance across compute, networking, and serialization.
* Identify and resolve performance bottlenecks within the inference stack to improve latency, throughput, and operational efficiency.
* Set and enforce engineering standards across training, evaluation, testing, packaging, and incident response processes.
* Collaborate closely with Data Science teams to bridge research and production environments, ensuring reproducibility and deployment safety.
* Partner with Data and Engineering teams to promote platform adoption, reliability, and scalability.
* Mentor engineers through technical guidance, architecture reviews, and sharing best practices across ML and platform development teams.
 Benefits
* Comprehensive healthcare coverage for medical, dental, and vision, with 90% covered by the company, including dependents.
* Pets coverage options available.
* Flexible vacation policy and adaptable working hours to promote work\-life balance.
* One week\-long company\-wide winter slowdown to recharge.
* Home office setup stipend to support remote work environment.
* Charity donation matching program up to $100\.
* Dedicated professional development programs, coaching, and resources, including a personal learning stipend.
* Opportunities for in\-person team gatherings through the Shippos Everywhere program, including off\-sites and local meetups.
 Equal Opportunity
 Shippo is proud to be an equal opportunity workplace and is committed to equal employment opportunity regardless of race, color, ancestry, religion, sex, national origin, sexual orientation, age, citizenship, marital status, disability, gender identity, veteran status, or any other basis protected by federal, state, or local law.</t>
        </is>
      </c>
    </row>
    <row r="31">
      <c r="A31" t="inlineStr">
        <is>
          <t>li-4299044327</t>
        </is>
      </c>
      <c r="B31" t="inlineStr">
        <is>
          <t>Staff Machine Learning Engineer - Generative AI</t>
        </is>
      </c>
      <c r="C31" t="inlineStr">
        <is>
          <t>Xometry</t>
        </is>
      </c>
      <c r="D31" t="inlineStr">
        <is>
          <t>linkedin</t>
        </is>
      </c>
      <c r="E31" t="inlineStr"/>
      <c r="F31" t="inlineStr"/>
      <c r="G31" t="inlineStr">
        <is>
          <t>Gaithersburg, MD</t>
        </is>
      </c>
      <c r="H31" t="inlineStr"/>
      <c r="I31" t="inlineStr">
        <is>
          <t>Xometry (NASDAQ: XMTR) powers the industries of today and tomorrow by connecting the people with big ideas to the manufacturers who can bring them to life. Xometry’s digital marketplace gives manufacturers the critical resources they need to grow their business while also making it easy for buyers at Fortune 1000 companies to tap into global manufacturing capacity.
 Xometry is seeking a
 **Staff Machine Learning Engineer** 
 to lead our Generative AI efforts. This is a rare opportunity to shape the future of manufacturing by applying cutting\-edge AI research to real\-world problems: from multimodal document understanding, to extracting structured data from technical drawings, to building new ways of reasoning across text, images, and 3D data. If you’re passionate about building state\-of\-the\-art AI systems and want to see your work have immediate business and customer impact, we’d love to talk.
**Responsibilities:**
* Lead with vision – Set the technical direction for our Generative AI team, establish best practices, and inspire high\-impact innovation.
* Drive strategy – Help shape the AI roadmap, identifying the most valuable opportunities to apply generative AI across Xometry’s marketplace.
* Build cutting\-edge models – Develop and deploy large language and generative models for multimodal document processing and structured data extraction.
* Innovate across modalities – Explore new ways to combine text, images, and 3D data to unlock smarter, faster solutions.
* Engineer at scale – Create data pipelines and training workflows that can handle massive, complex datasets.
* Deploy in the cloud – Use AWS and other platforms to train, optimize, and deploy models into production at scale.
* Collaborate widely – Work with engineers, product leaders, and business teams to bring AI solutions into real products and customer workflows.
* Mentor and grow – Guide teammates on advanced ML methods, model architecture, and best practices, elevating the entire team.
* Stay ahead – Keep up with the latest generative AI and deep learning research, and bring fresh ideas into production.
**Qualifications:**
* Bachelor’s degree required; advanced degree (M.S. or PhD) in Computer Science, Machine Learning, AI, or related field is a big plus.
* 5\+ years of experience in machine learning or data science, with deep expertise in generative models, LLMs, or computer vision.
* Strong track record working with large\-scale language and vision models (Transformers, GPT, VLMs).
* Hands\-on experience with multimodal data (text, images, 3D).
* Proficiency in Python and key ML libraries (PyTorch, TensorFlow, pandas, NumPy).
* Solid grounding in probability, statistics, and optimization for generative modeling.
* Experience deploying ML and AI models using cloud microservice architecture (AWS preferred).
* Strong software engineering skills, including object oriented programming, testing, version control, CI/CD best practices and IaC (terraform preferred).
* A proven ability to communicate effectively with all levels of the organization, from executives to product managers and various stakeholders.
* Background in manufacturing, supply chain, or related industries is a plus — but curiosity and drive matter more.
* Must be a U.S. Citizen or Green Card holder (ITAR compliance)
 The estimated base salary range for new hires into this role is $140,000\-$230,000 annually \+ annual bonus depending on factors such as job\-related skills, relevant experience, and location. We also offer a competitive benefits package, including 401(k) match, medical, dental and vision insurance; life and disability insurance; generous paid time off including vacation, sick leave, floating and fixed holidays, maternity and bonding leave; EAP, other wellbeing resources; and much more.
 Xometry is an equal opportunity employer. All applicants will be considered for employment without attention to race, color, religion, sex, sexual orientation, gender identity, national origin, veteran, or disability status.
 For US based roles: Xometry participates in E\-Verify and after a job offer is accepted, will provide the federal government with your Form I\-9 information to confirm that you are authorized to work in the U.S.</t>
        </is>
      </c>
    </row>
    <row r="32">
      <c r="A32" t="inlineStr">
        <is>
          <t>li-4363860505</t>
        </is>
      </c>
      <c r="B32" t="inlineStr">
        <is>
          <t>Senior Machine Learning Engineer</t>
        </is>
      </c>
      <c r="C32" t="inlineStr">
        <is>
          <t>Salesforce</t>
        </is>
      </c>
      <c r="D32" t="inlineStr">
        <is>
          <t>linkedin</t>
        </is>
      </c>
      <c r="E32" t="inlineStr"/>
      <c r="F32" t="inlineStr"/>
      <c r="G32" t="inlineStr">
        <is>
          <t>New York, NY</t>
        </is>
      </c>
      <c r="H32" t="inlineStr"/>
      <c r="I32"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*Salesforce AI Research is looking for a Machine Learning Engineer to incubate next\-generation agentic AI platform. You will work with research scientists, software engineers, product managers and solution engineers closely to design, implement and iterate agentic AI systems with customers.*
***With your strong technical competence, strategic thinking and customer engagement, you will innovate at the frontier of the field, having the opportunity to create new solutions and define new categories of product with meaningful impact to Salesforce customers and beyond.***
**We Are Looking For Candidates Who**
* Has exceptional engineering skills.
* Has deep ML knowledge with meaningful implementation track records.
* Prioritize deep and strategic thinking.
* Has dedication, patience and resilience to build exceptional product experience.
* Collaborative and win with teams.
* Proactive and bias to action, comfortable in fast\-pacing environment.
* For this role, we mainly look for BS/MS student instead of PHD student (For PhD, only look for candidate who fulfill one of the 5 criteria below, and interested in MLE instead of RS role)
* Top school majoring in CS (Stanford, Berkeley, CMU, MIT)
* Competitive coding winner (ACM\-ICPC, etc). Look for global and competitive competition, Kaggle dose not count.
* Startup founders in agentic AI, LLM, area (e.g., YC backed startup)
* As first contributor, open source and maintain projects that gets traction (2k\+ stars)
* For BS/MS, as first author, publish at least one high\-impact paper (500\+ citations). For PhD, the bar will be higher (2\-3 first\-author high impact (500\+ citations) papers or 1 first\-author stellar (3000\+citations) paper)
* Programming \&amp; Systems
+ Strong proficiency in Python; solid experience with C\+\+ and/or Java
+ Strong software engineering fundamentals (data structures, algorithms, system design)
+ Experience building production\-quality systems
* Agentic / LLM Systems
+ Practical experience with LLMs and agentic workflows (tool use, planning, memory, multi\-step reasoning)
+ Experience building end\-to\-end AI agents or complex AI\-driven applications
+ Familiarity with prompting, orchestration, and evaluation for LLM\-based systems
* Machine Learning \&amp; AI
+ Hands\-on experience with deep learning frameworks
+ Strong understanding of ML fundamentals
+ Experience implementing and debugging model training, evaluation, and inference pipelines
* Infrastructure \&amp; Deployment
+ Experience deploying ML systems using Docker and cloud platforms (AWS, GCP, or Azure)
+ Familiarity with distributed training or inference and performance optimization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$148,500 \- $223,900 annually. In select cities within the San Francisco and New York City metropolitan area, the base salary range for this role is $178,900 \- $246,000 annually. The range represents base salary only, and does not include company bonus, incentive for sales roles, equity or benefits, as applicable.</t>
        </is>
      </c>
    </row>
    <row r="33">
      <c r="A33" t="inlineStr">
        <is>
          <t>li-4364000480</t>
        </is>
      </c>
      <c r="B33" t="inlineStr">
        <is>
          <t>Senior Machine Learning Engineer</t>
        </is>
      </c>
      <c r="C33" t="inlineStr">
        <is>
          <t>Salesforce</t>
        </is>
      </c>
      <c r="D33" t="inlineStr">
        <is>
          <t>linkedin</t>
        </is>
      </c>
      <c r="E33" t="inlineStr"/>
      <c r="F33" t="inlineStr"/>
      <c r="G33" t="inlineStr">
        <is>
          <t>San Francisco, CA</t>
        </is>
      </c>
      <c r="H33" t="inlineStr"/>
      <c r="I33"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*Salesforce AI Research is looking for a Machine Learning Engineer to incubate next\-generation agentic AI platform. You will work with research scientists, software engineers, product managers and solution engineers closely to design, implement and iterate agentic AI systems with customers.*
***With your strong technical competence, strategic thinking and customer engagement, you will innovate at the frontier of the field, having the opportunity to create new solutions and define new categories of product with meaningful impact to Salesforce customers and beyond.***
**We Are Looking For Candidates Who**
* Has exceptional engineering skills.
* Has deep ML knowledge with meaningful implementation track records.
* Prioritize deep and strategic thinking.
* Has dedication, patience and resilience to build exceptional product experience.
* Collaborative and win with teams.
* Proactive and bias to action, comfortable in fast\-pacing environment.
* For this role, we mainly look for BS/MS student instead of PHD student (For PhD, only look for candidate who fulfill one of the 5 criteria below, and interested in MLE instead of RS role)
* Top school majoring in CS (Stanford, Berkeley, CMU, MIT)
* Competitive coding winner (ACM\-ICPC, etc). Look for global and competitive competition, Kaggle dose not count.
* Startup founders in agentic AI, LLM, area (e.g., YC backed startup)
* As first contributor, open source and maintain projects that gets traction (2k\+ stars)
* For BS/MS, as first author, publish at least one high\-impact paper (500\+ citations). For PhD, the bar will be higher (2\-3 first\-author high impact (500\+ citations) papers or 1 first\-author stellar (3000\+citations) paper)
* Programming \&amp; Systems
+ Strong proficiency in Python; solid experience with C\+\+ and/or Java
+ Strong software engineering fundamentals (data structures, algorithms, system design)
+ Experience building production\-quality systems
* Agentic / LLM Systems
+ Practical experience with LLMs and agentic workflows (tool use, planning, memory, multi\-step reasoning)
+ Experience building end\-to\-end AI agents or complex AI\-driven applications
+ Familiarity with prompting, orchestration, and evaluation for LLM\-based systems
* Machine Learning \&amp; AI
+ Hands\-on experience with deep learning frameworks
+ Strong understanding of ML fundamentals
+ Experience implementing and debugging model training, evaluation, and inference pipelines
* Infrastructure \&amp; Deployment
+ Experience deploying ML systems using Docker and cloud platforms (AWS, GCP, or Azure)
+ Familiarity with distributed training or inference and performance optimization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$148,500 \- $223,900 annually. In select cities within the San Francisco and New York City metropolitan area, the base salary range for this role is $178,900 \- $246,000 annually. The range represents base salary only, and does not include company bonus, incentive for sales roles, equity or benefits, as applicable.</t>
        </is>
      </c>
    </row>
    <row r="34">
      <c r="A34" t="inlineStr">
        <is>
          <t>li-4310469875</t>
        </is>
      </c>
      <c r="B34" t="inlineStr">
        <is>
          <t>Senior Machine Learning Engineer</t>
        </is>
      </c>
      <c r="C34" t="inlineStr">
        <is>
          <t>Latham &amp; Watkins</t>
        </is>
      </c>
      <c r="D34" t="inlineStr">
        <is>
          <t>linkedin</t>
        </is>
      </c>
      <c r="E34" t="inlineStr"/>
      <c r="F34" t="inlineStr"/>
      <c r="G34" t="inlineStr">
        <is>
          <t>Los Angeles, CA</t>
        </is>
      </c>
      <c r="H34" t="inlineStr"/>
      <c r="I34" t="inlineStr">
        <is>
          <t>**About Latham \&amp; Watkins**
 Latham \&amp; Watkins is a global law firm consistently ranked among the top firms in the world. The success of our firm is largely determined by our commitment to hire and develop the very best and brightest, creating a team that provides our clients with the highest quality of work and service. We are driven by our core values: respect, innovation, and collaboration.
**About The Role**
 The Senior Machine Learning Engineer is an integral part of Latham’s Technology \&amp; Information Services team. This role will be responsible for the design, deployment, and optimization of custom workflows using classical machine learning (ML), Natural Language Processing (NLP), and Generative AI techniques to enhance legal and business processes, while designing, building, and optimizing custom machine learning models and workflows to optimize legal and business workflows. This role will be located in our Downtown Los Angeles office. Please note that this role may be eligible for a flexible working schedule that allows for a hybrid and in\-office presence.
**Responsibilities \&amp; Qualifications**
 Other key responsibilities include:
* Contributing to the entire lifecycle of AI/ML applications including concept, design, test, release, and support
* Developing and maintaining robust ML pipelines for training, validation, and model deployment
* Working with DevOps or infrastructure teams to manage GPU resources, model serving frameworks, and CI/CD workflows
* Evaluating and integrating new research, tools, and frameworks to advance the team’s capabilities
* Developing ML/GenAI solutions in a professional manner, and in accordance with established deliverable schedules and firm procedures
* Protecting and maintaining any highly sensitive, confidential, privileged, financial, and/or proprietary information that Latham \&amp; Watkins retains
 We’d love to hear from you if you:
* Demonstrate proficiency with Python including experience with libraries and frameworks relevant to GenAI application development (e.g., LangChain)
* Exhibit proficiency with ML frameworks (e.g., PyTorch, TensorFlow, Scikit\-learn), and serving tools (e.g., TorchServe, ONNX, Triton)
* Display proficiency in training or fine\-tuning language models (e.g., BERT, Llama2, GPT), and their optimization (LoRA, knowledge distillation, pruning, and quantization)
 And have:
* A bachelor’s degree and master’s degree in information systems, computer science, engineering, data science, or a related field, preferably
* A minimum of five (5\) years of experience in industry roles focused on machine learning, applied AI, or data science
* A minimum of five (5\) years of Python industry experience
* A minimum of three (3\) years of experience working with agile teams
* Experience building and productizing ML models and systems
**Benefits \&amp; Additional Information**
 Successful candidates will not only be provided with an outstanding career opportunity and welcoming environment, but will also be provided with a generous total compensation package with bonuses awarded in recognition of both individual and firm performance. Eligible employees can participate in Latham’s comprehensive benefit program which includes:
* Healthcare, life and disability insurance
* A generous 401k plan
* At least 11 paid holidays per year, and a PTO program that accrues 23 days during the first year of employment and grows with tenure
* Well\-being programs (e.g. mental health services, mindfulness and resiliency, medical resources, well\-being events, and more)
* Professional development programs
* Employee discounts
* Affinity groups, networks, and coalitions for lawyers and staff
 Latham \&amp; Watkins is an equal opportunity employer. The Firm prohibits discrimination against any employee or applicant for employment on the basis of race (including, but not limited to, hair texture and protective hairstyles), color, religion, sex, age, national origin, sexual orientation, gender identity, veteran status (including veterans of the Vietnam era), gender expression, marital status, or any other characteristic or condition protected by applicable statute.
 Latham \&amp; Watkins LLP will consider qualified applicants with criminal histories in a manner consistent with the City of Los Angeles Fair Chance Initiative for Hiring Ordinance (FCIHO) . Please click the link below to review the Ordinance.
 Please click here to review your rights under U.S. employment laws.
**Pay Range**
 USD $165,000\.00 \- USD $180,000\.00 /Yr.</t>
        </is>
      </c>
    </row>
    <row r="35">
      <c r="A35" t="inlineStr">
        <is>
          <t>li-4315981516</t>
        </is>
      </c>
      <c r="B35" t="inlineStr">
        <is>
          <t>Principal AI Engineer</t>
        </is>
      </c>
      <c r="C35" t="inlineStr">
        <is>
          <t>TENEX.AI</t>
        </is>
      </c>
      <c r="D35" t="inlineStr">
        <is>
          <t>linkedin</t>
        </is>
      </c>
      <c r="E35" t="inlineStr"/>
      <c r="F35" t="inlineStr"/>
      <c r="G35" t="inlineStr">
        <is>
          <t>San Jose, CA</t>
        </is>
      </c>
      <c r="H35" t="inlineStr"/>
      <c r="I35" t="inlineStr">
        <is>
          <t>**Company Overview**
 TENEX is an AI\-native, automation\-first, built\-for\-scale Managed Detection and Response (MDR) provider. We are a force multiplier for defenders, helping organizations enhance their cybersecurity posture through advanced threat detection, rapid response, and continuous protection. Our team is composed of industry experts with deep experience in cybersecurity, automation, and AI\-driven solutions. Backed by leading investors, we are rapidly growing and seeking top talent to join our mission of revolutionizing the MDR landscape.
 As a
 **Principal AI Engineer** 
 at TENEX, you will be a key technical leader responsible for designing, developing, and optimizing scalable, high\-performance AI systems. You will play a crucial role in shaping the architecture of our AI\-driven cybersecurity solutions while mentoring engineering teams and driving technical innovation.
 Culture is one of the most important things at TENEX.AI—explore our culture deck at culture.tenex.ai to witness how we embody it, prioritizing the irreplaceable collaboration and community of in\-person work.
**Location: This role will require Monday \- Thursday onsite in our San Jose, CA location. WFH Friday.**
**Job Responsibilities**
* Design \&amp; build the AI layer that powers autonomous detection, RAG\-backed investigation, and auto\-remediation workflows.
* Develop and productionize large\-scale LLMs, graph\-based reasoning engines, and streaming feature pipelines that operate on billions of security events.
* Own evaluation \&amp; reliability—from prompt libraries and fine tuning to red\-team testing, latency budgets, and fallback strategies.
* Mentor \&amp; grow a cohort of AI engineers; run design reviews, uphold code quality, and instill a security\-first mindset.
* Partner tightly with Product, Detection Engineering, and Customer Success to translate real\-world attacker behavior into robust ML and rule\-based detections.
* Push the frontier—experiment with retrieval\-augmented generation, tool\-calling agents, and multi\-modal models (text \+ logs \+ graphs) to keep defenders decisively ahead.
**Required Skills \&amp; Qualifications**
* Software Engineering \&amp; Architecture Expertise
+ 10\+ years of experience in software development, engineering production systems using modern programming languages (Python, Go, Rust, or Java).
+ Deep knowledge of LLM architecture, prompt engineering, and Vector database workflows.
+ Hands\-on experience building agents, orchestration frameworks (LangChain/LangGraph, Agno AGI, or custom), and evaluation harnesses.
+ Deep understanding of microservices architecture, containerization (Docker, Kubernetes), and event\-driven systems.
+ Strong fundamentals in API design (REST/gRPC) and distributed systems.
+ Clear, concise communication skills and a bias for collaborative problem\-solving.
* Nice\-to\-have
+ Prior work in cybersecurity (SIEM, EDR, SOAR, or MDR).
+ Experience with graph databases or security\-focused knowledge graphs.
+ Familiarity with cloud infrastructure security (AWS, GCP, or Azure).
+ Background leading teams in high\-growth startups or enterprise SaaS.
* Soft Skills
+ Strong problem\-solving and analytical skills.
+ Excellent communication and leadership abilities.
+ Ability to mentor and influence engineering teams.
+ Passion for cybersecurity and automation.
**Education \&amp; Certifications**
* Bachelor’s or Master’s degree in Computer Science, Engineering, or a related field.
* Relevant certifications (AWS/GCP Professional Engineer, Kubernetes, or security\-related credentials) are a plus.
**Why Join Us?**
* Opportunity to work with cutting\-edge AI\-driven cybersecurity technologies and Google SecOps solutions.
* Collaborate with a talented and innovative team focused on continuously improving security operations.
* Competitive salary and benefits package.
* A culture of growth and development, with opportunities to expand your knowledge in AI, cybersecurity, and emerging technologies.
 If you're passionate about combining cybersecurity expertise with artificial intelligence and have experience with Google SecOps and Chronicle, we encourage you to apply!
 We practice pay transparency and reward performance. Offers reflect equity, experience, skills, education, and certifications. Base salary for this position in San Jose: $190,000 \- $250,000</t>
        </is>
      </c>
    </row>
    <row r="36">
      <c r="A36" t="inlineStr">
        <is>
          <t>li-4378442103</t>
        </is>
      </c>
      <c r="B36" t="inlineStr">
        <is>
          <t>Lead Machine Learning Engineer-MLOps</t>
        </is>
      </c>
      <c r="C36" t="inlineStr">
        <is>
          <t>hackajob</t>
        </is>
      </c>
      <c r="D36" t="inlineStr">
        <is>
          <t>linkedin</t>
        </is>
      </c>
      <c r="E36" t="inlineStr"/>
      <c r="F36" t="inlineStr"/>
      <c r="G36" t="inlineStr">
        <is>
          <t>New York, NY</t>
        </is>
      </c>
      <c r="H36" t="inlineStr"/>
      <c r="I36" t="inlineStr">
        <is>
          <t>***hackajob** 
 is collaborating with
 **J.P. Morgan** 
 to connect them with exceptional tech professionals for this role.*
**Job Description**
 We are looking for a Senior MLOps engineer to work closely with Data Scientists to build and deploy ML models on a modern MLOps stack.
 As Lead Machine Learning Engineer on the Recommendation Engine team, you’ll build and maintain pipelines for distributed model training on large compute clusters, batch/real\-time model serving, hyperparameter tuning at scale, model monitoring, production validation and other activities vital for model development, testing and deployment in a well\-managed, controlled environment.
 Our product, Personalization and Insights, builds and supports high throughput, low latency applications which leverage state of the art machine learning architectures, and which are deployed in AWS. These applications power personalized experiences across Chase Consumer \&amp; Community Banking channels, to help weave a user experience that includes traditional banking services with other services in the Travel, Merchant Offer Shopping, and Dining spaces.
 Job responsibilities
* Build, deploy, and maintain robust pipelines for distributed training on GPU\-enabled clusters to support scalable machine learning workflows.
* Develop and manage pipelines for high\-throughput, real\-time inference as well as batch inference, ensuring optimal performance and reliability.
* Implement quantization techniques and deploy large language models (LLMs) to maximize efficiency and resource utilization.
* Oversee the management and optimization of vector databases to support advanced AI and machine learning applications.
* Establish and maintain comprehensive monitoring and observability pipelines to ensure system health, performance, and rapid issue resolution.
* Collaborate with cross\-functional teams to integrate new technologies and continuously improve existing infrastructure.
* Partner with product, architecture, and other engineering teams to define scalable and performant technical solutions.
**Required Qualifications, Capabilities, And Skills**
* BS in Computer Science or related Engineering field with 6\+ years of experience Or MS degree in Computer Science or related Engineering field with 4\+ years experience.
* Solid knowledge and extensive experience in Python
* Solid fundamentals in cloud computing, preferably AWS
* Deep knowledge and passion for data science fundamentals, training and deploying models
* Experience in monitoring and observability tools to monitor model input/output and features stats
* Operational experience in big data/ML tools such as Ray, DuckDB, Spark
* Solid grounding in engineering fundamentals and analytical mindset
* Action Oriented and iterative development
**Preferred Qualifications, Capabilities, And Skills**
* Experience with recommendation and personalization systems is a plus.
* Solid fundamentals and experience in containers (docker ecosystem), container orchestration systems \[Kubernetes, ECS], DAG orchestration \[Airflow, Kubeflow etc]
* Good knowledge of Databases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37">
      <c r="A37" t="inlineStr">
        <is>
          <t>li-4307096450</t>
        </is>
      </c>
      <c r="B37" t="inlineStr">
        <is>
          <t>Principal AI / Machine Learning Engineer</t>
        </is>
      </c>
      <c r="C37" t="inlineStr">
        <is>
          <t>ZT Systems</t>
        </is>
      </c>
      <c r="D37" t="inlineStr">
        <is>
          <t>linkedin</t>
        </is>
      </c>
      <c r="E37" t="inlineStr"/>
      <c r="F37" t="inlineStr"/>
      <c r="G37" t="inlineStr">
        <is>
          <t>Secaucus, NJ</t>
        </is>
      </c>
      <c r="H37" t="inlineStr"/>
      <c r="I37" t="inlineStr">
        <is>
          <t>**About The Role**
 The Principal AI/Machine Learning Engineer will oversee defining and executing ZT’s roadmap for applying artificial intelligence and machine learning in manufacturing. The AI/ML Transformation Architect will be the pivotal role in shaping ZT’s future\-state vision for AI \&amp; ML by identifying high\-impact use cases, preparing the organization structurally and technically for adoption, and driving successful implementation of applications.
**What You Will Do**
* Lead or contribute to transformation initiatives, helping set new standards for how ZT approaches manufacturing risk analysis, quality, and continuous improvement.
* Partner with leadership to define the vision and strategy for AI/ML adoption across manufacturing operations.
* Work with factory engineering, quality, and operations to identify, evaluate, and prioritize AI/ML use cases that deliver measurable business value.
* Collaborate across design, quality, manufacturing, test, and supplier engineering to drive solutions that integrate seamlessly into production.
* Define and implement new systems, processes, or frameworks that support the smart factory vision, including automation, metrology, advanced inspection, and predictive analytics.
* Define the organizational, data, and process changes required to prepare the business for AI/ML integration.
* Drive the design, development, and deployment of AI/ML solutions, ensuring successful adoption across factories.
* Apply AI/ML techniques to analyze manufacturing data sets – including metrology, vision inspection, event data, test results – conduct regression analysis, correlation studies, and commonality analysis.
* Leverage deep, data\-rich environments and tools (e.g., Minitab, JMP, Python, R, SQL) to generate insights that improve yield, reliability, and throughput.
* Apply advanced statistical and analytical methods (regression, correlation, DOE, SPC, PFMEA, Gauge R\&amp;R, commonality studies) to identify, quantify, and control risk in complex manufacturing environments.
* Champion the cultural and operational transformation required for AI/ML success, including training and upskilling the industrial engineering team in new methods and approaches for mathematical computing.
* Serve as the bridge between industrial engineering, factory engineering teams, quality, and IT on AI/ML initiatives.
* Coach and nurture data stakeholders to maximize their potential and facilitate a culture of learning and growth. Act as a thought partner and subject matter expert to refine ideas, generate hypotheses, and analyze data to formulate solutions.
* Demonstrate strong leadership and influence management skills, including the ability to challenge the status quo and manage key senior stakeholders.
* Use predictive analytics to inform PFMEA analyses that will result in actionable process controls, ensuring proactive prevention of variation rather than reactive correction.
**What You Bring**
 The right person for this role is an agent of change and has exceptional analytical capabilities, thrives in a fast\-paced environment, loves problem\-solving, is a good communicator, and is passionate about enabling the future of cloud computing.
* Advanced degree in Engineering, Computer Science, Data Science, or a related field.
* 10–15 years of experience in high\-volume, high\-complexity manufacturing, with at least 5 years in leadership or transformation roles (not necessarily people management).
* Demonstrated expertise in statistical and analytical methods such as regression analysis, correlation analysis, DOE, SPC, PFMEA, Gauge R\&amp;R, and commonality studies.
* Fluency with data\-driven tools such as Minitab, JMP, Python, R, SQL (or equivalent) to analyze and interpret large, complex datasets.
* Track record of driving measurable improvements in yield, reliability, or process robustness.
* Background in electronics assembly, PCBA, servers, or other high\-reliability industries (e.g., aerospace, medical devices, automotive, etc.).
* Experience with applying AI/ML toolsets to statistical problem solving, predictive analytics, or anomaly detection
* Experience coaching or mentoring technical teams to upskill in statistical methods and data\-driven decision\-making.
* Strong background in leveraging manufacturing data (metrology, vision systems, event logs, quality data) to build AI/ML\-enabled solutions.
* Proven ability to drive organizational changes in data\-driven transformations.
* Advanced skills in mathematical computing with at least one programming language (e.g. Python, R, Java, or equivalents), and the ability to learn technical methods and tools independently.
* Advanced skills in data visualization / presentation skills, including the ability to simplify results \&amp; statistical concepts into simple and actionable insights.
* Excellent communication skills with the ability to engage at both executive and technical levels.
* Ability to convert complex (often data driven) topics to clear overviews and insights.
* Proven ability to perform effectively in a demanding environment with changing workloads and deadlines.
* Growth mindset: believes in continuous learning by dedication of time, effort, and energy.
* Takes independent initiative to complete projects with a sense of urgency.
 Nice to Haves
* MBA or exposure to business, finance or economics is advantageous.
* Fluency with continuous improvement / lean programs.
 ZT Systems assesses market data to ensure a competitive compensation package is created for all our employees. The typical base salary for this position is expected to be between $141,000 and $ 188,000 annually. If hired, the final base salary will be determined on an individual basis taking into consideration experience, skills, knowledge, education and/or certifications.
 Base salary is just one component of ZT Systems total rewards philosophy. We take pride in offering a wide range of benefits and perks that appeal to the variety of needs across our diverse employee base. Other rewards may include bonus, paid time off, generous 401k match, tuition reimbursement, wellbeing resources, and more.
 We are dedicated to building a diverse, inclusive, and authentic workplace, so if you’re excited about this opportunity but your experience doesn’t align perfectly with every qualification in the job description, we encourage you to apply anyway. You may be just the right candidate for this or other roles.
 \#ZTMFG2025!
**\#ZTMFGPri2025!**
**About ZT Systems**
 At ZT Systems, a Sanmina Company, you’ll get to do work you are proud of alongside smart, passionate people. Every day, there are opportunities to collaborate with the best in the industry to design, build, and deliver impactful solutions to world\-class customers. Along the way, you will gain hands\-on experience in a fast\-paced environment that’s challenging, rewarding, and career\-defining.
 A culture built around our values we work hard and think fast. We view challenges as opportunities—to do better, push harder, and be faster than we were the day before. When we fail, we learn from it and move on together. And when we succeed, we use the momentum to go even further. We create value with everything we do, building the foundation of today—and transforming the future of tomorrow.
 Join ZT Systems and help us build technology infrastructure that connects the world.
**What We Offer**
 At ZT Systems, a Sanmina Company, we believe that investing in our people is key to our continued growth and innovation. When you join our team, you’ll gain access to a comprehensive and inclusive benefits package designed to support your well\-being, financial security, and professional development—both now and in the future.
**Compensation \&amp; Financial Security**
* Competitive base salary
* Performance\-based annual bonus eligibility
* 401(k) retirement savings plan
* Tuition reimbursement for eligible education programs
**Health \&amp; Wellness**
* Comprehensive medical, dental, and vision coverage with access to leading providers
 \-Mental health resources and employee wellness support programs\-
* Company\-paid life and disability insurance
**Time Away \&amp; Work\-Life Balance**
* Paid time off (PTO) and company\-paid holidays
* Parental leave and family care support programs
**Growth \&amp; Purpose**
* Structured training programs and on\-the\-job learning opportunities
* Matching gifts and volunteer programs to support causes you care about
 These benefits are available to eligible employees and are designed to grow with you as your career evolves. Full benefits and eligibility varies by work location. Learn more about our benefits here.
 ZT Group Int’l. is an Equal Opportunity Employer and prohibits discrimination and harassment of any kind. ZT Systems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Please be aware that certain positions may require the applicant to either 1\) be a (i) U.S. citizen or national, (ii) U.S. lawful, permanent resident (aka green card holder), (iii) Refugee under 8 U.S.C.
* 1157, or (iv) Asylee under 8 U.S.C.
* 1158, or 2\) be eligible to obtain an export control license or license exception from the Bureau of Industry and Science \&amp; U.S. Department of Commerce. All offers of employment will be conditional subject to the foregoing.</t>
        </is>
      </c>
    </row>
    <row r="38">
      <c r="A38" t="inlineStr">
        <is>
          <t>li-4340436324</t>
        </is>
      </c>
      <c r="B38" t="inlineStr">
        <is>
          <t>Senior Quant/ML Engineer - Fixed Income -  Artificial Intelligence</t>
        </is>
      </c>
      <c r="C38" t="inlineStr">
        <is>
          <t>Bloomberg</t>
        </is>
      </c>
      <c r="D38" t="inlineStr">
        <is>
          <t>linkedin</t>
        </is>
      </c>
      <c r="E38" t="inlineStr"/>
      <c r="F38" t="inlineStr"/>
      <c r="G38" t="inlineStr">
        <is>
          <t>New York, NY</t>
        </is>
      </c>
      <c r="H38" t="inlineStr"/>
      <c r="I38" t="inlineStr">
        <is>
          <t>Senior Quant/ML Engineer \- Fixed Income \- Artificial Intelligence
 Location
 New York
 Business Area
 Engineering and CTO
 Ref \#
 10045737
**Description \&amp; Requirements**
 Bloomberg’s Engineering Artificial Intelligence department has 400\+ AI practitioners building highly sought after products and features that shape global markets. In our fast\-paced Fixed Income domain, you’ll apply mathematics, statistics, machine learning and modern programming frameworks over vast data sources to accurately price millions of securities. You will research methods to offer transparency and accuracy within Fixed Income markets, and you will move Bloomberg’s business forward by assessing, improving, and implementing modern asset pricing models.
 We are looking for people who are naturally curious, take ownership, are relentless problem solvers, and have the desire to continuously innovate, learn, and grow within the field of Fixed Income and Credit pricing.
**You'll Have The Opportunity To**
* Conduct research and analysis to solve complex technical challenges in financial asset pricing within a highly collaborative environment.
* Conceptualize pricing methodologies, develop and continuously improve mathematical and data\-driven models, all while translating algorithms into code.
* Increase your competency of technical skills as you work on models as research projects, from idea to productionization.
* Integrate cutting\-edge academic and industry research into models and methodologies, staying ahead of emerging developments to drive continuous innovation.
* Collaborate with cross\-functional teams to develop, test, monitor and maintain robust production systems.
**You'll Need To Have**
* Ph.D. in the fields of Mathematics, Physics, Statistics, Electrical Engineering, Computer Science, Operations Research, Machine Learning or a similar field from a top tier institution.
* 3\+ years of proven experience on Fixed Income valuation within the buy or sell side. A track record designing, building, evaluating, and maintaining statistical and/or Machine Learning solutions in production is a plus.
* Experience working with, analyzing and extracting patterns and insights from medium size and large datasets is a must.
* Proficiency in probability and statistics to support time modeling of financial processes, advanced machine learning, pattern recognition, etc.
* Strong practical computing skills to support the delivery of statistical and ML models. Experience with object oriented languages is a plus.
* A creative, rigorous approach to developing and testing novel methods and technologies.
* A track record of authoring publications in top conferences and journals is a strong plus.
**We Offer You**
* A flat structure and very collaborative environment of like\-minded individuals with strong passion for solving technically challenging problems in an open communication environment.
* State of the art tech stack to support your day\-to\-day activities.
* Tangible growth in skills and impact through the cross\-collaboration between AI, Product and technology teams in an open and transparent manner.
* The ability to work in financial asset pricing in a supportive environment with work\-life balance and a casual office environment.
 Salary Range \= 165000 \- 260000 USD Annually \+ Benefits \+ Bonus
 The referenced salary range is based on the Company's good faith belief at the time of posting. Actual compensation may vary based on factors such as geographic location, work experience, market conditions, education/training and skill level.
 We offer one of the most comprehensive and generous benefits plans available and offer a range of total rewards that may include merit increases, incentive compensation (exempt roles only), paid holidays, paid time off, medical, dental, vision, short and long term disability benefits, 401(k) \+match, life insurance, and various wellness programs, among others. The Company does not provide benefits directly to contingent workers/contractors and interns.
 Discover what makes Bloomberg unique \- watch our for an inside look at our culture, values, and the people behind our success.</t>
        </is>
      </c>
    </row>
    <row r="39">
      <c r="A39" t="inlineStr">
        <is>
          <t>li-4379585702</t>
        </is>
      </c>
      <c r="B39" t="inlineStr">
        <is>
          <t>Principal Machine Learning Engineer</t>
        </is>
      </c>
      <c r="C39" t="inlineStr">
        <is>
          <t>Hologic, Inc.</t>
        </is>
      </c>
      <c r="D39" t="inlineStr">
        <is>
          <t>linkedin</t>
        </is>
      </c>
      <c r="E39" t="inlineStr"/>
      <c r="F39" t="inlineStr"/>
      <c r="G39" t="inlineStr">
        <is>
          <t>Newark, NJ</t>
        </is>
      </c>
      <c r="H39" t="inlineStr"/>
      <c r="I39" t="inlineStr">
        <is>
          <t>As a
 **Principal Machine Learning Engineer** 
 in Hologic’s Breast and Skeletal Health division, you will play a pivotal role in designing, developing, and deploying advanced AI algorithms for next\-generation medical devices. You will focus on creating and validating AI\-driven solutions for breast cancer detection in breast tomosynthesis (3D mammography). Your work will have a direct impact on patient outcomes by ensuring our technologies are robust, safe, and clinically validated—upholding Hologic’s mission to deliver innovation with precision and reliability.
**What You’ll Bring** 
**Knowledge:** 
* Deep expertise in machine learning and deep learning, including supervised and self\-supervised methods.
* Mastery of cutting\-edge neural network architectures and training techniques.
* Strong foundation in computer vision, data preprocessing, feature engineering, and statistical analysis.
* Experience with model validation and performance benchmarking.
* Knowledge of software engineering best practices for building maintainable, scalable systems.
* *Bonus:* 
 Familiarity with FDA regulatory standards for AI in healthcare, DICOM format, digital breast tomosynthesis, and breast cancer pathology/diagnostic workflows.
**Skills:** 
* Advanced programming in Python and C\+\+, with proficiency in ML/data science libraries (e.g., Pandas, OpenCV, XGBoost, NumPy, SciPy).
* Hands\-on experience with deep learning frameworks (PyTorch, TensorFlow) and cloud platforms (AWS, Azure, GCP).
* Proven ability to design, implement, and optimize machine learning pipelines for large\-scale, high\-dimensional 3D medical imaging data.
* Experience deploying and maintaining models in production environments.
* Strong problem\-solving skills for translating clinical requirements into technical solutions.
* Excellent communication skills for technical documentation and stakeholder presentations.
* Effective cross\-functional collaboration with engineers, clinicians, and product managers.
**Qualifications** 
* **Education \&amp; Experience:** 
	+ At least a
	 **Bachelor’s degree** 
	 in a relevant field (e.g., Computer Science, Electrical Engineering, Biomedical Engineering, Applied Mathematics, or related discipline).
	+ **8\+ years** 
	 of professional experience working with machine learning, deep learning, or closely related applied AI/ML domains.
**Behaviors:** 
* Demonstrates leadership and initiative in driving complex projects from concept to deployment.
* Champions a collaborative, open, and success\-driven team culture.
* Maintains high standards of integrity, accountability, and ethical decision\-making.
* Adapts quickly to evolving technologies and priorities.
* Proactively seeks feedback and growth opportunities.
* Shows resilience and resourcefulness in technical and regulatory challenges.
* Prioritizes patient safety, data privacy, and compliance.
* Inspires teams through commitment to Hologic’s mission and values.
**So why join Hologic?** 
 We are committed to making Hologic the company where top talent comes to grow. For you to succeed, we want to enable you with the tools and knowledge required and so we provide comprehensive training when you join as well as continued development and training throughout your career. We offer a competitive salary and annual bonus scheme, one of our talent partners can discuss this in more detail with you.
 If you have the right skills and experience and want to join our team, apply today. We can’t wait to hear from you!
 The annualized base salary range for this role is $126,000 \- $210,100 and is bonus eligible. Final compensation packages will ultimately depend on factors including relevant experience, skillset, knowledge, geography, education, business needs and market demand.
 Agency and Third\-Party Recruiter Notice: Agencies that submit a resume to Hologic must have a current executed Hologic Agency Agreement executed by a member of the Human Resource Department. In addition Agencies may only submit candidates to positions for which they have been invited to do so by a Hologic Recruiter. All resumes must be sent to the Hologic Recruiter under these terms or they will not be considered.
 As part of our commitment to a fair and accurate evaluation of each candidate's qualifications, we require all applicants to refrain from using AI tools, such as generative AI or automated writing assistance, during any stage of the interview process. Responses influenced by AI may result in disqualification. We appreciate your understanding and cooperation in ensuring a transparent and equitable selection process.
 Hologic, Inc. is proud to be an Equal Opportunity Employer inclusive of disability and veterans.</t>
        </is>
      </c>
    </row>
    <row r="40">
      <c r="A40" t="inlineStr">
        <is>
          <t>li-4378446445</t>
        </is>
      </c>
      <c r="B40" t="inlineStr">
        <is>
          <t>AI Engineer</t>
        </is>
      </c>
      <c r="C40" t="inlineStr">
        <is>
          <t>Haystack</t>
        </is>
      </c>
      <c r="D40" t="inlineStr">
        <is>
          <t>linkedin</t>
        </is>
      </c>
      <c r="E40" t="inlineStr"/>
      <c r="F40" t="inlineStr"/>
      <c r="G40" t="inlineStr">
        <is>
          <t>Omaha, NE</t>
        </is>
      </c>
      <c r="H40" t="inlineStr"/>
      <c r="I40" t="inlineStr">
        <is>
          <t>**Senior AI Developer \- Omaha, NE \| $130,000 \- $180,000** 
 We're working with a Fortune 500 insurance and financial services giant on this exciting opportunity. We are looking for an AI specialist to lead the charge in transforming enterprise operations through Generative AI, LLMs, and high\-scale cloud architecture.
 This is a high\-impact role where you will bridge the gap between cutting\-edge AI research and production\-grade software. You'll leverage AWS Bedrock and SageMaker to build intelligent applications that redefine how a massive financial enterprise serves its customers.
**The Role** 
 • Lead the end\-to\-end design and deployment of Generative AI and LLM applications, taking solutions from rapid prototyping to full\-scale production environments.
 • Architect and manage robust AWS cloud infrastructure using CDK (Infrastructure as Code), focusing on cost optimization, security, and high availability.
 • Build and maintain sophisticated CI/CD pipelines and MLOps workflows to automate model training, versioning, monitoring, and scaling.
 • Collaborate across full\-stack layers including React frontends, Python/Flask backends, and complex legacy system integrations.
 • Drive systematic experimentation using prompt engineering, A/B testing, and data versioning to empirically improve model accuracy and fairness.
**What You'll Need** 
 • 8\+ years of experience deploying full\-stack applications in enterprise environments with a strong focus on AI and MLOps integration.
 • Deep technical expertise in Python, TypeScript, SQL, and modern frameworks like React or Flask.
 • Hands\-on mastery of the AWS ecosystem, specifically Amazon Bedrock, SageMaker, S3, Lambda, and AWS CDK.
 • Proven experience with agentic architectures, LangChain, or similar frameworks for building sophisticated LLM\-based applications.
 • Strong background in Data Science and Machine Learning techniques including model evaluation, fairness auditing, and performance optimization.
 • Ability to thrive in a remote, agile environment, acting as a technical mentor while navigating complex, ambiguous business problems.
**What's On Offer** 
 • Competitive base salary ($130k \- $180k) plus an annual performance\-based bonus opportunity.
 • Elite retirement benefits: 401(k) with a 2% non\-contributory company contribution PLUS a 6% company match.
 • Genuine work\-life balance with generous PTO, personal time, and paid holidays in a stable, established enterprise environment.
 • Fully remote flexibility, allowing you to work from anywhere in the U.S. or Puerto Rico.
**Apply via Haystack today!**</t>
        </is>
      </c>
    </row>
    <row r="41">
      <c r="A41" t="inlineStr">
        <is>
          <t>li-4358388073</t>
        </is>
      </c>
      <c r="B41" t="inlineStr">
        <is>
          <t>Senior AI/Machine Learning Engineer, Minecraft</t>
        </is>
      </c>
      <c r="C41" t="inlineStr">
        <is>
          <t>Microsoft</t>
        </is>
      </c>
      <c r="D41" t="inlineStr">
        <is>
          <t>linkedin</t>
        </is>
      </c>
      <c r="E41" t="inlineStr"/>
      <c r="F41" t="inlineStr"/>
      <c r="G41" t="inlineStr">
        <is>
          <t>Redmond, WA</t>
        </is>
      </c>
      <c r="H41" t="inlineStr"/>
      <c r="I41" t="inlineStr">
        <is>
          <t>**Overview**
 At Mojang Studios, the creators of Minecraft, we are on a mission to build a better world through the power of play.
 Why play? Well, play is at the heart of everything we do. It’s the blocky backbone of our games, the core of our development philosophy, and even the origin of our name. From the relentless experimentation of our endlessly inspiring community to the classrooms where Minecraft has become an essential teaching tool, play is the bedrock of our existence.
 We enable millions to create and play together, connect people across the globe, and foster a community that is among the most active and passionate in the world. Our community is global and incredibly diverse. When we are developing anything within our franchise, we keep this in mind. We want everyone to not only feel included in Minecraft, but also to see themselves in what we make. Our goal is for the Mojang Studios team to be as diverse as our community.
 The Senior AI/Machine Learning Engineer at Mojang Studios will support the strategy, development, and execution of AI products that will unlock increased productivity and advanced capabilities inside and outside of the game. This role will apply expertise in AI \&amp; ML algorithms, frameworks, and architectures as well as data and cloud infrastructure knowledge to guide and build solutions for a variety of teams and data modalities across the studio. This is a critical role to executing our AI strategies across workflows, internal tools, and player experiences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the end, it’s the people of Mojang Studios that make this place truly special. When you join, you’ll find yourself in the company of incredibly bright, warm, and creative individuals – all united and working toward a single goal. Come help us reach it!
**Responsibilities**
* Design, build, and productionize AI (Artificial Intelligence)/GenAI (Generative Artificial Intelligence) services and platform components for internal and player‑facing experiences across Minecraft and other titles.
* Create reusable AI building blocks and reference integrations to accelerate teams and drive studio‑wide AI enablement.
* Own cloud infrastructure \&amp; MLOps (Machine Learning Operations): data pipelines, training/evaluation, deployment, monitoring, and operational support.
* Improve reliability, performance, and cost with guardrails, fallback paths, SLOs (Service Level Objectives), and actionable runbooks.
* Engineer for security, privacy, and compliance through secure data access patterns and threat modeling.
* Embed responsible AI principles (fairness, transparency, player safety) into system design and operations.
* Collaborate cross‑discipline to solve product problems and deliver measurable business/player impact; participate in design/code reviews and pair programming.
* Document and communicate: share learnings to upskill the studio and present findings/opportunities to leadership.
* Embody our Culture \&amp; Values
**Qualifications**
**Required Qualifications:**
* Doctorate in Data Science, Mathematics, Statistics, Econometrics, Economics, Operations Research, Computer Science, or related field AND 1\+ year(s) data\-science experience (e.g., managing structured and unstructured data, applying statistical techniques and reporting results) OR Master's Degree in Data Science, Mathematics, Statistics, Econometrics, Economics, Operations Research, Computer Science, or related field AND 3\+ years data\-science experience (e.g., managing structured and unstructured data, applying statistical techniques and reporting results) OR Bachelor's Degree in Data Science, Mathematics, Statistics, Econometrics, Economics, Operations Research, Computer Science, or related field AND 5\+ years data\-science experience (e.g., managing structured and unstructured data, applying statistical techniques and reporting results)
+ OR equivalent experience.
**Preferred Qualifications**
* Experience in AI/ML (Machine Learning) principles, frameworks, and tools (e.g., PyTorch, Generative AI, RAG (Retrieval\-Augmented Generation), with experience in big data technologies like Spark (PySpark) and Databricks.
* Doctorate in Data Science, Mathematics, Statistics, Econometrics, Economics, Operations Research, Computer Science, or related field AND 3\+ years data\-science experience (e.g., managing structured and unstructured data, applying statistical techniques and reporting results) OR Master's Degree in Data Science, Mathematics, Statistics, Econometrics, Economics, Operations Research, Computer Science, or related field AND 5\+ years data\-science experience (e.g., managing structured and unstructured data, applying statistical techniques and reporting results) OR Bachelor's Degree in Data Science, Mathematics, Statistics, Econometrics, Economics, Operations Research, Computer Science, or related field AND 7\+ years data\-science experience (e.g., managing structured and unstructured data, applying statistical techniques and reporting results)
+ OR equivalent experience.
* Games industry knowledge
* Skilled in Python (C\#/TypeScript a plus), modern dev practices (Agile, GitHub, Azure DevOps), and designing, deploying, and monitoring cloud infrastructure for AI systems.
* Familiar with multiple data modalities and ML domains: computer vision, audio, predictive modeling, NLP (Natural Language Processing), time series forecasting, graph networks, deep learning, and reinforcement learning.
* Verbal and written communication skills.
* Ability to translate complex technical concepts into clear, actionable insights for non\-technical stakeholders.
 Data Science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2">
      <c r="A42" t="inlineStr">
        <is>
          <t>li-4377036979</t>
        </is>
      </c>
      <c r="B42" t="inlineStr">
        <is>
          <t>Lead AI Engineer - Search &amp; AI Components</t>
        </is>
      </c>
      <c r="C42" t="inlineStr">
        <is>
          <t>Salesforce</t>
        </is>
      </c>
      <c r="D42" t="inlineStr">
        <is>
          <t>linkedin</t>
        </is>
      </c>
      <c r="E42" t="inlineStr"/>
      <c r="F42" t="inlineStr"/>
      <c r="G42" t="inlineStr">
        <is>
          <t>Seattle, WA</t>
        </is>
      </c>
      <c r="H42" t="inlineStr"/>
      <c r="I42"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We are seeking a
 **Lead AI Engineer** 
 to shape the technical foundations of Salesforce’s
 **Agentic Enterprise** 
 product suite. In this role, you will develop
 **agentic retrieval and AI skills** 
 , leveraging
 **cutting\-edge AI, GraphRAG, and multi\-agent architectures** 
 . You will collaborate with data engineers, product managers, and data scientists to execute the product roadmap, building scalable, high\-impact solutions that redefine what’s possible in
 **Agentforce** 
 .
 You will be a
 **technical thought leader** 
 , translating innovative AI concepts into production\-ready systems that power next\-generation agentic experiences.
**Responsibilities**
**Architect Agentic Systems**
* Design and implement new features and functions across the app ecosystem in partnership with Product Managers and data engineers.
* Build scalable agentic AI architectures for MCP servers and multi\-agent environments.
**Implement Advanced Retrieval**
* Design RAG and GraphRAG pipelines to ensure agents are grounded in accurate, high\-context, and real\-time data.
* Optimize retrieval strategies for enhanced agent performance and responsiveness.
**AI Orchestration \&amp; Integration**
* Develop infrastructure that delivers seamless, responsive AI experiences for internal and external users.
* Integrate Salesforce technologies and open\-source tools to create the enterprise agentic data foundation.
**Operationalize AI Research**
* Collaborate with Data Scientists to translate evaluation metrics into scalable, production\-grade services.
* Establish frameworks to continuously measure and improve agent performance.
**Engineering Excellence**
* Define and enforce coding standards, testing strategies, and best practices to maintain high\-quality, high\-performance systems.
* Produce strategic technical documentation that captures architecture, product strategy, and implementation details.
**Qualifications**
**Education \&amp; Experience**
* Bachelor’s or Master’s degree in Computer Science, AI, Information Technology, or related fields.
* 8\+ years of proven experience as a full\-stack software engineer, developing robust web and AI\-enabled applications.
**Technical Expertise**
* Strong knowledge of embedding models, LLM grounding, and agentic AI skills development.
* Familiarity with the Salesforce ecosystem, Agentforce, and pro\-code tools such as Heroku.
* Hands\-on experience with NoSQL and Graph databases (Neo4j, MongoDB, Cassandra, Redis) and vector databases (Milvus, Pinecone).
* Proficient in back\-end development using Python, Java, or similar languages and server\-side frameworks.
* Skilled in version control (Git) and CI/CD pipelines for production deployment.
**Strategic \&amp; Analytical Skills**
* Ability to translate complex AI research into actionable engineering solutions.
* Strong problem\-solving skills and the ability to think strategically about emerging AI technologies.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
 At Salesforce, we believe in equitable compensation practices that reflect the dynamic nature of labor markets across various regions. The typical base salary range for this position is $172,500 \- $260,100 annually. The range represents base salary only, and does not include company bonus, incentive for sales roles, equity or benefits, as applicable.</t>
        </is>
      </c>
    </row>
    <row r="43">
      <c r="A43" t="inlineStr">
        <is>
          <t>li-4378449117</t>
        </is>
      </c>
      <c r="B43" t="inlineStr">
        <is>
          <t>Staff AI Engineer, Commercial Technology</t>
        </is>
      </c>
      <c r="C43" t="inlineStr">
        <is>
          <t>Rivian</t>
        </is>
      </c>
      <c r="D43" t="inlineStr">
        <is>
          <t>linkedin</t>
        </is>
      </c>
      <c r="E43" t="inlineStr"/>
      <c r="F43" t="inlineStr"/>
      <c r="G43" t="inlineStr">
        <is>
          <t>Palo Alto, CA</t>
        </is>
      </c>
      <c r="H43" t="inlineStr"/>
      <c r="I43" t="inlineStr">
        <is>
          <t>**About Rivian**
 Rivian is on a mission to keep the world adventurous forever. This goes for the emissions\-free Electric Adventure Vehicles we build, and the curious, courageous souls we seek to attract.
 As a company, we constantly challenge what’s possible, never simply accepting what has always been done. We reframe old problems, seek new solutions and operate comfortably in areas that are unknown. Our backgrounds are diverse, but our team shares a love of the outdoors and a desire to protect it for future generations.
**Role Summary**
 Rivian is seeking an entrepreneurial, hands\-on senior contributor to build and scale our Enterprise AI solutions driving impact across Commercial Technology teams. As a Staff AI Engineer, you will design, build, and operate production\-grade systems at the forefront of generative AI, partnering with leaders across the company to unlock transformative business value. You will set technical direction, build complex agentic solutions, and raise the engineering bar through architectural leadership, operational excellence, and pragmatic innovation with language models and machine learning. This position will be located in Palo Alto, CA and report to our Sr. Manager and Director of Software Engineering.
**Responsibilities**
* Lead the technical design and hands\-on development of prioritized AI applications, services, and platforms leveraging state\-of\-the\-art LLM app stacks, retrieval\-augmented generation, evaluation frameworks, and scalable serving.
* Build a holistic view of AI investments by collaborating with engineering groups implementing AI in their domains, aligning patterns, reusing components, and avoiding duplication.
* Drive continuous improvement in AI methodologies and best practices; evaluate emerging capabilities and land them as secure, production\-grade systems.
* Champion AI literacy, enablement, and adoption through demos, guidance, and technical leadership across the org.
* Establish rigorous evaluation, guardrails, and monitoring practices; instrument offline and online metrics \&amp; telemetry to ensure quality, safety, and SLOs; improve performance based on data.
* Optimize latency, throughput, and cost at scale; guide make/buy decisions and vendor integrations where appropriate.
**Qualifications**
* BS/MS in Computer Science or a related field, or equivalent experience.
* Practical software engineering experience building backend services, APIs, or data\-intensive applications; strong foundations in algorithms, data structures, and systems.
* Exposure to or hands\-on experience with LLM application concepts such as retrieval, grounding, prompt/agent design, function/tool use, evaluation, safety/guardrails, and cost/latency optimization.
* Proficiency with modern software delivery practices (version control, CI/CD, testing, observability); familiarity with cloud\-native services and containerization.
* Ability to collaborate with product and business partners; strong written and verbal communication skills.
* Bias to ship, learn, and iterate; comfortable working in fast\-evolving technology areas with incomplete information.
* Demonstrated ownership of services or platform components, end\-to\-end delivery of cross\-service initiatives, and contributions to reliability/SLOs and operational excellence.
* Strong proficiency with AWS (Lambda, API Gateway, S3, DynamoDB, IAM, ECS/EKS).
* Deep understanding of database and storage paradigms (SQL, NoSQL, search engines).
* Proficiency in one or more programming languages: Python, Typescript, Java, Go, C\+\+, or Rust.
* Proven ability to define platform\-wide architecture standards and drive DevOps practices in a data\-focused environment.
**Preferred**
* Deep technical knowledge in AI/ML, with hands\-on experience building and deploying solutions using language models, retrieval/grounding, embeddings/vector search, and evaluation.
* Strong familiarity with security, privacy, compliance, safety, and auditability for enterprise AI systems.
**Pay Disclosure**
 Salary Range for this role is $206,500 \- $258,100 for California based applicants. This is the lowest to highest salary we in good faith believe we would pay for this role at the time of this posting. An employee’s position within the salary range will be based on several factors including, but not limited to, specific competencies, relevant education, qualifications, certifications, experience, skills, geographic location, shift, and organizational needs.
 The successful candidate may be eligible for annual performance bonus and equity awards.
 We offer a comprehensive package of benefits for full\-time and part\-time employees, their spouse or domestic partner, and children up to age 26, including but not limited to paid vacation, paid sick leave, and a competitive portfolio of insurance benefits including life, medical, dental, vision, short\-term disability insurance, and long\-term disability insurance to eligible employees. You may also have the opportunity to participate in Rivian’s 401(k) Plan and Employee Stock Purchase Program if you meet certain eligibility requirements. Full\-time employee coverage is effective on their first day of employment. Part\-time employee coverage is effective the first of the month following 90 days of employment. More information about benefits is available at rivianbenefits.com.
 You can apply for this role through careers.rivian.com (or through internal\-careers\-rivian.icims.com if you are a current employee). This job is not expected to be closed any sooner than April 6, 2026\.
**Equal Opportunity**
 Rivian is an equal opportunity employer and complies with all applicable federal, state, and local fair employment practices laws.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Rivian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may share your Candidate Personal Data with (i) internal personnel who have a need to know such information in order to perform their duties, including individuals on our People Team, Finance, Legal, and the team(s) with the position(s) for which you are applying; (ii) Rivian affiliates; and (iii) Rivian’s service providers, including providers of background checks, staffing services, and cloud services.
 Rivian may transfer or store internationally your Candidate Personal Data, including to or in the United States, Canada, the United Kingdom, and the European Union and in the cloud, and this data may be subject to the laws and accessible to the courts, law enforcement and national security authorities of such jurisdictions.
**Please note that we are currently not accepting applications from third party application services.**</t>
        </is>
      </c>
    </row>
    <row r="44">
      <c r="A44" t="inlineStr">
        <is>
          <t>li-4378439097</t>
        </is>
      </c>
      <c r="B44" t="inlineStr">
        <is>
          <t>Principal Technical Program Manager - AI/ML Engineering</t>
        </is>
      </c>
      <c r="C44" t="inlineStr">
        <is>
          <t>hackajob</t>
        </is>
      </c>
      <c r="D44" t="inlineStr">
        <is>
          <t>linkedin</t>
        </is>
      </c>
      <c r="E44" t="inlineStr"/>
      <c r="F44" t="inlineStr"/>
      <c r="G44" t="inlineStr">
        <is>
          <t>Jersey City, NJ</t>
        </is>
      </c>
      <c r="H44" t="inlineStr"/>
      <c r="I44" t="inlineStr">
        <is>
          <t>***hackajob** 
 is collaborating with
 **J.P. Morgan** 
 to connect them with exceptional tech professionals for this role.*
**Job Description**
 Leverage your deep technical expertise and leadership to guide cutting\-edge projects, fostering growth and innovation in a dynamic environment.
 As a Principal Technical Program Manager in the AI/ML Data Platforms team, you will drive the successful delivery of complex technology projects and programs that will help reaching business goals across the firm. Leveraging your deep knowledge of technical principles, practices, and theories is essential for developing innovative solutions, while simultaneously effectively managing resources, budgets, and high\-performing teams. Your strong analytical reasoning and adaptability skills will enable you to navigate through ambiguity and change, ensuring that technology initiatives align with business goals. With advanced communication and stakeholder management abilities, you will foster productive working relationships and influence decision\-making to achieve mutually beneficial outcomes. As a subject matter expert, you will contribute to the development of operational plans and risk management strategies, ensuring the highest quality and professionalism in service delivery.
**Job Responsibilities**
* Develop and implement strategic technical program plans, aligning with organizational goals and cross\-functional collaboration
* Oversee complex technology project and program execution, managing resources, budgets, and timelines while mitigating risks and addressing roadblocks
* Foster strong relationships with stakeholders, clients, and cross\-functional teams, providing direction and defining decision\-making procedures for beneficial outcomes
* Guide the selection and implementation of appropriate technologies, platforms and software tools leveraging advanced technical fluency
* Champion continuous improvement by identifying process optimization opportunities, incorporating best practices, and staying abreast of emerging technologies
* Engage, influence, and drive delivery of multiple AI initiatives with cross\-functional, cross\-product, and cross\-line of business stakeholders.
* Synthesize findings into clear, concise, customer\-focused problem statements, recommendations, business cases, analysis, plans of action, and risk assessments
* Drive organizational structure, efficiency, and improvement of operational practices.
**Required Qualifications, Capabilities, And Skills**
* 7\+ years of experience or equivalent expertise in technical program management, leading complex technology projects and programs in large organizations
* Demonstrated proficiency in technical solutions, vendor product knowledge, managing vendor relations, and implementing solutions
* Advanced analytical reasoning skills, applying critical thinking and problem\-solving techniques to break down business, technical, and operational objectives
* Proven ability in leading through change, managing dependencies, and controlling change in high\-pressure, shifting environments
* Advanced expertise in stakeholder management, establishing productive relationships, and driving beneficial outcomes aligned with firm objectives
**Preferred Qualifications, Capabilities, And Skills**
* Proven ability to navigate tight deadlines, organize and prioritize work, while effectively managing the dynamic landscape of AI
* Experience or exposure in the AI ML, Data ecosystem space
* Expertise on the AI and data product lifecycle, spanning from data discovery, data processing, model development, model deployment, and model monitoring
* Microsoft (Azure AI Engineer Associate), Google (Professional Machine Learning Engineer), Amazon (AWS Certified AI Practitioner), AWS Cloud Practitioner Certification, or Microsoft Azure Fundamentals certifications
* Experience with controls, compliance, and audit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45">
      <c r="A45" t="inlineStr">
        <is>
          <t>li-4378290732</t>
        </is>
      </c>
      <c r="B45" t="inlineStr">
        <is>
          <t>Member of Technical Staff, Applied AI Engineer</t>
        </is>
      </c>
      <c r="C45" t="inlineStr">
        <is>
          <t>Jobs via Dice</t>
        </is>
      </c>
      <c r="D45" t="inlineStr">
        <is>
          <t>linkedin</t>
        </is>
      </c>
      <c r="E45" t="inlineStr"/>
      <c r="F45" t="inlineStr"/>
      <c r="G45" t="inlineStr">
        <is>
          <t>Mountain View, CA</t>
        </is>
      </c>
      <c r="H45" t="inlineStr"/>
      <c r="I45" t="inlineStr">
        <is>
          <t>**Overview**
 We're hiring a
 **Applied AI Engineer** 
 to join a fast\-moving, high\-ownership team building next\-generation AI assistant and productivity capabilities. This role blends
 **LLM product engineering, evaluation science, hillclimbing, and internal tool building** 
 with the pace and creativity of a startup.
 You'll work across the entire lifecycle of features from early prototypes to production\-grade systems and help define how millions of users interact with AI.
**Responsibilities**
**LLM Feature \&amp; Agent Development**
 Design and ship
 **LLM\-powered assistant features** 
 , including conversational flows, agentic behaviors, retrieval pipelines, and multimodal interactions.
* Build prompt architectures, system instructions, and orchestration logic that ensure reliability, grounding, and personality consistency.
* Prototype new capabilities rapidly and iterate based on user signals and evaluation data.
**Evaluation, Hillclimbing \&amp; Quality Systems**
 Build and maintain
 **evaluation frameworks** 
 for correctness, safety, grounding, and UX quality.
* Run hillclimbing loops across prompts, models, and tool\-use strategies to continuously improve assistant performance.
* Analyze failure modes, design mitigations, and drive systematic improvements across the stack.
**LLM Tooling \&amp; Internal Infrastructure**
* Develop internal tools for prompt experimentation, model comparison telemetry and debugging automated eval pipelines
* Create reusable frameworks that accelerate the entire AI org's ability to ship high\-quality assistant features.
**Applied ML \&amp; Product Integration**
* Integrate LLMs with product surfaces, APIs, and backend systems.
* Build lightweight ML components (ranking, classification, summarization, personalization) that enhance assistant intelligence.
* Collaborate with PM, design, and research to turn ambiguous ideas into polished user experiences.
**High\-Velocity Teamwork**
 Operate with
 **startup\-founder energy** 
 : bias for action, rapid iteration, and comfort with ambiguity.
* Work closely with researchers, engineers, and product leaders in a fast\-moving AI team where ideas ship quickly and impact is immediate.
* Contribute to a culture of experimentation, clarity, and high\-quality execution.
* Build prompt architectures, system instructions, and orchestration logic that ensure reliability, grounding, and personality consistency.
* Prototype new capabilities rapidly and iterate based on user signals and evaluation data.
**Qualifications**
**Required/minimum qualifications**
* Doctorate in Data Science, Mathematics, Statistics, Econometrics, Economics, Operations Research, Computer Science, or related field OR Master's Degree in Data Science, Mathematics, Statistics, Econometrics, Economics, Operations Research, Computer Science, or related field AND 1\+ year(s) data\-science experience (e.g., managing structured and unstructured data, applying statistical techniques and reporting results) or consulting experience OR Bachelor's Degree in Data Science, Mathematics, Statistics, Econometrics, Economics, Operations Research, Computer Science, or related field AND 2\+ years data\-science experience (e.g., managing structured and unstructured data, applying statistical techniques and reporting results) OR equivalent experience.
**Preferred Qualifications**
* Doctorate in Data Science, Mathematics, Statistics, Econometrics, Economics, Operations Research, Computer Science, or related field AND 1\+ year(s) data\-science experience (e.g., managing structured and unstructured data, applying statistical techniques and reporting results) OR Master's Degree in Data Science, Mathematics, Statistics, Econometrics, Economics, Operations Research, Computer Science, or related field AND 3\+ years data\-science experience (e.g., managing structured and unstructured data, applying statistical techniques and reporting results) OR Bachelor's Degree in Data Science, Mathematics, Statistics, Econometrics, Economics, Operations Research, Computer Science, or related field AND 5\+ years data\-science experience (e.g., managing structured and unstructured data, applying statistical techniques and reporting results) OR equivalent experience.
* 2\+ years shipping production\-level code, models, or data analysis.
* 1\+ years using AI\-assisted coding and analysis techniques.
* Experience working on small teams and mid\-stage startup environments.
* Experience working on AI products.
* PhD in engineering, applied math, statistics, or related analytical field.
* 4\+ years shipping production\-level code, models, or data analysis.
* Deep experience building from zero\-to\-one.
* Hands on work hillclimbing AI evaluations.
 Data Science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;br\&gt;
 Data Science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;br\&gt;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6">
      <c r="A46" t="inlineStr">
        <is>
          <t>li-4318751143</t>
        </is>
      </c>
      <c r="B46" t="inlineStr">
        <is>
          <t>AI Engineer, Manager - Tax Transformation</t>
        </is>
      </c>
      <c r="C46" t="inlineStr">
        <is>
          <t>Deloitte</t>
        </is>
      </c>
      <c r="D46" t="inlineStr">
        <is>
          <t>linkedin</t>
        </is>
      </c>
      <c r="E46" t="inlineStr"/>
      <c r="F46" t="inlineStr"/>
      <c r="G46" t="inlineStr">
        <is>
          <t>Dallas, TX</t>
        </is>
      </c>
      <c r="H46" t="inlineStr"/>
      <c r="I46" t="inlineStr">
        <is>
          <t>**What You'll Do**
 As a Deloitte Tax, AI Engineer Manager, you will oversee the design, development, deployment, and support of custom AI applications and modules to address key business needs. You will lead a team of engineers, drive project execution, manage stakeholder communications, and ensure high\-quality deliverables aligned with organizational objectives.
 Recruiting for this role ends on May 31, 2026\.
**Responsibilities:**
* Define and enforce best practices and coding standards across the project.
* Conduct thorough code reviews to ensure adherence to established guidelines and maintain high code quality.
* Working both independently and in close collaboration with others in the team
* Communicating clear instructions to team members and help manage the flow of day\-to\-day operations
* Communicating with the client on a regular basis
* Design, develop, and maintain robust and scalable Python applications.
* Write clean, maintainable, and efficient code following best practices and coding standards.
* Optimize code for performance and scalability, ensuring efficient data handling.
* Work closely with cross\-functional teams to deliver high\-quality software solutions.
* Identify and resolve technical issues, ensuring the reliability and performance of applications.
* Create and maintain comprehensive documentation for code, processes, and workflows.
* Provide guidance and mentorship to junior developers, fostering a collaborative and productive team environment.
**The Team**
 The prospective team you will be working with is responsible for the design, development, and deployment of innovative, enterprise technology, tools, and standard processes to support the delivery of tax services. The team focuses on the ability to deliver comprehensive, value\-added, and efficient tax services to our clients. It is a dynamic team with professionals of varying backgrounds from tax technical, technology development, change management, and project management. The team consults and executes on a wide range of initiatives involving process and tool development and implementation including training development, engagement management, tool design, and implementation.
**Qualifications**
 Required:
* Ability to perform job responsibilities within a hybrid work model that requires US Tax professionals to co\-locate in person 2 \- 3 days per week.
* Bachelor's degree in computer science, engineering, or a relevant discipline.
* 5\+ years of experience in development with demonstrated experience designing, developing, and maintaining robust Python applications.
* Hands\-on experience in web development with FastAPI, including Pydantic for data validation/schema definition.
* Proven skills in asynchronous and parallel programming with practical experience using asyncio.
* Experience working in Agile environments and applying core design patterns.
* Demonstrated proficiency in .NET Core, ASP.NET Core Web API, and databases (SQL/NoSQL, Entity Framework 6\+).
* Ability to travel up to 10%, on average, based on the work you do and the clients and industries/sectors you serve.
* Limited immigration sponsorship may be available.
* One of the following active accreditations obtained:
+ Licensed CPA in state of practice/primary office if eligible to sit for the CPA
+ If not CPA eligible:
- Licensed Attorney
- Enrolled Agent
- Technology Certifications:
* AWS Certified Solutions Architect
* Certified in Risk and Information Systems Controls (CRISC)
* Certified Information Systems Security Professional (CISSP)
* Certified SAFe® Advanced Scrum Master
* Certified SAFe® Agile Software Engineer
* Certified SAFe® Agilist
* Certified SAFe® Architect
* Certified SAFe® DevOps Practitioner
* Certified SAFe® Scrum Master
* Certified Scrum Developer (CSD)
* Certified Secure Software Lifecycle Professional (CSSLP)
* Certified Secure Software Lifecycle Professional (CSSLP) \- (ISC)2
* Microsoft Azure
 Preferred:
* Experience with LLMs (Large Language Models) in solving real\-world problems and building agentic AI applications.
* Experience with agentic frameworks such as LangGraph.
* Advanced prompt engineering knowledge for LLM optimization.
* Exposure to multi\-modal Gen AI models (text\-image, text\-audio, etc.).
* Familiarity with Retrieval\-Augmented Generation (RAG) pipelines and vector databases/hybrid search.
* Experience with performance tuning, reusable library creation, and advanced troubleshooting.
* Familiarity with modern front\-end technologies (Angular), MongoDB, NPM, and Azure DevOps Build/Release configuration.
* Knowledge on Angular, Mongo DB, NPM and Azure Devops Build/Release configuration.
* Strong verbal and written communication skills; strong listening, interpersonal, and facilitation skills.
* Self\-starter with solid analytical and problem\-solving skills.
* Practical and pragmatic approach to balancing standardized processes with flexibility to meet project goals effectively.
* Excellent organizational skills with the ability to self\-manage, prioritize tasks, structure workload, and meet tight deadlines.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$119,490 to $272,090\.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row>
    <row r="47">
      <c r="A47" t="inlineStr">
        <is>
          <t>li-4318744365</t>
        </is>
      </c>
      <c r="B47" t="inlineStr">
        <is>
          <t>AI Engineer, Manager - Tax Transformation</t>
        </is>
      </c>
      <c r="C47" t="inlineStr">
        <is>
          <t>Deloitte</t>
        </is>
      </c>
      <c r="D47" t="inlineStr">
        <is>
          <t>linkedin</t>
        </is>
      </c>
      <c r="E47" t="inlineStr"/>
      <c r="F47" t="inlineStr"/>
      <c r="G47" t="inlineStr">
        <is>
          <t>Arlington, VA</t>
        </is>
      </c>
      <c r="H47" t="inlineStr"/>
      <c r="I47" t="inlineStr">
        <is>
          <t>**What You'll Do**
 As a Deloitte Tax, AI Engineer Manager, you will oversee the design, development, deployment, and support of custom AI applications and modules to address key business needs. You will lead a team of engineers, drive project execution, manage stakeholder communications, and ensure high\-quality deliverables aligned with organizational objectives.
 Recruiting for this role ends on May 31, 2026\.
**Responsibilities:**
* Define and enforce best practices and coding standards across the project.
* Conduct thorough code reviews to ensure adherence to established guidelines and maintain high code quality.
* Working both independently and in close collaboration with others in the team
* Communicating clear instructions to team members and help manage the flow of day\-to\-day operations
* Communicating with the client on a regular basis
* Design, develop, and maintain robust and scalable Python applications.
* Write clean, maintainable, and efficient code following best practices and coding standards.
* Optimize code for performance and scalability, ensuring efficient data handling.
* Work closely with cross\-functional teams to deliver high\-quality software solutions.
* Identify and resolve technical issues, ensuring the reliability and performance of applications.
* Create and maintain comprehensive documentation for code, processes, and workflows.
* Provide guidance and mentorship to junior developers, fostering a collaborative and productive team environment.
**The Team**
 The prospective team you will be working with is responsible for the design, development, and deployment of innovative, enterprise technology, tools, and standard processes to support the delivery of tax services. The team focuses on the ability to deliver comprehensive, value\-added, and efficient tax services to our clients. It is a dynamic team with professionals of varying backgrounds from tax technical, technology development, change management, and project management. The team consults and executes on a wide range of initiatives involving process and tool development and implementation including training development, engagement management, tool design, and implementation.
**Qualifications**
 Required:
* Ability to perform job responsibilities within a hybrid work model that requires US Tax professionals to co\-locate in person 2 \- 3 days per week.
* Bachelor's degree in computer science, engineering, or a relevant discipline.
* 5\+ years of experience in development with demonstrated experience designing, developing, and maintaining robust Python applications.
* Hands\-on experience in web development with FastAPI, including Pydantic for data validation/schema definition.
* Proven skills in asynchronous and parallel programming with practical experience using asyncio.
* Experience working in Agile environments and applying core design patterns.
* Demonstrated proficiency in .NET Core, ASP.NET Core Web API, and databases (SQL/NoSQL, Entity Framework 6\+).
* Ability to travel up to 10%, on average, based on the work you do and the clients and industries/sectors you serve.
* Limited immigration sponsorship may be available.
* One of the following active accreditations obtained:
+ Licensed CPA in state of practice/primary office if eligible to sit for the CPA
+ If not CPA eligible:
- Licensed Attorney
- Enrolled Agent
- Technology Certifications:
* AWS Certified Solutions Architect
* Certified in Risk and Information Systems Controls (CRISC)
* Certified Information Systems Security Professional (CISSP)
* Certified SAFe® Advanced Scrum Master
* Certified SAFe® Agile Software Engineer
* Certified SAFe® Agilist
* Certified SAFe® Architect
* Certified SAFe® DevOps Practitioner
* Certified SAFe® Scrum Master
* Certified Scrum Developer (CSD)
* Certified Secure Software Lifecycle Professional (CSSLP)
* Certified Secure Software Lifecycle Professional (CSSLP) \- (ISC)2
* Microsoft Azure
 Preferred:
* Experience with LLMs (Large Language Models) in solving real\-world problems and building agentic AI applications.
* Experience with agentic frameworks such as LangGraph.
* Advanced prompt engineering knowledge for LLM optimization.
* Exposure to multi\-modal Gen AI models (text\-image, text\-audio, etc.).
* Familiarity with Retrieval\-Augmented Generation (RAG) pipelines and vector databases/hybrid search.
* Experience with performance tuning, reusable library creation, and advanced troubleshooting.
* Familiarity with modern front\-end technologies (Angular), MongoDB, NPM, and Azure DevOps Build/Release configuration.
* Knowledge on Angular, Mongo DB, NPM and Azure Devops Build/Release configuration.
* Strong verbal and written communication skills; strong listening, interpersonal, and facilitation skills.
* Self\-starter with solid analytical and problem\-solving skills.
* Practical and pragmatic approach to balancing standardized processes with flexibility to meet project goals effectively.
* Excellent organizational skills with the ability to self\-manage, prioritize tasks, structure workload, and meet tight deadlines.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$119,490 to $272,090\.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row>
    <row r="48">
      <c r="A48" t="inlineStr">
        <is>
          <t>li-4318731986</t>
        </is>
      </c>
      <c r="B48" t="inlineStr">
        <is>
          <t>AI Engineer, Manager - Tax Transformation</t>
        </is>
      </c>
      <c r="C48" t="inlineStr">
        <is>
          <t>Deloitte</t>
        </is>
      </c>
      <c r="D48" t="inlineStr">
        <is>
          <t>linkedin</t>
        </is>
      </c>
      <c r="E48" t="inlineStr"/>
      <c r="F48" t="inlineStr"/>
      <c r="G48" t="inlineStr">
        <is>
          <t>Tampa, FL</t>
        </is>
      </c>
      <c r="H48" t="inlineStr"/>
      <c r="I48" t="inlineStr">
        <is>
          <t>**What You'll Do**
 As a Deloitte Tax, AI Engineer Manager, you will oversee the design, development, deployment, and support of custom AI applications and modules to address key business needs. You will lead a team of engineers, drive project execution, manage stakeholder communications, and ensure high\-quality deliverables aligned with organizational objectives.
 Recruiting for this role ends on May 31, 2026\.
**Responsibilities:**
* Define and enforce best practices and coding standards across the project.
* Conduct thorough code reviews to ensure adherence to established guidelines and maintain high code quality.
* Working both independently and in close collaboration with others in the team
* Communicating clear instructions to team members and help manage the flow of day\-to\-day operations
* Communicating with the client on a regular basis
* Design, develop, and maintain robust and scalable Python applications.
* Write clean, maintainable, and efficient code following best practices and coding standards.
* Optimize code for performance and scalability, ensuring efficient data handling.
* Work closely with cross\-functional teams to deliver high\-quality software solutions.
* Identify and resolve technical issues, ensuring the reliability and performance of applications.
* Create and maintain comprehensive documentation for code, processes, and workflows.
* Provide guidance and mentorship to junior developers, fostering a collaborative and productive team environment.
**The Team**
 The prospective team you will be working with is responsible for the design, development, and deployment of innovative, enterprise technology, tools, and standard processes to support the delivery of tax services. The team focuses on the ability to deliver comprehensive, value\-added, and efficient tax services to our clients. It is a dynamic team with professionals of varying backgrounds from tax technical, technology development, change management, and project management. The team consults and executes on a wide range of initiatives involving process and tool development and implementation including training development, engagement management, tool design, and implementation.
**Qualifications**
 Required:
* Ability to perform job responsibilities within a hybrid work model that requires US Tax professionals to co\-locate in person 2 \- 3 days per week.
* Bachelor's degree in computer science, engineering, or a relevant discipline.
* 5\+ years of experience in development with demonstrated experience designing, developing, and maintaining robust Python applications.
* Hands\-on experience in web development with FastAPI, including Pydantic for data validation/schema definition.
* Proven skills in asynchronous and parallel programming with practical experience using asyncio.
* Experience working in Agile environments and applying core design patterns.
* Demonstrated proficiency in .NET Core, ASP.NET Core Web API, and databases (SQL/NoSQL, Entity Framework 6\+).
* Ability to travel up to 10%, on average, based on the work you do and the clients and industries/sectors you serve.
* Limited immigration sponsorship may be available.
* One of the following active accreditations obtained:
+ Licensed CPA in state of practice/primary office if eligible to sit for the CPA
+ If not CPA eligible:
- Licensed Attorney
- Enrolled Agent
- Technology Certifications:
* AWS Certified Solutions Architect
* Certified in Risk and Information Systems Controls (CRISC)
* Certified Information Systems Security Professional (CISSP)
* Certified SAFe® Advanced Scrum Master
* Certified SAFe® Agile Software Engineer
* Certified SAFe® Agilist
* Certified SAFe® Architect
* Certified SAFe® DevOps Practitioner
* Certified SAFe® Scrum Master
* Certified Scrum Developer (CSD)
* Certified Secure Software Lifecycle Professional (CSSLP)
* Certified Secure Software Lifecycle Professional (CSSLP) \- (ISC)2
* Microsoft Azure
 Preferred:
* Experience with LLMs (Large Language Models) in solving real\-world problems and building agentic AI applications.
* Experience with agentic frameworks such as LangGraph.
* Advanced prompt engineering knowledge for LLM optimization.
* Exposure to multi\-modal Gen AI models (text\-image, text\-audio, etc.).
* Familiarity with Retrieval\-Augmented Generation (RAG) pipelines and vector databases/hybrid search.
* Experience with performance tuning, reusable library creation, and advanced troubleshooting.
* Familiarity with modern front\-end technologies (Angular), MongoDB, NPM, and Azure DevOps Build/Release configuration.
* Knowledge on Angular, Mongo DB, NPM and Azure Devops Build/Release configuration.
* Strong verbal and written communication skills; strong listening, interpersonal, and facilitation skills.
* Self\-starter with solid analytical and problem\-solving skills.
* Practical and pragmatic approach to balancing standardized processes with flexibility to meet project goals effectively.
* Excellent organizational skills with the ability to self\-manage, prioritize tasks, structure workload, and meet tight deadlines.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$119,490 to $272,090\.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row>
    <row r="49">
      <c r="A49" t="inlineStr">
        <is>
          <t>li-4329402419</t>
        </is>
      </c>
      <c r="B49" t="inlineStr">
        <is>
          <t>Senior Machine Learning Engineer</t>
        </is>
      </c>
      <c r="C49" t="inlineStr">
        <is>
          <t>Pacific Northwest National Laboratory</t>
        </is>
      </c>
      <c r="D49" t="inlineStr">
        <is>
          <t>linkedin</t>
        </is>
      </c>
      <c r="E49" t="inlineStr"/>
      <c r="F49" t="inlineStr"/>
      <c r="G49" t="inlineStr">
        <is>
          <t>Richland, WA</t>
        </is>
      </c>
      <c r="H49" t="inlineStr"/>
      <c r="I49" t="inlineStr">
        <is>
          <t>**Overview**
 At PNNL, our core capabilities are divided among major departments that we refer to as Directorates within the Lab, focused on a specific area of scientific research or other function, with its own leadership team and dedicated budget.
 Our Science \&amp; Technology directorates include National Security, Earth and Biological Sciences, Physical and Computational Sciences, and Energy and Environment. In addition, we have an Environmental Molecular Sciences Laboratory, a Department of Energy, Office of Science user facility housed on the PNNL campus.
 The National Security Directorate (NSD) drives science\-based, mission\-focused solutions to take on complex, real\-world threats to our nation and the world.
 The AI and Data Analytics Division, part of NSD, combines profound domain expertise and creative integration of advanced hardware and software to deliver computational solutions that address complex data and analytic challenges. Working in multidisciplinary teams, we connect foundational research to engineering to operations, providing the tools to innovate quickly and field results faster. Our strengths are integrated across the data analytics lifecycle, from data acquisition and management to analysis and decision support.
**Responsibilities**
 PNNL is seeking a Senior Data Scientist \- ML Engineer\-AI Assurance who has deep experience refactoring and modularizing research code for maintainability, extensibility, and reusability. The selected candidate must be able to collaborate effectively across research and engineering teams to align research goals with deployment requirements, and to develop packages, APIs, and interfaces that enable straightforward integration into mission\-relevant environments. They should be fluent in Python and modern ML frameworks, and comfortable working with unstructured, experimental code.
**Key Responsibilities**
* Lead refactors, modularization, and optimization of research code for maintainability and scalability
* Drive collaboration with researchers to understand algorithmic intent and with engineers to ensure integration into broader systems
* Mentor junior staff on best practices to integrate research into broader systems
* Design and develop tools and APIs to enable integrations into mission\-relevant environments and workflows
* Write clear, well\-documented code and participate in code reviews
* Conduct work in secure environments and execute work from an operational security perspective
**This position is based in either Richland, WA or Seattle, WA and requires an onsite presence.**
**Qualifications**
 Minimum Qualifications:
* BS/BA and 5\+ years of relevant work experience \-OR\-
* MS/MA and 3\+ years of relevant work experience \-OR\-
* PhD with 1\+ year of relevant experience
**Preferred Qualifications**
* Degree in computer science, engineering, mathematics, or related fields
* Experience in research engineering, ML engineering, AI systems integration, or applied data science
* Strong proficiency in Python and experience with ML frameworks (e.g., PyTorch, TensorFlow, Hugging Face)
* Comfort navigating research codebases (Jupyter notebooks, unstructured scripts) and translating them into production\-ready components
* Excellent communication and cross\-functional collaboration skills
* SCI Clearance
**Hazardous Working Conditions/Environment**
 Not applicable.
**Additional Information**
 This position requires the ability to obtain and maintain a federal security clearance.
 A security clearance background investigation includes review of your employment, education, financial, and criminal history, as well as interviews with you and your personal references, neighbors, and co\-workers to determine trustworthiness, reliability, and loyalty to the United States. The investigation also examines your foreign connections, drug and alcohol use, foreign influence, and overall conduct.
**Requirements**
* U.S. Citizenship
* Background Investigation: Applicants selected will be subject to a Federal background investigation and must meet eligibility requirements for access to classified matter in accordance with 10 CFR 710, Appendix B.
* Drug Testing: All Security Clearance positions are Testing Designated Positions, which means that the applicant selected for hire is subject to pre\-employment drug testing, and post\-employment random drug testing. In addition, applicants must be able to demonstrate non\-use of illegal drugs, including marijuana, for the 12 consecutive months preceding completion of the requisite Questionnaire for National Security Positions (QNSP).
 Note: Applicants will be considered ineligible for security clearance processing by the U.S. Department of Energy if non\-use of illegal drugs, including marijuana, for 12 months cannot be demonstrated.
**Testing Designated Position**
 This position is a Testing Designated Position (TDP). The candidate selected for this position will be subject to pre\-employment and random drug testing for illegal drugs, including marijuana, consistent with the Controlled Substances Act and the PNNL Workplace Substance Abuse Program.
**About PNNL**
 Pacific Northwest National Laboratory (PNNL) is a world\-class research institution powered by a highly educated, diverse workforce committed to the values of Integrity, Creativity, Collaboration, Impact, and Courage. Every year, scores of dynamic, driven people come to PNNL to work with renowned researchers on meaningful science, innovations and outcomes for the U.S. Department of Energy and other sponsors; here is your chance to be one of them!
 At PNNL, you will find an exciting research environment and excellent benefits including health insurance, and flexible work schedules. PNNL is located in eastern Washington State—the dry side of Washington known for its stellar outdoor recreation and affordable cost of living. The Lab’s campus is only a 45\-minute flight (or \~3 hour drive) from Seattle or Portland, and is serviced by the convenient PSC airport, connected to 8 major hubs.
**Commitment to Excellence and Equal Employment Opportunity**
 Our laboratory is committed to fostering a work environment where all individuals are treated with fairness and respect while solving critical challenges in fundamental sciences, national security, and energy resiliency. We are an Equal Employment Opportunity employer.
 Pacific Northwest National Laboratory (PNNL) is an Equal Opportunity Employer. PNNL considers all applicants for employment without regard to race, religion, color, sex, national origin, age, disability, genetic information (including family medical history), protected veteran status, and any other status or characteristic protected by federal, state, and/or local laws.
 We are committed to providing reasonable accommodations for individuals with disabilities and disabled veterans in our job application procedures and in employment. If you need assistance or an accommodation due to a disability, contact us at careers@pnnl.gov.
**Drug Free Workplace**
 PNNL is committed to a drug\-free workplace supported by Workplace Substance Abuse Program (WSAP) and complies with federal laws prohibiting the possession and use of illegal drugs.
 If you are offered employment at PNNL, you must pass a drug test prior to commencing employment. PNNL complies with federal law regarding illegal drug use. Under federal law, marijuana remains an illegal drug. If you test positive for any illegal controlled substance, including marijuana, your offer of employment will be withdrawn.
**Security, Credentialing, And Eligibility Requirements**
 As a national laboratory, PNNL is responsible for adhering to the Homeland Security Presidential Directive 12 (HSPD\-12\) and Department of Energy (DOE) Order 473\.1A, which require new employees to obtain and maintain a HSPD\-12 Personal Identify Verification (PIV) Credential. To obtain this credential, new employees must successfully complete the applicable tier of federal background investigation post hire and receive a favorable federal adjudication. The tier of federal background investigation will be determined by job duties and national security or public trust responsibilities associated with the job. All tiers of investigation include a declaration of illegal drug activities, including use, supply, possession, or manufacture within the last 1 to 7 years (depending on the applicable tier of investigation). Illegal drug activities include marijuana and cannabis derivatives, which are still considered illegal under federal law, regardless of state laws.
**For Foreign National Candidates**
 If you have not resided in the U.S. for three consecutive years, you are not eligible for the PIV credential and instead will need to obtain a favorable Local Site Specific Only (LSSO) Federal risk determination to maintain employment. Once you meet the three\-year residency requirement thereafter, you will be required to obtain a PIV credential to maintain employment. The tier of federal background investigation required to obtain the PIV credential will be determined by job duties at the time you become eligible for the PIV credential.
**Mandatory Requirements**
 Please be aware that the Department of Energy (DOE) prohibits DOE employees and contractors from having any affiliation with the foreign government of a country DOE has identified as a “country of risk” without explicit approval by DOE and Battelle. If you are offered a position at PNNL and currently have any affiliation with the government of one of these countries, you will be required to disclose this information and recuse yourself of that affiliation or receive approval from DOE and Battelle prior to your first day of employment.
**Rockstar Rewards**
 Employees and their families are offered medical insurance, dental insurance, vision insurance, robust telehealth care options, several mental health benefits, free wellness coaching, health savings account, flexible spending accounts, basic life insurance, disability insurance\*, employee assistance program, business travel insurance, tuition assistance, relocation, backup childcare, legal benefits, supplemental parental bonding leave, surrogacy and adoption assistance, and fertility support. Employees are automatically enrolled in our company\-funded pension plan\* and may enroll in our 401 (k) savings plan with company match\*. Employees may accrue up to 120 vacation hours per year and may receive ten paid holidays per year.
* Research Associates excluded.
* All benefits are dependent upon eligibility.
 Click Here For Rockstar Rewards
**Notice to Applicants**
 PNNL lists the full pay range for the position in the job posting. Starting pay is calculated from the minimum of the pay range and actual placement in the range is determined based on an individual’s relevant job\-related skills, qualifications, and experience. This approach is applicable to all positions, with the exception of positions governed by collective bargaining agreements and certain limited\-term positions which have specific pay rules.
 As part of our commitment to fair compensation practices, we do not ask for or consider current or past salaries in making compensation offers at hire. Instead, our compensation offers are determined by the specific requirements of the position, prevailing market trends, applicable collective bargaining agreements, pay equity for the position type, and individual qualifications and skills relevant to the performance of the position.
**Minimum Salary**
 USD $140,200\.00/Yr.
**Maximum Salary**
 USD $228,800\.00/Yr.</t>
        </is>
      </c>
    </row>
    <row r="50">
      <c r="A50" t="inlineStr">
        <is>
          <t>li-4205914517</t>
        </is>
      </c>
      <c r="B50" t="inlineStr">
        <is>
          <t>Staff Machine Learning Engineer – (ADAS/Autonomous Driving)</t>
        </is>
      </c>
      <c r="C50" t="inlineStr">
        <is>
          <t>Lucid Motors</t>
        </is>
      </c>
      <c r="D50" t="inlineStr">
        <is>
          <t>linkedin</t>
        </is>
      </c>
      <c r="E50" t="inlineStr"/>
      <c r="F50" t="inlineStr"/>
      <c r="G50" t="inlineStr">
        <is>
          <t>Newark, CA</t>
        </is>
      </c>
      <c r="H50" t="inlineStr"/>
      <c r="I50" t="inlineStr">
        <is>
          <t>**Leading the future in luxury electric and mobility**
 At Lucid, we set out to introduce the most captivating, luxury electric vehicles that elevate the human experience and transcend the perceived limitations of space, performance, and intelligence. Vehicles that are intuitive, liberating, and designed for the future of mobility.
 We plan to lead in this new era of luxury electric by returning to the fundamentals of great design – where every decision we make is in service of the individual and environment. Because when you are no longer bound by convention, you are free to define your own experience.
 Come work alongside some of the most accomplished minds in the industry. Beyond providing competitive salaries, we’re providing a community for innovators who want to make an immediate and significant impact. If you are driven to create a better, more sustainable future, then this is the right place for you.
**About Lucid**
 At Lucid, we are redefining the luxury electric vehicle experience, combining cutting\-edge technology with exceptional design to deliver intuitive, safe, and exhilarating mobility. Join our team and help shape the future of autonomous driving.
 The Role
 We are seeking a
 **Staff Software Engineer** 
 to lead the integration and deployment of advanced perception models into Lucid’s production ADAS and autonomous driving systems. This role focuses on
 **productizing ML models** 
 , ensuring robust performance on automotive\-grade hardware, and building scalable pipelines for deployment and validation. You will collaborate with ML researchers, perception engineers, and hardware teams to deliver high\-performance, safety\-compliant solutions.
 Key Responsibilities
* Model Integration \&amp; Productization
* Deploy and integrate perception models (camera, LiDAR) into Lucid’s centralized software stack.
* Transition experimental components into production\-ready modules with robust scheduling and diagnostics.
* Performance Optimization
* Optimize inference pipelines using CUDA, TensorRT, and mixed\-precision techniques for real\-time performance.
* Implement multithreaded scheduling and containerized deployments for automotive platforms.
* Pipeline Development \&amp; Automation
* Build CI/CD pipelines for nightly deployments, HIL verification, and KPI reporting.
* Automate data recording, evaluation frameworks, and regression testing.
* Cross\-Functional Collaboration
* Work closely with ML researchers, software engineers, and OEM partners to ensure seamless integration.
* Support SDK development and customer\-facing deliverables.
* System Diagnostics \&amp; Monitoring
* Implement runtime performance metrics, logging, and error reporting for perception stack reliability.
**Required Qualifications**
* BS/MS in Computer Science, Electrical Engineering, or related field.
* 7\+ years of experience in software engineering for perception or autonomous systems.
* Strong proficiency in C\+\+ and Python, with experience in ROS1/2, OpenCV, and GPU acceleration.
* Hands\-on experience with ML frameworks (PyTorch) and inference optimization (TensorRT, CUDA).
* Expertise in containerization (Docker), CI/CD, and automated deployment pipelines.
* Proven ability to lead technical projects and collaborate across teams.
**Preferred Qualifications**
* Experience with automotive perception systems and ADAS software stacks.
* Familiarity with automotive safety standards (ISO 26262, ASPICE).
* Knowledge of multithreaded scheduling and real\-time performance tuning.
* Background in SDK development and automotive customer integration.
**Salary Range** 
 : The compensation range for this position is specific to the locations listed below and is the range Lucid reasonably and in good faith expects to pay for the position taking into account the wide variety of factors that are considered in making compensation decisions, including job\-related knowledge; skillset; experience, education and training; certifications; and other relevant business and organizational factors.
 Base Pay Range (Annual)
 $180,900—$265,320 USD
**Additional Compensation and Benefits** 
 : Lucid offers a wide range of competitive benefits, including medical, dental, vision, life insurance, disability insurance, vacation, and 401k. The successful candidate may also be eligible to participate in Lucid’s equity program and/or a discretionary annual incentive program, subject to the rules governing such programs. (Cash or equity incentive awards, if any, will depend on various factors, including, without limitation, individual and company performance.)
 By Submitting your application, you understand and agree that your personal data will be processed in accordance with our Candidate Privacy Notice. If you are a California resident, please refer to our California Candidate Privacy Notice.
**To all recruitment agencies** 
 :
 *Lucid Motors
 **does not** 
 accept agency resumes. Please do not forward resumes to our careers alias or other Lucid Motors employees. Lucid Motors is not responsible for any fees related to unsolicited resumes.*</t>
        </is>
      </c>
    </row>
    <row r="51">
      <c r="A51" t="inlineStr">
        <is>
          <t>li-4335974425</t>
        </is>
      </c>
      <c r="B51" t="inlineStr">
        <is>
          <t>Senior/Staff Machine Learning Engineer - Offline Driving Intelligence</t>
        </is>
      </c>
      <c r="C51" t="inlineStr">
        <is>
          <t>Zoox</t>
        </is>
      </c>
      <c r="D51" t="inlineStr">
        <is>
          <t>linkedin</t>
        </is>
      </c>
      <c r="E51" t="inlineStr"/>
      <c r="F51" t="inlineStr"/>
      <c r="G51" t="inlineStr">
        <is>
          <t>Foster City, CA</t>
        </is>
      </c>
      <c r="H51" t="inlineStr"/>
      <c r="I51" t="inlineStr">
        <is>
          <t>Zoox is on an ambitious journey to develop a full\-stack autonomous mobility solution for cities and safely deploy a robotaxi service. We are looking for a Senior Machine Learning Engineer to join our team to help improve our automated testing and validation processes.
 This role is centered on applying cutting\-edge machine learning to develop and enhance our validation processes. You will be instrumental in improving the efficiency and scalability of our testing by sampling across massive datasets where traditional methods no longer suffice. By working with both real\-world fleet logs and synthetic data, your work will directly impact how we validate software changes and ensure our robotaxi service is both safe and reliable. Your work will also significantly contribute to the speed and efficiency of our validation process, allowing Zoox to go fast and achieve more.
 You will be part of an organization with strong leadership and a transparent, respectful culture that enables you to reach your full potential. This high\-impact position offers opportunities for career growth through demonstrated achievement.
**In This Role, You Will**
* Lead Technical Initiatives: You will apply modern machine learning, leveraging large\-scale data, to critical validation problems at the intersection of ML and data science. You will serve as a key contributor and tech lead on a small, focused team.
* Improve Model Interpretability: You'll pioneer methods to understand the internal workings of our machine learning models. This work will be crucial for building trust and ensuring the safety of our autonomous systems.
* Improve Feature Representation: You'll extend and refine the features and embedding space used by our models to better identify and cluster interesting driving scenarios. This involves leveraging a deep understanding of the autonomous driving stack and applying first\-principles thinking to derive new, impactful features.
* Integrate AV Performance Data: You'll incorporate metrics and information on autonomous vehicle (AV) performance into the model to make its risk predictions more accurate and relevant.
* Collaborate Cross\-Functionally: You'll work closely with system safety, data science, software, and fleet operations teams to understand their needs and integrate improvements that directly support our validation efforts.
**Qualifications**
* Experience: A PhD in a relevant field and/or 5\+ years of experience working with machine learning models and data science methodologies in an industry setting.
* Technical Skills: Expertise in machine learning concepts, including training deep learning models, evaluation, and optimization. Strong programming skills in Python and experience with relevant machine learning libraries (e.g., PyTorch, TensorFlow, Jax). Experience with large\-scale data processing and distributed computing.
* Domain Knowledge: Experience in robotics, autonomous vehicles, or a related field, with an understanding of challenges in perception, prediction, and planning.
* Mindset: Proven ability to drive progress independently, lead technical projects, and apply critical thinking to solve practical problems.
* Communication: Excellent communication skills and the ability to work effectively with cross\-functional teams.
**Bonus Qualifications**
* Real\-world impact as demonstrated in publications, patents, presentations, blog posts, etc.
* Familiarity with encoder\-decoder or foundation models for prediction and planning.
* Experience with test scripting and data analysis languages like SQL.
* Experience with techniques for machine learning model interpretability and explainability.
* Familiarity with the challenges of fleet data collection and validation in the autonomous vehicle space.
 $242,000 \- $333,000 a year
**Base Salary Range**
 There are three major components to compensation for this position: salary, Amazon Restricted Stock Units (RSUs), and Zoox Stock Appreciation Rights. A sign\-on bonus may be offered as part of the compensation package. The listed range applies only to the base salary. Compensation will vary based on geographic location and level. Leveling, as well as positioning within a level, is determined by a range of factors, including, but not limited to, a candidate's relevant years of experience, domain knowledge, and interview performance. The salary range listed in this posting is representative of the range of levels Zoox is considering for this position.
 Zoox also offers a comprehensive package of benefits, including paid time off (e.g. sick leave, vacation, bereavement), unpaid time off, Zoox Stock Appreciation Rights, Amazon RSUs, health insurance, long\-term care insurance, long\-term and short\-term disability insurance, and life insurance.
**About Zoox**
 Zoox is developing the first ground\-up, fully autonomous vehicle fleet and the supporting ecosystem required to bring this technology to market. Sitting at the intersection of robotics, machine learning, and design, Zoox aims to provide the next generation of mobility\-as\-a\-service in urban environments. We’re looking for top talent that shares our passion and wants to be part of a fast\-moving and highly execution\-oriented team.
 Follow us on LinkedIn
**Accommodations**
 If you need an accommodation to participate in the application or interview process please reach out to \[email protected] or your assigned recruiter.
**A Final Note**
*You do not need to match every listed expectation to apply for this position. Here at Zoox, we know that diverse perspectives foster the innovation we need to be successful, and we are committed to building a team that encompasses a variety of backgrounds, experiences, and skills.*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52">
      <c r="A52" t="inlineStr">
        <is>
          <t>li-4328928568</t>
        </is>
      </c>
      <c r="B52" t="inlineStr">
        <is>
          <t>Applied Scientist LMTS</t>
        </is>
      </c>
      <c r="C52" t="inlineStr">
        <is>
          <t>Salesforce</t>
        </is>
      </c>
      <c r="D52" t="inlineStr">
        <is>
          <t>linkedin</t>
        </is>
      </c>
      <c r="E52" t="inlineStr"/>
      <c r="F52" t="inlineStr"/>
      <c r="G52" t="inlineStr">
        <is>
          <t>San Francisco, CA</t>
        </is>
      </c>
      <c r="H52" t="inlineStr"/>
      <c r="I52"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****Overview of the Role****
 Join an agile team with deep startup roots. We operate as a high\-velocity 'startup\-within\-Salesforce,' following our recent acquisition. You’ll be managed by the same founders and engineers who built the original company, offering the autonomy of a small team backed by the global scale and trust of Salesforce. You will have the unique opportunity to build a '0 to 1' product with the founding team, while leveraging Salesforce's world\-class Data Cloud and security infrastructure to drive immediate global impact at scale.
 Global supply chains still rely on slow, manual processes—email, spreadsheets, and fragmented data. The economy moves fast but supply chains don’t, creating an inefficiency that affects the $13T of goods shipped annually and is one of the largest untapped opportunities in modern enterprise.
 Agentforce Supply Chain is reimagining the supply chain with an AI\-powered platform for designing, automating, and running end\-to\-end business processes, with seamless collaboration through familiar channels like email. For Salesforce, this represents a massive growth opportunity in the back office, with innovations that flow into the front office. Customers are clamoring for more, rapidly expanding their use cases as we enter an exhilarating growth phase. As one user put it:
 *“I’ve been waiting for this for 20 years.”*
****The Impact You Will Have****
 As a Lead Applied Scientist for the Agentforce Supply Chain Foundational model team, you will be instrumental in the development of a novel foundational model that we are building for complex tabular datasets.
* Develop, implement, and deploy AI models to solve real\-world complex problems in global supply chain and manufacturing.
* Apply and build upon state\-of\-the\-art machine learning technologies, stay\-up\-to\-date with current developments in the AI field, and use your expertise to inspire AI applications across the organization.
* Collaborate with cross\-functional teams including Engineering, Design, Product Management, and industry experts to build high\-quality product features that can be used by major companies around the world.
* Establish and scale robust evaluation frameworks by creating domain\-specific benchmarks and automated testing suites; implement production telemetry pipelines to monitor real\-world model performance, data drift, and system health.
**Requirements**
* Masters/PhD in Computer Science or quantitative field with research in AI
* 5\-7\+ years of industry or post\-Masters/PhD experience developing, building, and deploying Machine Learning models for real\-world scenarios
* Strong experience in deep learning and graphs or network theory. Experience with at least one other form of machine learning, such as natural language processing, reinforcement learning, computer vision, LLMs, etc.
* Deep expertise in training large\-scale models across distributed systems using frameworks like PyTorch Distributed (DDP/FSDP), DeepSpeed, or TorchTitan on GPU clusters.
* Proficiency with Python and PyTorch, Tensorflow, or JAX
* Demonstrated ability not only to use state\-of\-the\-art machine learning techniques but also to innovate upon them.
* End\-to\-End MLOps Proficiency: Hands\-on experience building and maintaining production\-grade ML pipelines using tools such as Kubeflow, Airflow, or MLflow for experiment tracking, versioning, and automated retraining.
**Preferred Qualifications**
* Experience with supply chain, manufacturing, or related problems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$172,500 \- $260,100 annually. In select cities within the San Francisco and New York City metropolitan area, the base salary range for this role is $207,800 \- $285,800 annually. The range represents base salary only, and does not include company bonus, incentive for sales roles, equity or benefits, as applicable.</t>
        </is>
      </c>
    </row>
    <row r="53">
      <c r="A53" t="inlineStr">
        <is>
          <t>li-4369024265</t>
        </is>
      </c>
      <c r="B53" t="inlineStr">
        <is>
          <t>Lead/Principal Applied Scientist</t>
        </is>
      </c>
      <c r="C53" t="inlineStr">
        <is>
          <t>Salesforce</t>
        </is>
      </c>
      <c r="D53" t="inlineStr">
        <is>
          <t>linkedin</t>
        </is>
      </c>
      <c r="E53" t="inlineStr"/>
      <c r="F53" t="inlineStr"/>
      <c r="G53" t="inlineStr">
        <is>
          <t>Seattle, WA</t>
        </is>
      </c>
      <c r="H53" t="inlineStr"/>
      <c r="I53"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The AgentForce Data Science team powers the core Large Language Models (LLMs) behind Salesforce’s production\-grade AI agents. Our work directly impacts millions of users by enabling trustworthy, scalable, and high\-performance AI systems across customer support, sales, marketing, analytics, and internal productivity workflows.
 We operate at the intersection of cutting\-edge research and real\-world deployment, owning the full model development lifecycle—from research ideation and training to fine\-tuning, evaluation, continuous learning, and production rollout.
****Role Overview****
 We are seeking a strong Lead/Principal Applied Scientist to drive advanced LLM research and model development for AgentForce’s production services. This role requires hands\-on involvement across the full model development lifecycle, in addition to technical leadership and mentorship.
 The ideal candidate is both a strong individual contributor and a technical leader, serving as a primary point of contact (POC) for major AI initiatives while shaping long\-term research and modeling strategy.
****Key Responsibilities****
****Research, Modeling \&amp; Hands\-On Execution****
* Own and execute hands\-on work across the full model development lifecycle, including data preparation, model training, fine\-tuning, evaluation, iteration, and deployment readiness.
* Lead end\-to\-end research initiatives on LLM training, fine\-tuning, alignment, and optimization for production use cases.
* Design, implement, and iterate on reinforcement learning (RL) and continuous learning pipelines (e.g., RLHF, RLAIF, offline/online feedback loops).
* Conduct rigorous experimentation, ablation studies, and failure analysis to drive measurable model improvements.
* Translate research prototypes into production\-grade models that meet latency, scalability, reliability, and safety requirements.
****Technical Leadership****
* Serve as the technical POC for complex AgentForce AI projects, driving alignment across research, engineering, product, and platform teams.
* Define best practices for model training, fine\-tuning, evaluation, and release readiness.
* Influence architectural and modeling decisions across the AgentForce AI stack.
****Mentorship \&amp; Thought Leadership****
* Mentor junior scientists and engineers through direct technical guidance and code\-level reviews.
* Foster a culture of strong scientific rigor, reproducibility, and ownership.
* Contribute to Salesforce’s external research presence through publications, talks, and collaborations
**Required Qualifications**
****Education \&amp; Research Background****
* PhD in Computer Science, Machine Learning, AI, or a related field.
* Strong publication record in top\-tier venues (e.g., NeurIPS, ICML, ICLR, ACL, EMNLP) or equivalent industry research impact. \[Nice to have]
****Core Technical \&amp; Hands\-On Requirements****
* Demonstrated hands\-on experience owning the full model development lifecycle, not limited to research or design.
* Deep expertise in large\-scale model training and fine\-tuning, especially for LLMs.
* Strong background in reinforcement learning, preference learning, or human\-in\-the\-loop learning.
* Experience building and maintaining continuous learning systems using real\-world feedback signals.
* Solid understanding of model evaluation, alignment, and robustness in production environments.
****Coding \&amp; Tooling****
* Advanced proficiency in Python, with significant hands\-on coding experience.
* Deep experience with PyTorch, TensorFlow or similar deep learning packages.
* Practical experience with modern LLM tooling, such as:
+ Hugging Face (Transformers, Accelerate, PEFT)
+ Distributed training frameworks (DeepSpeed, FSDP, etc.)
+ ML orchestration and scaling tools (Ray, Kubernetes, internal platforms)
* Strong data analysis and experimentation skills (NumPy, Pandas, custom evaluation pipelines).
**Leadership \&amp; Collaboration**
* Experience mentoring and developing junior researchers or engineers.
* Strong communication skills across research, engineering, and executive stakeholders
**Preferred Qualifications**
* Experience deploying and iterating on models in production, high\-availability systems.
* Background in enterprise AI, agentic systems, or LLM platforms at scale.
* Familiarity with trust, safety, or governance frameworks for AI systems.
* Experience with large\-scale distributed compute environments (multi\-GPU / multi\-node training).
****Why Join AgentForce?****
* Work on mission\-critical LLM systems at massive scale.
* Own models end\-to\-end, from research to production impact.
* Shape the future of enterprise\-grade AI agents.
* Collaborate with world\-class researchers and engineers.
* See your research ship, scale, and matter.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$172,500 \- $313,700 annually. In select cities within the San Francisco and New York City metropolitan area, the base salary range for this role is $207,800 \- $344,700 annually. The range represents base salary only, and does not include company bonus, incentive for sales roles, equity or benefits, as applicable.</t>
        </is>
      </c>
    </row>
    <row r="54">
      <c r="A54" t="inlineStr">
        <is>
          <t>li-4369022299</t>
        </is>
      </c>
      <c r="B54" t="inlineStr">
        <is>
          <t>Lead/Principal Applied Scientist</t>
        </is>
      </c>
      <c r="C54" t="inlineStr">
        <is>
          <t>Salesforce</t>
        </is>
      </c>
      <c r="D54" t="inlineStr">
        <is>
          <t>linkedin</t>
        </is>
      </c>
      <c r="E54" t="inlineStr"/>
      <c r="F54" t="inlineStr"/>
      <c r="G54" t="inlineStr">
        <is>
          <t>Bellevue, WA</t>
        </is>
      </c>
      <c r="H54" t="inlineStr"/>
      <c r="I54"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The AgentForce Data Science team powers the core Large Language Models (LLMs) behind Salesforce’s production\-grade AI agents. Our work directly impacts millions of users by enabling trustworthy, scalable, and high\-performance AI systems across customer support, sales, marketing, analytics, and internal productivity workflows.
 We operate at the intersection of cutting\-edge research and real\-world deployment, owning the full model development lifecycle—from research ideation and training to fine\-tuning, evaluation, continuous learning, and production rollout.
****Role Overview****
 We are seeking a strong Lead/Principal Applied Scientist to drive advanced LLM research and model development for AgentForce’s production services. This role requires hands\-on involvement across the full model development lifecycle, in addition to technical leadership and mentorship.
 The ideal candidate is both a strong individual contributor and a technical leader, serving as a primary point of contact (POC) for major AI initiatives while shaping long\-term research and modeling strategy.
****Key Responsibilities****
****Research, Modeling \&amp; Hands\-On Execution****
* Own and execute hands\-on work across the full model development lifecycle, including data preparation, model training, fine\-tuning, evaluation, iteration, and deployment readiness.
* Lead end\-to\-end research initiatives on LLM training, fine\-tuning, alignment, and optimization for production use cases.
* Design, implement, and iterate on reinforcement learning (RL) and continuous learning pipelines (e.g., RLHF, RLAIF, offline/online feedback loops).
* Conduct rigorous experimentation, ablation studies, and failure analysis to drive measurable model improvements.
* Translate research prototypes into production\-grade models that meet latency, scalability, reliability, and safety requirements.
****Technical Leadership****
* Serve as the technical POC for complex AgentForce AI projects, driving alignment across research, engineering, product, and platform teams.
* Define best practices for model training, fine\-tuning, evaluation, and release readiness.
* Influence architectural and modeling decisions across the AgentForce AI stack.
****Mentorship \&amp; Thought Leadership****
* Mentor junior scientists and engineers through direct technical guidance and code\-level reviews.
* Foster a culture of strong scientific rigor, reproducibility, and ownership.
* Contribute to Salesforce’s external research presence through publications, talks, and collaborations
**Required Qualifications**
****Education \&amp; Research Background****
* PhD in Computer Science, Machine Learning, AI, or a related field.
* Strong publication record in top\-tier venues (e.g., NeurIPS, ICML, ICLR, ACL, EMNLP) or equivalent industry research impact. \[Nice to have]
****Core Technical \&amp; Hands\-On Requirements****
* Demonstrated hands\-on experience owning the full model development lifecycle, not limited to research or design.
* Deep expertise in large\-scale model training and fine\-tuning, especially for LLMs.
* Strong background in reinforcement learning, preference learning, or human\-in\-the\-loop learning.
* Experience building and maintaining continuous learning systems using real\-world feedback signals.
* Solid understanding of model evaluation, alignment, and robustness in production environments.
****Coding \&amp; Tooling****
* Advanced proficiency in Python, with significant hands\-on coding experience.
* Deep experience with PyTorch, TensorFlow or similar deep learning packages.
* Practical experience with modern LLM tooling, such as:
+ Hugging Face (Transformers, Accelerate, PEFT)
+ Distributed training frameworks (DeepSpeed, FSDP, etc.)
+ ML orchestration and scaling tools (Ray, Kubernetes, internal platforms)
* Strong data analysis and experimentation skills (NumPy, Pandas, custom evaluation pipelines).
**Leadership \&amp; Collaboration**
* Experience mentoring and developing junior researchers or engineers.
* Strong communication skills across research, engineering, and executive stakeholders
**Preferred Qualifications**
* Experience deploying and iterating on models in production, high\-availability systems.
* Background in enterprise AI, agentic systems, or LLM platforms at scale.
* Familiarity with trust, safety, or governance frameworks for AI systems.
* Experience with large\-scale distributed compute environments (multi\-GPU / multi\-node training).
****Why Join AgentForce?****
* Work on mission\-critical LLM systems at massive scale.
* Own models end\-to\-end, from research to production impact.
* Shape the future of enterprise\-grade AI agents.
* Collaborate with world\-class researchers and engineers.
* See your research ship, scale, and matter.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$172,500 \- $313,700 annually. In select cities within the San Francisco and New York City metropolitan area, the base salary range for this role is $207,800 \- $344,700 annually. The range represents base salary only, and does not include company bonus, incentive for sales roles, equity or benefits, as applicable.</t>
        </is>
      </c>
    </row>
    <row r="55">
      <c r="A55" t="inlineStr">
        <is>
          <t>li-4337128962</t>
        </is>
      </c>
      <c r="B55" t="inlineStr">
        <is>
          <t>Senior/Lead Applied Scientist, Responsible AI</t>
        </is>
      </c>
      <c r="C55" t="inlineStr">
        <is>
          <t>Salesforce</t>
        </is>
      </c>
      <c r="D55" t="inlineStr">
        <is>
          <t>linkedin</t>
        </is>
      </c>
      <c r="E55" t="inlineStr"/>
      <c r="F55" t="inlineStr"/>
      <c r="G55" t="inlineStr">
        <is>
          <t>Palo Alto, CA</t>
        </is>
      </c>
      <c r="H55" t="inlineStr"/>
      <c r="I55"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Salesforce AI Research is seeking a forward\-thinking and accomplished Applied Scientist with deep expertise in AI fairness, accountability, transparency, and explainability (FATE). In this high\-impact role, you will operate at the forefront of responsible AI development, working closely with research scientists and engineers in AI Research, as well as cross\-functional partners in Responsible AI, Agentforce, and other teams across Salesforce.
 You will lead the design and implementation of Trust Layer models, as well as RAI tools and frameworks that ensure our AI systems are fair, accountable, and transparent. Using advanced machine learning techniques, you’ll generate actionable insights, drive research excellence, and support responsible AI practices across the full development lifecycle—from experimentation to production deployment.
 We’re looking for a principled and collaborative thought leader who is passionate about bridging the gap between innovation and ethical implementation. You will engage with interdisciplinary teams, strategic partners, vendors, and customers while upholding Salesforce’s core values: trust, customer success, equality, innovation, and sustainability.
 Check out our website to learn more about the Salesforce AI Research team https://www.salesforceairesearch.com
**Job Responsibilities**
* Build state\-of\-the\-art LLM safeguards for enterprise.
* Analyze data and models to identify potential trust and safety issues; define testing protocols for different data types and model architectures; recommend mitigation strategies, tooling investments, and safe thresholds for deployment.
* Define technical goals and guide research/engineering teams on responsible AI best practices. Offer development support and thought leadership on critical ethical tradeoffs in algorithmic design.
* Contribute to the development and adoption of libraries and tools that support evaluation, testing, and mitigation of risks. Build features that enhance explainability and user trust in model outputs.
* Collaborate with industry leaders in similar positions in peer organizations on ways to improve the state of responsible AI development.
**Minimum Qualifications**
* Practical experience in machine learning
* MS or Ph.D. in a quantitative discipline with 3\+ years of industrial experience, or a BS in a quantitative discipline with 5\+ years of industrial experience.
* Fluent in building/prototyping machine learning models and algorithms and wrangling large datasets.
* Proficient in using Python and common machine learning frameworks (e.g., TensorFlow, PyTorch) and AI tools to implement models and algorithms.
* Up to date on the evolution of trusted AI and ability to meet both state\-of\-the\-art and global standards for evaluation, particularly in generative AI.
* Experience working across teams of engineers, data scientists, and researchers.
* Strong communication skills. Comfortable presenting ideas to peers, cross\-functional groups, and executives in multiple formats, from slide decks to informal chats.
* Builds trusted relationships across all levels, both internally and externally. Thoughtfully challenges the status quo to enhance team productivity, effectiveness, and culture while maintaining strong, positive partnerships.
* Ability to creatively prioritize, stage, and sequence solutions to challenging/complex problems.
* Demonstrated experience with actually shipping code, getting data science into production.
* Passion for the idea that technology can be a force for social good and for ethics and fairness.
**Preferred Qualifications**
* Strong experience leading multi\-disciplinary teams driving significant business results.
* Knowledge of enterprise SaaS space.
* Experience with designing and building micro\-services, familiar with Kubernetes/containerization/RESTful API/gRPC, etc.
* Proficient in SQL, shell scripting, and Unix/Linux command\-line tools.
* Strong publications at top AI conferences.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$148,500 \- $313,700 annually. In select cities within the San Francisco and New York City metropolitan area, the base salary range for this role is $178,900 \- $344,700 annually. The range represents base salary only, and does not include company bonus, incentive for sales roles, equity or benefits, as applicable.</t>
        </is>
      </c>
    </row>
    <row r="56">
      <c r="A56" t="inlineStr">
        <is>
          <t>li-4359384265</t>
        </is>
      </c>
      <c r="B56" t="inlineStr">
        <is>
          <t>Lead Machine Learning Engineer</t>
        </is>
      </c>
      <c r="C56" t="inlineStr">
        <is>
          <t>Salesforce</t>
        </is>
      </c>
      <c r="D56" t="inlineStr">
        <is>
          <t>linkedin</t>
        </is>
      </c>
      <c r="E56" t="inlineStr"/>
      <c r="F56" t="inlineStr"/>
      <c r="G56" t="inlineStr">
        <is>
          <t>Palo Alto, CA</t>
        </is>
      </c>
      <c r="H56" t="inlineStr"/>
      <c r="I56"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We are a foundation machine learning platform team within the Trust Intelligence Platform organization with a main focus to build and accelerate scalable and resilient machine learning pipelines across the security engineering organization.
 We are looking for a highly motivated, hands\-on lead machine learning engineer with a strong business understanding of cybersecurity problems, who acts as a force multiplier security data scientist for our security organization. The lead will not simply build models; they will architect the data\-driven strategy for our threat detection capabilities.
**Your Impact**
* Shape the Defense Strategy: You will own the decision\-making process—translating vague security threats into concrete mathematical problems. By championing a rapid prototyping culture, you will validate hypotheses in days rather than months, ensuring our engineering resources are focused only on high\-value detections while killing low\-signal ideas early.
* Detect the "Unknown Unknowns": You will lead the evolution of our threat detection, introducing more advanced probabilistic modeling, graph analytics, supervised and unsupervised learing. Your work will expose sophisticated threats—such as active system intrusions, lateral movement, beaconing, and insider attacks—that evade traditional defenses, directly reducing the organization's risk surface.
* Elevate the Organization: You will act as a force multiplier, mentoring junior scientists and engineers, and building the internal tooling, feature stores, and libraries that make the whole team faster. You will influence the broader security engineering roadmap to ensure a closed loop security telemetry that is treated as a first\-class citizen.
* Operationalize Intelligence: By prioritizing engineering rigor (CI/CD, scalable code) and adversarial resilience, you will deliver production\-grade models that the SOC actually trusts—minimizing "alert fatigue" and maximizing analyst efficiency.
**Required Skills**
* Extensive experience (3\-5\+ years) in data science, with at least 2\+ years dedicated to the cybersecurity domain designing, implementing and deploying systems of anomaly detection, clustering, and graph models in production.
* Extended practical knowledge and familiarity with security frameworks such as MITRE ATT\&amp;CK and OCSF.
* Hands\-on comfort with high\-volume logs and proficiency with Spark/Pyspark, Snowflake, Flink and streaming services such as Apache Kafka
* Deep understanding and application of containerization (Docker) and workflow orchestration (Kubernetes, Apache Airflow) for automated ML pipelines.
* Mastery of Python programming, including proficiency in leading ML frameworks (TensorFlow, PyTorch) and adherence to software engineering best practices.
* Demonstrated success in implementing comprehensive MLOps methodologies, encompassing CI/CD pipelines, testing protocols, and model performance monitoring.
* Solid foundation in feature engineering techniques and the implementation of feature stores.
* Experience in formulating ML governance policies and ensuring adherence to data security regulations.
* Ability to explain complex statistical concepts to non\-technical stakeholders and executive leadership.
* Proven ability to manage scope, timelines, and stakeholder expectations across multiple organizations.
* High degree of autonomy with the ability to look at a vague business problem and structure a data\-driven solution without needing a predefined roadmap.
* A related technical degree is required.
**Preferred Skills**
* Masters or PhD in a quantitative field
* Expertise in advanced Natural Language Processing (NLP) methodologies.
* Experience contributing to open\-source security data science tools.
* Presentations at major security conferences (Black Hat, DEF CON, BSides) or data conferences.
* Background in offensive security (Penetration Testing/Red Teaming) with an "attacker's mindset."
* Demonstrated experience conducting research or working collaboratively with Machine Learning (ML) research teams.
* Previous experience in a mentoring role for junior engineers.
* Track record of publications and/or patents in quantitative disciplines.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$172,500 \- $260,100 annually. In select cities within the San Francisco and New York City metropolitan area, the base salary range for this role is $207,800 \- $285,800 annually. The range represents base salary only, and does not include company bonus, incentive for sales roles, equity or benefits, as applicable.</t>
        </is>
      </c>
    </row>
    <row r="57">
      <c r="A57" t="inlineStr">
        <is>
          <t>li-4358568567</t>
        </is>
      </c>
      <c r="B57" t="inlineStr">
        <is>
          <t>Lead Machine Learning Engineer</t>
        </is>
      </c>
      <c r="C57" t="inlineStr">
        <is>
          <t>Salesforce</t>
        </is>
      </c>
      <c r="D57" t="inlineStr">
        <is>
          <t>linkedin</t>
        </is>
      </c>
      <c r="E57" t="inlineStr"/>
      <c r="F57" t="inlineStr"/>
      <c r="G57" t="inlineStr">
        <is>
          <t>San Francisco, CA</t>
        </is>
      </c>
      <c r="H57" t="inlineStr"/>
      <c r="I57"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We are a foundation machine learning platform team within the Trust Intelligence Platform organization with a main focus to build and accelerate scalable and resilient machine learning pipelines across the security engineering organization.
 We are looking for a highly motivated, hands\-on lead machine learning engineer with a strong business understanding of cybersecurity problems, who acts as a force multiplier security data scientist for our security organization. The lead will not simply build models; they will architect the data\-driven strategy for our threat detection capabilities.
**Your Impact**
* Shape the Defense Strategy: You will own the decision\-making process—translating vague security threats into concrete mathematical problems. By championing a rapid prototyping culture, you will validate hypotheses in days rather than months, ensuring our engineering resources are focused only on high\-value detections while killing low\-signal ideas early.
* Detect the "Unknown Unknowns": You will lead the evolution of our threat detection, introducing more advanced probabilistic modeling, graph analytics, supervised and unsupervised learing. Your work will expose sophisticated threats—such as active system intrusions, lateral movement, beaconing, and insider attacks—that evade traditional defenses, directly reducing the organization's risk surface.
* Elevate the Organization: You will act as a force multiplier, mentoring junior scientists and engineers, and building the internal tooling, feature stores, and libraries that make the whole team faster. You will influence the broader security engineering roadmap to ensure a closed loop security telemetry that is treated as a first\-class citizen.
* Operationalize Intelligence: By prioritizing engineering rigor (CI/CD, scalable code) and adversarial resilience, you will deliver production\-grade models that the SOC actually trusts—minimizing "alert fatigue" and maximizing analyst efficiency.
**Required Skills**
* Extensive experience (3\-5\+ years) in data science, with at least 2\+ years dedicated to the cybersecurity domain designing, implementing and deploying systems of anomaly detection, clustering, and graph models in production.
* Extended practical knowledge and familiarity with security frameworks such as MITRE ATT\&amp;CK and OCSF.
* Hands\-on comfort with high\-volume logs and proficiency with Spark/Pyspark, Snowflake, Flink and streaming services such as Apache Kafka
* Deep understanding and application of containerization (Docker) and workflow orchestration (Kubernetes, Apache Airflow) for automated ML pipelines.
* Mastery of Python programming, including proficiency in leading ML frameworks (TensorFlow, PyTorch) and adherence to software engineering best practices.
* Demonstrated success in implementing comprehensive MLOps methodologies, encompassing CI/CD pipelines, testing protocols, and model performance monitoring.
* Solid foundation in feature engineering techniques and the implementation of feature stores.
* Experience in formulating ML governance policies and ensuring adherence to data security regulations.
* Ability to explain complex statistical concepts to non\-technical stakeholders and executive leadership.
* Proven ability to manage scope, timelines, and stakeholder expectations across multiple organizations.
* High degree of autonomy with the ability to look at a vague business problem and structure a data\-driven solution without needing a predefined roadmap.
* A related technical degree is required.
**Preferred Skills**
* Masters or PhD in a quantitative field
* Expertise in advanced Natural Language Processing (NLP) methodologies.
* Experience contributing to open\-source security data science tools.
* Presentations at major security conferences (Black Hat, DEF CON, BSides) or data conferences.
* Background in offensive security (Penetration Testing/Red Teaming) with an "attacker's mindset."
* Demonstrated experience conducting research or working collaboratively with Machine Learning (ML) research teams.
* Previous experience in a mentoring role for junior engineers.
* Track record of publications and/or patents in quantitative disciplines.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$172,500 \- $260,100 annually. In select cities within the San Francisco and New York City metropolitan area, the base salary range for this role is $207,800 \- $285,800 annually. The range represents base salary only, and does not include company bonus, incentive for sales roles, equity or benefits, as applicable.</t>
        </is>
      </c>
    </row>
    <row r="58">
      <c r="A58" t="inlineStr">
        <is>
          <t>li-4359470294</t>
        </is>
      </c>
      <c r="B58" t="inlineStr">
        <is>
          <t>Lead Machine Learning Engineer</t>
        </is>
      </c>
      <c r="C58" t="inlineStr">
        <is>
          <t>Salesforce</t>
        </is>
      </c>
      <c r="D58" t="inlineStr">
        <is>
          <t>linkedin</t>
        </is>
      </c>
      <c r="E58" t="inlineStr"/>
      <c r="F58" t="inlineStr"/>
      <c r="G58" t="inlineStr">
        <is>
          <t>New York, NY</t>
        </is>
      </c>
      <c r="H58" t="inlineStr"/>
      <c r="I58"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We are a foundation machine learning platform team within the Trust Intelligence Platform organization with a main focus to build and accelerate scalable and resilient machine learning pipelines across the security engineering organization.
 We are looking for a highly motivated, hands\-on lead machine learning engineer with a strong business understanding of cybersecurity problems, who acts as a force multiplier security data scientist for our security organization. The lead will not simply build models; they will architect the data\-driven strategy for our threat detection capabilities.
**Your Impact**
* Shape the Defense Strategy: You will own the decision\-making process—translating vague security threats into concrete mathematical problems. By championing a rapid prototyping culture, you will validate hypotheses in days rather than months, ensuring our engineering resources are focused only on high\-value detections while killing low\-signal ideas early.
* Detect the "Unknown Unknowns": You will lead the evolution of our threat detection, introducing more advanced probabilistic modeling, graph analytics, supervised and unsupervised learing. Your work will expose sophisticated threats—such as active system intrusions, lateral movement, beaconing, and insider attacks—that evade traditional defenses, directly reducing the organization's risk surface.
* Elevate the Organization: You will act as a force multiplier, mentoring junior scientists and engineers, and building the internal tooling, feature stores, and libraries that make the whole team faster. You will influence the broader security engineering roadmap to ensure a closed loop security telemetry that is treated as a first\-class citizen.
* Operationalize Intelligence: By prioritizing engineering rigor (CI/CD, scalable code) and adversarial resilience, you will deliver production\-grade models that the SOC actually trusts—minimizing "alert fatigue" and maximizing analyst efficiency.
**Required Skills**
* Extensive experience (3\-5\+ years) in data science, with at least 2\+ years dedicated to the cybersecurity domain designing, implementing and deploying systems of anomaly detection, clustering, and graph models in production.
* Extended practical knowledge and familiarity with security frameworks such as MITRE ATT\&amp;CK and OCSF.
* Hands\-on comfort with high\-volume logs and proficiency with Spark/Pyspark, Snowflake, Flink and streaming services such as Apache Kafka
* Deep understanding and application of containerization (Docker) and workflow orchestration (Kubernetes, Apache Airflow) for automated ML pipelines.
* Mastery of Python programming, including proficiency in leading ML frameworks (TensorFlow, PyTorch) and adherence to software engineering best practices.
* Demonstrated success in implementing comprehensive MLOps methodologies, encompassing CI/CD pipelines, testing protocols, and model performance monitoring.
* Solid foundation in feature engineering techniques and the implementation of feature stores.
* Experience in formulating ML governance policies and ensuring adherence to data security regulations.
* Ability to explain complex statistical concepts to non\-technical stakeholders and executive leadership.
* Proven ability to manage scope, timelines, and stakeholder expectations across multiple organizations.
* High degree of autonomy with the ability to look at a vague business problem and structure a data\-driven solution without needing a predefined roadmap.
* A related technical degree is required.
**Preferred Skills**
* Masters or PhD in a quantitative field
* Expertise in advanced Natural Language Processing (NLP) methodologies.
* Experience contributing to open\-source security data science tools.
* Presentations at major security conferences (Black Hat, DEF CON, BSides) or data conferences.
* Background in offensive security (Penetration Testing/Red Teaming) with an "attacker's mindset."
* Demonstrated experience conducting research or working collaboratively with Machine Learning (ML) research teams.
* Previous experience in a mentoring role for junior engineers.
* Track record of publications and/or patents in quantitative disciplines.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$172,500 \- $260,100 annually. In select cities within the San Francisco and New York City metropolitan area, the base salary range for this role is $207,800 \- $285,800 annually. The range represents base salary only, and does not include company bonus, incentive for sales roles, equity or benefits, as applicable.</t>
        </is>
      </c>
    </row>
    <row r="59">
      <c r="A59" t="inlineStr">
        <is>
          <t>li-4375581493</t>
        </is>
      </c>
      <c r="B59" t="inlineStr">
        <is>
          <t>Senior AI/ML Engineer</t>
        </is>
      </c>
      <c r="C59" t="inlineStr">
        <is>
          <t>Tetrix</t>
        </is>
      </c>
      <c r="D59" t="inlineStr">
        <is>
          <t>linkedin</t>
        </is>
      </c>
      <c r="E59" t="inlineStr"/>
      <c r="F59" t="inlineStr"/>
      <c r="G59" t="inlineStr">
        <is>
          <t>New York, NY</t>
        </is>
      </c>
      <c r="H59" t="inlineStr"/>
      <c r="I59" t="inlineStr">
        <is>
          <t>**✨ Overview**
 Tetrix is a fast\-growing startup on a mission to empower institutional investors to confidently invest in alternative markets (think Bloomberg, but for private markets). Our AI\-native product transforms messy, unstructured private market data into real\-time insights, combining automated document retrieval, AI\-powered data extraction, and on\-demand portfolio analytics \- all in one seamless platform. We are growing quickly to becoming a category\-defining product, and are working with some of the world's leading capital allocators. This is a unique opportunity to join a talented and driven team that wants to build next\-generation infrastructure in financial markets, and is backed by stellar investors that include Innovation Endeavors, Eric Schmidt’s VC firm, and angels from BlackRock, CPPIB, SoftBank, Lending Club, and Plaid.
**🤷🏽️ Who We Are**
 We are a small but mighty startup with deep industry background and expertise in both financial markets and modern technologies. We’ve worked hard to build a culture of trust, high ownership, and curiosity—where everyone feels empowered to contribute, challenge ideas, and grow together. We are led by our two co\-founders, Olivier (CEO) \&amp; Naunidh (CTO), who met on the first day of school whilst pursuing their MBAs at Stanford and co\-founded Tetrix in the Summer of 23\.
**🤞🏽 Who You Are**
* You’re proactive and hands\-on – someone who takes initiative, figures things out, and keeps things moving.
* You learn and adapt quickly – someone who approaches problems with creativity and energy, and is resourceful, adaptable and excited by tough challenges.
* You’re customer\-oriented – whether you’re making backend decisions or improving UI, you keep the customer in mind and push for delightful experiences.
* You’re collaborative – someone who values transparency, good communication, and knows that the best outcomes come from working well with others.
* You’re experienced and thoughtful – we are looking for folks with 5\+ years of work experience in AI/ML, ideally in fast\-paced or entrepreneurial environments. Bonus points if you’ve contributed to open source.
**💻 What You’ll Do**
* You’ll build – You’ll contribute across our tech stack \- our SaaS product, data pipelines, AI agents, telemetry infrastructure, and more.
* You’ll brainstorm – We’re not looking for someone to just take tickets—we want you in the room helping us shape product direction and tech strategy.
* You’ll work with clients – From pitching customers, to designing features, to soliciting feedback, you’ll do some non\-engineering work. We believe in all\-rounded team members.
* You’ll champion best practices and guide others – As a B2B SaaS platform, our technology needs to be secure, robust and scalable. You’ll help set and maintain standards and mentor future team members.
**🙌🏾 Why join us**
* You’ll have real impact \- We are at an inflection point \- your work will directly shape our product, team, and company trajectory.
* You’ll be supported \- We’re committed to helping you do your best work and grow both professionally and personally.
* You’ll be rewarded \- Competitive salary, meaningful equity, and benefits including unlimited vacation, healthcare, and retirement plans.
* You’ll grow fast \- We move quickly, think deeply, and believe in learning through doing. You’ll be surrounded by smart, driven, kind people.
* You’ll have fun \- Shipping is inherently fun, winning is even more fun, and when all else fails, we have plenty of fun in and out of the office.
**🫶🏽** 
 One more thing
 If this role sounds exciting but you’re second\-guessing whether you’re “qualified” enough—please apply. Great talent doesn’t always fit neatly into a checklist, and we know that underrepresented folks often underestimate their fit. We care more about the ideas you bring, your ability to learn, and your enthusiasm for the work than about whether your resume matches every bullet point. The company we’re building will shape how financial systems work for years to come. That’s why we’re committed to building a team with diverse voices, perspectives, and lived experiences. Diversity isn’t a nice\-to\-have—it’s a must\-have. And we’d love to have you be part of that.
 Compensation Range: $120K \- $220K</t>
        </is>
      </c>
    </row>
    <row r="60">
      <c r="A60" t="inlineStr">
        <is>
          <t>li-4378458036</t>
        </is>
      </c>
      <c r="B60" t="inlineStr">
        <is>
          <t>Machine Learning Engineer | Python | Pytorch | Distributed Training | Optimisation | GPU | Hybrid, San Jose, CA</t>
        </is>
      </c>
      <c r="C60" t="inlineStr">
        <is>
          <t>Enigma</t>
        </is>
      </c>
      <c r="D60" t="inlineStr">
        <is>
          <t>linkedin</t>
        </is>
      </c>
      <c r="E60" t="inlineStr"/>
      <c r="F60" t="inlineStr"/>
      <c r="G60" t="inlineStr">
        <is>
          <t>San Jose, CA</t>
        </is>
      </c>
      <c r="H60" t="inlineStr"/>
      <c r="I60" t="inlineStr">
        <is>
          <t>**Machine Learning Engineer \| Python \| Pytorch \| Distributed Training \| Optimisation \| GPU \| Hybrid, San Jose, CA** 
**Title:** 
 Machine Learning Engineer
**Location: San Jose, CA** 
**Responsibilities:** 
* Productize and optimize models from Research into reliable, performant, and cost\-efficient services with clear SLOs (latency, availability, cost).
* Scale training across nodes/GPUs (DDP/FSDP/ZeRO, pipeline/tensor parallelism) and own throughput/time\-to\-train using profiling and optimization.
* Implement model\-efficiency techniques (quantization, distillation, pruning, KV\-cache, Flash Attention) for training and inference without materially degrading quality.
* Build and maintain model\-serving systems (vLLM/Triton/TGI/ONNX/TensorRT/AITemplate) with batching, streaming, caching, and memory management.
* Integrate with vector/feature stores and data pipelines (FAISS/Milvus/Pinecone/pgvector; Parquet/Delta) as needed for production.
* Define and track performance and cost KPIs; run continuous improvement loops and capacity planning.
* Partner with ML Ops on CI/CD, telemetry/observability, model registries; partner with Scientists on reproducible handoffs and evaluations.
**Educational Qualifications:** 
* Bachelors in computer science, Electrical/Computer Engineering, or a related field required; Master’s preferred (or equivalent industry experience).
* Strong systems/ML engineering with exposure to distributed training and inference optimization.
**Industry Experience:** 
* 3–5 years in ML/AI engineering roles owning training and/or serving in production at scale.
* Demonstrated success delivering high\-throughput, low\-latency ML services with reliability and cost improvements.
* Experience collaborating across Research, Platform/Infra, Data, and Product functions.
**Technical Skills:** 
* Familiarity with deep learning frameworks: PyTorch (primary), TensorFlow.
* Exposure to large model training techniques (DDP, FSDP, ZeRO, pipeline/tensor parallelism); distributed training experience a plus
* Optimization: experience profiling and optimizing code execution and model inference: (PTQ/QAT/AWQ/GPTQ), pruning, distillation, KV\-cache optimization, Flash Attention
* Scalable serving: autoscaling, load balancing, streaming, batching, caching; collaboration with platform engineers.
* Data \&amp; storage: SQL/NoSQL, vector stores (FAISS/Milvus/Pinecone/pgvector), Parquet/Delta, object stores.
* Write performant, maintainable code
* Understanding of the full ML lifecycle: data collection, model training, deployment, inference, optimization, and evaluation.
**Machine Learning Engineer \| Python \| Pytorch \| Distributed Training \| Optimisation \| GPU \| Hybrid, San Jose, CA**</t>
        </is>
      </c>
    </row>
    <row r="61">
      <c r="A61" t="inlineStr">
        <is>
          <t>li-4378434739</t>
        </is>
      </c>
      <c r="B61" t="inlineStr">
        <is>
          <t>Machine Learning Engineer, Research</t>
        </is>
      </c>
      <c r="C61" t="inlineStr">
        <is>
          <t>Wiraa</t>
        </is>
      </c>
      <c r="D61" t="inlineStr">
        <is>
          <t>linkedin</t>
        </is>
      </c>
      <c r="E61" t="inlineStr"/>
      <c r="F61" t="inlineStr"/>
      <c r="G61" t="inlineStr"/>
      <c r="H61" t="inlineStr"/>
      <c r="I61" t="inlineStr">
        <is>
          <t>About the Company
 Roboflow is a pioneering technology company dedicated to making the world programmable through advancements in artificial intelligence and computer vision. Our mission is to democratize access to machine learning tools, enabling developers worldwide to build and deploy computer vision models efficiently and effectively. With a vibrant community of over one million developers, including professionals from half of the Fortune 100 companies, Roboflow is at the forefront of transforming how software interacts with the physical world. Our platform simplifies the process of building, training, and deploying computer vision models, supporting a wide range of applications such as medical research, construction safety, environmental conservation, drone navigation, and more.
 Supported by prominent investors including Y Combinator, Google Ventures, and Craft Ventures, Roboflow has raised over $63 million to accelerate innovation and growth. Our team is composed of passionate, high\-autonomy individuals who thrive on ownership, accountability, and a relentless drive to create impactful solutions. We foster a collaborative environment where curiosity, technical excellence, and a bias toward action are highly valued. Whether you are an experienced researcher or an emerging talent, Roboflow offers a dynamic space to contribute to cutting\-edge AI projects and shape the future of computer vision technology.
 About the Role
 As a Machine Learning Research Engineer at Roboflow, you will play a crucial role in advancing state\-of\-the\-art computer vision models that address real\-world challenges. Unlike traditional industry focus on language models, our emphasis is on developing innovative solutions in segmentation, detection, classification, and few\-shot learning within the computer vision domain. You will work within a small, high\-performing team dedicated to pushing the boundaries of what is possible in vision AI. Your work will directly impact a global community of developers and end\-users, making sophisticated models accessible and practical for diverse applications.
 This position involves researching and prototyping novel models, leading end\-to\-end machine learning projects, and collaborating closely with engineering teams to implement and optimize solutions. You will experiment with the latest techniques in PyTorch, reproduce academic research results, and contribute to open\-source projects. Your efforts will help shape Roboflow’s research direction, ensuring our tools remain at the cutting edge of computer vision technology. Success in this role is measured by the performance and usability of your models, the impact they have on users, and your contribution to the broader AI community.
 Qualifications
* 3–4\+ years of hands\-on machine learning research experience; PhD preferred but not mandatory if equivalent industry experience
* Proven track record of publishing peer\-reviewed papers or significant research contributions
* Expert\-level proficiency in PyTorch and modern vision architectures such as YOLO, SAM, and VLMs
* Deep knowledge of object detection, instance segmentation, keypoint detection, and vision\-language models
* Strong understanding of training pipelines and model optimization techniques
* Innovative mindset with a passion for pushing the boundaries of computer vision
* Ability to collaborate effectively with engineers and cross\-functional teams
* Independent, impact\-oriented approach with a preference for solving complex, ambiguous problems
 Responsibilities
* Research and prototype novel computer vision models and training techniques
* Lead comprehensive machine learning research projects from problem identification to implementation
* Collaborate with ML engineers to translate research into production\-ready solutions
* Develop and refine vision models using PyTorch, focusing on segmentation, detection, and few\-shot learning
* Reproduce and extend results from top academic papers, ensuring reproducibility and robustness
* Create open\-source and production\-quality implementations for internal and public use
* Work closely with product and engineering teams to align research with user needs and product goals
* Drive innovation in key areas such as segmentation, vision\-language models, and general\-purpose computer vision models
* Maintain high standards for experimentation, code quality, and documentation
* Contribute to the future direction of Roboflow’s research initiatives and community engagement
 Benefits
* Competitive salary range of $200,000\-$275,000, reviewed biannually to stay aligned with market trends
* Equity package to share in the company's growth and success
* $4,000 annual travel stipend for collaboration and learning opportunities
* $350/month productivity stipend to enhance your work environment
* $350/month AI tools budget to access the latest LLM and AI technologies
* Coverage of up to 100% health insurance costs for you and your family or partner
* Remote\-first and flexible work schedule to promote work\-life balance
* Unlimited PTO with a minimum of two weeks annually
* 12 weeks parental leave to support family growth
 Equal Opportunity
 At Roboflow, we believe that great ideas come from diverse perspectives and backgrounds. We are committed to fostering an inclusive environment and are proud to be an Equal Opportunity Employer. We consider all qualified applicants regardless of race, color, religion, sex, sexual orientation, gender identity, national origin, disability, age, veteran status, or any other protected characteristic. We encourage candidates from all walks of life to apply and join us in shaping the future of computer vision technology.</t>
        </is>
      </c>
    </row>
    <row r="62">
      <c r="A62" t="inlineStr">
        <is>
          <t>li-4379212891</t>
        </is>
      </c>
      <c r="B62" t="inlineStr">
        <is>
          <t>Senior Machine Learning Engineer - Moonshot AI</t>
        </is>
      </c>
      <c r="C62" t="inlineStr">
        <is>
          <t>Uber</t>
        </is>
      </c>
      <c r="D62" t="inlineStr">
        <is>
          <t>linkedin</t>
        </is>
      </c>
      <c r="E62" t="inlineStr"/>
      <c r="F62" t="inlineStr"/>
      <c r="G62" t="inlineStr">
        <is>
          <t>Sunnyvale, CA</t>
        </is>
      </c>
      <c r="H62" t="inlineStr"/>
      <c r="I62" t="inlineStr">
        <is>
          <t>**About The Role**
 Uber AI Solutions is one of Uber's biggest bets with the ambition to build one of the world's largest data foundries for AI applications and evolve into a platform of choice for a variety of online tasks. The Moonshot AI team focuses on optimizing the Uber AI Solutions gig marketplace through intelligent supply and demand matching. We also accelerate human\-in\-the\-loop data annotation with automation and develop robust automated evaluation systems.
 We are in the early stages, with significant opportunities to build new ML models for the gig marketplace. This includes integrating advanced ML models to enable ML\-assisted annotations for various use cases, such as Gen AI Labeling, Image/Audio/Video Classification, and Image/Video Segmentation, building LLM\-as\-Judge for automated quality evaluation, training ranking models to recommend gigs to earners, etc..
 In this role, you will collaborate closely with product managers, program managers, and cross\-functional teams to deliver real world impact. You'll help grow Uber AI Solutions into a leader in the space.
**What The Candidate Will Do**
* Identify and choose the right problems that will benefit from ML expertise.
* Design and develop a suite of ML models that will help solve the above problems.
* Collaborate with backend and frontend engineers to integrate your solutions into our products \&amp; platforms.
* Explore novel ideas and innovative solutions that can lead to a step change in our products
* Work with cross\-functional counterparts like the ML Ops team to understand their needs and improve the models accordingly.
* Write clean, modular, and maintainable code.
* Conduct code reviews and ensure high code quality standards.
* Keep up to date with the latest ML technologies and best practices.
**Basic Qualifications**
* Bachelor's degree in Computer Science, Machine Learning, or a closely related discipline
* Demonstrated experience developing, training, and deploying ML models to production
* Strong expertise in one or more areas: Computer Vision, Natural Language Processing, Deep Learning, or Generative AI (LLMs, diffusion models, multimodal systems)
* Proficiency with modern ML frameworks (PyTorch, TensorFlow, JAX) and programming languages (Python, Go, Java, or C\+\+)
* Strong analytical and problem\-solving abilities with proven collaborative teamwork skills
**Preferred Qualifications**
* Master's or Ph.D. in Computer Science, Machine Learning, or related field
* 5\+ years of industry experience in ML/AI building production systems
* Experience with LLM fine\-tuning techniques, prompt engineering, and building RAG systems
* Track record training large models on distributed infrastructure
* Hands\-on experience with model serving, A/B testing, and ML platform toolingBackground in marketplace optimization, recommendation systems, or multi\-armed bandit algorithms
* Publications or research contributions in AI/ML conferences or journals
* Experience with SQL and distributed data systems
* Proven ability to rapidly prototype and iterate, demonstrating curiosity and an experimental mindset
 For Sunnyvale, CA\-based roles: The base salary range for this role is USD$202,000 per year \- USD$224,000 per year.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63">
      <c r="A63" t="inlineStr">
        <is>
          <t>li-4379726079</t>
        </is>
      </c>
      <c r="B63" t="inlineStr">
        <is>
          <t>Machine Learning Engineer</t>
        </is>
      </c>
      <c r="C63" t="inlineStr">
        <is>
          <t>Facebook</t>
        </is>
      </c>
      <c r="D63" t="inlineStr">
        <is>
          <t>linkedin</t>
        </is>
      </c>
      <c r="E63" t="inlineStr"/>
      <c r="F63" t="inlineStr"/>
      <c r="G63" t="inlineStr">
        <is>
          <t>Bellevue, WA</t>
        </is>
      </c>
      <c r="H63" t="inlineStr"/>
      <c r="I63" t="inlineStr">
        <is>
          <t>My team is hiring senior\+ ML engineers at Bellevue, WA. Looking for talents that
 lead complex technical projects with AI native approaches.
 Please check our job posting and feel free to contact me:
 https://www.metacareers.com/profile/job\_details/998357492128826</t>
        </is>
      </c>
    </row>
    <row r="64">
      <c r="A64" t="inlineStr">
        <is>
          <t>li-4378037411</t>
        </is>
      </c>
      <c r="B64" t="inlineStr">
        <is>
          <t>AI Engineer, Agent Systems</t>
        </is>
      </c>
      <c r="C64" t="inlineStr">
        <is>
          <t>Salesforce</t>
        </is>
      </c>
      <c r="D64" t="inlineStr">
        <is>
          <t>linkedin</t>
        </is>
      </c>
      <c r="E64" t="inlineStr"/>
      <c r="F64" t="inlineStr"/>
      <c r="G64" t="inlineStr">
        <is>
          <t>Palo Alto, CA</t>
        </is>
      </c>
      <c r="H64" t="inlineStr"/>
      <c r="I64"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We are seeking a Lead AI Engineer, Agent Systems to join the Salesforce AI Research Incubation Team.
 In this role, you will design and build production\-grade AI agent systems that translate cutting\-edge research into scalable, reliable platform capabilities.
 You will work closely with AI researchers, platform engineers, and product teams to develop agent orchestration frameworks, tool integration, and runtime control systems. This role focuses on system\-level intelligence, not on inventing new models, but on making AI agents robust, observable, and controllable in real\-world environments.
 This is a lead\-level individual contributor role with strong technical ownership and cross\-team influence.
 Key Responsibilities
* Design and build AI agent systems, including agent lifecycle management, orchestration, and execution control.
* Develop scalable pipelines for tool invocation, agent planning, memory, and state management.
* Collaborate with AI researchers to operationalize research outputs into reliable agent behaviors.
* Define and enforce best practices for agent reliability, safety, observability, and cost control.
* Lead the design of APIs and services supporting agent runtime and coordination.
* Drive architectural decisions for agent frameworks and integrations across AI services.
* Troubleshoot complex system\-level issues involving agent behavior, performance, or failure modes.
* Mentor engineers and provide technical leadership within the AI engineering organization.
**Required Qualifications**
* Bachelor’s degree in Computer Science, Software Engineering, or a related field.
* 5\+ years of experience in backend or distributed systems engineering, with increasing technical ownership.
* Strong proficiency in Python, with experience designing complex backend services.
* Experience building production systems involving LLMs, AI services, or agent\-like workflows.
* Deep understanding of RESTful APIs, service\-oriented architectures, and system scalability.
* Experience with cloud platforms (AWS, GCP) and containerized environments (Docker, Kubernetes).
* Strong debugging skills across distributed systems, including logs, traces, and metrics.
* Excellent communication skills and the ability to collaborate across research and engineering teams.
**Preferred Qualifications**
* Hands\-on experience with AI agent frameworks, workflow engines, or orchestration systems.
* Familiarity with RAG systems, vector databases, or memory architectures.
* Experience implementing safety guardrails, policy enforcement, or AI observability.
* Exposure to event\-driven architectures and message queues (Kafka, RabbitMQ).
* Prior experience in a research\-adjacent or incubation environment.
 Why Join Us?
* Build next\-generation AI agent systems in collaboration with world\-class AI researchers.
* Own core agent infrastructure that directly shapes how AI is used across products.
* Work on complex, high\-impact systems at the frontier of applied AI.
* Competitive compensation, benefits, and strong career growth opportunities.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$172,500 \- $260,100 annually. In select cities within the San Francisco and New York City metropolitan area, the base salary range for this role is $207,800 \- $285,800 annually. The range represents base salary only, and does not include company bonus, incentive for sales roles, equity or benefits, as applicable.</t>
        </is>
      </c>
    </row>
    <row r="65">
      <c r="A65" t="inlineStr">
        <is>
          <t>li-4379702942</t>
        </is>
      </c>
      <c r="B65" t="inlineStr">
        <is>
          <t>Senior AI Engineer (Remote from United States)</t>
        </is>
      </c>
      <c r="C65" t="inlineStr">
        <is>
          <t>Jobgether</t>
        </is>
      </c>
      <c r="D65" t="inlineStr">
        <is>
          <t>linkedin</t>
        </is>
      </c>
      <c r="E65" t="inlineStr"/>
      <c r="F65" t="inlineStr"/>
      <c r="G65" t="inlineStr"/>
      <c r="H65" t="inlineStr"/>
      <c r="I65" t="inlineStr">
        <is>
          <t>**This position is posted by Jobgether on behalf of a partner company. We are currently looking for a Senior AI Engineer in United States.**
 This role offers the opportunity to design and scale enterprise\-grade document intelligence systems powered by self\-hosted large language models. You will architect and operate production\-ready OCR and LLM pipelines capable of processing complex, long\-form documents with deterministic and auditable outputs. As a hands\-on technical leader, you will own infrastructure decisions, optimize GPU\-backed inference environments, and ensure system reliability at scale. The position combines deep AI engineering with production\-grade backend architecture, focusing on performance, governance, and measurable correctness. Working remotely in a highly collaborative environment, you will partner closely with AI leadership while maintaining end\-to\-end ownership of mission\-critical systems.
**Accountabilities**
* Architecting and implementing end\-to\-end OCR\-heavy pipelines for long\-form document processing, including PDF ingestion, layout\-aware parsing, segmentation, and metadata tracking.
* Designing scalable systems capable of handling 200\+ page documents with high concurrency, performance consistency, and operational stability.
* Integrating and optimizing OCR engines (e.g., Tesseract, PaddleOCR) and layout\-aware or vision\-language models for structured data extraction.
* Building deterministic validation frameworks, including schema enforcement, rule\-based checks, invariant validation, and automated exception routing.
* Deploying and managing self\-hosted LLM infrastructure using tools such as vLLM and Hugging Face TGI, including GPU\-backed inference services.
* Optimizing inference workloads through batching strategies, KV cache tuning, context window management, and cost\-efficiency improvements.
* Implementing robust observability systems with structured logging, tracing, monitoring, and automated recovery mechanisms.
* Ensuring auditability, traceability, reproducibility, and governance standards for compliance\-driven environments.
**Requirements**
 The ideal candidate combines deep AI engineering expertise with strong production systems experience. Key qualifications include:
* 6\+ years of backend engineering experience, primarily in Python, building scalable production systems.
* Proven experience developing OCR\-based document intelligence solutions for large, long\-form PDFs (100\+ pages).
* Hands\-on experience deploying and managing open\-source LLMs (e.g., LLaMA, Qwen, Mistral) using vLLM or Hugging Face TGI.
* Experience operating GPU\-backed inference infrastructure with performance optimization and cost\-efficiency strategies.
* Strong expertise in deterministic validation systems, including schema enforcement and rule\-based governance layers.
* Excellent debugging, systems thinking, and architectural decision\-making skills.
* Ability to clearly communicate technical trade\-offs and business impact to both technical and non\-technical stakeholders.
* Preferred experience with layout\-aware models (LayoutLM, DocFormer), regulated industry environments (finance, healthcare), or document\-intensive workflows such as underwriting or claims processing.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66">
      <c r="A66" t="inlineStr">
        <is>
          <t>li-4378045285</t>
        </is>
      </c>
      <c r="B66" t="inlineStr">
        <is>
          <t>AI Engineer, Agent Systems</t>
        </is>
      </c>
      <c r="C66" t="inlineStr">
        <is>
          <t>Salesforce</t>
        </is>
      </c>
      <c r="D66" t="inlineStr">
        <is>
          <t>linkedin</t>
        </is>
      </c>
      <c r="E66" t="inlineStr"/>
      <c r="F66" t="inlineStr"/>
      <c r="G66" t="inlineStr">
        <is>
          <t>San Francisco, CA</t>
        </is>
      </c>
      <c r="H66" t="inlineStr"/>
      <c r="I66"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We are seeking a Lead AI Engineer, Agent Systems to join the Salesforce AI Research Incubation Team.
 In this role, you will design and build production\-grade AI agent systems that translate cutting\-edge research into scalable, reliable platform capabilities.
 You will work closely with AI researchers, platform engineers, and product teams to develop agent orchestration frameworks, tool integration, and runtime control systems. This role focuses on system\-level intelligence, not on inventing new models, but on making AI agents robust, observable, and controllable in real\-world environments.
 This is a lead\-level individual contributor role with strong technical ownership and cross\-team influence.
 Key Responsibilities
* Design and build AI agent systems, including agent lifecycle management, orchestration, and execution control.
* Develop scalable pipelines for tool invocation, agent planning, memory, and state management.
* Collaborate with AI researchers to operationalize research outputs into reliable agent behaviors.
* Define and enforce best practices for agent reliability, safety, observability, and cost control.
* Lead the design of APIs and services supporting agent runtime and coordination.
* Drive architectural decisions for agent frameworks and integrations across AI services.
* Troubleshoot complex system\-level issues involving agent behavior, performance, or failure modes.
* Mentor engineers and provide technical leadership within the AI engineering organization.
**Required Qualifications**
* Bachelor’s degree in Computer Science, Software Engineering, or a related field.
* 5\+ years of experience in backend or distributed systems engineering, with increasing technical ownership.
* Strong proficiency in Python, with experience designing complex backend services.
* Experience building production systems involving LLMs, AI services, or agent\-like workflows.
* Deep understanding of RESTful APIs, service\-oriented architectures, and system scalability.
* Experience with cloud platforms (AWS, GCP) and containerized environments (Docker, Kubernetes).
* Strong debugging skills across distributed systems, including logs, traces, and metrics.
* Excellent communication skills and the ability to collaborate across research and engineering teams.
**Preferred Qualifications**
* Hands\-on experience with AI agent frameworks, workflow engines, or orchestration systems.
* Familiarity with RAG systems, vector databases, or memory architectures.
* Experience implementing safety guardrails, policy enforcement, or AI observability.
* Exposure to event\-driven architectures and message queues (Kafka, RabbitMQ).
* Prior experience in a research\-adjacent or incubation environment.
 Why Join Us?
* Build next\-generation AI agent systems in collaboration with world\-class AI researchers.
* Own core agent infrastructure that directly shapes how AI is used across products.
* Work on complex, high\-impact systems at the frontier of applied AI.
* Competitive compensation, benefits, and strong career growth opportunities.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$172,500 \- $260,100 annually. In select cities within the San Francisco and New York City metropolitan area, the base salary range for this role is $207,800 \- $285,800 annually. The range represents base salary only, and does not include company bonus, incentive for sales roles, equity or benefits, as applicable.</t>
        </is>
      </c>
    </row>
    <row r="67">
      <c r="A67" t="inlineStr">
        <is>
          <t>li-4363750515</t>
        </is>
      </c>
      <c r="B67" t="inlineStr">
        <is>
          <t>Senior Machine Learning Engineer</t>
        </is>
      </c>
      <c r="C67" t="inlineStr">
        <is>
          <t>Salesforce</t>
        </is>
      </c>
      <c r="D67" t="inlineStr">
        <is>
          <t>linkedin</t>
        </is>
      </c>
      <c r="E67" t="inlineStr"/>
      <c r="F67" t="inlineStr"/>
      <c r="G67" t="inlineStr">
        <is>
          <t>Bellevue, WA</t>
        </is>
      </c>
      <c r="H67" t="inlineStr"/>
      <c r="I67"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*Salesforce AI Research is looking for a Machine Learning Engineer to incubate next\-generation agentic AI platform. You will work with research scientists, software engineers, product managers and solution engineers closely to design, implement and iterate agentic AI systems with customers.*
***With your strong technical competence, strategic thinking and customer engagement, you will innovate at the frontier of the field, having the opportunity to create new solutions and define new categories of product with meaningful impact to Salesforce customers and beyond.***
**We Are Looking For Candidates Who**
* Has exceptional engineering skills.
* Has deep ML knowledge with meaningful implementation track records.
* Prioritize deep and strategic thinking.
* Has dedication, patience and resilience to build exceptional product experience.
* Collaborative and win with teams.
* Proactive and bias to action, comfortable in fast\-pacing environment.
* For this role, we mainly look for BS/MS student instead of PHD student (For PhD, only look for candidate who fulfill one of the 5 criteria below, and interested in MLE instead of RS role)
* Top school majoring in CS (Stanford, Berkeley, CMU, MIT)
* Competitive coding winner (ACM\-ICPC, etc). Look for global and competitive competition, Kaggle dose not count.
* Startup founders in agentic AI, LLM, area (e.g., YC backed startup)
* As first contributor, open source and maintain projects that gets traction (2k\+ stars)
* For BS/MS, as first author, publish at least one high\-impact paper (500\+ citations). For PhD, the bar will be higher (2\-3 first\-author high impact (500\+ citations) papers or 1 first\-author stellar (3000\+citations) paper)
* Programming \&amp; Systems
+ Strong proficiency in Python; solid experience with C\+\+ and/or Java
+ Strong software engineering fundamentals (data structures, algorithms, system design)
+ Experience building production\-quality systems
* Agentic / LLM Systems
+ Practical experience with LLMs and agentic workflows (tool use, planning, memory, multi\-step reasoning)
+ Experience building end\-to\-end AI agents or complex AI\-driven applications
+ Familiarity with prompting, orchestration, and evaluation for LLM\-based systems
* Machine Learning \&amp; AI
+ Hands\-on experience with deep learning frameworks
+ Strong understanding of ML fundamentals
+ Experience implementing and debugging model training, evaluation, and inference pipelines
* Infrastructure \&amp; Deployment
+ Experience deploying ML systems using Docker and cloud platforms (AWS, GCP, or Azure)
+ Familiarity with distributed training or inference and performance optimization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$148,500 \- $223,900 annually. In select cities within the San Francisco and New York City metropolitan area, the base salary range for this role is $178,900 \- $246,000 annually. The range represents base salary only, and does not include company bonus, incentive for sales roles, equity or benefits, as applicable.</t>
        </is>
      </c>
    </row>
    <row r="68">
      <c r="A68" t="inlineStr">
        <is>
          <t>li-4344910889</t>
        </is>
      </c>
      <c r="B68" t="inlineStr">
        <is>
          <t>Lead Machine Learning Engineer - Agentforce Guardrails</t>
        </is>
      </c>
      <c r="C68" t="inlineStr">
        <is>
          <t>Salesforce</t>
        </is>
      </c>
      <c r="D68" t="inlineStr">
        <is>
          <t>linkedin</t>
        </is>
      </c>
      <c r="E68" t="inlineStr"/>
      <c r="F68" t="inlineStr"/>
      <c r="G68" t="inlineStr">
        <is>
          <t>San Francisco, CA</t>
        </is>
      </c>
      <c r="H68" t="inlineStr"/>
      <c r="I68"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**\*IN SCHOOL OR GRADUATED WITHIN THE LAST 12 MONTHS? PLEASE VISIT** 
**FUTURE FORCE** 
**FOR OPPORTUNITIES** 
 \*
**Job Description**
 Salesforce is looking for a Lead Machine Learning Engineer to be part of the team leveraging advanced generative AI services, pipelines, and components to drive the development and delivery of Agentforce. This includes building citations and guardrails for LLMs. You will work on and ship impactful generative AI platforms, applications, and products used by millions of people every day.
**The Team**
 We are a group of data scientists, machine learning engineers, and software engineers who are passionate about designing products and building intelligent agents that work alongside humans to drive customer success 24/7\. We love to learn, teach, and help each other, and we seek individuals with a collaborative attitude and openness to others' ideas.
**The Role**
 You will play a critical role in integrating generative AI, building citations and guardrails for LLMs into Agentforce, and using the latest LLM algorithms and technologies to build the next wave of intelligent agents. You will participate in the end\-to\-end AI product development lifecycle, designing and developing scalable generative AI systems and services. You will collaborate with AI Platform Engineers and Software Engineers to define requirements and develop reusable workflows and ML pipelines.
**What You’ll Do**
* Build and own end\-to\-end scalable services that can be integrated with numerous applications, support thousands of tenants, and operate at scale in production.
* Drive system efficiencies through automation, including capacity planning, configuration management, performance tuning, monitoring, and root cause analysis.
* Participate in periodic on\-call rotations and be available to resolve critical issues.
* Collaborate with Product Managers, Application Architects, Data Scientists, and Deep Learning Researchers to understand customer requirements, design prototypes, and bring innovative technologies to production.
**Required Skills**
* 8\+ years of industry experience in ML engineering, building AI systems and/or services.
* Bachelors (or) Masters degree in Computer Science, Software Engineering, or related STEM field with strong competencies in algorithms, data structures and software design.
* Experience with distributed, scalable systems and modern data storage, messaging, and processing frameworks, such as Kafka, Spark, Docker, and Hadoop.
* Strong programming skills in Python or Java, with experience in building ML pipelines
* Proven ability to innovate and deliver results at scale.
* Basic understanding of deep learning and machine learning algorithms.
* Experience with LLMs and prompt engineering.
* Proven experience building and applying machine learning models to business applications.
**Preferred Skills**
* Expertise in retrieval systems and search algorithms.
* Familiarity with vector databases and embeddings.
* Experience developing applications/services for complex business use cases and large amounts of unstructured data.
* Expertise in applying LLMs, prompt design, and fine\-tuning methods.
* Experience with conversational AI.
* Excellent problem\-solving skills; the ability to tackle problems the world has yet to solve.
* Strong written and verbal communication skills.
* Demonstrated track record of cultivating strong working relationships and driving collaboration across multiple technical and business teams.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$172,500 \- $260,100 annually. In select cities within the San Francisco and New York City metropolitan area, the base salary range for this role is $207,800 \- $285,800 annually. The range represents base salary only, and does not include company bonus, incentive for sales roles, equity or benefits, as applicable.</t>
        </is>
      </c>
    </row>
    <row r="69">
      <c r="A69" t="inlineStr">
        <is>
          <t>li-4308549261</t>
        </is>
      </c>
      <c r="B69" t="inlineStr">
        <is>
          <t>Sr Machine Learning Engineer - Safety Experience</t>
        </is>
      </c>
      <c r="C69" t="inlineStr">
        <is>
          <t>Roblox</t>
        </is>
      </c>
      <c r="D69" t="inlineStr">
        <is>
          <t>linkedin</t>
        </is>
      </c>
      <c r="E69" t="inlineStr"/>
      <c r="F69" t="inlineStr"/>
      <c r="G69" t="inlineStr">
        <is>
          <t>San Mateo, CA</t>
        </is>
      </c>
      <c r="H69" t="inlineStr"/>
      <c r="I69" t="inlineStr">
        <is>
          <t>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 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The
 **Rights Manager** 
 team and the
 **Content Suitability** 
 team that are part of our
 **Safety Experience** 
 are looking to hire a Sr Machine Learning Engineer for their respective teams.
 The Safety Experience organization builds the tools and systems that give Roblox Users and Creators control over their experience and empower moderators to enforce our community standards. These teams focus on education, intervention, visibility, and action.
**We Focus On**
* Monitoring and influencing user behavior (User Safety)
* Building efficient and scalable moderation platforms (Foundation)
* Providing transparency and education for parents and developers (User Safety)
* Giving users agency in managing their own safety (User Safety)
* Give IP owners the ability to manage their creations on Roblox (Rights \&amp; Guidelines)
* Providing users fast and accurate support with the Customer Care Chatbot (Customer Care)
**You Will**
* Work on implementation of machine learning solutions for safety\-related systems
* Help to foster a culture of technical excellence and inclusivity
* Break down long\-term product requirements into iterative deliverable stages, ensuring continuous improvement
* Craft and build large\-scale machine learning models with billions of parameters, ensuring production\-readiness
* Facilitate challenging technical decisions, demonstrating empathy and finding common understanding
* Collaborate with cross\-functional teams to execute on ML\-based problems
**You Have**
* MS or PhD degree \+ 2\+ years of experience in Computer Vision, Deep Learning, or a related field. You have solid fundamentals in Computer Vision and Deep Learning.
* Experience with the full ML lifecycle, including training, deployment, and continuous monitoring.
* Experience with similarity detection and/or digital watermarking. This includes work on developing and re\-training embedding models, including multi\-modal models
* Strong coding skills with proficiency in one or more programming languages and experience with building large\-scale systems
**You Are**
* Experienced in the safety, integrity, or content moderation domain.
* Familiar with large\-scale content understanding problems (e.g., text, image, video classification).
* Experienced with cloud\-based ML platforms and infrastructure.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
 Annual Salary Range
 $195,780—$242,100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70">
      <c r="A70" t="inlineStr">
        <is>
          <t>li-4363877221</t>
        </is>
      </c>
      <c r="B70" t="inlineStr">
        <is>
          <t>Senior AI Engineer</t>
        </is>
      </c>
      <c r="C70" t="inlineStr">
        <is>
          <t>Capital One</t>
        </is>
      </c>
      <c r="D70" t="inlineStr">
        <is>
          <t>linkedin</t>
        </is>
      </c>
      <c r="E70" t="inlineStr"/>
      <c r="F70" t="inlineStr"/>
      <c r="G70" t="inlineStr">
        <is>
          <t>San Jose, CA</t>
        </is>
      </c>
      <c r="H70" t="inlineStr"/>
      <c r="I70" t="inlineStr">
        <is>
          <t>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3 years of experience developing AI and ML algorithms or technologies, or a Master's degree in Computer Science, AI, Electrical Engineering, Computer Engineering, or related fields plus at least 1 year of experience developing AI and ML algorithms or technologies
* At least 3 years of experience programming with Python, Go, Scala, or Java
****Preferred Qualifications:****
* 4 years of experience deploying scalable and responsible AI solutions on cloud platforms (e.g. AWS, Google Cloud, Azure, or equivalent private cloud)
* Experience developing, delivering, and supporting AI services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AI Engineer
 New York, NY: $176,500 \- $201,400 for Senior AI Engineer
 San Jose, CA: $176,500 \- $201,400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71">
      <c r="A71" t="inlineStr">
        <is>
          <t>li-4363827237</t>
        </is>
      </c>
      <c r="B71" t="inlineStr">
        <is>
          <t>Senior AI Engineer</t>
        </is>
      </c>
      <c r="C71" t="inlineStr">
        <is>
          <t>Capital One</t>
        </is>
      </c>
      <c r="D71" t="inlineStr">
        <is>
          <t>linkedin</t>
        </is>
      </c>
      <c r="E71" t="inlineStr"/>
      <c r="F71" t="inlineStr"/>
      <c r="G71" t="inlineStr">
        <is>
          <t>New York, NY</t>
        </is>
      </c>
      <c r="H71" t="inlineStr"/>
      <c r="I71" t="inlineStr">
        <is>
          <t>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3 years of experience developing AI and ML algorithms or technologies, or a Master's degree in Computer Science, AI, Electrical Engineering, Computer Engineering, or related fields plus at least 1 year of experience developing AI and ML algorithms or technologies
* At least 3 years of experience programming with Python, Go, Scala, or Java
****Preferred Qualifications:****
* 4 years of experience deploying scalable and responsible AI solutions on cloud platforms (e.g. AWS, Google Cloud, Azure, or equivalent private cloud)
* Experience developing, delivering, and supporting AI services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AI Engineer
 New York, NY: $176,500 \- $201,400 for Senior AI Engineer
 San Jose, CA: $176,500 \- $201,400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72">
      <c r="A72" t="inlineStr">
        <is>
          <t>li-4363754381</t>
        </is>
      </c>
      <c r="B72" t="inlineStr">
        <is>
          <t>Machine Learning Engineer (LLMs / AI)</t>
        </is>
      </c>
      <c r="C72" t="inlineStr">
        <is>
          <t>ghSMART</t>
        </is>
      </c>
      <c r="D72" t="inlineStr">
        <is>
          <t>linkedin</t>
        </is>
      </c>
      <c r="E72" t="inlineStr"/>
      <c r="F72" t="inlineStr"/>
      <c r="G72" t="inlineStr"/>
      <c r="H72" t="inlineStr"/>
      <c r="I72" t="inlineStr">
        <is>
          <t>**Who We Are**
 ghSMART is a premier leadership advisory firm trusted by CEOs, boards, and investors to solve their most critical leadership and talent decisions. For more than 30 years, we’ve partnered with many of the world’s most influential leaders and organizations to build winning leadership teams and amplify positive impact. Recognized for excellence, ghSMART consistently earns top rankings in industry surveys (e.g., Vault Consulting awards) and is featured in Forbes’ list of America’s Best Management Consulting Firms. Our culture is entrepreneurial and collaborative, with a strong focus on innovation and client success. Our team is made up of nearly 200 extraordinary individuals across the U.S., Europe, and APAC, who become trusted advisors to these leaders, helping amplify their positive impact on the world. We advise on the art and science of building winning leadership teams, doing meaningful work every day.
**What You’ll Do**
 As a Machine Learning \&amp; Data Engineer, you will leverage ghSMART’s extensive, structured leadership dataset to build advanced AI solutions/agents and create new RAG‑based solutions. You’ll contribute to the evolution of our ghSMART Leadership Intelligence Platform, help drive research initiatives, and collaborate with academic partners. You will also support both data engineering and AI engineering efforts, ensuring systems, pipelines, and models work cohesively to power leadership insights at scale.
**Responsibilities**
* Design, build, and extend ML models (LLMs and traditional ML) that deliver high\-accuracy insights from ghSMART’s structured leadership dataset; own end\-to\-end experimentation, evaluation, and deployment.
* Develop RAG\-based agents and algorithms to unlock novel leadership insights from our research database.
* Integrate advanced solutions and AI Agents into the Leadership Intelligence Platform and partner cross\-functionally to align features with strategic objectives and user needs.
* Optimize data pipelines and workflows to ensure robust, efficient data ingestion, transformation, and model serving across engineering teams.
* Collaborate on research with academic partners and contribute to publications and thought leadership by validating findings with rigorous methods.
**You Bring**
* 5\+ years of ML engineering experience building and shipping large\-scale models and systems (training, tuning, inference, MLOps, monitoring).
* Hands\-on expertise with RAG frameworks and LLMs, including designing retrieval strategies, prompt orchestration, evaluation, and deployment at scale. Experience building AI agents via the LangChain, LangGraph framework is a plus.
* Strong data engineering fundamentals across pipelines, data quality, and feature engineering to support reliable ML workflows. Experience with Databricks and Azure is a plus.
* Security and privacy mindset, with experience applying best practices to protect sensitive data in ML systems.
* Collaborative, remote\-first working style with clear communication and ownership; familiarity with Salesforce (SFDC), Jira, Confluence, and Git.
**Why join ghSMART?**
**Meaningful Impact Everyday:** 
 We believe leadership is the greatest force for good. At ghSMART, whether you're guiding the world’s top leaders or helping power the firm from within, you play a vital role in solving our clients’ greatest challenge: building and developing talented, diverse teams that fuel lasting success. Together, we help leaders amplify their positive impact—on their organizations, their people, and the world.
**Exceptional team, grounded in generosity:** 
 We have a team of extraordinary people united by excellence, humility, and a shared purpose. You’ll collaborate with brilliant colleagues who challenge and support you. Here, exceptional talent meets deep respect—where people show up with heart, and everyone has a place.
**Freedom to Shape a Career with Purpose:** 
 You have the power to shape a career that aligns with your purpose—doing meaningful work that drives impact for the world’s top leaders. You’ll help solve challenges that matter while being supported by brilliant colleagues and trusted with the flexibility you need to recharge, perform at your best, and grow for the long term.
**Have your voice and talents recognized** 
 . We are a flat organization that values proactivity and ability over bureaucracy and tenure. All our decisions and actions are guided by our Values and Credo \- to help leaders amplify their positive impact on the world.
*Learn why our consultants love working* 
 here
 ***.***
 We are ranked \#1 or \#2 in 10 Consulting categories by Vault . See what others think about working at ghSMART on Glassdoor .
**Compensation**
 Certain US jurisdictions require ghSMART to include a reasonable estimate of the salary range for this role. We are built on a culture of freedom and flexibility, we operate fully remotely, and our team members balance deeply energizing, high intensity work, with flexible schedules to support life outside of work. Our compensation model reflects these values. Compensation for this role in the United States includes base salary, annual discretionary performance bonus, 401(k) plan with an annual employer contribution, and a comprehensive benefits package. You should reasonably expect a base salary of $160,000 \- $175,000\. In addition, we offer an annual discretionary performance bonus.
*Please be advised that all emails will originate from the @ghsmart.com domain; any other domains are fraudulent, should be ignored, and deleted.*
*ghSMART is an Equal Opportunity Employer committed to fostering an inclusive and diverse workplace across all of our global locations. We welcome applicants of all backgrounds and ensure equal employment opportunities without regard to race, color, religion, gender, gender identity or expression, sexual orientation, national origin, genetics, disability, age, or veteran status. Our global policies and practices are designed to support an environment of respect and equity for all.*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73">
      <c r="A73" t="inlineStr">
        <is>
          <t>li-4306615998</t>
        </is>
      </c>
      <c r="B73" t="inlineStr">
        <is>
          <t>AI/Generative AI Engineer</t>
        </is>
      </c>
      <c r="C73" t="inlineStr">
        <is>
          <t>Andiamo</t>
        </is>
      </c>
      <c r="D73" t="inlineStr">
        <is>
          <t>linkedin</t>
        </is>
      </c>
      <c r="E73" t="inlineStr"/>
      <c r="F73" t="inlineStr"/>
      <c r="G73" t="inlineStr">
        <is>
          <t>Seattle, WA</t>
        </is>
      </c>
      <c r="H73" t="inlineStr"/>
      <c r="I73" t="inlineStr">
        <is>
          <t>Generative AI Engineer \- Pre\-IPO Tech Company
**About The Role**
 We are seeking a talented
 **Generative AI Engineer** 
 to help design and build the next generation of AI\-powered applications at a high\-growth, pre\-IPO technology company. You will work on applying large language models (LLMs), multimodal AI, and cutting\-edge generative techniques to create products that transform how our customers interact with data, content, and decision\-making systems.
 This is a hands\-on engineering role at the intersection of AI research and scalable product development. You will collaborate with data scientists, ML engineers, and product managers to prototype, deploy, and optimize generative AI systems that deliver measurable customer and business impact.
 What You’ll Do
* Develop Generative Applications: Build production\-ready systems leveraging LLMs and generative models for NLP, code, and multimodal use cases.
* Integrate with Products: Design APIs and services that embed generative AI capabilities into customer\-facing applications.
* Optimize Models: Fine\-tune, distill, and adapt foundation models to specific tasks and domains for efficiency and performance.
* Leverage Retrieval \&amp; Memory: Implement retrieval\-augmented generation (RAG), vector search, and embeddings for context\-aware AI solutions.
* Ensure Reliability: Build monitoring and evaluation pipelines to track model quality, detect drift, and maintain trustworthiness in production.
* Collaborate Cross\-Functionally: Work with researchers and product leaders to translate cutting\-edge AI into practical features.
* Stay Ahead: Keep current with state\-of\-the\-art generative AI research and frameworks, bringing new ideas and approaches into the company.
 What We’re Looking For
* Professional Experience: 3\-7 years in applied ML/AI engineering, with at least 1\-2 years working on generative AI, LLMs, or related areas.
* Technical Skills: Proficiency in Python, strong experience with ML/AI frameworks (PyTorch, TensorFlow, Hugging Face Transformers, LangChain, LlamaIndex).
* LLM Experience: Hands\-on experience fine\-tuning or deploying large language models, and familiarity with APIs such as OpenAI, Anthropic, or similar.
* Infrastructure Knowledge: Experience with cloud ML platforms (AWS Sagemaker, GCP Vertex AI, Azure ML) and vector databases (Pinecone, Weaviate, Milvus, FAISS).
* Systems Thinking: Ability to design scalable pipelines for training, inference, and integration into production systems.
* Collaboration: Strong communication skills and ability to partner across engineering, product, and research teams.
* Education: Bachelor’s or Master’s in Computer Science, Engineering, AI/ML, or a related field; PhD a plus.
 Why Join
 This is a unique opportunity to shape the future of generative AI at a pre\-IPO company with $500M\+ in funding. As a Generative AI Engineer, you’ll work with state\-of\-the\-art models, solve complex problems at scale, and bring transformative AI capabilities directly to customers. You’ll be part of a high\-growth team where innovation is encouraged, impact is immediate, and the future of AI is being built.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74">
      <c r="A74" t="inlineStr">
        <is>
          <t>li-4379529954</t>
        </is>
      </c>
      <c r="B74" t="inlineStr">
        <is>
          <t>Entry level AI/ML Engineer: SVL</t>
        </is>
      </c>
      <c r="C74" t="inlineStr">
        <is>
          <t>Lensa</t>
        </is>
      </c>
      <c r="D74" t="inlineStr">
        <is>
          <t>linkedin</t>
        </is>
      </c>
      <c r="E74" t="inlineStr"/>
      <c r="F74" t="inlineStr"/>
      <c r="G74" t="inlineStr">
        <is>
          <t>San Jose, CA</t>
        </is>
      </c>
      <c r="H74" t="inlineStr"/>
      <c r="I74"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IBM. Clicking "Apply Now" or "Read more" on Lensa redirects you to the job board/employer site. Any information collected there is subject to their terms and privacy notice.
**Introduction**
 IBM Automation and AI group is seeking an entry level AI/ML Engineer specializing in machine learning and Large Language Models (LLMs) to join our AI/ML Center of Excellence team at the IBM Silicon Valley Lab location. In this role, you will collaborate with cross\-functional product teams to implement cutting\-edge AI/ML capabilities across IBM's Automation product portfolio. You will lead efforts in data collection for LLM training and evaluation, integrate LLM technologies into existing and new products, and establish best practices for AI/ML feature implementation by product teams.
**Your Role And Responsibilities**
 Data Collection and Management for LLM Evaluation and Training
* Design and implement robust data collection pipelines for diverse LLM training datasets leveraging the IBM AI Model \&amp; Data Catalog.
* Develop data quality assessment frameworks to ensure training data meets IBM's high standards
* Create annotation guidelines and workflows for specialized domain\-specific datasets
* Implement data governance protocols that ensure compliance with privacy regulations and ethical AI principles following the IBM Data \&amp; Model Governance process and tooling.
* Establish evaluation datasets and benchmarks to measure LLM performance across various use cases leveraging \[1] FM\-Eval and Unitxt.
 LLM Integration and Implementation
* Architect solutions to integrate LLMs with IBM's existing and emerging products and ecosystem
* Develop APIs and interfaces that enable seamless interaction between LLMs and other software components
* Optimize LLM deployment for various computing environments (cloud, edge, on\-premises)
* Implement techniques for model compression, quantization, and optimization to improve inference efficiency and minimize resource requirements
* Design and implement prompt engineering frameworks for consistent LLM behavior across products
 AI/ML Best Practices and Innovation
* Establish technical standards and best practices for AI/ML feature implementation
* Create reusable components and design patterns for common LLM use cases
* Develop monitoring systems to track model performance, drift, and potential biases
* Research and implement techniques for responsible AI, including explainability and fairness
* Collaborate with product teams to identify opportunities for AI\-driven innovation
 References
 Visible links
* https://github.ibm.com/IBM\-Research\-AI/fm\-eval
**Required Technical And Professional Expertise**
* Bachelor's or master's degree or higher in Computer Science, Machine Learning, AI, or related technical field
* Less than one year of experience in machine learning engineering or data science roles
* Demonstrated knowledge of NLP and large language models (e.g., transformer architectures) including model evaluation and algorithm design.
* Strong programming skills in Python and familiarity with ML frameworks (PyTorch, TensorFlow, or JAX)
* Experience with data processing pipelines and working with large datasets
* Knowledge of MLOps practices and tools for model deployment and monitoring
* Ability to work independently and collaborate effectively across diverse teams.
* Strong communication skills to explain complex AI concepts to diverse audiences
* Problem\-solving mindset with ability to navigate technical and business constraints
**Preferred Technical And Professional Experience**
* Experience with fine\-tuning and prompt engineering for LLMs
* Deep understanding of transformer architectures and attention mechanisms
* Proficiency in vector databases and embedding technologies
* Knowledge of model serving frameworks (TensorRT, ONNX, TorchServe)
* Familiarity with cloud platforms (IBM Cloud, AWS, Azure, GCP)
* Commitment to continuous learning in the rapidly evolving field of AI
 IBM is committed to creating a diverse environment and is proud to be an equal\-opportunity employer. All qualified applicants will receive consideration for employment without regard to race, color, religion, sex, gender, gender identity or expression, sexual orientation, national origin, caste, genetics, pregnancy, disability, neurodivergence, age, veteran status, or other characteristics. IBM is also committed to compliance with all fair employment practices regarding citizenship and immigration status.
 If you have questions about this posting, please contact support@lensa.com</t>
        </is>
      </c>
    </row>
    <row r="75">
      <c r="A75" t="inlineStr">
        <is>
          <t>li-4378002082</t>
        </is>
      </c>
      <c r="B75" t="inlineStr">
        <is>
          <t>Machine Learning Engineer (Computer Vision/Multimodal/Generative AI)</t>
        </is>
      </c>
      <c r="C75" t="inlineStr">
        <is>
          <t>SPREEAI</t>
        </is>
      </c>
      <c r="D75" t="inlineStr">
        <is>
          <t>linkedin</t>
        </is>
      </c>
      <c r="E75" t="inlineStr"/>
      <c r="F75" t="inlineStr"/>
      <c r="G75" t="inlineStr">
        <is>
          <t>San Francisco, CA</t>
        </is>
      </c>
      <c r="H75" t="inlineStr"/>
      <c r="I75" t="inlineStr">
        <is>
          <t>**About The Role**
 We are hiring Machine Learning Engineers who want to work on frontier problems in vision and generative AI where standard solutions break. You will work across photorealistic virtual try\-on, video\-based modeling, Smart Sizing, and multimodal representation learning. The work spans modern architectures such as diffusion models, transformers, and learned visual representations, with emphasis on controllability, compute efficiency, and production readiness. This role sits at the intersection of applied research and engineering execution.
**What You'll Do**
* Develop and improve multimodal AI systems involving image, video, and generative pipelines.
* Work on diffusion model optimization, controllability, and step efficiency.
* Design experiments and evaluation frameworks for visual realism and consistency.
* Translate research prototypes into scalable production systems.
* Collaborate closely with infrastructure teams to optimize training and inference.
**Qualifications**
* Degree in Computer Science, AI, Robotics, or comparable combination of education and practical experience.
* Strong programming skills in Python and familiarity with object\-oriented languages (C\+\+, Java, or similar).
* Strong data structures and algorithms fundamentals.
* Experience with PyTorch or similar frameworks.
* Familiarity with CNNs, Vision Transformers (ViT), or diffusion architectures.
**Preferred Qualifications**
* Experience with Stable Diffusion, ControlNet, LoRA, or generative pipelines.
* Human pose estimation, geometry\-aware modeling, or video understanding.
* Experience shipping ML systems into production.
 SPREEAI is a fast\-growing, innovative AI company at the forefront of fashion and e\-commerce, revolutionizing how consumers engage with fashion through lifelike photorealistic try\-on technology and hyper\-personalized shopping experiences. Our mission is to redefine the retail landscape with cutting\-edge AI solutions that blend high fashion and technology. We thrive in a dynamic, fast\-paced environment where creativity meets technology to drive real impact. If you are passionate about innovation and shaping the future of fashion, SPREEAI offers a platform to make your mark.</t>
        </is>
      </c>
    </row>
    <row r="76">
      <c r="A76" t="inlineStr">
        <is>
          <t>li-4378447710</t>
        </is>
      </c>
      <c r="B76" t="inlineStr">
        <is>
          <t>Senior Machine Learning Engineer, AI Product and Platform</t>
        </is>
      </c>
      <c r="C76" t="inlineStr">
        <is>
          <t>BetterUp</t>
        </is>
      </c>
      <c r="D76" t="inlineStr">
        <is>
          <t>linkedin</t>
        </is>
      </c>
      <c r="E76" t="inlineStr"/>
      <c r="F76" t="inlineStr"/>
      <c r="G76" t="inlineStr">
        <is>
          <t>New York, United States</t>
        </is>
      </c>
      <c r="H76" t="inlineStr"/>
      <c r="I76" t="inlineStr">
        <is>
          <t>**Let’s face it: if you’re going to build the future of human transformation, you deserve more than a paycheck.**
 You deserve a personal BetterUp Coach, the most curious teammates on the planet, and a mission that pulls you out of bed every morning. At BetterUp, we pair world\-class coaching with Generative AI to help millions live with clarity and purpose. Ready to engineer the models that make that magic feel personal?
**What You’ll Do**
* Prototype, fine\-tune, and evaluate LLM\-powered features—from conversational insights to practice\-moment nudges—using Python and Jupyter notebooks.
* Own the production lifecycle: data prep, experiment design, offline/online evaluation, and weekly pushes to prod alongside a tight squad of ML/Backend/Full Stack Engineers.
* Collaborate daily with Product, Coaching Science, and Learning Design to turn behavior\-change research into delightful user moments.
* Contribute to technical design by shaping model architectures, retrieval strategies, and safety guards—while staying hands\-on in code.
* Measure what matters: define success metrics, implement A/B tests, and iterate quickly on real coach feedback.
* Ship end\-to\-end improvements to products like FocusFrame, our AI copilot that helps coaches deliver higher\-impact sessions in real time.
**We are a hybrid company with a focus on in\-person collaboration when necessary. Employees are expected to be available to work from one of our office hubs at least two days per week, or eight days per month. Our US hub locations include: Austin, TX; New York City, NY; San Francisco, CA; and the Arlington, VA metro area. Please ensure you can realistically commit to this structure before applying.**
**What You’ll Bring**
**Core**
* 4\+ years building and shipping ML systems in production, with at least 6–12 months hands\-on with LLM fine\-tuning, prompt engineering, or RAG pipelines.
* Fluency in Python for AI development and comfort working in Jupyter/IPython.
* Solid understanding of modern ML tooling (e.g., PyTorch, TensorFlow, or JAX) and containerized/cloud deployment basics.
* Clear, approachable communication with both technical peers and non\-technical partners.
* Bias toward action, curiosity, and comfort navigating ambiguity in a fast\-moving startup environment.
**Bonus (nice\-to\-have, Not Required)**
* Prior experience in coaching, learning\-science, ed\-tech, or behavior\-change domains.
* Exposure to RLHF, preference tuning, or multimodal models.
**Not sure you hit every bullet?** 
 We value growth mindsets—please apply anyway.
**AI at BetterUp**
 Our team thrives at the intersection of human expertise and AI capability. As an AI\-forward company, adaptation and continuous learning are part of our daily work. We're looking for teammates who are excited to evolve alongside technology – people who experiment boldly, share their discoveries openly, and help define best practices for AI\-augmented work. These professionals thoughtfully integrate AI into their work to deliver exceptional results while maintaining the human judgment and creativity that drives real innovation. During our interview process, you’ll have opportunities to showcase how you harness AI to learn, iterate, and amplify your impact.
**Benefits**
 At BetterUp, we are committed to living out our mission every day and that starts with providing benefits that allow our employees to care for themselves, support their families, and give back to their community.
* Access to BetterUp coaching; one for you and one for a friend or family member
* A competitive compensation plan with opportunity for advancement
* Medical, dental, and vision insurance
* Flexible paid time off
* Per year:
+ All federal/statutory holidays observed
+ 4 BetterUp Inner Workdays (https://www.betterup.co/inner\-work)
+ 5 Volunteer Days to give back
+ Learning and Development stipend
+ Company wide Summer \&amp; Winter breaks
* Year\-round charitable contribution of your choice on behalf of BetterUp
* 401(k) self contribution
 We are dedicated to building diverse teams that fuel an authentic workplace and sense of belonging for each and every employee. We know applying for a job can be intimidating, please don’t hesitate to reach out — we encourage everyone interested in joining us to apply.
 BetterUp Inc. provides equal employment opportunities (EEO) to all employees and applicants for employment without regard to race, color, religion, sex, national origin, disability, genetics, gender, sexual orientation, age, marital status, veteran status. In addition to federal law requirements, BetterUp Inc.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At BetterUp, we compensate our employees fairly for their work. Base salary is determined by job\-related experience, education/training, residence location, as well as market indicators. The range below is representative of base salary only and does not include equity, sales bonus plans (when applicable) and benefits. This range may be modified in the future.
 The base salary range for this role is as follows:
 New York City and San Francisco:
 **$200,000 \- $275,000**
 Austin, Arlington, and Chicago:
 **$180,000 \- $247,500**
*Protecting your privacy and treating your personal information with care is very important to us, and central to the entire BetterUp family. By submitting your application, you acknowledge that your personal information will be processed in accordance with our* 
*Applicant Privacy Notice* 
*. If you have any questions about the privacy of your personal information or your rights with regards to your personal information, please reach out to support@betterup.co*</t>
        </is>
      </c>
    </row>
    <row r="77">
      <c r="A77" t="inlineStr">
        <is>
          <t>li-4367613269</t>
        </is>
      </c>
      <c r="B77" t="inlineStr">
        <is>
          <t>Applied AI Engineer</t>
        </is>
      </c>
      <c r="C77" t="inlineStr">
        <is>
          <t>Percepta</t>
        </is>
      </c>
      <c r="D77" t="inlineStr">
        <is>
          <t>linkedin</t>
        </is>
      </c>
      <c r="E77" t="inlineStr"/>
      <c r="F77" t="inlineStr"/>
      <c r="G77" t="inlineStr">
        <is>
          <t>New York, NY</t>
        </is>
      </c>
      <c r="H77" t="inlineStr"/>
      <c r="I77" t="inlineStr">
        <is>
          <t>**Who We Are**
 Percepta’s mission is to
 **transform critical institutions with applied AI.** 
 We care that industries that power the world (e.g. healthcare, manufacturing, energy) benefit from frontier technology.
 To make that happen, we embed with industry\-leading customers to drive AI transformation. We bring together:
* Forward\-deployed expertise in engineering, product, and research
* Mosaic, our in\-house toolkit for rapidly deploying agentic workflows
* Strategic partnerships with Anthropic, McKinsey, AWS, companies within the General Catalyst portfolio, and more
 Our team is a quickly growing group of Applied AI Engineers, Embedded Product Managers and Researchers motivated by diffusing the promise of AI into improvements we can feel in our day to day lives.
 Percepta is a direct partnership with General Catalyst, a global transformation and investment company.
**About The Role**
 We’re hiring
 **Applied AI Engineers** 
 who will work directly with customer executives, operators, and technical teams to define and deliver high\-impact AI systems. We don't build prototypes or laboratory projects\- you’ll design, build, and ship production\-grade AI agents and workflows that drive millions in business value for customers.
**Our Applied AI Engineers**
* Shape the AI vision: Collaborate with customer stakeholders to define their long\-term AI strategy and transformation roadmap.
* Identify high\-leverage use cases: Work backwards from the long\-term vision to surface and prioritize specific AI applications that connect our ambition to measurable business value.
* Ship real products: Rapidly build and deploy AI solutions that work in the wild, with real users and real data.
* Advance our core product: Encode the lessons from our customer engagements in our Mosaic product, consistently contributing new features, patterns, and abstractions.
**What We’re Looking For**
* AI\-nativeness: You're excited about the potential for AI to transform businesses and want to play a hands\-on role in bringing frontier technology into critical institutions.
* Being generative and collaborative: You love constantly jamming on new “what if” ideas with teammates and partners.
* Extreme ownership: You’re willing to jump in and love being the one on the hook. You aren’t going to wait to be pointed at a task—you’re going to identify what you think we should do next, and then do it.
* Execution excellence and speed: You can build stuff in messy environments and know how to get code written and shipped quickly. You can hold the balance of speed and quality and know when to push the pace vs. when to slow down.
* Customer\-obsession and respect: You’re motivated by understanding customer pain points and iterating directly with end users to deliver wins quickly.
**Bonus if you have**
* Hands\-on experience with LLM tooling (LangGraph, Mastra, Agents SDK, etc).
* Built and deployed production LLM\-powered systems (tool use, RAG pipelines, multi\-step agents, human\-in\-the\-loop, etc).
* Strong technical foundations in Python/TypeScript, cloud deployment (AWS/GCP/Azure) and DevOps tooling.
* Prior startup or founding engineer experience, balancing craft, ownership, and speed.
 We’re working against an incredibly ambitious mission. It won’t be easy, but it will likely be the most fulfilling work of your career. If this excites you, let's chat, even if you don't meet all of the qualifications above.
**Our Values**
**Dream bigger:** 
 We have the unique privilege of taking on the most ambitious problems and we should chase them with optimism, responsibility, and genuine belief that we can make it happen. We have to embrace the hard things when no one else will.
**Heart in the game:** 
 What we're doing matters and we have to give a shit. Internally, that means fixing badness when you find it. Externally, it means honoring the trust our customers place in us with their most important problems. This isn’t a 9\-5, nor is it a job we’re ever going to monitor your hours. We promise to put work in front of you that matters and in return, we ask you to promise to care.
**Win for the customer:** 
 Everyone is an engineer and the job of an engineer is to deliver outcomes, not outputs. Everything we do—the products we build, the partnerships we launch, the strategy we set—exists to make our customers successful. Delivery is the strategy.
**Make the call:** 
 Organizations are only as strong as the pace at which they make decisions. Everyone at Percepta should feel empowered to commit and shape the ambiguity in front of them. But "make the call" cuts both ways: make the decision
 *and* 
 make the phone call. High\-agency decision\-making only works with high\-bandwidth communication and we commit to never operate in silos.
**Intensity with kindness:** 
 We believe in excellence in execution, candor in feedback, ruthlessness in prioritization, and survivalist urgency. We also believe you don't need to be an asshole to deliver on any of this. The trust built through shared kindness and vulnerability is what makes the intensity sustainable.</t>
        </is>
      </c>
    </row>
    <row r="78">
      <c r="A78" t="inlineStr">
        <is>
          <t>li-4378472175</t>
        </is>
      </c>
      <c r="B78" t="inlineStr">
        <is>
          <t>Staff Machine Learning Engineer, AI Product and Platform</t>
        </is>
      </c>
      <c r="C78" t="inlineStr">
        <is>
          <t>BetterUp</t>
        </is>
      </c>
      <c r="D78" t="inlineStr">
        <is>
          <t>linkedin</t>
        </is>
      </c>
      <c r="E78" t="inlineStr"/>
      <c r="F78" t="inlineStr"/>
      <c r="G78" t="inlineStr">
        <is>
          <t>New York, United States</t>
        </is>
      </c>
      <c r="H78" t="inlineStr"/>
      <c r="I78" t="inlineStr">
        <is>
          <t>**Let’s face it, a company whose mission is human transformation better have some fresh thinking about the employer/employee relationship.**
 We do. We can’t cram it all in here, but you’ll start noticing it from the first interview.
 Even our candidate experience is different. And when you get an offer from us (and accept it), you get way more than a paycheck. You get a personal BetterUp Coach, a development plan, a trained and coached manager, the most amazing team you’ve ever met (yes, each with their own personal BetterUp Coach), and most importantly, work that matters.
 This makes for a remarkably focused and fulfilling work experience. Frankly, it’s not for everyone. But for people with fire in their belly, it’s a game\-changing, career\-defining, soul\-lifting move.
**Join us and we promise you the most intense and fulfilling years of your career, doing life\-changing work in a fun, inventive, soulful culture.**
 If that sounds exciting—and the job description below feels like a fit—we really should start talking.
 AI is transforming the future of coaching—and BetterUp is at the forefront of that transformation. We’re seeking a creative, product\-minded machine learning engineer who’s eager to roll up their sleeves and help shape what comes next alongside our world\-class team.
 The ideal candidate is motivated by impact, thrives in fast\-paced and ambiguous environments, and brings clarity where there’s complexity. You’re someone who values empowering your teammates as much as your own growth, and who stays focused on what matters most: delivering meaningful, human\-centered value to our members and customers.
 At BetterUp, we support and challenge one another to grow, always with empathy and excellence. We’re looking for someone who shares our commitment to continuous learning, who takes pride in craftspersonship, and who believes deeply in the power of technology to drive positive change in the world. And because we know peak performance comes from balance, we foster a culture that supports you in bringing your full self to our mission.
**We are a hybrid company with a focus on in\-person collaboration when necessary. Employees are expected to be available to work from one of our office hubs at least two days per week, or eight days per month. Our US hub locations include: Austin, TX; New York City, NY; San Francisco, CA; and the Arlington, VA metro area. Please ensure you can realistically commit to this structure before applying.**
**What You’ll Do**
* Design and deliver state\-of\-the\-art Generative AI systems and experiences that set the standard for quality, engagement, and trust in coaching.
* Mentor and elevate engineers at all levels through technical guidance, code and design reviews, and thought partnership, raising the bar for engineering excellence.
* Collaborate deeply with cross\-functional partners across product, research, design, and engineering, to ship and scale first\-of\-their\-kind AI coaching products.
* Shape direction and scope by developing a deep understanding of customer needs and translating them into technical strategy and product roadmaps.
* Stay ahead of the curve in Generative AI research and practice, leading conversations on emerging technologies and how to responsibly bring them into production.
**If you have some or all of the following, please apply:**
* 7\+ years as an ML engineer and 3\+ years of hands\-on experience building and shipping products on top of leading LLMs
* Proven track record designing, implementing, and evaluating LLM outputs
* Experience fine\-tuning smaller models or adapting foundation models to improve quality, engagement, and scalability
* Background at a leading AI research lab or equivalent experience staying at the forefront of Applied ML/AI, GenAI, with strong software engineering skills and a deep understanding of LLM internals
* A high degree of initiative and ownership, combined with the ability to navigate ambiguity and adapt quickly to change
* Experience working collaboratively in a cross\-functional team and with people at all levels in an organization
* Alignment with BetterUp's mission of enabling individuals to maximize their potential
* Ability to communicate complex ideas effectively to both technical and non\-technical audiences, verbally and in writing
* A passion for continuous learning, customer empathy, and a desire to innovate within a fast\-paced environment.
**AI at BetterUp**
 Our team thrives at the intersection of human expertise and AI capability. As an AI\-forward company, adaptation and continuous learning are part of our daily work. We're looking for teammates who are excited to evolve alongside technology – people who experiment boldly, share their discoveries openly, and help define best practices for AI\-augmented work. These professionals thoughtfully integrate AI into their work to deliver exceptional results while maintaining the human judgment and creativity that drives real innovation. During our interview process, you’ll have opportunities to showcase how you harness AI to learn, iterate, and amplify your impact.
**Benefits**
 At BetterUp, we are committed to living out our mission every day and that starts with providing benefits that allow our employees to care for themselves, support their families, and give back to their community.
* Access to BetterUp coaching; one for you and one for a friend or family member
* A competitive compensation plan with opportunity for advancement
* Medical, dental, and vision insurance
* Flexible paid time off
* Per year:
+ All federal/statutory holidays observed
+ 4 BetterUp Inner Workdays (https://www.betterup.co/inner\-work)
+ 5 Volunteer Days to give back
+ Learning and Development stipend
+ Company wide Summer \&amp; Winter breaks
* Year\-round charitable contribution of your choice on behalf of BetterUp
* 401(k) self contribution
 We are dedicated to building diverse teams that fuel an authentic workplace and sense of belonging for each and every employee. We know applying for a job can be intimidating, please don’t hesitate to reach out — we encourage everyone interested in joining us to apply.
 BetterUp Inc. provides equal employment opportunities (EEO) to all employees and applicants for employment without regard to race, color, religion, sex, national origin, disability, genetics, gender, sexual orientation, age, marital status, veteran status. In addition to federal law requirements, BetterUp Inc.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At BetterUp, we compensate our employees fairly for their work. Base salary is determined by job\-related experience, education/training, residence location, as well as market indicators. The range below is representative of base salary only and does not include equity, sales bonus plans (when applicable) and benefits. This range may be modified in the future.
 The base salary range for this role is as follows:
 New York City and San Francisco:
 **$228,000 \- $313,500**
 Austin, Arlington, and Chicago:
 **$205,200 \- $282,150**
*Protecting your privacy and treating your personal information with care is very important to us, and central to the entire BetterUp family. By submitting your application, you acknowledge that your personal information will be processed in accordance with our* 
*Applicant Privacy Notice* 
*. If you have any questions about the privacy of your personal information or your rights with regards to your personal information, please reach out to support@betterup.co*</t>
        </is>
      </c>
    </row>
    <row r="79">
      <c r="A79" t="inlineStr">
        <is>
          <t>li-4378456451</t>
        </is>
      </c>
      <c r="B79" t="inlineStr">
        <is>
          <t>Senior AI Engineer (Generative AI &amp; Agentic Systems)</t>
        </is>
      </c>
      <c r="C79" t="inlineStr">
        <is>
          <t>Coforge</t>
        </is>
      </c>
      <c r="D79" t="inlineStr">
        <is>
          <t>linkedin</t>
        </is>
      </c>
      <c r="E79" t="inlineStr"/>
      <c r="F79" t="inlineStr"/>
      <c r="G79" t="inlineStr"/>
      <c r="H79" t="inlineStr"/>
      <c r="I79" t="inlineStr">
        <is>
          <t>Job Title:
 **Senior AI Engineer (Generative AI \&amp; Agentic Systems)** 
 Skills: AI Lead, Solution Design, Generative AI
 Experience:12\+ Years
 Location: Oaks, Pennsylvania ( Hybrid)
 Job Type: Full \-Time
 We at Coforge are looking for an
 **Senior AI Engineer** 
 with the following skills.
**Overview:** 
 Coforge is seeking a highly skilled Senior AI Engineer to design, build, and deploy our next generation of intelligent systems. In this highly technical, hands\-on role, you will focus on the end\-to\-end development of enterprise\-grade AI agents and sophisticated multi\-agent RAG pipelines. You will leverage the Azure ecosystem and cutting\-edge machine learning frameworks to build scalable, high\-performing AI microservices that solve complex financial challenges and drive internal automation.
**Key Responsibilities:** 
**AI \&amp; Agent Development** 
* Build, configure, and deploy enterprise\-grade AI agents utilizing Azure AI Foundry SDKs and declarative Copilot Studio Agents.
* Develop robust multi\-agentic RAG systems leveraging advanced frameworks, including LangChain, LangGraph, CrewAI, and Semantic Kernel.
* Implement intelligent Smart Search systems for fast retrieval over unstructured data (such as PDFs, images, and scanned documents) using RAG and multimodal LLMs.
* Engineer specialized automated agents, such as Data Analyst Agents for insight generation across structured datasets.
**Backend Engineering \&amp; Orchestration** 
* Build, and deploy robust MCP\-compatible FastAPI microservices.
* Integrate Agent\-to\-Agent (A2A) protocols and SSE\-based streaming logs to ensure modular, scalable orchestration between system components.
* Create and maintain custom developer tools, including Visual Studio Code extensions, for automated code generation, QA validation, and workflow acceleration.
* Set up and optimize Azure ML project integrations, CI/CD pipelines, and cloud deployments to enable real\-time applications.
**Requirements:** 
* **Engineering Experience:** 
 Extensive hands\-on background in Generative AI, LLMs, Machine Learning, and Deep Learning neural networks.
* **Languages \&amp; Tooling:** 
 Advanced programming proficiency in Python, alongside experience with tools like VSCode, JupyterLab, Kubernetes, and Spark.
* **Cloud Platforms:** 
 Deep, practical knowledge of deploying AI workloads on the Azure stack, specifically utilizing Azure AI Foundry, Azure ML Studio, and Azure Databricks.
* **Models:** 
 Proven experience developing solutions powered by top\-tier models like GPT\-4\.0/4\.1, Claude, and Phi\-4\.
* **Methodology:** 
 Strong grasp of Agile methodologies, test\-driven development, and the full software development life cycle (SDLC)
- 
**What We Offer:** 
* Lead the development of cutting\-edge AI solutions for financial systems.
* Dynamic work environment with a focus on technical innovation and professional growth.</t>
        </is>
      </c>
    </row>
    <row r="80">
      <c r="A80" t="inlineStr">
        <is>
          <t>li-4368443684</t>
        </is>
      </c>
      <c r="B80" t="inlineStr">
        <is>
          <t>Staff Machine Learning Engineer-CAM Robotics</t>
        </is>
      </c>
      <c r="C80" t="inlineStr">
        <is>
          <t>Talently</t>
        </is>
      </c>
      <c r="D80" t="inlineStr">
        <is>
          <t>linkedin</t>
        </is>
      </c>
      <c r="E80" t="inlineStr"/>
      <c r="F80" t="inlineStr"/>
      <c r="G80" t="inlineStr">
        <is>
          <t>San Francisco, CA</t>
        </is>
      </c>
      <c r="H80" t="inlineStr"/>
      <c r="I80" t="inlineStr">
        <is>
          <t>**Job Title:** 
 Staff ML Algorithms Engineer
**Location:** 
 Hybrid \- San Francisco, California, United States
**Salary:** 
 $160\-220K\+ Equity
**Skills:** 
 Machine Learning, Reinforcement Learning, Geometry, Production ML Systems, Recommenders, Python, C\+\+
**About the Engineering Company / The Opportunity:** 
 Are you passionate about applying advanced machine learning and optimization techniques to solve real\-world engineering problems? This hybrid role in San Francisco offers the chance to build production systems that intelligently leverage CAD/manufacturing data and user feedback to deliver smarter tools and workflows. If you thrive working with domain\-specific data and creating next\-generation recommendation engines, this is a unique opportunity for you.
**Responsibilities:** 
* Build intelligence systems atop CAD/CAM and manufacturing datasets.
* Develop recommendation engines for tools, process parameters, and operation workflows.
* Design and deploy feedback loops that learn from user edits and human\-in\-the\-loop responses.
* Apply machine learning, reinforcement learning, and numerical optimization to complex engineering challenges.
* Integrate deterministic algorithms with data\-driven models for robust solutions.
* Collaborate closely with front\-end and back\-end engineering teams to deliver production\-ready ML systems.
**Must\-Have Skills:** 
* Hands\-on experience with production machine learning systems.
* Expertise in recommenders, ranking models, or optimization techniques.
* Proficiency working with structured and domain\-specific engineering data.
* Strong foundations in applied machine learning methodologies.
**Nice\-to\-Have Skills:** 
* CAD/CAM robotics or advanced geometry experience.
* Background in offline reinforcement learning, multi\-armed bandits, or preference learning algorithms.
* Development experience using C\+\+ (geometry algorithms) or Python (applied ML).
* Familiarity with multimodal interfaces spanning text, drawing, and action\-based inputs.</t>
        </is>
      </c>
    </row>
    <row r="81">
      <c r="A81" t="inlineStr">
        <is>
          <t>li-4378464289</t>
        </is>
      </c>
      <c r="B81" t="inlineStr">
        <is>
          <t>Senior AI Engineer - Agentic Platform Lead</t>
        </is>
      </c>
      <c r="C81" t="inlineStr">
        <is>
          <t>EVONA</t>
        </is>
      </c>
      <c r="D81" t="inlineStr">
        <is>
          <t>linkedin</t>
        </is>
      </c>
      <c r="E81" t="inlineStr"/>
      <c r="F81" t="inlineStr"/>
      <c r="G81" t="inlineStr">
        <is>
          <t>Los Angeles, CA</t>
        </is>
      </c>
      <c r="H81" t="inlineStr"/>
      <c r="I81" t="inlineStr">
        <is>
          <t>Senior AI Engineer – Agentic Platform Lead
**Locations:** 
 Los Angeles, CA \| Washington, D.C. \| Seattle, WA
**Salary Range:** 
 $165,000 – $250,000 USD
 EVONA is partnering with a
 **leading defense, national security, and space technology company** 
 to hire a
 **Senior AI Engineer – Agentic Platform Lead** 
 .
 This organization builds mission\-critical systems that operate at the intersection of advanced AI, complex hardware, and real\-world constraints. Their work directly supports national security, space infrastructure, and next\-generation aerospace systems.
 This is a senior, hands\-on technical leadership role for an engineer who thrives in ambiguity, moves fast, and uses AI as leverage to eliminate friction in complex engineering workflows.
 The Role
 Our client is seeking a
 **Senior AI Engineer – Agentic Platform Lead** 
 to serve as a senior technical leader within a specialized
 **Agentic Computational Engineering (ACE)** 
 team.
 You will architect and build a
 **multi\-agent AI platform** 
 that enables autonomous agents to design complex hardware systems end\-to\-end. You will own the technical roadmap for this platform, lead a small high\-caliber team, and work closely with domain experts across propulsion, electronics, and manufacturing.
 This role is ideal for a builder who is excited about turning cutting\-edge AI research into real, deployable industrial capability.
 What You’ll Build
* A scalable agentic AI platform supporting autonomous hardware design
* Distributed orchestration systems coordinating large numbers of AI agents
* Secure execution environments where agents run code, simulations, and analyses
* Memory, retrieval, and provenance systems (RAG, vector databases, decision logs)
* High\-performance, observable systems operating at scale
 Key Responsibilities
* Architect and own the full\-stack agentic AI platform, including orchestration, runtimes, and services
* Design distributed systems (orchestrator–worker, swarms, event\-driven architectures) for agent coordination
* Build secure execution layers integrating internal tools, simulations, and data sources
* Implement memory, context, and decision\-tracking systems for agent reasoning and traceability
* Profile and optimize performance for latency, reliability, and observability
* Lead and mentor a small team of engineers and technical contributors
* Partner with engineering domain experts to translate real workflows into scalable agentic capabilities
* Influence long\-term technical strategy for agentic AI across the organization
**Required Qualifications**
* Master’s \+ 5 years, or PhD \+ 3 years in Computer Science, Physics, Mathematics, or equivalent experience
* 5\+ years building production\-grade backend or distributed systems in mission\-critical environments
* Strong experience with Python, Go, or Rust and modern microservice architectures
* Hands\-on experience with LLM\-based systems and agent frameworks (e.g., LangGraph, AutoGen, or custom runtimes)
* Demonstrated AI\-first workflow, using LLMs and agents to materially accelerate development
* Proven technical leadership in fast\-moving, ambiguous environments
**Preferred Qualifications**
* Background in Mechanical, Aerospace, Electrical Engineering, Physics, or Applied Mathematics
* Experience integrating AI agents with engineering tools (CAD/CAE, simulation, manufacturing platforms)
* Experience with observability stacks (logging, tracing, metrics)
* Experience building safety\-critical or mission\-critical platforms
* Open\-source contributions or personal projects demonstrating deep system\-building expertise
**Compensation \&amp; Benefits**
* Competitive base salary: $165,000 – $250,000 USD
* Annual bonus potential
* Comprehensive health, retirement, and wellness benefits
* Paid time off</t>
        </is>
      </c>
    </row>
    <row r="82">
      <c r="A82" t="inlineStr">
        <is>
          <t>li-4378472191</t>
        </is>
      </c>
      <c r="B82" t="inlineStr">
        <is>
          <t>AI Engineer, Quality</t>
        </is>
      </c>
      <c r="C82" t="inlineStr">
        <is>
          <t>RemoteHunter</t>
        </is>
      </c>
      <c r="D82" t="inlineStr">
        <is>
          <t>linkedin</t>
        </is>
      </c>
      <c r="E82" t="inlineStr"/>
      <c r="F82" t="inlineStr"/>
      <c r="G82" t="inlineStr"/>
      <c r="H82" t="inlineStr"/>
      <c r="I82" t="inlineStr">
        <is>
          <t>**About the Company** 
 : The organization operates in the assurance and audit sector, focusing on cybersecurity, privacy, and financial audit within global commerce and capital markets. It addresses the challenge of enabling trust between businesses by automating and streamlining the work of audit and assurance practitioners through specialized software. The company supports over 50 of the top 100 accounting and consulting firms, working in a market valued at over $100 billion. It functions as a remote\-first company with a base in San Francisco, backed by notable investors in technology and venture capital. The team values diversity and a supportive culture with a strong emphasis on collaboration and mutual growth.
**About the Rol** 
 e: The AI Engineer, Quality will develop and maintain the evaluation infrastructure that ensures AI agents perform reliably at enterprise scale. This role focuses exclusively on elevating evaluations as a core engineering practice by creating unified platforms, automated testing pipelines, and feedback mechanisms to assess new AI models quickly across critical workflows. The position contributes to maintaining high standards of quality and reliability for AI\-driven audit workflows, influencing both product development and customer satisfaction. It requires close collaboration with machine learning engineers and subject matter experts and emphasizes in\-person teamwork at the San Francisco office
**.
 Responsibiliti** 
 e
* s:
 Design and build a unified evaluation platform for agentic systems and audit workfl
* owsDevelop observability tools to track agent behavior, execution, and failures in product
* ionManage evaluation infrastructure, including integration with LangSmith and LangGr
* aphTranslate customer needs into actionable agent behaviors and workfl
* owsIntegrate LLMs, tools, retrieval systems, and logic into reliable agent experien
* cesCreate automated pipelines for rapid model evaluation across critical workfl
* owsDesign evaluation frameworks measuring effectiveness, consistency, latency, and c
* ostImplement monitoring systems to detect quality regressions before customer imp
* actUse AI\-driven methods for designing, building, testing, and iterating evaluati
* onsCollaborate with SMEs and ML engineers to curate evaluation datasets from production d
* ataDevelop prompts, retrieval pipelines, and orchestration systems for scalable performa
* nceDefine and document evaluation standards and best practices for the engineering t
* eamPromote evaluation\-driven development and facilitate evaluation processes for the t
* eamPartner with product and ML teams to embed evaluation requirements from project st
* artOwn large product areas related to evaluation infrastructure and quality assura
**nce
 Qualificat** 
 i
* ons:
 Multiple years of experience delivering production software in complex sy
* stemsProficiency with TypeScript, React, Python, and Pos
* tgresExperience building and deploying LLM\-powered features in production environ
* mentsExperience implementing evaluation frameworks for model outputs and agent beha
* viorsStrong understanding of AI evaluation as an integral engineering fun
* ctionAbility to make data\-driven decisions and measure key performance me
* tricsExperience with building production\-grade observability and feedback sy
* stemsStrong product judgement and independence in decision\-m
* akingPreference for rapid prototyping and iterative, reliable system develo
**pment
 Pay Range and Compensation P** 
 ackage: The pay range and compensation package for this role will be determined based on the candidate’s experience, skills, and other relevant fa
**ctors.
 Equal Opportunity St** 
 atement: Our client is an equal opportunity employer. They celebrate diversity and are committed to creating an inclusive environment for all employees. All qualified applicants will receive consideration for employment without regard to race, color, religion, gender, gender identity or expression, sexual orientation, or national
 origin.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83">
      <c r="A83" t="inlineStr">
        <is>
          <t>li-4314401368</t>
        </is>
      </c>
      <c r="B83" t="inlineStr">
        <is>
          <t>AI Engineer / Full-Stack Engineer (Hybrid Philadelphia)</t>
        </is>
      </c>
      <c r="C83" t="inlineStr">
        <is>
          <t>Fingerpaint Group</t>
        </is>
      </c>
      <c r="D83" t="inlineStr">
        <is>
          <t>linkedin</t>
        </is>
      </c>
      <c r="E83" t="inlineStr"/>
      <c r="F83" t="inlineStr"/>
      <c r="G83" t="inlineStr">
        <is>
          <t>Philadelphia, PA</t>
        </is>
      </c>
      <c r="H83" t="inlineStr"/>
      <c r="I83" t="inlineStr">
        <is>
          <t>**Description**
*Position at Fingerpaint Marketing*
 Reset your expectations of what a healthcare agency can be. Fingerpaint was founded on a simple, powerful idea: Put people first. By replacing egos with a "Never Paint by Number" philosophy, we empower our teams to create truly original work while delivering integrated marketing and life sciences solutions for patients and providers alike. Fiercely independent, we blend empathy, creativity, and data to solve the industry’s most complex challenges, empowering bold thinkers to craft with the courage and purpose needed to break the mold.
 We are looking for an AI Agent Engineer to architect and build full stack systems that bring agentic ideas to life! wet paint is Fingerpaint’s innovation lab for testing and applying AI, so named for its fresh and fluid spirit. We’re a small team of high\-agency T\-shaped makers who love to build new ideas together. We’ve been busy applying all forms of AI—analytical, predictive, and generative—to deliver higher quality client solutions more efficiently. Without sacrificing security or privacy.
**At Wet Paint, We Value**
* Thinking AI\-first
* Makings, not meetings
* Demos, not docs or plans
* An intense bias for action
* Learn\-it\-alls who have a strong autodidactic streak
 Please note that this is a hybrid role that requires 2 days per week onsite in Philadelphia, PA.
 Why We Need You!
 wet paint is at a critical growth juncture. We need an AI Agent Engineer who can help us bring more of our best ideas out of the lab and into the real world, from concept to deployment. You'll work on adding an agentic layer to everything wet paint touches, ensuring that the impact of the products, services, and experiences we build gets force multiplied by AI.
 Here's What You'll Be Doing!
 As Our AI Agent Engineer, You’ll Help Us Design, Build, And Scale Agent\-based Solutions That Reimagine Our Existing Workflows And Systems. You’ll Work Closely With Strategy, Design, And Data Science Teammates To Make Our Best GenAI Ideas Tangible. This Will Require You Wear Many Hats And Touch Every Part Of Our Tech Stack. On Any Given Day You Might
* Prototype a promising new idea
* Improve existing agency processes and services by integrating agentic workflows
* Ship new features for PRISM Insights, our data science platform
* Craft beautiful, intuitive front\-end experiences that work flawlessly across devices
* Optimize our backend for maximum performance and scalability
* Dive deep into our analytics to understand user behavior and inform product decisions
* Experiment with new technologies and methodologies to keep our stack and our services cutting\-edge
* Shape the big picture strategy for where we go next with AI and agents as an agency and an industry
**You Need These Qualifications**
* You’re an indie hacker at heart, and can’t help but get your hands dirty building
* You’re all\-in on AI\-native workflows and tools: Bolt, v0, Cursor, Loveable, CrewAI, Replit, frontier LLMs, etc.
* You have a deep understanding of AI concepts, including GenAI, LLMs, machine learning, and computer vision
* You have a track record of shipping production\-quality full stack applications
* Your coding skills are sharp in languages like Python or TypeScript and you're comfortable working with modern frameworks (e.g., React, Next.js)
* You excel at API integration
* You find database design and management to be a breeze
* You love problem solving and have a passion for innovation
 It Would Be Nice If…
* You have experience with cloud platforms like AWS, Google Cloud, or Azure
* You've contributed to open\-source projects or have a portfolio of side projects
* You're familiar with containerization technologies like Docker
* You have knowledge on AI ethics and responsible AI development
 Don’t meet every single requirement? That’s okay! Studies have shown that women and people of color are less likely to apply to jobs unless they meet every single qualification. At Fingerpaint, we are dedicated to building a diverse, inclusive, and authentic workplace, so if you’re excited about this role but your experience doesn’t align perfectly, we encourage you to apply anyway. You may be just the right candidate for this or other roles! Our team of qualified recruiters can match you with the right opportunity. Fingerpaint Group provides equal employment \[and affirmative action] opportunities to all applicants and employees. We are proud to recruit qualified applicants without regard to race, color, religion, gender, age, ethnic or national origin, protected veteran status, physical or mental disability, sexual orientation, gender identity, marital status, or citizenship status.</t>
        </is>
      </c>
    </row>
    <row r="84">
      <c r="A84" t="inlineStr">
        <is>
          <t>li-4379706071</t>
        </is>
      </c>
      <c r="B84" t="inlineStr">
        <is>
          <t>Scientific Lead - Forward Deployed AI Engineer, Applied Intelligence for Discovery</t>
        </is>
      </c>
      <c r="C84" t="inlineStr">
        <is>
          <t>BioSpace</t>
        </is>
      </c>
      <c r="D84" t="inlineStr">
        <is>
          <t>linkedin</t>
        </is>
      </c>
      <c r="E84" t="inlineStr"/>
      <c r="F84" t="inlineStr"/>
      <c r="G84" t="inlineStr">
        <is>
          <t>San Francisco, CA</t>
        </is>
      </c>
      <c r="H84" t="inlineStr"/>
      <c r="I84" t="inlineStr">
        <is>
          <t>At Lilly, we unite caring with discovery to make life better for people around the world. We are a global healthcare leader headquartered in Indianapolis, Indiana. Our employees around the world work to discover and bring life\-changing medicines to those who need them, improve the understanding and management of disease, and give back to our communities through philanthropy and volunteerism. We give our best effort to our work, and we put people first. We’re looking for people who are determined to make life better for people around the world.
**The Opportunity**
 We are building something unprecedented — an AI foundation that will push the frontier on what is possible today across drug discovery research, from target identification and disease biology through translational science.
 The Applied Intelligence for Discovery (AI4D) team is a newly formed group within Lilly Research Laboratories that operates at the intersection of scientific delivery and core platform development. AI4D’s mission is to connect scientists to petabyte\-scale data through natural language interfaces, automated analysis workflows, and intelligent search — and to convert early deployments into repeatable system standards and evaluation practices that scale across therapeutic areas.
 The Forward Deployed AI Engineer is the connective tissue between what AI can do and what discovery scientists need it to do. You will embed directly with research teams across therapeutic areas translating real\-world data, infrastructure, and scientific constraints into production systems that collapse the time from question to answer from days or weeks to minutes. You will measure success through production adoption, measurable workflow impact, and eval\-driven feedback loops that inform platform and model roadmaps. This is not a traditional software engineering or data science role. You will sit with biologists, geneticists, and computational scientists working with petabytes of multi\-omics data, leading end\-to\-end deployments from scoping through sustained production use.
 Key Responsibilities
* Embed with computational biology and disease biology teams in your assigned therapeutic area to develop deep understanding of their workflows, data, tools, and bottlenecks
* Translate use\-cases into concrete, testable prototypes with clear success criteria. Rapidly turn ideas into a working demo, complete with evaluation benchmarks that tighten acceptance criteria over time
* Design and ship production systems quickly that solve specific scientific problems; owning integrations, data provenance, reliability, and on\-call readiness
* Apply LLM, retrieval\-augmented generation (RAG), text\-to\-SQL, agentic AI frameworks, and other emerging approaches to drug discovery challenges including target identification, biomarker prioritization, mechanism of action studies, and extraction of insight from large\-scale multi\-omics datasets
* Run evaluation loops that measure model and system quality against workflow\-specific scientific benchmarks; use results to drive model selection, product changes, and iterative evidence generation that tightens acceptance criteria over time
* Distill deployment learnings into hardened primitives, reference architectures, validation templates, and benchmark harnesses that scale across therapeutic areas and accelerate future development
* Partner closely with AI/LLMOps engineers on the AI4D team to ensure your field\-tested solutions feed back into the platform as reusable components, not one\-off builds
* Contribute to a culture of experimentation, speed, and evidence\-based impact measurement within the AI4D group and the broader LRL research community
**Basic Qualifications**
* PhD in computational biology, bioinformatics, data science, computer science, or a related field, with 3\+ years of software/ML engineering or technical deployment experience; or equivalent demonstrated experience building and deploying AI/ML tools for scientific applications in biotech, pharma, or scientific software; MSin computational biology, bioinformatics, data science, computer science, or a related field, with 5\+ years of software/ML engineering or technical deployment experience; or equivalent demonstrated experience building and deploying AI/ML tools for scientific applications in biotech, pharma, or scientific software
**Additional Skills/Preferences**
* Strong programming skills in Python and familiarity with the modern AI/ML ecosystem, including experience with LLMs (API usage, prompt engineering, fine\-tuning), and common frameworks (PyTorch, HuggingFace, LangChain/LlamaIndex, or similar)
* Have owned AI deployments end\-to\-end from scoping through production adoption, and improved them through evaluation design, error analysis, and iterative evidence generation
* Sufficient biological knowledge to have productive conversations with computational scientists and understand the research context behind their problems; prior experience working with multi\-omics data (RNA\-seq, proteomics, GWAS, spatial transcriptomics, or similar) is strongly preferred
* Experience building data\-driven applications including interactive dashboards, natural language interfaces, or automated analysis pipelines
* Communicate clearly across scientific, computational, technical, and executive audiences, translating technical tradeoffs into decision quality and measurable outcomes; you build trust with scientists who have deep domain expertise and make complex technology approachable without being condescending
* Familiarity with cloud computing environments (AWS preferred) and version control (Git)
* Experience in pharmaceutical, biotech, or life sciences R\&amp;D environments
* Familiarity with agentic AI frameworks and building AI\-powered workflows that chain multiple models or tools together
* Experience with biological foundation models (e.g., scGPT, Geneformer for single\-cell; ESM for proteins; AlphaFold) or their application to research problems
* Knowledge of biomedical ontologies, knowledge graphs, or experience integrating heterogeneous biological data sources
* Track record of driving adoption of technical tools among non\-engineering users
* Contributions to open\-source projects or a public portfolio of applied AI work
 Lilly is dedicated to helping individuals with disabilities to actively engage in the workforce, ensuring equal opportunities when vying for positions. If you require accommodation to submit a resume for a position at Lilly, please complete the accommodation request form (https://careers.lilly.com/us/en/workplace\-accommodation) for further assistance. Please note this is for individuals to request an accommodation as part of the application process and any other correspondence will not receive a response.
 Lilly is proud to be an EEO Employer and does not discriminate on the basis of age, race, color, religion, gender identity, sex, gender expression, sexual orientation, genetic information, ancestry, national origin, protected veteran status, disability, or any other legally protected status.
 Our employee resource groups (ERGs) offer strong support networks for their members and are open to all employees. Our current groups include: Africa, Middle East, Central Asia Network, Black Employees at Lilly, Chinese Culture Network, Japanese International Leadership Network (JILN), Lilly India Network, Organization of Latinx at Lilly (OLA), PRIDE (LGBTQ\+ Allies), Veterans Leadership Network (VLN), Women’s Initiative for Leading at Lilly (WILL), enAble (for people with disabilities). Learn more about all of our groups.
 Actual compensation will depend on a candidate’s education, experience, skills, and geographic location. The anticipated wage for this position is
 $166,500 \- $266,200
 Full\-time equivalent employees also will be eligible for a company bonus (depending, in part, on company and individual performance). In addition, Lilly offers a comprehensive benefit program to eligible employees, including eligibility to participate in a company\-sponsored 401(k); pension; vacation benefits; eligibility for medical, dental, vision and prescription drug benefits; flexible benefits (e.g., healthcare and/or dependent day care flexible spending accounts); life insurance and death benefits; certain time off and leave of absence benefits; and well\-being benefits (e.g., employee assistance program, fitness benefits, and employee clubs and activities).Lilly reserves the right to amend, modify, or terminate its compensation and benefit programs in its sole discretion and Lilly’s compensation practices and guidelines will apply regarding the details of any promotion or transfer of Lilly employees.
 \#WeAreLilly</t>
        </is>
      </c>
    </row>
    <row r="85">
      <c r="A85" t="inlineStr">
        <is>
          <t>li-4376677117</t>
        </is>
      </c>
      <c r="B85" t="inlineStr">
        <is>
          <t>Global AI Engineering Leader</t>
        </is>
      </c>
      <c r="C85" t="inlineStr">
        <is>
          <t>Jobs via eFinancialCareers</t>
        </is>
      </c>
      <c r="D85" t="inlineStr">
        <is>
          <t>linkedin</t>
        </is>
      </c>
      <c r="E85" t="inlineStr"/>
      <c r="F85" t="inlineStr"/>
      <c r="G85" t="inlineStr">
        <is>
          <t>Chicago, IL</t>
        </is>
      </c>
      <c r="H85" t="inlineStr"/>
      <c r="I85" t="inlineStr">
        <is>
          <t>**About Northern Trust:**
 Northern Trust, a Fortune 500 company, is a globally recognized, award\-winning financial institution that has been in continuous operation since 1889\.
 Northern Trust is proud to provide innovative financial services and guidance to the world's most successful individuals, families, and institutions by remaining true to our enduring principles of service, expertise, and integrity. With more than 130 years of financial experience and over 22,000 partners, we serve the world's most sophisticated clients using leading technology and exceptional service.
 At Northern Trust, we're leading the AI evolution through our One Horizon AI Program, embedding responsible, enterprise\-scale AI capabilities to drive growth, resiliency, and productivity. With a start\-up perspective, we're fundamentally transforming how our business operates and how we serve our clients. We're building AI capabilities in the cloud, from agentic AI systems and agent workspaces to production ML pipelines
 **,** 
 along with the teams and responsible AI governance structures needed to support their development and deployment. Join us and be a part of our multi\-year transformation journey to embed responsible, scalable AI capabilities across the enterprise\-enabling intelligent automation, data\-driven insights, and enhanced client and partner experiences. You'll have access to cutting\-edge AI technologies and the latest development tools
 **,** 
 real autonomy to shape our AI strategy, and opportunities to solve unique challenges at the intersection of AI and finance as you help create the agentic AI future for Northern Trust.
 The Enterprise AI team at Northern Trust is part of our Technology group and performs data science research and develops applied AI solutions to solve problems that 1\) are not adequately addressed by available commercial solutions, 2\) enhance the customer and/or employee experience and 3\) provide Northern Trust with a competitive advantage. We are at the forefront of rolling out Generative AI solutions and frameworks for the bank from Proof of Concepts tofull stack development of solutions and vendor evaluations. We also serve to inspire and empower applied data science practitioners by facilitating high\-quality data science education and collaboration within Northern Trust as well as with top universities and research institutions.
 As a visionary AI Developer Leader, you will be a key player in developing, deploying, and maintaining state\-of\-the\-art Generative AI solutions within the Azure cloud environment. Your role will focus on leading a team of AI engineers and working closely with other teams and architects to complete projects and provide guidance general AI topics and trends. This role requires a deep and proven understanding of traditional machine learning, current AI technologies and patterns as well as cloud computing, software engineering principals as well as strong leadership and the ability to guide a team through the entire AI solution lifecycle, from concept to production.
 As a team manager, you will be expected to:
* Lead, mentor, and grow a team of AI developers, fostering a culture of innovation, collaboration, and continuous learning.
* Define and execute the technical global strategy for AI solution development on Microsoft Azure, ensuring alignment with business objectives.
* Oversee the design and development of AI models and algorithms to solve complex business problems.
* Drive the adoption of best practices in MLOps \&amp; LLMOps, ensuring scalable, reliable, and efficient AI model deployment and management.
* Stay abreast of the latest advancements in AI/ML technologies, particularly within the Azure ecosystem, and evaluate their potential application.
* Conduct code reviews, provide technical guidance, and contribute to the architectural design of AI systems.
* Poses excellent problem\-solving, analytical skills and strong communication and collaboration abilities.
* Ensure the scalability, reliability, and security of AI solutions.
* Manage project timelines, budgets, and resources
* Communicate project status and results to stakeholders.
* Have proven experience with Azure AI services, including Azure Machine Learning, Cognitive Services, Copilot Studio and AI Foundry (or similar ISP tools).
* Have a deep understanding of Generative AI and LLMs, evaluation metrics and theory behind LLMs \&amp; conversational AI
* Full understanding of the Retrieval Augmented Generation (RAG) pattern and various tradeoffs.
* Have a working knowledge of MCP and A2A protocols for Agentic based flows.
* Have a working knowledge of AI based AI frameworks such as: LangChain, AutoGen, LangGraph, LamaIndex etc...
* Have a deep and working knowledge of IAC and automation
* Well versed in Software Quality Management (SQM) concepts and procedures.
* Be familiar with containerization i.e. Azure Kubernetes Service (AKS) for managing and scaling containerized AI applications.
* Comply with industry standards, best practices and regulations for AI solutions.
* Work across multiple projects in a fluid environment where work is required across the full research lifecycle from forming a hypothesis, acquiring data, and developing ETL\-style software to presenting findings.
* Provide guidance to other software development teams as prototypes and frameworks are engineered for full production environments
 To be successful, you'll have: proven experience in:
* AI/ML development (5\+ years), with at least 2 years in a leadership or management role.
* Infrastructure as code (IAC) experience in any language, Terraform is preferred
* Full stack Azure application development
* Security related concepts and controls, particularly in the cloud environment: OAuth, virtual networks, subnets, private endpoints, authentication mechanisms, identities and RBAC.
* Data protection and encryption techniques and tooling such as key vaults, encryption keys, masking and concepts such as BYOK.
* DevOps including CI/CD techniques and tools particularly Azure based and Github repos
* Running large scale (either in parallel and/or distributed) training and inference jobs on private or public cloud infrastructure
* Developing open\-source software in a collaborative environment, desired but not required.
* Experience in any Graph Database development is desired but not required.
 Tools/Languages required : Python, Common Python libraries (NumPy , Pandas, Sklearn, etc.), Linux based operating systems, and basic development tools (Python IDEs, source control, etc.)
 Tools/Languages preferred : Advanced distributed machine learning frameworks (e.g. Keras, TF, etc.)
 Education required : Computer Science undergraduate degree and strong statistical background.
 Preferred Qualifications : Data Science graduate degree, finance sector experience or coursework.
 Certifications : Certifications in Azure Security or DevOps are preferred, but not required. Azure AI Engineer Associate or equivalent are preferred, but not required.
 Salary Range:
 $164,600 \- 288,000 USD
 Salary range is a good faith estimate of base pay. Northern Trust provides a comprehensive benefits package including retirement benefits (401k and pension), health and welfare benefits (medical, dental, vision, spending accounts and disability), paid time off, parental and caregiver leave, life \&amp; accident insurance, and other voluntary and well\-being benefits. Northern Trust also provides a discretionary bonus program that may include an equity component.
**Working with Us:**
 As a Northern Trust partner, greater achievements await. You will be part of a flexible and collaborative work culture in an organization where financial strength and stability is an asset that emboldens us to explore new ideas.
 Movement within the organization is encouraged, senior leaders are accessible, and you can take pride in working for a company committed to assisting the communities we serve! Join a workplace with a greater purpose.
 We'd love to learn more about how your interests and experience could be a fit with one of the world's most admired and sustainable companies! Build your career with us and apply today. \#MadeForGreater
**Reasonable accommodation**
 Northern Trust is committed to working with and providing reasonable accommodations to individuals with disabilities. If you need a reasonable accommodation for any part of the employment process, please email our HR Service Center at MyHRHelp@ntrs.com .
 We hope you're excited about the role and the opportunity to work with us. We value an inclusive workplace and understand flexibility means different things to different people.
 Apply today and talk to us about your flexible working requirements and together we can achieve greater.</t>
        </is>
      </c>
    </row>
    <row r="86">
      <c r="A86" t="inlineStr">
        <is>
          <t>li-4363754381</t>
        </is>
      </c>
      <c r="B86" t="inlineStr">
        <is>
          <t>Machine Learning Engineer (LLMs / AI)</t>
        </is>
      </c>
      <c r="C86" t="inlineStr">
        <is>
          <t>ghSMART</t>
        </is>
      </c>
      <c r="D86" t="inlineStr">
        <is>
          <t>linkedin</t>
        </is>
      </c>
      <c r="E86">
        <f>HYPERLINK("https://www.linkedin.com/jobs/view/4363754381", "https://www.linkedin.com/jobs/view/4363754381")</f>
        <v/>
      </c>
      <c r="F86">
        <f>HYPERLINK("https://jobs.lever.co/ghsmartjobs/1dc7e2fc-2ae8-4e6d-8d59-17b97507f8d6/apply?source=LinkedIn&amp;urlHash=Qedq", "https://jobs.lever.co/ghsmartjobs/1dc7e2fc-2ae8-4e6d-8d59-17b97507f8d6/apply?source=LinkedIn&amp;urlHash=Qedq")</f>
        <v/>
      </c>
      <c r="G86" t="inlineStr"/>
      <c r="H86" t="inlineStr"/>
      <c r="I86" t="inlineStr">
        <is>
          <t>**Who We Are**
 ghSMART is a premier leadership advisory firm trusted by CEOs, boards, and investors to solve their most critical leadership and talent decisions. For more than 30 years, we’ve partnered with many of the world’s most influential leaders and organizations to build winning leadership teams and amplify positive impact. Recognized for excellence, ghSMART consistently earns top rankings in industry surveys (e.g., Vault Consulting awards) and is featured in Forbes’ list of America’s Best Management Consulting Firms. Our culture is entrepreneurial and collaborative, with a strong focus on innovation and client success. Our team is made up of nearly 200 extraordinary individuals across the U.S., Europe, and APAC, who become trusted advisors to these leaders, helping amplify their positive impact on the world. We advise on the art and science of building winning leadership teams, doing meaningful work every day.
**What You’ll Do**
 As a Machine Learning \&amp; Data Engineer, you will leverage ghSMART’s extensive, structured leadership dataset to build advanced AI solutions/agents and create new RAG‑based solutions. You’ll contribute to the evolution of our ghSMART Leadership Intelligence Platform, help drive research initiatives, and collaborate with academic partners. You will also support both data engineering and AI engineering efforts, ensuring systems, pipelines, and models work cohesively to power leadership insights at scale.
**Responsibilities**
* Design, build, and extend ML models (LLMs and traditional ML) that deliver high\-accuracy insights from ghSMART’s structured leadership dataset; own end\-to\-end experimentation, evaluation, and deployment.
* Develop RAG\-based agents and algorithms to unlock novel leadership insights from our research database.
* Integrate advanced solutions and AI Agents into the Leadership Intelligence Platform and partner cross\-functionally to align features with strategic objectives and user needs.
* Optimize data pipelines and workflows to ensure robust, efficient data ingestion, transformation, and model serving across engineering teams.
* Collaborate on research with academic partners and contribute to publications and thought leadership by validating findings with rigorous methods.
**You Bring**
* 5\+ years of ML engineering experience building and shipping large\-scale models and systems (training, tuning, inference, MLOps, monitoring).
* Hands\-on expertise with RAG frameworks and LLMs, including designing retrieval strategies, prompt orchestration, evaluation, and deployment at scale. Experience building AI agents via the LangChain, LangGraph framework is a plus.
* Strong data engineering fundamentals across pipelines, data quality, and feature engineering to support reliable ML workflows. Experience with Databricks and Azure is a plus.
* Security and privacy mindset, with experience applying best practices to protect sensitive data in ML systems.
* Collaborative, remote\-first working style with clear communication and ownership; familiarity with Salesforce (SFDC), Jira, Confluence, and Git.
**Why join ghSMART?**
**Meaningful Impact Everyday:** 
 We believe leadership is the greatest force for good. At ghSMART, whether you're guiding the world’s top leaders or helping power the firm from within, you play a vital role in solving our clients’ greatest challenge: building and developing talented, diverse teams that fuel lasting success. Together, we help leaders amplify their positive impact—on their organizations, their people, and the world.
**Exceptional team, grounded in generosity:** 
 We have a team of extraordinary people united by excellence, humility, and a shared purpose. You’ll collaborate with brilliant colleagues who challenge and support you. Here, exceptional talent meets deep respect—where people show up with heart, and everyone has a place.
**Freedom to Shape a Career with Purpose:** 
 You have the power to shape a career that aligns with your purpose—doing meaningful work that drives impact for the world’s top leaders. You’ll help solve challenges that matter while being supported by brilliant colleagues and trusted with the flexibility you need to recharge, perform at your best, and grow for the long term.
**Have your voice and talents recognized** 
 . We are a flat organization that values proactivity and ability over bureaucracy and tenure. All our decisions and actions are guided by our Values and Credo \- to help leaders amplify their positive impact on the world.
*Learn why our consultants love working* 
 here
 ***.***
 We are ranked \#1 or \#2 in 10 Consulting categories by Vault . See what others think about working at ghSMART on Glassdoor .
**Compensation**
 Certain US jurisdictions require ghSMART to include a reasonable estimate of the salary range for this role. We are built on a culture of freedom and flexibility, we operate fully remotely, and our team members balance deeply energizing, high intensity work, with flexible schedules to support life outside of work. Our compensation model reflects these values. Compensation for this role in the United States includes base salary, annual discretionary performance bonus, 401(k) plan with an annual employer contribution, and a comprehensive benefits package. You should reasonably expect a base salary of $160,000 \- $175,000\. In addition, we offer an annual discretionary performance bonus.
*Please be advised that all emails will originate from the @ghsmart.com domain; any other domains are fraudulent, should be ignored, and deleted.*
*ghSMART is an Equal Opportunity Employer committed to fostering an inclusive and diverse workplace across all of our global locations. We welcome applicants of all backgrounds and ensure equal employment opportunities without regard to race, color, religion, gender, gender identity or expression, sexual orientation, national origin, genetics, disability, age, or veteran status. Our global policies and practices are designed to support an environment of respect and equity for all.*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87">
      <c r="A87" t="inlineStr">
        <is>
          <t>li-4376122237</t>
        </is>
      </c>
      <c r="B87" t="inlineStr">
        <is>
          <t>Lead Applied Scientist (IR/NLP &amp; Applied AI)</t>
        </is>
      </c>
      <c r="C87" t="inlineStr">
        <is>
          <t>kadence</t>
        </is>
      </c>
      <c r="D87" t="inlineStr">
        <is>
          <t>linkedin</t>
        </is>
      </c>
      <c r="E87">
        <f>HYPERLINK("https://www.linkedin.com/jobs/view/4376122237", "https://www.linkedin.com/jobs/view/4376122237")</f>
        <v/>
      </c>
      <c r="F87" t="inlineStr"/>
      <c r="G87" t="inlineStr"/>
      <c r="H87" t="inlineStr"/>
      <c r="I87" t="inlineStr">
        <is>
          <t>Kadence Talent is partnered with a global software company, looking for a Lead Applied Scientist to drive breakthrough AI solutions from concept to production. This is a senior technical leadership role for someone who can combine deep research expertise with execution discipline, and deliver systems that create measurable business impact.
 You won’t just experiment. You will architect, build, ship, and scale.
**What You’ll Own** 
* Set technical direction and lead delivery of production\-grade AI systems
* Shape long\-term AI strategy in partnership with business and research leadership
* Architect and implement end\-to\-end IR/NLP solutions \- from modeling and experimentation to deployment and iteration
* Translate ambiguous, high\-stakes problems into scalable AI applications
* Drive cross\-functional alignment across Product, Engineering, UX, and business stakeholders
* Develop deep domain expertise in customer workflows, data, and problem spaces
* Establish high standards for scientific rigor, code quality, and operational excellence
* Mentor and elevate scientists and engineers; scale impact through leadership
* Contribute to the external AI community through research, publications, and conference participation
**What You Bring** 
* PhD in a relevant field, or Master’s with equivalent depth of applied experience
* 7\+ years building and shipping IR/NLP systems in commercial environments
* Demonstrated success delivering production AI systems with measurable outcomes
* Strong software engineering capability \- production code, system design, and delivery pipelines
* A bias toward action: ability to architect and prototype solutions rapidly in focused working sessions
* Experience leading applied research teams and scaling influence across organizations
* Exceptional problem\-solving ability and analytical rigor
* Clear, persuasive communicator who can align technical and non\-technical stakeholders
* Proven success operating in agile, fast\-moving environments with tight feedback loops
**Why this is Interesting** 
* Work at the frontier of applied AI with real\-world impact
* Influence strategy, not just execution
* Flexible work model and strong commitment to work\-life balance
* Competitive compensation and comprehensive benefits
* A culture that values ownership, speed, collaboration, and continuous growth</t>
        </is>
      </c>
    </row>
    <row r="88">
      <c r="A88" t="inlineStr">
        <is>
          <t>li-4366918769</t>
        </is>
      </c>
      <c r="B88" t="inlineStr">
        <is>
          <t>Lead Applied Scientist</t>
        </is>
      </c>
      <c r="C88" t="inlineStr">
        <is>
          <t>kadence</t>
        </is>
      </c>
      <c r="D88" t="inlineStr">
        <is>
          <t>linkedin</t>
        </is>
      </c>
      <c r="E88">
        <f>HYPERLINK("https://www.linkedin.com/jobs/view/4366918769", "https://www.linkedin.com/jobs/view/4366918769")</f>
        <v/>
      </c>
      <c r="F88" t="inlineStr"/>
      <c r="G88" t="inlineStr"/>
      <c r="H88" t="inlineStr"/>
      <c r="I88" t="inlineStr">
        <is>
          <t>**Lead / Senior Applied Scientist (NLP \&amp; Generative AI)** 
**Location:** 
 Hybrid or Remote (U.S. / Canada)
**Level:** 
 Senior–Lead IC (hands\-on technical leadership)
**About the Opportunity** 
 My client is a globally respected, mission\-driven technology company operating at massive scale, with products used daily by millions of professionals around the world. They are investing heavily in applied AI and are building a world\-class research\-to\-production organization focused on turning cutting\-edge NLP and Generative AI into real, customer\-facing impact.
 This team sits at the intersection of research, engineering, and product, not an internal R\&amp;D lab detached from reality. The work here directly shapes flagship products and influences how AI is deployed responsibly in high\-stakes, real\-world settings.
 If you’re excited by applied research, ownership, and shipping meaningful AI systems (not just prototypes), this is a rare chance to do that with scale, resources, and long\-term vision.
**What You’ll Work On** 
 As a Lead / Senior Applied Scientist, you’ll be a technical owner driving end\-to\-end AI solutions, from problem definition through production deployment. Your work will include:
* Designing and delivering NLP and Generative AI systems that power real products
* Building and improving information retrieval, RAG pipelines, LLM\-based workflows, and evaluation frameworks
* Translating ambiguous product or customer needs into well\-scoped ML problems
* Owning model development, experimentation, and optimization with a strong focus on quality, robustness, and measurable impact
* Partnering closely with product managers, engineers, and domain experts to ensure solutions are practical and scalable
* Acting as a technical leader and mentor, raising the bar for applied ML across the organization
* Contributing to longer\-term AI strategy and helping define best practices for responsible, production\-grade AI
 This is a hands\-on role. You’ll be writing code, running experiments, and making architectural decisions while also influencing direction and standards.
**What They’re Looking For** 
 They’re looking for someone who combines deep technical strength with strong applied instincts:
* Strong background in machine learning, NLP, and/or Generative AI
* Experience working with LLMs, retrieval systems, ranking, or search
* Comfortable taking models from concept → experiment → production
* Experience designing evaluation metrics and experiments for complex ML systems
* Strong Python skills and experience with modern ML tooling and frameworks
* Ability to communicate clearly across technical and non\-technical stakeholders
* Prior experience in an applied research or product\-focused ML team is a big plus
 A PhD or research background is valued, but practical impact and ownership matter just as much.
**Why This Role Is Compelling** 
* **Real impact:** 
 Your work ships and is used at scale
* **Serious AI investment:** 
 Long\-term commitment to applied AI, not a side project
* **High\-caliber peers:** 
 You’ll work alongside strong scientists and engineers
* **Autonomy \+ support:** 
 Ownership without chaos
* **Stability with ambition:** 
 Big problems, big data, and the resources to do it right</t>
        </is>
      </c>
    </row>
    <row r="89">
      <c r="A89" t="inlineStr">
        <is>
          <t>li-4379529954</t>
        </is>
      </c>
      <c r="B89" t="inlineStr">
        <is>
          <t>Entry level AI/ML Engineer: SVL</t>
        </is>
      </c>
      <c r="C89" t="inlineStr">
        <is>
          <t>Lensa</t>
        </is>
      </c>
      <c r="D89" t="inlineStr">
        <is>
          <t>linkedin</t>
        </is>
      </c>
      <c r="E89">
        <f>HYPERLINK("https://www.linkedin.com/jobs/view/4379529954", "https://www.linkedin.com/jobs/view/4379529954")</f>
        <v/>
      </c>
      <c r="F89">
        <f>HYPERLINK("https://lensa.com/cgw/3874e46745a74a9391baec44ab57285btjo1?jpsi=directemployers_no_redirect&amp;publisher_preference=easier_apply&amp;utm_campaign=Computer%20Occupations&amp;utm_medium=slot&amp;utm_source=linkedin&amp;utm_term=jse&amp;urlHash=9BB1", "https://lensa.com/cgw/3874e46745a74a9391baec44ab57285btjo1?jpsi=directemployers_no_redirect&amp;publisher_preference=easier_apply&amp;utm_campaign=Computer%20Occupations&amp;utm_medium=slot&amp;utm_source=linkedin&amp;utm_term=jse&amp;urlHash=9BB1")</f>
        <v/>
      </c>
      <c r="G89" t="inlineStr">
        <is>
          <t>San Jose, CA</t>
        </is>
      </c>
      <c r="H89" t="inlineStr"/>
      <c r="I89"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IBM. Clicking "Apply Now" or "Read more" on Lensa redirects you to the job board/employer site. Any information collected there is subject to their terms and privacy notice.
**Introduction**
 IBM Automation and AI group is seeking an entry level AI/ML Engineer specializing in machine learning and Large Language Models (LLMs) to join our AI/ML Center of Excellence team at the IBM Silicon Valley Lab location. In this role, you will collaborate with cross\-functional product teams to implement cutting\-edge AI/ML capabilities across IBM's Automation product portfolio. You will lead efforts in data collection for LLM training and evaluation, integrate LLM technologies into existing and new products, and establish best practices for AI/ML feature implementation by product teams.
**Your Role And Responsibilities**
 Data Collection and Management for LLM Evaluation and Training
* Design and implement robust data collection pipelines for diverse LLM training datasets leveraging the IBM AI Model \&amp; Data Catalog.
* Develop data quality assessment frameworks to ensure training data meets IBM's high standards
* Create annotation guidelines and workflows for specialized domain\-specific datasets
* Implement data governance protocols that ensure compliance with privacy regulations and ethical AI principles following the IBM Data \&amp; Model Governance process and tooling.
* Establish evaluation datasets and benchmarks to measure LLM performance across various use cases leveraging \[1] FM\-Eval and Unitxt.
 LLM Integration and Implementation
* Architect solutions to integrate LLMs with IBM's existing and emerging products and ecosystem
* Develop APIs and interfaces that enable seamless interaction between LLMs and other software components
* Optimize LLM deployment for various computing environments (cloud, edge, on\-premises)
* Implement techniques for model compression, quantization, and optimization to improve inference efficiency and minimize resource requirements
* Design and implement prompt engineering frameworks for consistent LLM behavior across products
 AI/ML Best Practices and Innovation
* Establish technical standards and best practices for AI/ML feature implementation
* Create reusable components and design patterns for common LLM use cases
* Develop monitoring systems to track model performance, drift, and potential biases
* Research and implement techniques for responsible AI, including explainability and fairness
* Collaborate with product teams to identify opportunities for AI\-driven innovation
 References
 Visible links
* https://github.ibm.com/IBM\-Research\-AI/fm\-eval
**Required Technical And Professional Expertise**
* Bachelor's or master's degree or higher in Computer Science, Machine Learning, AI, or related technical field
* Less than one year of experience in machine learning engineering or data science roles
* Demonstrated knowledge of NLP and large language models (e.g., transformer architectures) including model evaluation and algorithm design.
* Strong programming skills in Python and familiarity with ML frameworks (PyTorch, TensorFlow, or JAX)
* Experience with data processing pipelines and working with large datasets
* Knowledge of MLOps practices and tools for model deployment and monitoring
* Ability to work independently and collaborate effectively across diverse teams.
* Strong communication skills to explain complex AI concepts to diverse audiences
* Problem\-solving mindset with ability to navigate technical and business constraints
**Preferred Technical And Professional Experience**
* Experience with fine\-tuning and prompt engineering for LLMs
* Deep understanding of transformer architectures and attention mechanisms
* Proficiency in vector databases and embedding technologies
* Knowledge of model serving frameworks (TensorRT, ONNX, TorchServe)
* Familiarity with cloud platforms (IBM Cloud, AWS, Azure, GCP)
* Commitment to continuous learning in the rapidly evolving field of AI
 IBM is committed to creating a diverse environment and is proud to be an equal\-opportunity employer. All qualified applicants will receive consideration for employment without regard to race, color, religion, sex, gender, gender identity or expression, sexual orientation, national origin, caste, genetics, pregnancy, disability, neurodivergence, age, veteran status, or other characteristics. IBM is also committed to compliance with all fair employment practices regarding citizenship and immigration status.
 If you have questions about this posting, please contact support@lensa.com</t>
        </is>
      </c>
    </row>
    <row r="90">
      <c r="A90" t="inlineStr">
        <is>
          <t>li-4378002082</t>
        </is>
      </c>
      <c r="B90" t="inlineStr">
        <is>
          <t>Machine Learning Engineer (Computer Vision/Multimodal/Generative AI)</t>
        </is>
      </c>
      <c r="C90" t="inlineStr">
        <is>
          <t>SPREEAI</t>
        </is>
      </c>
      <c r="D90" t="inlineStr">
        <is>
          <t>linkedin</t>
        </is>
      </c>
      <c r="E90">
        <f>HYPERLINK("https://www.linkedin.com/jobs/view/4378002082", "https://www.linkedin.com/jobs/view/4378002082")</f>
        <v/>
      </c>
      <c r="F90" t="inlineStr"/>
      <c r="G90" t="inlineStr">
        <is>
          <t>San Francisco, CA</t>
        </is>
      </c>
      <c r="H90" t="inlineStr"/>
      <c r="I90" t="inlineStr">
        <is>
          <t>**About The Role**
 We are hiring Machine Learning Engineers who want to work on frontier problems in vision and generative AI where standard solutions break. You will work across photorealistic virtual try\-on, video\-based modeling, Smart Sizing, and multimodal representation learning. The work spans modern architectures such as diffusion models, transformers, and learned visual representations, with emphasis on controllability, compute efficiency, and production readiness. This role sits at the intersection of applied research and engineering execution.
**What You'll Do**
* Develop and improve multimodal AI systems involving image, video, and generative pipelines.
* Work on diffusion model optimization, controllability, and step efficiency.
* Design experiments and evaluation frameworks for visual realism and consistency.
* Translate research prototypes into scalable production systems.
* Collaborate closely with infrastructure teams to optimize training and inference.
**Qualifications**
* Degree in Computer Science, AI, Robotics, or comparable combination of education and practical experience.
* Strong programming skills in Python and familiarity with object\-oriented languages (C\+\+, Java, or similar).
* Strong data structures and algorithms fundamentals.
* Experience with PyTorch or similar frameworks.
* Familiarity with CNNs, Vision Transformers (ViT), or diffusion architectures.
**Preferred Qualifications**
* Experience with Stable Diffusion, ControlNet, LoRA, or generative pipelines.
* Human pose estimation, geometry\-aware modeling, or video understanding.
* Experience shipping ML systems into production.
 SPREEAI is a fast\-growing, innovative AI company at the forefront of fashion and e\-commerce, revolutionizing how consumers engage with fashion through lifelike photorealistic try\-on technology and hyper\-personalized shopping experiences. Our mission is to redefine the retail landscape with cutting\-edge AI solutions that blend high fashion and technology. We thrive in a dynamic, fast\-paced environment where creativity meets technology to drive real impact. If you are passionate about innovation and shaping the future of fashion, SPREEAI offers a platform to make your mark.</t>
        </is>
      </c>
    </row>
    <row r="91">
      <c r="A91" t="inlineStr">
        <is>
          <t>li-4368364532</t>
        </is>
      </c>
      <c r="B91" t="inlineStr">
        <is>
          <t>Senior Machine Learning Engineer</t>
        </is>
      </c>
      <c r="C91" t="inlineStr">
        <is>
          <t>kadence</t>
        </is>
      </c>
      <c r="D91" t="inlineStr">
        <is>
          <t>linkedin</t>
        </is>
      </c>
      <c r="E91">
        <f>HYPERLINK("https://www.linkedin.com/jobs/view/4368364532", "https://www.linkedin.com/jobs/view/4368364532")</f>
        <v/>
      </c>
      <c r="F91" t="inlineStr"/>
      <c r="G91" t="inlineStr">
        <is>
          <t>San Carlos, CA</t>
        </is>
      </c>
      <c r="H91" t="inlineStr"/>
      <c r="I91" t="inlineStr">
        <is>
          <t>**Company Overview** 
 A fast\-growing voice AI startup building human\-like AI agents that handle sales, support, and logistics calls at scale. With strong revenue traction and a small, high\-caliber team, the company is expanding beyond individual agents to reimagine the entire contact center as a coordinated team of AI workers.
**Responsibilities** 
* Own model performance end to end from training pipelines through post deployment monitoring in real world systems
* Fine tune large language models and audio models for real time, production grade voice AI use cases
* Design evaluation datasets, define rigorous metrics, and benchmark model performance across high impact tasks
* Deploy models into latency sensitive, high traffic environments and ensure reliability at scale
* Build systems to monitor live model performance, diagnose issues, and drive continuous improvements
* Develop scalable pipelines for structured human evaluation and integrate feedback into model iteration
* Partner closely with engineering to productionize models and improve inference speed and efficiency
* Design and maintain ML infrastructure that enables rapid experimentation, robust training, and continuous deployment
* Contribute to technical direction and ML strategy as an early member of a high ownership team
**Qualifications** 
* Proven experience training, shipping, and maintaining machine learning models in production environments
* Hands on experience with large language models, speech models, or audio related ML systems strongly preferred
* Strong proficiency in Python and modern ML frameworks such as PyTorch
* Experience building training pipelines, evaluation frameworks, and performance benchmarks
* Familiarity with deploying models in real time or latency sensitive systems is a major plus
* Ability to balance research quality with practical production constraints</t>
        </is>
      </c>
    </row>
    <row r="92">
      <c r="A92" t="inlineStr">
        <is>
          <t>li-4378488076</t>
        </is>
      </c>
      <c r="B92" t="inlineStr">
        <is>
          <t>Summer AI/ML Engineer</t>
        </is>
      </c>
      <c r="C92" t="inlineStr">
        <is>
          <t>polymr</t>
        </is>
      </c>
      <c r="D92" t="inlineStr">
        <is>
          <t>linkedin</t>
        </is>
      </c>
      <c r="E92">
        <f>HYPERLINK("https://www.linkedin.com/jobs/view/4378488076", "https://www.linkedin.com/jobs/view/4378488076")</f>
        <v/>
      </c>
      <c r="F92" t="inlineStr"/>
      <c r="G92" t="inlineStr">
        <is>
          <t>San Francisco, CA</t>
        </is>
      </c>
      <c r="H92" t="inlineStr"/>
      <c r="I92" t="inlineStr">
        <is>
          <t>Company Description
 Polymr is revolutionizing manufacturing with its AI\-native, end\-to\-end ERP/MRP system designed specifically for small/mid sized factories. By transforming fragmented documentation into provenance\-rich knowledge graphs, Polymr drastically reduces MRP implementation times from months to days. The system enables configurable automations, including purchase order generation and vendor selection, while offering an agentic reasoning layer for insight discovery and process optimization. Polymr is committed to empowering small manufacturers with cutting\-edge tools for operational efficiency and decision\-making. We are VC backed \+ YC accepted.
 Role Description
 This is a summer internship, on\-site role for a Founding Engineer based in San Francisco, CA. The engineer will be instrumental in enterprise software development and deep research in AI including frameworks to construct and implement ontologies via evidence extraction. Responsibilities include developing software solutions, creating and optimizing knowledge graphs, integrating AI capabilities, and collaborating with a cross\-functional team to drive product innovation. The candidate will play a key role in shaping the technological foundation and direction of the company.
 Compensation
* $12,000 \- $24,000 for 12 week internship
* Potential return offer for full\-time employment: $180,000 \- $260,000 TC \+ 0\.5% \- 3\.0% equity
 Qualifications
* U.S. undergraduate with 3\.5\+ GPA
* Strong software engineering skills, including experience with backend and frontend development, system design, and scalability
* Familiarity with knowledge graphs, data modeling, and AI/ML techniques for enhanced decision\-making and optimization
* Proficiency with container orchestration (e.g., Kubernetes, Docker) and cloud platforms (e.g., AWS, Google Cloud)
* Strong problem\-solving abilities, coupled with excellent communication and collaboration skills
* Start\-up experience or interest in building scalable solutions from the ground up
* Willingness to potentially take time off education and join full\-time
* Strong interest in the problem space and willingness to work long\-term
* Interest in the start\-up space and willingness to work on any aspect of the business
* Permanent resident/no sponsorship requirements</t>
        </is>
      </c>
    </row>
    <row r="93">
      <c r="A93" t="inlineStr">
        <is>
          <t>li-4378456451</t>
        </is>
      </c>
      <c r="B93" t="inlineStr">
        <is>
          <t>Senior AI Engineer (Generative AI &amp; Agentic Systems)</t>
        </is>
      </c>
      <c r="C93" t="inlineStr">
        <is>
          <t>Coforge</t>
        </is>
      </c>
      <c r="D93" t="inlineStr">
        <is>
          <t>linkedin</t>
        </is>
      </c>
      <c r="E93">
        <f>HYPERLINK("https://www.linkedin.com/jobs/view/4378456451", "https://www.linkedin.com/jobs/view/4378456451")</f>
        <v/>
      </c>
      <c r="F93" t="inlineStr"/>
      <c r="G93" t="inlineStr"/>
      <c r="H93" t="inlineStr"/>
      <c r="I93" t="inlineStr">
        <is>
          <t>Job Title:
 **Senior AI Engineer (Generative AI \&amp; Agentic Systems)** 
 Skills: AI Lead, Solution Design, Generative AI
 Experience:12\+ Years
 Location: Oaks, Pennsylvania ( Hybrid)
 Job Type: Full \-Time
 We at Coforge are looking for an
 **Senior AI Engineer** 
 with the following skills.
**Overview:** 
 Coforge is seeking a highly skilled Senior AI Engineer to design, build, and deploy our next generation of intelligent systems. In this highly technical, hands\-on role, you will focus on the end\-to\-end development of enterprise\-grade AI agents and sophisticated multi\-agent RAG pipelines. You will leverage the Azure ecosystem and cutting\-edge machine learning frameworks to build scalable, high\-performing AI microservices that solve complex financial challenges and drive internal automation.
**Key Responsibilities:** 
**AI \&amp; Agent Development** 
* Build, configure, and deploy enterprise\-grade AI agents utilizing Azure AI Foundry SDKs and declarative Copilot Studio Agents.
* Develop robust multi\-agentic RAG systems leveraging advanced frameworks, including LangChain, LangGraph, CrewAI, and Semantic Kernel.
* Implement intelligent Smart Search systems for fast retrieval over unstructured data (such as PDFs, images, and scanned documents) using RAG and multimodal LLMs.
* Engineer specialized automated agents, such as Data Analyst Agents for insight generation across structured datasets.
**Backend Engineering \&amp; Orchestration** 
* Build, and deploy robust MCP\-compatible FastAPI microservices.
* Integrate Agent\-to\-Agent (A2A) protocols and SSE\-based streaming logs to ensure modular, scalable orchestration between system components.
* Create and maintain custom developer tools, including Visual Studio Code extensions, for automated code generation, QA validation, and workflow acceleration.
* Set up and optimize Azure ML project integrations, CI/CD pipelines, and cloud deployments to enable real\-time applications.
**Requirements:** 
* **Engineering Experience:** 
 Extensive hands\-on background in Generative AI, LLMs, Machine Learning, and Deep Learning neural networks.
* **Languages \&amp; Tooling:** 
 Advanced programming proficiency in Python, alongside experience with tools like VSCode, JupyterLab, Kubernetes, and Spark.
* **Cloud Platforms:** 
 Deep, practical knowledge of deploying AI workloads on the Azure stack, specifically utilizing Azure AI Foundry, Azure ML Studio, and Azure Databricks.
* **Models:** 
 Proven experience developing solutions powered by top\-tier models like GPT\-4\.0/4\.1, Claude, and Phi\-4\.
* **Methodology:** 
 Strong grasp of Agile methodologies, test\-driven development, and the full software development life cycle (SDLC)
- 
**What We Offer:** 
* Lead the development of cutting\-edge AI solutions for financial systems.
* Dynamic work environment with a focus on technical innovation and professional growth.</t>
        </is>
      </c>
    </row>
    <row r="94">
      <c r="A94" t="inlineStr">
        <is>
          <t>li-4368443684</t>
        </is>
      </c>
      <c r="B94" t="inlineStr">
        <is>
          <t>Staff Machine Learning Engineer-CAM Robotics</t>
        </is>
      </c>
      <c r="C94" t="inlineStr">
        <is>
          <t>Talently</t>
        </is>
      </c>
      <c r="D94" t="inlineStr">
        <is>
          <t>linkedin</t>
        </is>
      </c>
      <c r="E94">
        <f>HYPERLINK("https://www.linkedin.com/jobs/view/4368443684", "https://www.linkedin.com/jobs/view/4368443684")</f>
        <v/>
      </c>
      <c r="F94" t="inlineStr"/>
      <c r="G94" t="inlineStr">
        <is>
          <t>San Francisco, CA</t>
        </is>
      </c>
      <c r="H94" t="inlineStr"/>
      <c r="I94" t="inlineStr">
        <is>
          <t>**Job Title:** 
 Staff ML Algorithms Engineer
**Location:** 
 Hybrid \- San Francisco, California, United States
**Salary:** 
 $160\-220K\+ Equity
**Skills:** 
 Machine Learning, Reinforcement Learning, Geometry, Production ML Systems, Recommenders, Python, C\+\+
**About the Engineering Company / The Opportunity:** 
 Are you passionate about applying advanced machine learning and optimization techniques to solve real\-world engineering problems? This hybrid role in San Francisco offers the chance to build production systems that intelligently leverage CAD/manufacturing data and user feedback to deliver smarter tools and workflows. If you thrive working with domain\-specific data and creating next\-generation recommendation engines, this is a unique opportunity for you.
**Responsibilities:** 
* Build intelligence systems atop CAD/CAM and manufacturing datasets.
* Develop recommendation engines for tools, process parameters, and operation workflows.
* Design and deploy feedback loops that learn from user edits and human\-in\-the\-loop responses.
* Apply machine learning, reinforcement learning, and numerical optimization to complex engineering challenges.
* Integrate deterministic algorithms with data\-driven models for robust solutions.
* Collaborate closely with front\-end and back\-end engineering teams to deliver production\-ready ML systems.
**Must\-Have Skills:** 
* Hands\-on experience with production machine learning systems.
* Expertise in recommenders, ranking models, or optimization techniques.
* Proficiency working with structured and domain\-specific engineering data.
* Strong foundations in applied machine learning methodologies.
**Nice\-to\-Have Skills:** 
* CAD/CAM robotics or advanced geometry experience.
* Background in offline reinforcement learning, multi\-armed bandits, or preference learning algorithms.
* Development experience using C\+\+ (geometry algorithms) or Python (applied ML).
* Familiarity with multimodal interfaces spanning text, drawing, and action\-based inputs.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2026-03-02T04:50:38Z</dcterms:created>
  <dcterms:modified xsi:type="dcterms:W3CDTF">2026-03-02T04:50:38Z</dcterms:modified>
</cp:coreProperties>
</file>