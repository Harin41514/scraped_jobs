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in-f1b152939d263173</t>
        </is>
      </c>
      <c r="B2" t="inlineStr">
        <is>
          <t>Lead Full Stack Engineer</t>
        </is>
      </c>
      <c r="C2" t="inlineStr">
        <is>
          <t>Oddball</t>
        </is>
      </c>
      <c r="D2" t="inlineStr">
        <is>
          <t>indeed</t>
        </is>
      </c>
      <c r="E2">
        <f>HYPERLINK("https://www.indeed.com/viewjob?jk=f1b152939d263173", "https://www.indeed.com/viewjob?jk=f1b152939d263173")</f>
        <v/>
      </c>
      <c r="F2">
        <f>HYPERLINK("http://www.indeed.com/job/lead-full-stack-engineer-f1b152939d263173", "http://www.indeed.com/job/lead-full-stack-engineer-f1b152939d263173")</f>
        <v/>
      </c>
      <c r="G2" t="inlineStr">
        <is>
          <t>US</t>
        </is>
      </c>
      <c r="H2" s="1" t="n">
        <v>46084</v>
      </c>
      <c r="I2"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 are seeking a **Lead Full Stack Engineer** to support the CMS Medicaid Drug Program (MDP) system. MDP enables analysis, data sharing, program monitoring, impact analysis, metrics, program\-to\-operations comparisons, state\-to\-state comparisons, and support for manufacturers and other stakeholders. The platform helps CMS oversee the Medicaid Drug Rebate Program (MDRP) while supporting drug manufacturers and state agencies.
In this role, you will lead a small engineering team while remaining hands\-on in delivery. You will help build and sustain modern web applications and backend services primarily using Node.js and Typescript, with cloud delivery and automation leveraging AWSand infrastructure\-as\-code practices.
**What you'll be doing:**
* Lead day\-to\-day technical execution for a team of engineers delivering new features and sustainment work for the MDP system.
* Design, build, and maintain backend services and APIs using **Node.js**.
* Develop and maintain web UI functionality using **React**.
* Partner with product owners, stakeholders, and delivery leadership to translate requirements into scalable technical solutions.
* Support cloud\-hosted environments in **AWS**, coordinating with platform and DevSecOps teams as needed.
* Implement and maintain infrastructure automation using tools such as **AWS CDK for Typescript** and **CloudFormation.**
* Debug and modernize legacy code written in **Java/Hibernate \+ Angular**.
* Establish and enforce engineering standards including code reviews, testing practices, documentation, and release management.
* Troubleshoot production issues, perform root cause analysis, and continuously improve reliability and performance.
* Provide Oddball\-side leadership responsibilities including mentoring, feedback, and performance support for direct reports.
**What you’ll bring:**
* Strong hands\-on full stack experience with **Node.js** and **React** in production environments.
* Prior experience leading engineers with accountability for technical delivery.
* Experience building and integrating **RESTful APIs** across distributed systems.
* Cloud experience in **AWS** and familiarity with secure, regulated environments.
* Experience with infrastructure\-as\-code tools such as **AWS CDK** or similar.
* Some experience with **Java** for integration or legacy service support is a plus.
* Strong communication skills and the ability to balance stakeholder engagement with technical execution.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**Equal Opportunity Employer/Protected Veterans/Individuals with Disabilities:**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hr@Oddball.io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$100,000 – $155,000
Job Type: Full\-time
Pay: $110,000\.00 \- $155,000\.00 per year
Benefits:
* 401(k)
* 401(k) matching
* Dental insurance
* Employee assistance program
* Flexible spending account
* Health insurance
* Health savings account
* Life insurance
* Lunch \&amp; learns
* Paid holidays
* Paid time off
* Parental leave
* Referral program
* Vision insurance
* Work from home
Work Location: Remote</t>
        </is>
      </c>
    </row>
    <row r="3">
      <c r="A3" t="inlineStr">
        <is>
          <t>in-6fd7a5f8b1c16666</t>
        </is>
      </c>
      <c r="B3" t="inlineStr">
        <is>
          <t>Manager, Software Engineering</t>
        </is>
      </c>
      <c r="C3" t="inlineStr">
        <is>
          <t>PayPal</t>
        </is>
      </c>
      <c r="D3" t="inlineStr">
        <is>
          <t>indeed</t>
        </is>
      </c>
      <c r="E3">
        <f>HYPERLINK("https://www.indeed.com/viewjob?jk=6fd7a5f8b1c16666", "https://www.indeed.com/viewjob?jk=6fd7a5f8b1c16666")</f>
        <v/>
      </c>
      <c r="F3">
        <f>HYPERLINK("https://paypal.eightfold.ai/careers/job/274918330904", "https://paypal.eightfold.ai/careers/job/274918330904")</f>
        <v/>
      </c>
      <c r="G3" t="inlineStr">
        <is>
          <t>Austin, TX, US</t>
        </is>
      </c>
      <c r="H3" s="1" t="n">
        <v>46083</v>
      </c>
      <c r="I3" t="inlineStr">
        <is>
          <t>**The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Summary:**
This job manages software development projects, implements processes, ensures project delivery, analyzes technical issues, collaborates with stakeholders, and communicates technical issues with non\-technical audiences. It involves setting operational targets and driving operational rigor.**Job Description:**
**Essential Responsibilities:**
* Directly manages software development projects (including program management) and execution through individual contributors. May also lead project teams across platforms or groups
* Implements processes to drive strong operational hygiene for all components and systems within their group
* Responsible for the delivery of projects, including quality and timeliness, that impact their domain and potentially one other
* Demonstrates strong tactical ability by managing the roadmap for a scrum team responsible for technical issues of diverse scope where analysis requires an understanding of current business or tends
* Competent at communicating technical issues with non\-technical audiences
* Analyzes multiple sources of information and identifies \&amp; resolves complex technical, operational, and organizational problems relating to software development.
* Collaborates with direct team, managers in org, stakeholders such as Product Owners \&amp; PMO
**Minimum Qualifications:**
* 5\+ years relevant experience and a Bachelor’s degree OR Any equivalent combination of education and experience.
**Additional Responsibilities \&amp; Preferred Qualifications****:**
**Subsidiary:**
PayPal**Travel Percent:**
0* 
The base pay for this role will depend on where you work and the relevant experience and expertise you bring. The expected range of pay for this role by location is:**Primary Location \| Pay Range:**
Austin, Texas \| ($160,500\.00 \- $238,700\.00 Annually)**Additional Location(s) \| Pay Range:**
No other locations are assigned to this requisition currently.
Additional compensation for this role may include an annual performance bonus, equity, or other incentive compensation, as applicable.
PayPal does not charge candidates any fees for courses, applications, resume reviews, interviews, background checks, or onboarding. Any such request is a red flag and likely part of a scam.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comprehensive, choice\-based programs, to support all aspects of personal wellbeing—physical, emotional, and financial—delivering meaningful value where it matters most. We strive to create a flexible, balanced work culture with a holistic approach to benefits, including generous paid time off, healthcare coverage for you and your family, and resources to create financial security and support your mental health.
**Who We Are:**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t>
        </is>
      </c>
    </row>
    <row r="4">
      <c r="A4" t="inlineStr">
        <is>
          <t>in-5af9fd394794795d</t>
        </is>
      </c>
      <c r="B4" t="inlineStr">
        <is>
          <t>Full Stack Engineer- Digital Asset Management Technology</t>
        </is>
      </c>
      <c r="C4" t="inlineStr">
        <is>
          <t>Fidelity Investments</t>
        </is>
      </c>
      <c r="D4" t="inlineStr">
        <is>
          <t>indeed</t>
        </is>
      </c>
      <c r="E4">
        <f>HYPERLINK("https://www.indeed.com/viewjob?jk=5af9fd394794795d", "https://www.indeed.com/viewjob?jk=5af9fd394794795d")</f>
        <v/>
      </c>
      <c r="F4">
        <f>HYPERLINK("https://jobs.fidelity.com/en/jobs/2123983/full-stack-engineer-digital-asset-management-technology/", "https://jobs.fidelity.com/en/jobs/2123983/full-stack-engineer-digital-asset-management-technology/")</f>
        <v/>
      </c>
      <c r="G4" t="inlineStr">
        <is>
          <t>Jersey City, NJ, US</t>
        </is>
      </c>
      <c r="H4" s="1" t="n">
        <v>46083</v>
      </c>
      <c r="I4" t="inlineStr">
        <is>
          <t>### **Job Description:**
**Full Stack Engineer – FDAM \- Asset Management Technology****Note: Fidelity is not providing immigration sponsorship for this position**
**The Role**
Asset Management Technology is seeking a highly motivated Senior Fullstack Software Engineer for the Fidelity Digital Asset Management technology team. Building a new product, this position requires a hands\-on, lead\-by\-coding leadership as well as mentoring a team of developers as they journey to becoming better developers. Collaborating with architects, and business partners, you will be building a Java Spring/Springboot microservice backend and Angular UI running in EKS clusters in AWS. The value you will deliver includes:
* Providing technology solutions by developing software applications along with demonstrating a solid understanding of the business functions for which the application is designed
* Displaying a full understanding of the software development process including analysis, design, development, system and integration testing, problem resolution and planning
* Supporting and performing all phases of testing leading to implementation
* Driving the culture of innovation, research and technical excellence to remain at the forefront of technology and thought leadership
**The Expertise and Skills You Bring**
* 3\+ years of software application development experience, with financial/asset management industry experience is a plus
* You have a BS/MS or equivalent experience in the areas of Computer Science, Engineering, or Information Technology and you want to learn more
* Extensive Middle Tier Application Development using Java Spring/Springboot, Streaming and Messaging technologies (Kafka), authentication framework and SQL (Oracle preferred) along with Front End Application Development using Angular
* Exposure to Blockchain technologies like Web3, smart contract development (Solidity, Rust), cryptography will be an advantage
* Ability to apply standard processes across the teams in areas such as Unit testing, Automation (Karate), ATDD, DevOps, CI/CD, design, and code reviews
* Exposure to cloud technologies such as AWS, Docker, and Kubernetes would be an advantage
* Demonstrated experience working on Finance\-related software projects focusing on asset management
* Work with engineering and product managers, architects, team of blockchain engineers and full stack engineers
* Promotes and demonstrates a learning mindset by staying abreast of emerging trends in technology
* Strong in communication, interpersonal and relationship building skills with which you influence decisions and engagement across all levels of the organization
* Work closely with globally distributed product, engineering and business teams across regions which may include working across time zones and travel for business workshops, planning sessions and meetings
**The Team**
As a member of the Asset Management technology team, you will be part of the team which supports the Fidelity Asset Management business.
\#cryptojobs
The base salary range for this position is $83,000\-158,000 USD per year.
Placement in the range will vary based on job responsibilities and scope, geographic location, candidate’s relevant experience, and other factors.
Base salary is only part of the total compensation package. Depending on the position and eligibility requirements, the offer package may also include bonus or other variable compensation.
We offer a wide range of benefits to meet your evolving needs and help you live your best life at work and at home. These benefits include comprehensive health care coverage and emotional well\-being support, market\-leading retirement, generous paid time off and parental leave, charitable giving employee match program, and educational assistance including student loan repayment, tuition reimbursement, and learning resources to develop your career. Note, the application window closes when the position is filled or unposted.
Please be advised that Fidelity’s business is governed by the provisions of the Securities Exchange Act of 1934, the Investment Advisers Act of 1940, the Investment Company Act of 1940, ERISA, numerous state laws governing securities, investment and retirement\-related financial activities and the rules and regulations of numerous self\-regulatory organizations, including FINRA, among others. Those laws and regulations may restrict Fidelity from hiring and/or associating with individuals with certain Criminal Histories.
Most roles at Fidelity are Hybrid, requiring associates to work onsite every other week (all business days, M\-F) in a Fidelity office. This does not apply to Remote or fully Onsite roles. Please consult with your recruiter for the specific expectations for this position.
### **Certifications:**
### **Category:**
Information Technology</t>
        </is>
      </c>
    </row>
    <row r="5">
      <c r="A5" t="inlineStr">
        <is>
          <t>in-bbc0a127e6b4db7e</t>
        </is>
      </c>
      <c r="B5" t="inlineStr">
        <is>
          <t>Software Engineer</t>
        </is>
      </c>
      <c r="C5" t="inlineStr">
        <is>
          <t>Amazon.com</t>
        </is>
      </c>
      <c r="D5" t="inlineStr">
        <is>
          <t>indeed</t>
        </is>
      </c>
      <c r="E5">
        <f>HYPERLINK("https://www.indeed.com/viewjob?jk=bbc0a127e6b4db7e", "https://www.indeed.com/viewjob?jk=bbc0a127e6b4db7e")</f>
        <v/>
      </c>
      <c r="F5">
        <f>HYPERLINK("https://www.amazon.jobs/jobs/3145977/software-engineer?cmpid=DA_INAD200785B", "https://www.amazon.jobs/jobs/3145977/software-engineer?cmpid=DA_INAD200785B")</f>
        <v/>
      </c>
      <c r="G5" t="inlineStr">
        <is>
          <t>San Francisco, CA, US</t>
        </is>
      </c>
      <c r="H5" s="1" t="n">
        <v>46008</v>
      </c>
      <c r="I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Creators are the backbone of Twitch, and their sustainability relies primarily on their ability to earn a living doing what they love. As a member of the engineering team, you will report to the Senior Engineering Manger of the Creator Sponsorships team. Your core focus will be building products and features that unlock influencer marketing at scale, enabling creators to earn a living and driving value for brands.  
Our team owns Creator Sponsorships and Drops, with products ranging from greenfield and experimental, to scaled and used by millions. You will become an expert across the breadth of services powering these products \- architecting, building, and operating them. You will be empowered to work across the stack, and will partner with other engineers, product managers, designers, and data specialists to deliver solutions.  
This position is hybrid with a base in San Francisco, CA or Seattle, WA.  
You Will  
* Work with product managers, technical leads, and other engineers to design, develop, launch, and operate interactive experiences
* Build distributed applications at scale
\- Collaborate with both your team and related teams \- fostering shared understanding of how to solve common problems and deliver solutions
* Work backwards from customer problems to drive business impact
Perks  
* Medical, Dental, Vision \&amp; Disability Insurance
* 401(k)
* Maternity \&amp; Parental Leave
* Flexible PTO
* Amazon Employee Discount
About the team  
Twitch is the world's biggest live streaming service, with global communities built around gaming, entertainment, music, sports, cooking, and more. It's where millions of people come together to chat, interact, and make their own entertainment.  
We're about community, inside and out. You'll find coworkers who are eager to team up, collaborate, and smash (or elegantly solve) problems together. We're on a quest to empower live communities, so if this sounds good to you, see what we're up to on LinkedIn and Twitter, get interviewing tips on Instagram, and discover projects we're solving on our Blog.**BASIC QUALIFICATIONS**
------------------------
* 1\+ years of professional software development experience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
      <c r="A6" t="inlineStr">
        <is>
          <t>in-d728b4707a4d37f9</t>
        </is>
      </c>
      <c r="B6" t="inlineStr">
        <is>
          <t>Software Engineer</t>
        </is>
      </c>
      <c r="C6" t="inlineStr">
        <is>
          <t>Amazon.com</t>
        </is>
      </c>
      <c r="D6" t="inlineStr">
        <is>
          <t>indeed</t>
        </is>
      </c>
      <c r="E6">
        <f>HYPERLINK("https://www.indeed.com/viewjob?jk=d728b4707a4d37f9", "https://www.indeed.com/viewjob?jk=d728b4707a4d37f9")</f>
        <v/>
      </c>
      <c r="F6">
        <f>HYPERLINK("https://www.amazon.jobs/jobs/3145977/software-engineer?cmpid=DA_INAD200785B", "https://www.amazon.jobs/jobs/3145977/software-engineer?cmpid=DA_INAD200785B")</f>
        <v/>
      </c>
      <c r="G6" t="inlineStr">
        <is>
          <t>Seattle, WA, US</t>
        </is>
      </c>
      <c r="H6" s="1" t="n">
        <v>46008</v>
      </c>
      <c r="I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Creators are the backbone of Twitch, and their sustainability relies primarily on their ability to earn a living doing what they love. As a member of the engineering team, you will report to the Senior Engineering Manger of the Creator Sponsorships team. Your core focus will be building products and features that unlock influencer marketing at scale, enabling creators to earn a living and driving value for brands.  
Our team owns Creator Sponsorships and Drops, with products ranging from greenfield and experimental, to scaled and used by millions. You will become an expert across the breadth of services powering these products \- architecting, building, and operating them. You will be empowered to work across the stack, and will partner with other engineers, product managers, designers, and data specialists to deliver solutions.  
This position is hybrid with a base in San Francisco, CA or Seattle, WA.  
You Will  
* Work with product managers, technical leads, and other engineers to design, develop, launch, and operate interactive experiences
* Build distributed applications at scale
\- Collaborate with both your team and related teams \- fostering shared understanding of how to solve common problems and deliver solutions
* Work backwards from customer problems to drive business impact
Perks  
* Medical, Dental, Vision \&amp; Disability Insurance
* 401(k)
* Maternity \&amp; Parental Leave
* Flexible PTO
* Amazon Employee Discount
About the team  
Twitch is the world's biggest live streaming service, with global communities built around gaming, entertainment, music, sports, cooking, and more. It's where millions of people come together to chat, interact, and make their own entertainment.  
We're about community, inside and out. You'll find coworkers who are eager to team up, collaborate, and smash (or elegantly solve) problems together. We're on a quest to empower live communities, so if this sounds good to you, see what we're up to on LinkedIn and Twitter, get interviewing tips on Instagram, and discover projects we're solving on our Blog.**BASIC QUALIFICATIONS**
------------------------
* 1\+ years of professional software development experience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
      <c r="A7" t="inlineStr">
        <is>
          <t>in-a405601f734f199e</t>
        </is>
      </c>
      <c r="B7" t="inlineStr">
        <is>
          <t>Software Engineer I</t>
        </is>
      </c>
      <c r="C7" t="inlineStr">
        <is>
          <t>Amazon.com</t>
        </is>
      </c>
      <c r="D7" t="inlineStr">
        <is>
          <t>indeed</t>
        </is>
      </c>
      <c r="E7">
        <f>HYPERLINK("https://www.indeed.com/viewjob?jk=a405601f734f199e", "https://www.indeed.com/viewjob?jk=a405601f734f199e")</f>
        <v/>
      </c>
      <c r="F7">
        <f>HYPERLINK("https://www.amazon.jobs/jobs/3111761/software-engineer-i?cmpid=DA_INAD200785B", "https://www.amazon.jobs/jobs/3111761/software-engineer-i?cmpid=DA_INAD200785B")</f>
        <v/>
      </c>
      <c r="G7" t="inlineStr">
        <is>
          <t>Irvine, CA, US</t>
        </is>
      </c>
      <c r="H7" s="1" t="n">
        <v>45946</v>
      </c>
      <c r="I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1\+ years of non\-internship professional software development experience
* Experience programming with at least one software programming language
**PREFERRED QUALIFICATIONS**
----------------------------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
      <c r="A8" t="inlineStr">
        <is>
          <t>in-35e4e368aa65d3ca</t>
        </is>
      </c>
      <c r="B8" t="inlineStr">
        <is>
          <t>Software Engineer I</t>
        </is>
      </c>
      <c r="C8" t="inlineStr">
        <is>
          <t>Amazon.com</t>
        </is>
      </c>
      <c r="D8" t="inlineStr">
        <is>
          <t>indeed</t>
        </is>
      </c>
      <c r="E8">
        <f>HYPERLINK("https://www.indeed.com/viewjob?jk=35e4e368aa65d3ca", "https://www.indeed.com/viewjob?jk=35e4e368aa65d3ca")</f>
        <v/>
      </c>
      <c r="F8">
        <f>HYPERLINK("https://www.amazon.jobs/jobs/3111761/software-engineer-i?cmpid=DA_INAD200785B", "https://www.amazon.jobs/jobs/3111761/software-engineer-i?cmpid=DA_INAD200785B")</f>
        <v/>
      </c>
      <c r="G8" t="inlineStr">
        <is>
          <t>San Francisco, CA, US</t>
        </is>
      </c>
      <c r="H8" s="1" t="n">
        <v>45946</v>
      </c>
      <c r="I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1\+ years of non\-internship professional software development experience
* Experience programming with at least one software programming language
**PREFERRED QUALIFICATIONS**
----------------------------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
      <c r="A9" t="inlineStr">
        <is>
          <t>in-73711aaf1180f497</t>
        </is>
      </c>
      <c r="B9" t="inlineStr">
        <is>
          <t>Software Engineer II</t>
        </is>
      </c>
      <c r="C9" t="inlineStr">
        <is>
          <t>Amazon.com</t>
        </is>
      </c>
      <c r="D9" t="inlineStr">
        <is>
          <t>indeed</t>
        </is>
      </c>
      <c r="E9">
        <f>HYPERLINK("https://www.indeed.com/viewjob?jk=73711aaf1180f497", "https://www.indeed.com/viewjob?jk=73711aaf1180f497")</f>
        <v/>
      </c>
      <c r="F9">
        <f>HYPERLINK("https://www.amazon.jobs/jobs/3104730/software-engineer-ii?cmpid=DA_INAD200785B", "https://www.amazon.jobs/jobs/3104730/software-engineer-ii?cmpid=DA_INAD200785B")</f>
        <v/>
      </c>
      <c r="G9" t="inlineStr">
        <is>
          <t>San Francisco, CA, US</t>
        </is>
      </c>
      <c r="H9" s="1" t="n">
        <v>45938</v>
      </c>
      <c r="I9"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
      <c r="A10" t="inlineStr">
        <is>
          <t>in-39e8ba0686a4164a</t>
        </is>
      </c>
      <c r="B10" t="inlineStr">
        <is>
          <t>Software Engineer II</t>
        </is>
      </c>
      <c r="C10" t="inlineStr">
        <is>
          <t>Amazon.com</t>
        </is>
      </c>
      <c r="D10" t="inlineStr">
        <is>
          <t>indeed</t>
        </is>
      </c>
      <c r="E10">
        <f>HYPERLINK("https://www.indeed.com/viewjob?jk=39e8ba0686a4164a", "https://www.indeed.com/viewjob?jk=39e8ba0686a4164a")</f>
        <v/>
      </c>
      <c r="F10">
        <f>HYPERLINK("https://www.amazon.jobs/jobs/3104730/software-engineer-ii?cmpid=DA_INAD200785B", "https://www.amazon.jobs/jobs/3104730/software-engineer-ii?cmpid=DA_INAD200785B")</f>
        <v/>
      </c>
      <c r="G10" t="inlineStr">
        <is>
          <t>Irvine, CA, US</t>
        </is>
      </c>
      <c r="H10" s="1" t="n">
        <v>45938</v>
      </c>
      <c r="I1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
      <c r="A11" t="inlineStr">
        <is>
          <t>in-7203647c07892862</t>
        </is>
      </c>
      <c r="B11" t="inlineStr">
        <is>
          <t>Software Engineer II</t>
        </is>
      </c>
      <c r="C11" t="inlineStr">
        <is>
          <t>Amazon.com</t>
        </is>
      </c>
      <c r="D11" t="inlineStr">
        <is>
          <t>indeed</t>
        </is>
      </c>
      <c r="E11">
        <f>HYPERLINK("https://www.indeed.com/viewjob?jk=7203647c07892862", "https://www.indeed.com/viewjob?jk=7203647c07892862")</f>
        <v/>
      </c>
      <c r="F11">
        <f>HYPERLINK("https://www.amazon.jobs/jobs/3104734/software-engineer-ii?cmpid=DA_INAD200785B", "https://www.amazon.jobs/jobs/3104734/software-engineer-ii?cmpid=DA_INAD200785B")</f>
        <v/>
      </c>
      <c r="G11" t="inlineStr">
        <is>
          <t>Culver City, CA, US</t>
        </is>
      </c>
      <c r="H11" s="1" t="n">
        <v>45938</v>
      </c>
      <c r="I1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
      <c r="A12" t="inlineStr">
        <is>
          <t>in-92dfffdb03ea0905</t>
        </is>
      </c>
      <c r="B12" t="inlineStr">
        <is>
          <t>Software Engineer II</t>
        </is>
      </c>
      <c r="C12" t="inlineStr">
        <is>
          <t>Amazon.com</t>
        </is>
      </c>
      <c r="D12" t="inlineStr">
        <is>
          <t>indeed</t>
        </is>
      </c>
      <c r="E12">
        <f>HYPERLINK("https://www.indeed.com/viewjob?jk=92dfffdb03ea0905", "https://www.indeed.com/viewjob?jk=92dfffdb03ea0905")</f>
        <v/>
      </c>
      <c r="F12">
        <f>HYPERLINK("https://www.amazon.jobs/jobs/3104734/software-engineer-ii?cmpid=DA_INAD200785B", "https://www.amazon.jobs/jobs/3104734/software-engineer-ii?cmpid=DA_INAD200785B")</f>
        <v/>
      </c>
      <c r="G12" t="inlineStr">
        <is>
          <t>San Francisco, CA, US</t>
        </is>
      </c>
      <c r="H12" s="1" t="n">
        <v>45938</v>
      </c>
      <c r="I1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in-a07b1a6f49d694f3</t>
        </is>
      </c>
      <c r="B13" t="inlineStr">
        <is>
          <t>Software Engineer II</t>
        </is>
      </c>
      <c r="C13" t="inlineStr">
        <is>
          <t>Amazon.com</t>
        </is>
      </c>
      <c r="D13" t="inlineStr">
        <is>
          <t>indeed</t>
        </is>
      </c>
      <c r="E13">
        <f>HYPERLINK("https://www.indeed.com/viewjob?jk=a07b1a6f49d694f3", "https://www.indeed.com/viewjob?jk=a07b1a6f49d694f3")</f>
        <v/>
      </c>
      <c r="F13">
        <f>HYPERLINK("https://www.amazon.jobs/jobs/3104734/software-engineer-ii?cmpid=DA_INAD200785B", "https://www.amazon.jobs/jobs/3104734/software-engineer-ii?cmpid=DA_INAD200785B")</f>
        <v/>
      </c>
      <c r="G13" t="inlineStr">
        <is>
          <t>Irvine, CA, US</t>
        </is>
      </c>
      <c r="H13" s="1" t="n">
        <v>45938</v>
      </c>
      <c r="I1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in-8cb970121d9c8770</t>
        </is>
      </c>
      <c r="B14" t="inlineStr">
        <is>
          <t>Software Engineer II</t>
        </is>
      </c>
      <c r="C14" t="inlineStr">
        <is>
          <t>Amazon.com</t>
        </is>
      </c>
      <c r="D14" t="inlineStr">
        <is>
          <t>indeed</t>
        </is>
      </c>
      <c r="E14">
        <f>HYPERLINK("https://www.indeed.com/viewjob?jk=8cb970121d9c8770", "https://www.indeed.com/viewjob?jk=8cb970121d9c8770")</f>
        <v/>
      </c>
      <c r="F14">
        <f>HYPERLINK("https://www.amazon.jobs/jobs/3090680/software-engineer-ii?cmpid=DA_INAD200785B", "https://www.amazon.jobs/jobs/3090680/software-engineer-ii?cmpid=DA_INAD200785B")</f>
        <v/>
      </c>
      <c r="G14" t="inlineStr">
        <is>
          <t>Irvine, CA, US</t>
        </is>
      </c>
      <c r="H14" s="1" t="n">
        <v>45921</v>
      </c>
      <c r="I1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professional software development or equivalent expertise
* B.A. or B.S. in Computer Science or a related discipline, or equivalent years of experience
* Experience building backend services at scale with technologies such as Golang and AWS.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in-4c967760ba550cc4</t>
        </is>
      </c>
      <c r="B15" t="inlineStr">
        <is>
          <t>Software Engineer II</t>
        </is>
      </c>
      <c r="C15" t="inlineStr">
        <is>
          <t>Amazon.com</t>
        </is>
      </c>
      <c r="D15" t="inlineStr">
        <is>
          <t>indeed</t>
        </is>
      </c>
      <c r="E15">
        <f>HYPERLINK("https://www.indeed.com/viewjob?jk=4c967760ba550cc4", "https://www.indeed.com/viewjob?jk=4c967760ba550cc4")</f>
        <v/>
      </c>
      <c r="F15">
        <f>HYPERLINK("https://www.amazon.jobs/jobs/3090680/software-engineer-ii?cmpid=DA_INAD200785B", "https://www.amazon.jobs/jobs/3090680/software-engineer-ii?cmpid=DA_INAD200785B")</f>
        <v/>
      </c>
      <c r="G15" t="inlineStr">
        <is>
          <t>San Francisco, CA, US</t>
        </is>
      </c>
      <c r="H15" s="1" t="n">
        <v>45921</v>
      </c>
      <c r="I1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professional software development or equivalent expertise
* B.A. or B.S. in Computer Science or a related discipline, or equivalent years of experience
* Experience building backend services at scale with technologies such as Golang and AWS.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in-d1c959c6cac619c8</t>
        </is>
      </c>
      <c r="B16" t="inlineStr">
        <is>
          <t>Software Engineer I- Ad Demand</t>
        </is>
      </c>
      <c r="C16" t="inlineStr">
        <is>
          <t>Amazon.com</t>
        </is>
      </c>
      <c r="D16" t="inlineStr">
        <is>
          <t>indeed</t>
        </is>
      </c>
      <c r="E16">
        <f>HYPERLINK("https://www.indeed.com/viewjob?jk=d1c959c6cac619c8", "https://www.indeed.com/viewjob?jk=d1c959c6cac619c8")</f>
        <v/>
      </c>
      <c r="F16">
        <f>HYPERLINK("https://www.amazon.jobs/jobs/3082168/software-engineer-i-ad-demand?cmpid=DA_INAD200785B", "https://www.amazon.jobs/jobs/3082168/software-engineer-i-ad-demand?cmpid=DA_INAD200785B")</f>
        <v/>
      </c>
      <c r="G16" t="inlineStr">
        <is>
          <t>San Francisco, CA, US</t>
        </is>
      </c>
      <c r="H16" s="1" t="n">
        <v>45908</v>
      </c>
      <c r="I1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Ads team manages a comprehensive advertising ecosystem that balances revenue generation with user and advertiser satisfaction. We deliver promotional content through multiple channels while maintaining seamless experiences for viewers, creators and advertisers. Our team is responsible for driving up Ad Supply quality for Twitch and enabling Ad Demand via various domains including Ads Targeting, Brand Safety\&amp;Suitability, Measurement, Privacy and Ads Data Platform. These critical technical solutions drive essential business operations and enable trustworthy products for advertisers that are measurable and targetable.
You will become an expert across the breadth of services powering these products \- architecting, building, and operating them and working closely with the engineers within the Twitch Ads and Amazon Ads orgs. You will be empowered to work across the stack, and will partner with other engineers, product managers, designers, and data analysts to deliver solutions.  
This position is in San Francisco, CA.  
You Will  
* Work with product managers, technical leads, and other engineers to design, develop, launch, and operate interactive experiences and products
* Build distributed applications at scale
\- Collaborate with both your team and related teams \- fostering shared understanding of how to solve problems and deliver solutions
* Work backwards from customer problems to drive business impact
Perks  
* Medical, Dental, Vision \&amp; Disability Insurance
* 401(k)
* Maternity \&amp; Parental Leave
* Flexible PTO
* Amazon Employee Discount
**BASIC QUALIFICATIONS**
------------------------
* 1\+ Years experience developing software in a professional environment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in-8920dcefd2acffb4</t>
        </is>
      </c>
      <c r="B17" t="inlineStr">
        <is>
          <t>Software Engineer I- Ad Demand</t>
        </is>
      </c>
      <c r="C17" t="inlineStr">
        <is>
          <t>Amazon.com</t>
        </is>
      </c>
      <c r="D17" t="inlineStr">
        <is>
          <t>indeed</t>
        </is>
      </c>
      <c r="E17">
        <f>HYPERLINK("https://www.indeed.com/viewjob?jk=8920dcefd2acffb4", "https://www.indeed.com/viewjob?jk=8920dcefd2acffb4")</f>
        <v/>
      </c>
      <c r="F17">
        <f>HYPERLINK("https://www.amazon.jobs/jobs/3082168/software-engineer-i-ad-demand?cmpid=DA_INAD200785B", "https://www.amazon.jobs/jobs/3082168/software-engineer-i-ad-demand?cmpid=DA_INAD200785B")</f>
        <v/>
      </c>
      <c r="G17" t="inlineStr">
        <is>
          <t>New York, NY, US</t>
        </is>
      </c>
      <c r="H17" s="1" t="n">
        <v>45908</v>
      </c>
      <c r="I1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Ads team manages a comprehensive advertising ecosystem that balances revenue generation with user and advertiser satisfaction. We deliver promotional content through multiple channels while maintaining seamless experiences for viewers, creators and advertisers. Our team is responsible for driving up Ad Supply quality for Twitch and enabling Ad Demand via various domains including Ads Targeting, Brand Safety\&amp;Suitability, Measurement, Privacy and Ads Data Platform. These critical technical solutions drive essential business operations and enable trustworthy products for advertisers that are measurable and targetable.
You will become an expert across the breadth of services powering these products \- architecting, building, and operating them and working closely with the engineers within the Twitch Ads and Amazon Ads orgs. You will be empowered to work across the stack, and will partner with other engineers, product managers, designers, and data analysts to deliver solutions.  
This position is in San Francisco, CA.  
You Will  
* Work with product managers, technical leads, and other engineers to design, develop, launch, and operate interactive experiences and products
* Build distributed applications at scale
\- Collaborate with both your team and related teams \- fostering shared understanding of how to solve problems and deliver solutions
* Work backwards from customer problems to drive business impact
Perks  
* Medical, Dental, Vision \&amp; Disability Insurance
* 401(k)
* Maternity \&amp; Parental Leave
* Flexible PTO
* Amazon Employee Discount
**BASIC QUALIFICATIONS**
------------------------
* 1\+ Years experience developing software in a professional environment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8">
      <c r="A18" t="inlineStr">
        <is>
          <t>in-095549ce21d64b08</t>
        </is>
      </c>
      <c r="B18" t="inlineStr">
        <is>
          <t>Senior Software Engineer</t>
        </is>
      </c>
      <c r="C18" t="inlineStr">
        <is>
          <t>police department</t>
        </is>
      </c>
      <c r="D18" t="inlineStr">
        <is>
          <t>indeed</t>
        </is>
      </c>
      <c r="E18">
        <f>HYPERLINK("https://www.indeed.com/viewjob?jk=095549ce21d64b08", "https://www.indeed.com/viewjob?jk=095549ce21d64b08")</f>
        <v/>
      </c>
      <c r="F18">
        <f>HYPERLINK("https://cityjobs.nyc.gov/job/senior-software-engineer-in-nyc-all-boros-jid-41241", "https://cityjobs.nyc.gov/job/senior-software-engineer-in-nyc-all-boros-jid-41241")</f>
        <v/>
      </c>
      <c r="G18" t="inlineStr">
        <is>
          <t>New York, NY, US</t>
        </is>
      </c>
      <c r="H18" s="1" t="n">
        <v>46083</v>
      </c>
      <c r="I18" t="inlineStr">
        <is>
          <t>**Senior Software Engineer**
============================
* POLICE DEPARTMENT
Posted On: 03/03/2026
* Full\-Time
Location
NYC\-ALL BOROS
* No Exam Required
Department
Office Mgmt Analysis \&amp; Plan/CV
Salary Range:
$75,000\.00 – $160,000\.00
**Save**
**Job Description**
-------------------
The mission of the New York City Police Department is to enhance the quality of life in New York City by working in partnership with the community to enforce the law, preserve peace, protect the people, reduce fear, and maintain order. The New York City Police Department strives to foster a safe and fair City through the strategic deployment of resources, focusing on both crime prevention and addressing quality\-of\-life concerns while building lasting community relationships.  
The Office of Management Analysis and Planning (OMAP) analyze and evaluate Departmental policies, programs, and resources to make recommendations to the Police Commissioner in order to ensure maximum organizational efficiency and effectiveness of the Department. OMAP is the research and assessment arm of the Department. comprised of both uniformed and civilian members of the service with a wide variety of academic and professional experiences. OMAP conducts analyses aimed at improving the effectiveness and efficiency of the Department (e.g., personnel deployments, resource allocation), develops complex pilot projects, formulates policy recommendations and prepares briefing materials for the Police Commissioner on a wide range of legislative and procedural issues.  
The Office of Management Analysis and Planning (OMAP) is seeking a skilled and highly motivated Senior Software Engineer to join the New York City Police Department (NYPD) Data Science team. OMAP serves as the primary evaluation and assessment arm of the NYPD. Acting as a "think tank," OMAP focuses on exploring and implementing innovative strategies and efficiencies aimed at enhancing policy development, evaluating programs, and optimizing organizational structures and staffing. A successful candidate will contribute to the section mission by completing work that spans the entire software product lifecycle from development to production. A successful candidate will design RESTful APIs to integrate software solutions in Python.
Key responsibilities include balancing business requirements and technical specifications. designing and developing back\-end services and simple front\-end interfaces, and ability to write clean code that strengthens our relationships with external stakeholders. Strong team building, relationship management, and project management skills are required.  
WORK LOCATION:
1 Police Plaza, New York, N.Y. 10038  
WORK SCHEDULE:  
Monday to Friday 8 x 4 or 10 x 6  
TO APPLY:  
Please visit: https://cityjobs.nyc.gov and search for Job ID \#771145  
ADDITIONAL INFORMATION:  
In compliance with Federal Law, all persons hired will be required to verify identity and eligibility to work in the United States and to complete the required employment eligibility verification document form upon hire.  
The City of New York offers a comprehensive benefits package including health insurance for the employee and his or her spouse or domestic partner and unemancipated children under age 26, union benefits such as dental and vision coverage, paid annual leave and sick leave, paid holidays, a pension, and optional savings and pre\-tax programs such as Deferred Compensation, IRA, and a flexible spending account.  
IT PROJECT SPECIALIST \- 95710
 **Minimum Qualifications**
1\. 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  
2\. 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  
3\. A baccalaureate degree from an accredited college, and eight years of satisfactory full\-time experience related to the area(s) required by the particular position and a specialization in a relevant technology, process, methodology and/or domain; or  
4\. Education and/or experience which is equivalent to "1", "2", or "3" above.
 **Preferred Skills**
\- Experience designing and developing RESTful APIs (e.g. Python, Flask). \- Experience balancing business requirements in developing complex software engineering projects. \- Ability to lead code reviews, apply design patterns, and maintain software packages. \- Ability to write code that harmonizes user\-facing elements with server\-side logic (e.g. HTML, CSS, Javascript). \- Ability to integrate applications with data pipelines and statistical models. \- Excellent oral, written, analytic, organizational, and interpersonal skills and attention to detail are required. \- Ability to manage multiple projects simultaneously and meet tight deadlines. \- Ability to work cross\-functionally with data scientists and data engineers. \- Strong team building, relationship management, and project management skills are required.  
**Public Service Loan Forgiveness**
As a prospective employee of the City of New York, you may be eligible for federal loan forgiveness programs and state repayment assistance programs. For more information, please visit the U.S. Department of Education’s website at https://studentaid.gov/pslf/.  
**Residency Requirement**
New York City Residency is not required for this position  
**Additional Information**
The City of New York is an inclusive equal opportunity employer committed to recruiting and retaining a diverse workforce and providing a work environment that is free from discrimination and harassment based upon any legally protected status or protected characteristic, including but not limited to an individual's sex, race, color, ethnicity, national origin, age, religion, disability, sexual orientation, veteran status, gender identity, or pregnancy.
**Save**
Job ID
771145
Posted until
03/13/2026
Title code
95710
Civil service title
IT PROJECT SPECIALIST
Title classification
Non\-Competitive\-5
Business title
Senior Software Engineer
* Experience Level: Experienced (Non\-Manager)
Job level
00
Number of positions
1
Work location
1 Police Plaza, N.Y.
* Category: Technology, Data \&amp; Innovation
Senior Software Engineer</t>
        </is>
      </c>
    </row>
    <row r="19">
      <c r="A19" t="inlineStr">
        <is>
          <t>in-73337741f4f67879</t>
        </is>
      </c>
      <c r="B19" t="inlineStr">
        <is>
          <t>Software Engineer</t>
        </is>
      </c>
      <c r="C19" t="inlineStr">
        <is>
          <t>Microsoft</t>
        </is>
      </c>
      <c r="D19" t="inlineStr">
        <is>
          <t>indeed</t>
        </is>
      </c>
      <c r="E19">
        <f>HYPERLINK("https://www.indeed.com/viewjob?jk=73337741f4f67879", "https://www.indeed.com/viewjob?jk=73337741f4f67879")</f>
        <v/>
      </c>
      <c r="F19">
        <f>HYPERLINK("https://apply.careers.microsoft.com/careers/job/1970393556753141?utm_source=indeed&amp;domain=microsoft.com", "https://apply.careers.microsoft.com/careers/job/1970393556753141?utm_source=indeed&amp;domain=microsoft.com")</f>
        <v/>
      </c>
      <c r="G19" t="inlineStr">
        <is>
          <t>US</t>
        </is>
      </c>
      <c r="H19" s="1" t="n">
        <v>46061</v>
      </c>
      <c r="I19" t="inlineStr">
        <is>
          <t>**Overview** **Job Overview**
Microsoft is a company where passionate innovators come to collaborate, envision what can be and take their careers further. This is a world of more possibilities, more innovation, more openness, and the sky is the limit thinking in a cloud\-enabled world.
Microsoft’s Azure Data engineering team is leading the transformation of analytics in the world of data with products like databases, data integration, big data analytics, messaging \&amp; real\-time analytics, and business intelligence. The products our portfolio include Microsoft Fabric, Azure SQL DB, Azure Cosmos DB, Azure PostgreSQL, Azure Data Factory, Azure Synapse Analytics, Azure Service Bus, Azure Event Grid, and Power BI. Our mission is to build the data platform for the age of AI, powering a new class of data\-first applications and driving a data culture.
Within Azure Data, the big data analytics team provides a range of products that enable data engineers and data scientists to extract intelligence from all data – structured, semi\-structured, and unstructured. We build the Data Engineering, Data Science, and Data Integration pillars of Microsoft Fabric.
The App and Data Development team within Microsoft Fabric is dedicated to empowering both application and data developers with cutting\-edge tools and seamless experiences. Focused on the integration of AI across the development lifecycle, this team builds intelligent capabilities that simplify and accelerate app and data workflows. By offering unified interfaces, robust APIs, and AI\-assisted features, the team ensures that developers can easily create, manage, and scale data\-driven applications within the Microsoft Fabric ecosystem.
We do not just value differences or different perspectives. We seek them out and invite them in so we can tap into the collective power of everyone in the company. As a result, our customers are better served.
 **Responsibilities**  
* Design and implement services to enable real time, highly scalable, performant, and sustainable solutions.
* Deliver well\-tested features across different services and platforms.
* Use engineering best practices throughout the software development lifecycle to establish maintainable, reliable, and secure systems.
* Collaborate with teammates in various roles to plan and execute on key deliverables.
* Participate in rotating livesite shifts, working on call to monitor system/product feature/service for degradation, downtime, or interruptions.
* Take ownership of service health including monitoring, metrics, telemetry. Identify and implement areas for improvement in the live\-site process and tools.
* Innovate for both customer use cases and overall health of the service.
* Work in a culture of continuous improvement, adaptation, reflection, and growth.
* Embody culture and values
**Qualifications** **Required Qualifications:**
* Bachelor's Degree in Computer Science, or related technical discipline
	+ - OR equivalent experience
* Proven experience coding in languages including, but not limited to, C, C\+\+, C\#, Java, JavaScript, or Python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Bachelor's Degree in Computer Science, or related technical field AND 1\+ year(s) technical engineering experience with coding in languages including, but not limited to, C, C\+\+, C\#, Java, JavaScript, or Python,
	+ OR Master's Degree in Computer Science or related technical field with proven experience coding in languages including, but not limited to, C, C\+\+, C\#, Java, JavaScript, or Python
	+ OR equivalent experience.
* Experience in developing services with Containers, Serverless functions and Databases is preferred
* Cross\-team collaboration experience for feature delivery and livesite issues preferred
* Full stack development for end\-to\-end feature design and development experience preferred
* Developer and user experiences for SaaS applications experience is preferred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20">
      <c r="A20" t="inlineStr">
        <is>
          <t>in-ac0112e2cc3608c1</t>
        </is>
      </c>
      <c r="B20" t="inlineStr">
        <is>
          <t>Senior Software Engineer, Twitch</t>
        </is>
      </c>
      <c r="C20" t="inlineStr">
        <is>
          <t>Amazon.com</t>
        </is>
      </c>
      <c r="D20" t="inlineStr">
        <is>
          <t>indeed</t>
        </is>
      </c>
      <c r="E20">
        <f>HYPERLINK("https://www.indeed.com/viewjob?jk=ac0112e2cc3608c1", "https://www.indeed.com/viewjob?jk=ac0112e2cc3608c1")</f>
        <v/>
      </c>
      <c r="F20">
        <f>HYPERLINK("https://www.amazon.jobs/jobs/3138042/senior-software-engineer-twitch?cmpid=DA_INAD200785B", "https://www.amazon.jobs/jobs/3138042/senior-software-engineer-twitch?cmpid=DA_INAD200785B")</f>
        <v/>
      </c>
      <c r="G20" t="inlineStr">
        <is>
          <t>San Francisco, CA, US</t>
        </is>
      </c>
      <c r="H20" s="1" t="n">
        <v>45995</v>
      </c>
      <c r="I20"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and we are seeking a Data Infrastructure Engineer to design, build, and maintain the systems that power our data\-driven organization. In this role, you will ensure that our data pipelines, storage, and processing systems are reliable, scalable, and optimized for analytics, machine learning, and business intelligence use cases. You will collaborate with data engineers, analysts, and software teams to create infrastructure that enables efficient and secure access to high\-quality data.  
Key job responsibilities  
* Design, implement, and maintain scalable data infrastructure in AWS cloud
* Build and optimize data pipelines (batch and streaming) to support analytics, reporting, and ML workloads.
* Ensure data quality, reliability, and observability through monitoring, logging, and automated alerting.
* Work closely with data engineering and analytics teams to understand requirements and deliver high\-performance solutions.
* Champion best practices for security, compliance, and governance in data infrastructure.
* Identify opportunities to optimize performance and cost of data platforms.
* Stay current with emerging tools, frameworks, and cloud services in the data infrastructure ecosystem.
A day in the life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team  
Our Video Team is the backbone of Twitch. Twitch processes a massive amount of live video channels and distributes them using the largest dedicated live video CDN in the world, delivering over 25Tbps to more than 5MM concurrent viewers. In addition to serving Twitch traffic, our video platform is offered as Amazon Interactive Video Service, an AWS service that allows creation of live video streaming with only a few lines of code. Engineers with our Video Team work across areas including ingest, transcoding, and distribution with the lowest latency high\-scale HLS distribution system in the world.**BASIC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6\+ years of hands\-on infrastructure, troubleshooting, systems administration, networking, DevOps or applications development experience
* Strong hands\-on expertise with cloud platforms
* Proficiency in data pipeline tools (e.g., Airflow, dbt, AWS Glue, Flink).
* Experience with data storage technologies (e.g., Redshift, Snowflake, BigQuery, Delta Lake, Iceberg, Parquet).
* Proficiency in GO, SQL, and Python for building and maintaining data systems.
* Solid understanding of distributed systems and performance optimization.
**PREFERRED QUALIFICATIONS**
----------------------------
* Experience with real\-time data streaming and event\-driven architectures.
* Strong hands\-on expertise with AWS cloud
* Background in observability and monitoring
* Knowledge of data governance, security, and compliance best practices
* Prior experience supporting machine learning or advanced analytics environments.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in-18c475c8a67492e8</t>
        </is>
      </c>
      <c r="B21" t="inlineStr">
        <is>
          <t>Senior Software Engineer, Twitch</t>
        </is>
      </c>
      <c r="C21" t="inlineStr">
        <is>
          <t>Amazon.com</t>
        </is>
      </c>
      <c r="D21" t="inlineStr">
        <is>
          <t>indeed</t>
        </is>
      </c>
      <c r="E21">
        <f>HYPERLINK("https://www.indeed.com/viewjob?jk=18c475c8a67492e8", "https://www.indeed.com/viewjob?jk=18c475c8a67492e8")</f>
        <v/>
      </c>
      <c r="F21">
        <f>HYPERLINK("https://www.amazon.jobs/jobs/3138042/senior-software-engineer-twitch?cmpid=DA_INAD200785B", "https://www.amazon.jobs/jobs/3138042/senior-software-engineer-twitch?cmpid=DA_INAD200785B")</f>
        <v/>
      </c>
      <c r="G21" t="inlineStr">
        <is>
          <t>Seattle, WA, US</t>
        </is>
      </c>
      <c r="H21" s="1" t="n">
        <v>45995</v>
      </c>
      <c r="I21"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and we are seeking a Data Infrastructure Engineer to design, build, and maintain the systems that power our data\-driven organization. In this role, you will ensure that our data pipelines, storage, and processing systems are reliable, scalable, and optimized for analytics, machine learning, and business intelligence use cases. You will collaborate with data engineers, analysts, and software teams to create infrastructure that enables efficient and secure access to high\-quality data.  
Key job responsibilities  
* Design, implement, and maintain scalable data infrastructure in AWS cloud
* Build and optimize data pipelines (batch and streaming) to support analytics, reporting, and ML workloads.
* Ensure data quality, reliability, and observability through monitoring, logging, and automated alerting.
* Work closely with data engineering and analytics teams to understand requirements and deliver high\-performance solutions.
* Champion best practices for security, compliance, and governance in data infrastructure.
* Identify opportunities to optimize performance and cost of data platforms.
* Stay current with emerging tools, frameworks, and cloud services in the data infrastructure ecosystem.
A day in the life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team  
Our Video Team is the backbone of Twitch. Twitch processes a massive amount of live video channels and distributes them using the largest dedicated live video CDN in the world, delivering over 25Tbps to more than 5MM concurrent viewers. In addition to serving Twitch traffic, our video platform is offered as Amazon Interactive Video Service, an AWS service that allows creation of live video streaming with only a few lines of code. Engineers with our Video Team work across areas including ingest, transcoding, and distribution with the lowest latency high\-scale HLS distribution system in the world.**BASIC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6\+ years of hands\-on infrastructure, troubleshooting, systems administration, networking, DevOps or applications development experience
* Strong hands\-on expertise with cloud platforms
* Proficiency in data pipeline tools (e.g., Airflow, dbt, AWS Glue, Flink).
* Experience with data storage technologies (e.g., Redshift, Snowflake, BigQuery, Delta Lake, Iceberg, Parquet).
* Proficiency in GO, SQL, and Python for building and maintaining data systems.
* Solid understanding of distributed systems and performance optimization.
**PREFERRED QUALIFICATIONS**
----------------------------
* Experience with real\-time data streaming and event\-driven architectures.
* Strong hands\-on expertise with AWS cloud
* Background in observability and monitoring
* Knowledge of data governance, security, and compliance best practices
* Prior experience supporting machine learning or advanced analytics environments.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2">
      <c r="A22" t="inlineStr">
        <is>
          <t>in-396e81b5e29e12f2</t>
        </is>
      </c>
      <c r="B22" t="inlineStr">
        <is>
          <t>Sr. Software Engineer, Manager</t>
        </is>
      </c>
      <c r="C22" t="inlineStr">
        <is>
          <t>Amazon.com</t>
        </is>
      </c>
      <c r="D22" t="inlineStr">
        <is>
          <t>indeed</t>
        </is>
      </c>
      <c r="E22">
        <f>HYPERLINK("https://www.indeed.com/viewjob?jk=396e81b5e29e12f2", "https://www.indeed.com/viewjob?jk=396e81b5e29e12f2")</f>
        <v/>
      </c>
      <c r="F22">
        <f>HYPERLINK("https://www.amazon.jobs/jobs/3144309/sr-software-engineer-manager?cmpid=DA_INAD200785B", "https://www.amazon.jobs/jobs/3144309/sr-software-engineer-manager?cmpid=DA_INAD200785B")</f>
        <v/>
      </c>
      <c r="G22" t="inlineStr">
        <is>
          <t>San Francisco, CA, US</t>
        </is>
      </c>
      <c r="H22" s="1" t="n">
        <v>46006</v>
      </c>
      <c r="I2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3">
      <c r="A23" t="inlineStr">
        <is>
          <t>in-607c9cacd9b37ca0</t>
        </is>
      </c>
      <c r="B23" t="inlineStr">
        <is>
          <t>Sr. Software Engineer, Manager</t>
        </is>
      </c>
      <c r="C23" t="inlineStr">
        <is>
          <t>Amazon.com</t>
        </is>
      </c>
      <c r="D23" t="inlineStr">
        <is>
          <t>indeed</t>
        </is>
      </c>
      <c r="E23">
        <f>HYPERLINK("https://www.indeed.com/viewjob?jk=607c9cacd9b37ca0", "https://www.indeed.com/viewjob?jk=607c9cacd9b37ca0")</f>
        <v/>
      </c>
      <c r="F23">
        <f>HYPERLINK("https://www.amazon.jobs/jobs/3144309/sr-software-engineer-manager?cmpid=DA_INAD200785B", "https://www.amazon.jobs/jobs/3144309/sr-software-engineer-manager?cmpid=DA_INAD200785B")</f>
        <v/>
      </c>
      <c r="G23" t="inlineStr">
        <is>
          <t>Irvine, CA, US</t>
        </is>
      </c>
      <c r="H23" s="1" t="n">
        <v>46006</v>
      </c>
      <c r="I2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4">
      <c r="A24" t="inlineStr">
        <is>
          <t>in-17fd23bd5089b83d</t>
        </is>
      </c>
      <c r="B24" t="inlineStr">
        <is>
          <t>Sr. Software Engineer, Manager</t>
        </is>
      </c>
      <c r="C24" t="inlineStr">
        <is>
          <t>Amazon.com</t>
        </is>
      </c>
      <c r="D24" t="inlineStr">
        <is>
          <t>indeed</t>
        </is>
      </c>
      <c r="E24">
        <f>HYPERLINK("https://www.indeed.com/viewjob?jk=17fd23bd5089b83d", "https://www.indeed.com/viewjob?jk=17fd23bd5089b83d")</f>
        <v/>
      </c>
      <c r="F24">
        <f>HYPERLINK("https://www.amazon.jobs/jobs/3144309/sr-software-engineer-manager?cmpid=DA_INAD200785B", "https://www.amazon.jobs/jobs/3144309/sr-software-engineer-manager?cmpid=DA_INAD200785B")</f>
        <v/>
      </c>
      <c r="G24" t="inlineStr">
        <is>
          <t>Culver City, CA, US</t>
        </is>
      </c>
      <c r="H24" s="1" t="n">
        <v>46006</v>
      </c>
      <c r="I2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5">
      <c r="A25" t="inlineStr">
        <is>
          <t>in-aa8726fc6f149a54</t>
        </is>
      </c>
      <c r="B25" t="inlineStr">
        <is>
          <t>Sr. Software Engineer, Manager</t>
        </is>
      </c>
      <c r="C25" t="inlineStr">
        <is>
          <t>Amazon.com</t>
        </is>
      </c>
      <c r="D25" t="inlineStr">
        <is>
          <t>indeed</t>
        </is>
      </c>
      <c r="E25">
        <f>HYPERLINK("https://www.indeed.com/viewjob?jk=aa8726fc6f149a54", "https://www.indeed.com/viewjob?jk=aa8726fc6f149a54")</f>
        <v/>
      </c>
      <c r="F25">
        <f>HYPERLINK("https://www.amazon.jobs/jobs/3144309/sr-software-engineer-manager?cmpid=DA_INAD200785B", "https://www.amazon.jobs/jobs/3144309/sr-software-engineer-manager?cmpid=DA_INAD200785B")</f>
        <v/>
      </c>
      <c r="G25" t="inlineStr">
        <is>
          <t>New York, NY, US</t>
        </is>
      </c>
      <c r="H25" s="1" t="n">
        <v>46006</v>
      </c>
      <c r="I2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6">
      <c r="A26" t="inlineStr">
        <is>
          <t>in-ac2e66e16a395f1f</t>
        </is>
      </c>
      <c r="B26" t="inlineStr">
        <is>
          <t>Sr. Software Engineer, Manager</t>
        </is>
      </c>
      <c r="C26" t="inlineStr">
        <is>
          <t>Amazon.com</t>
        </is>
      </c>
      <c r="D26" t="inlineStr">
        <is>
          <t>indeed</t>
        </is>
      </c>
      <c r="E26">
        <f>HYPERLINK("https://www.indeed.com/viewjob?jk=ac2e66e16a395f1f", "https://www.indeed.com/viewjob?jk=ac2e66e16a395f1f")</f>
        <v/>
      </c>
      <c r="F26">
        <f>HYPERLINK("https://www.amazon.jobs/jobs/3144309/sr-software-engineer-manager?cmpid=DA_INAD200785B", "https://www.amazon.jobs/jobs/3144309/sr-software-engineer-manager?cmpid=DA_INAD200785B")</f>
        <v/>
      </c>
      <c r="G26" t="inlineStr">
        <is>
          <t>Seattle, WA, US</t>
        </is>
      </c>
      <c r="H26" s="1" t="n">
        <v>46006</v>
      </c>
      <c r="I2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7">
      <c r="A27" t="inlineStr">
        <is>
          <t>in-f0897ff6d4033023</t>
        </is>
      </c>
      <c r="B27" t="inlineStr">
        <is>
          <t>Software Engineer, Monetization ML</t>
        </is>
      </c>
      <c r="C27" t="inlineStr">
        <is>
          <t>Amazon.com</t>
        </is>
      </c>
      <c r="D27" t="inlineStr">
        <is>
          <t>indeed</t>
        </is>
      </c>
      <c r="E27">
        <f>HYPERLINK("https://www.indeed.com/viewjob?jk=f0897ff6d4033023", "https://www.indeed.com/viewjob?jk=f0897ff6d4033023")</f>
        <v/>
      </c>
      <c r="F27">
        <f>HYPERLINK("https://www.amazon.jobs/jobs/3113621/software-engineer-monetization-ml?cmpid=DA_INAD200785B", "https://www.amazon.jobs/jobs/3113621/software-engineer-monetization-ml?cmpid=DA_INAD200785B")</f>
        <v/>
      </c>
      <c r="G27" t="inlineStr">
        <is>
          <t>Seattle, WA, US</t>
        </is>
      </c>
      <c r="H27" s="1" t="n">
        <v>45944</v>
      </c>
      <c r="I2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the Monetization ML team within Twitch's Commerce organization, where we're building the intelligent systems that power personalized experiences for creators and viewers across all monetization products. We are the team behind the ML infrastructure for ads, commerce, and money products – systems that optimize revenue and detect fraud while serving millions of users in real\-time.  
From production model infrastructure to API integrations across services, we're constantly pushing the boundaries of what's possible in live streaming monetization.
Our team are based in Seattle, WA and New York City, NY  
You Will  
* Build robust ML infrastructure and platforms that power personalized monetization experiences across Twitch's ecosystem
* Architect and develop APIs that seamlessly integrate ML models with existing monetization services, enabling real\-time and batch predictions at scale
* Collaborate with Applied Scientists to productionize ML models, transforming research into production\-ready systems that serve millions of users
* Partner with product engineering teams across monetization to deliver ML\-powered features that enhance creator and viewer experiences
* Design and implement comprehensive monitoring and operational excellence systems for ML model performance, ensuring reliability and quality at scale
* Develop data ingestion and processing pipelines that support both real\-time inference and batch training workflows
* Explore and build infrastructure for emerging use cases including LLM applications in monetization contexts
Perks  
* Medical, Dental, Vision \&amp; Disability Insurance
* 401(k)
* Maternity \&amp; Parental Leave
* Flexible PTO
* Amazon Employee Discount
**BASIC QUALIFICATIONS**
------------------------
* Bachelor's degree in Computer Science, Engineering, or a related field
* 1\+ years of professional software development experience with a focus on building scalable systems
* Experience building production ML infrastructure, including model deployment, serving, and monitoring systems
* Proficiency in modern programming languages (Python, Java, Go) and distributed system technologies
* A track record of building APIs and integrating systems that handle high\-throughput, low\-latency requirements
* Understanding of data processing pipelines and experience with streaming technologies (Flink, Kafka, or similar)
* Sharp problem\-solving skills with a focus on algorithms, data structures, and distributed system design
**PREFERRED QUALIFICATIONS**
----------------------------
* Familiarity with Twitch's tech stack: Golang, Python, Apache Flink, Cond
* Experience with workflow orchestration tools like Airflow or Conductor for managing ML pipelines
* Experience with AWS technologies like ECS, DynamoDB, Lambda, SQS, and Step Functions
* Knowledge of real\-time ML serving systems and model deployment at scale
* Experience with fraud detection, recommendation systems, or monetization optimization
* A passion for gaming, streaming, or the Twitch platform
Twitch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BROOKLYN \- 121,600\.00 \- 180,600\.00 USD annually  
USA, NY, Carle Place \- 121,600\.00 \- 180,600\.00 USD annually  
USA, NY, New York \- 121,600\.00 \- 180,600\.00 USD annually  
USA, OR, Corvallis \- 110,500\.00 \- 160,000\.00 USD annually  
USA, WA, SEATTLE \- 110,500\.00 \- 160,000\.00 USD annually  
USA, WA, Seattle \- 110,500\.00 \- 160,000\.00 USD annually</t>
        </is>
      </c>
    </row>
    <row r="28">
      <c r="A28" t="inlineStr">
        <is>
          <t>in-bcb6b64cf10f8917</t>
        </is>
      </c>
      <c r="B28" t="inlineStr">
        <is>
          <t>Software Engineer, Monetization ML</t>
        </is>
      </c>
      <c r="C28" t="inlineStr">
        <is>
          <t>Amazon.com</t>
        </is>
      </c>
      <c r="D28" t="inlineStr">
        <is>
          <t>indeed</t>
        </is>
      </c>
      <c r="E28">
        <f>HYPERLINK("https://www.indeed.com/viewjob?jk=bcb6b64cf10f8917", "https://www.indeed.com/viewjob?jk=bcb6b64cf10f8917")</f>
        <v/>
      </c>
      <c r="F28">
        <f>HYPERLINK("https://www.amazon.jobs/jobs/3113621/software-engineer-monetization-ml?cmpid=DA_INAD200785B", "https://www.amazon.jobs/jobs/3113621/software-engineer-monetization-ml?cmpid=DA_INAD200785B")</f>
        <v/>
      </c>
      <c r="G28" t="inlineStr">
        <is>
          <t>New York, NY, US</t>
        </is>
      </c>
      <c r="H28" s="1" t="n">
        <v>45944</v>
      </c>
      <c r="I2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the Monetization ML team within Twitch's Commerce organization, where we're building the intelligent systems that power personalized experiences for creators and viewers across all monetization products. We are the team behind the ML infrastructure for ads, commerce, and money products – systems that optimize revenue and detect fraud while serving millions of users in real\-time.  
From production model infrastructure to API integrations across services, we're constantly pushing the boundaries of what's possible in live streaming monetization.
Our team are based in Seattle, WA and New York City, NY  
You Will  
* Build robust ML infrastructure and platforms that power personalized monetization experiences across Twitch's ecosystem
* Architect and develop APIs that seamlessly integrate ML models with existing monetization services, enabling real\-time and batch predictions at scale
* Collaborate with Applied Scientists to productionize ML models, transforming research into production\-ready systems that serve millions of users
* Partner with product engineering teams across monetization to deliver ML\-powered features that enhance creator and viewer experiences
* Design and implement comprehensive monitoring and operational excellence systems for ML model performance, ensuring reliability and quality at scale
* Develop data ingestion and processing pipelines that support both real\-time inference and batch training workflows
* Explore and build infrastructure for emerging use cases including LLM applications in monetization contexts
Perks  
* Medical, Dental, Vision \&amp; Disability Insurance
* 401(k)
* Maternity \&amp; Parental Leave
* Flexible PTO
* Amazon Employee Discount
**BASIC QUALIFICATIONS**
------------------------
* Bachelor's degree in Computer Science, Engineering, or a related field
* 1\+ years of professional software development experience with a focus on building scalable systems
* Experience building production ML infrastructure, including model deployment, serving, and monitoring systems
* Proficiency in modern programming languages (Python, Java, Go) and distributed system technologies
* A track record of building APIs and integrating systems that handle high\-throughput, low\-latency requirements
* Understanding of data processing pipelines and experience with streaming technologies (Flink, Kafka, or similar)
* Sharp problem\-solving skills with a focus on algorithms, data structures, and distributed system design
**PREFERRED QUALIFICATIONS**
----------------------------
* Familiarity with Twitch's tech stack: Golang, Python, Apache Flink, Cond
* Experience with workflow orchestration tools like Airflow or Conductor for managing ML pipelines
* Experience with AWS technologies like ECS, DynamoDB, Lambda, SQS, and Step Functions
* Knowledge of real\-time ML serving systems and model deployment at scale
* Experience with fraud detection, recommendation systems, or monetization optimization
* A passion for gaming, streaming, or the Twitch platform
Twitch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BROOKLYN \- 121,600\.00 \- 180,600\.00 USD annually  
USA, NY, Carle Place \- 121,600\.00 \- 180,600\.00 USD annually  
USA, NY, New York \- 121,600\.00 \- 180,600\.00 USD annually  
USA, OR, Corvallis \- 110,500\.00 \- 160,000\.00 USD annually  
USA, WA, SEATTLE \- 110,500\.00 \- 160,000\.00 USD annually  
USA, WA, Seattle \- 110,500\.00 \- 160,000\.00 USD annually</t>
        </is>
      </c>
    </row>
    <row r="29">
      <c r="A29" t="inlineStr">
        <is>
          <t>in-4a6aa942a55306d6</t>
        </is>
      </c>
      <c r="B29" t="inlineStr">
        <is>
          <t>Sr Embedded Software Engineer, Annapurna ML Software</t>
        </is>
      </c>
      <c r="C29" t="inlineStr">
        <is>
          <t>Amazon Web Services</t>
        </is>
      </c>
      <c r="D29" t="inlineStr">
        <is>
          <t>indeed</t>
        </is>
      </c>
      <c r="E29">
        <f>HYPERLINK("https://www.indeed.com/viewjob?jk=4a6aa942a55306d6", "https://www.indeed.com/viewjob?jk=4a6aa942a55306d6")</f>
        <v/>
      </c>
      <c r="F29">
        <f>HYPERLINK("https://www.amazon.jobs/jobs/3190880/sr-embedded-software-engineer-annapurna-ml-software?cmpid=DA_INAD200785B", "https://www.amazon.jobs/jobs/3190880/sr-embedded-software-engineer-annapurna-ml-software?cmpid=DA_INAD200785B")</f>
        <v/>
      </c>
      <c r="G29" t="inlineStr">
        <is>
          <t>Austin, TX, US</t>
        </is>
      </c>
      <c r="H29" s="1" t="n">
        <v>46070</v>
      </c>
      <c r="I29" t="inlineStr">
        <is>
          <t>**DESCRIPTION**
---------------
Annapurna Labs designs silicon and software that accelerates innovation. Customers choose us to create cloud solutions that solve challenges that were unimaginable a short time ago\- even yesterday. Our custom chips, accelerators, and software stacks enable us to take on technical challenges that have never been seen before, and deliver results that help our customers change the world.  
In Annapurna Labs we are at the forefront of hardware/software co\-design not just in Amazon Web Services (AWS) but across the industry. Our Annapurna MLA Software team is looking for candidates interested in diving deep into the different hardware technologies that power our Machine Learning servers and develop the software and firmware to drive, support and sustain these technologies as they evolve though concept and manufacturing, and finally take their place in our rapidly expanding fleet of bleeding edge Machine Learning products our customers demand.  
Key job responsibilities  
* Define technical strategy and lead architecture for Annapurna Labs' machine learning platform, driving decisions that impact multiple product lines
* Collaborate with EC2 teams and manufacturing partners to ensure seamless system integration
* Own end\-to\-end qualification frameworks and processes, mentoring engineers on implementation best practices
* Drive end\-to\-end qualification processes for new software implementations
* Craft high\-performance solutions using C/C\+\+ running on Linux
A day in the life  
You'll architect and develop the software and firmware that drives NeuronSwitches\- the high\-performance interconnect fabric for Trainium chips. Day\-to\-day, you'll work closely with EC2, Annapurna Labs teams and manufacturing teams to bring up new hardware, debug board\-level issues and optimize data paths. You'll write device drivers, build ML infrastructure, implement switch fabric control logic and develop the tooling needed for testing, qualification, and production deployment.  
This is hands\-on systems work\- from initial hardware bring\-up through manufacturing scale\-up.  
About the team  
The Annapurna ML Software team builds the software and firmware that powers NeuronSwitches\- AWS' next\-generation switching infrastructure forming the high\-performance interconnect fabric for Trainium 3  
chips. We focus on mission\-mode control of sensors, board\-level hardware, and the critical data paths that enable chip\-to\-chip communication at scale. Our work spans device drivers, switched fabric and everything in between\- from debug and testing through qualification and manufacturing.  
We work at the hardware\-software boundary where silicon meets systems. While ML engineers optimize models and algorithms, we ensure the underlying infrastructure can move data at the  
speeds those workloads demand. If you're excited about low\-level systems programming, hardware bring\-up, and building the foundation that makes next generation AI possible, this is the team  
for you.**BASIC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5\+ years of full software development life cycle, including coding standards, code reviews, source control management, build processes, testing, and operations experience
* Experience as a mentor, tech lead or leading an engineering team
**PREFERRED QUALIFICATIONS**
----------------------------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\- 193,300\.00 \- 261,500\.00 USD annually  
USA, TX, Austin \- 168,100\.00 \- 227,400\.00 USD annually</t>
        </is>
      </c>
    </row>
    <row r="30">
      <c r="A30" t="inlineStr">
        <is>
          <t>in-7212a8fc68edb023</t>
        </is>
      </c>
      <c r="B30" t="inlineStr">
        <is>
          <t>Sr Embedded Software Engineer, Annapurna ML Software</t>
        </is>
      </c>
      <c r="C30" t="inlineStr">
        <is>
          <t>Amazon Web Services</t>
        </is>
      </c>
      <c r="D30" t="inlineStr">
        <is>
          <t>indeed</t>
        </is>
      </c>
      <c r="E30">
        <f>HYPERLINK("https://www.indeed.com/viewjob?jk=7212a8fc68edb023", "https://www.indeed.com/viewjob?jk=7212a8fc68edb023")</f>
        <v/>
      </c>
      <c r="F30">
        <f>HYPERLINK("https://www.amazon.jobs/jobs/3190880/sr-embedded-software-engineer-annapurna-ml-software?cmpid=DA_INAD200785B", "https://www.amazon.jobs/jobs/3190880/sr-embedded-software-engineer-annapurna-ml-software?cmpid=DA_INAD200785B")</f>
        <v/>
      </c>
      <c r="G30" t="inlineStr">
        <is>
          <t>Cupertino, CA, US</t>
        </is>
      </c>
      <c r="H30" s="1" t="n">
        <v>46070</v>
      </c>
      <c r="I30" t="inlineStr">
        <is>
          <t>**DESCRIPTION**
---------------
Annapurna Labs designs silicon and software that accelerates innovation. Customers choose us to create cloud solutions that solve challenges that were unimaginable a short time ago\- even yesterday. Our custom chips, accelerators, and software stacks enable us to take on technical challenges that have never been seen before, and deliver results that help our customers change the world.  
In Annapurna Labs we are at the forefront of hardware/software co\-design not just in Amazon Web Services (AWS) but across the industry. Our Annapurna MLA Software team is looking for candidates interested in diving deep into the different hardware technologies that power our Machine Learning servers and develop the software and firmware to drive, support and sustain these technologies as they evolve though concept and manufacturing, and finally take their place in our rapidly expanding fleet of bleeding edge Machine Learning products our customers demand.  
Key job responsibilities  
* Define technical strategy and lead architecture for Annapurna Labs' machine learning platform, driving decisions that impact multiple product lines
* Collaborate with EC2 teams and manufacturing partners to ensure seamless system integration
* Own end\-to\-end qualification frameworks and processes, mentoring engineers on implementation best practices
* Drive end\-to\-end qualification processes for new software implementations
* Craft high\-performance solutions using C/C\+\+ running on Linux
A day in the life  
You'll architect and develop the software and firmware that drives NeuronSwitches\- the high\-performance interconnect fabric for Trainium chips. Day\-to\-day, you'll work closely with EC2, Annapurna Labs teams and manufacturing teams to bring up new hardware, debug board\-level issues and optimize data paths. You'll write device drivers, build ML infrastructure, implement switch fabric control logic and develop the tooling needed for testing, qualification, and production deployment.  
This is hands\-on systems work\- from initial hardware bring\-up through manufacturing scale\-up.  
About the team  
The Annapurna ML Software team builds the software and firmware that powers NeuronSwitches\- AWS' next\-generation switching infrastructure forming the high\-performance interconnect fabric for Trainium 3  
chips. We focus on mission\-mode control of sensors, board\-level hardware, and the critical data paths that enable chip\-to\-chip communication at scale. Our work spans device drivers, switched fabric and everything in between\- from debug and testing through qualification and manufacturing.  
We work at the hardware\-software boundary where silicon meets systems. While ML engineers optimize models and algorithms, we ensure the underlying infrastructure can move data at the  
speeds those workloads demand. If you're excited about low\-level systems programming, hardware bring\-up, and building the foundation that makes next generation AI possible, this is the team  
for you.**BASIC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5\+ years of full software development life cycle, including coding standards, code reviews, source control management, build processes, testing, and operations experience
* Experience as a mentor, tech lead or leading an engineering team
**PREFERRED QUALIFICATIONS**
----------------------------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\- 193,300\.00 \- 261,500\.00 USD annually  
USA, TX, Austin \- 168,100\.00 \- 227,400\.00 USD annually</t>
        </is>
      </c>
    </row>
    <row r="31">
      <c r="A31" t="inlineStr">
        <is>
          <t>in-46b77fab1e94de99</t>
        </is>
      </c>
      <c r="B31" t="inlineStr">
        <is>
          <t>Senior Software Engineer</t>
        </is>
      </c>
      <c r="C31" t="inlineStr">
        <is>
          <t>Contingent Crew, LLC</t>
        </is>
      </c>
      <c r="D31" t="inlineStr">
        <is>
          <t>indeed</t>
        </is>
      </c>
      <c r="E31">
        <f>HYPERLINK("https://www.indeed.com/viewjob?jk=46b77fab1e94de99", "https://www.indeed.com/viewjob?jk=46b77fab1e94de99")</f>
        <v/>
      </c>
      <c r="F31">
        <f>HYPERLINK("http://www.indeed.com/job/senior-software-engineer-46b77fab1e94de99", "http://www.indeed.com/job/senior-software-engineer-46b77fab1e94de99")</f>
        <v/>
      </c>
      <c r="G31" t="inlineStr">
        <is>
          <t>Alpharetta, GA, US</t>
        </is>
      </c>
      <c r="H31" s="1" t="n">
        <v>46084</v>
      </c>
      <c r="I31" t="inlineStr">
        <is>
          <t>**Schedule**: Monday's \- Friday's; 8am \- 5pm (in office)
**Job Summary:**   
The Senior Software Engineer is a key technical leader responsible for overseeing significant features and systems, leading critical projects, and providing strategic guidance to the engineering team.
**Key Responsibilities:**
· Develop complex code and architect solutions with minimal supervision, ensuring alignment with project requirements and standards.
· Serve as a technical resource and mentor for junior engineers, guiding them on best practices.
· Lead code reviews, ensuring quality and consistency across the team.
· Design and implement scalable, maintainable solutions, considering system\-wide implications.
· Contribute to the planning and estimation of project timelines and tasks.
**Expectations:**
* Display strong technical expertise, demonstrating ownership of assigned features and modules.
* Mentor junior team members and contribute to a collaborative, growth\-oriented environment.
* Show reliability in meeting deadlines and delivering quality solutions.
* Communicate effectively across teams and help align development with business objectives.
**KNOWLEDGE:**
* Agile, SAFe
* CI/CD
* SLDC
* Software Engineering best practices
* BDD and TDD
* GCP
* Understanding of Pipeline Business process a plus
**SKILLS:**
* Full Stack Development
* C\#
* Azure DevOps
* Queries and scripting with Oracle and MS SQL Server
* Docker / Kubernetes
* REST APIs
* Python
* Configuration and Maintenance of 3rd Party software
Job Type: Full\-time
Pay: $55\.00 \- $75\.00 per hour
Work Location: In person</t>
        </is>
      </c>
    </row>
    <row r="32">
      <c r="A32" t="inlineStr">
        <is>
          <t>in-28314aa31162c56d</t>
        </is>
      </c>
      <c r="B32" t="inlineStr">
        <is>
          <t>Full-Stack Software Developer</t>
        </is>
      </c>
      <c r="C32" t="inlineStr">
        <is>
          <t>Grid Elevated</t>
        </is>
      </c>
      <c r="D32" t="inlineStr">
        <is>
          <t>indeed</t>
        </is>
      </c>
      <c r="E32">
        <f>HYPERLINK("https://www.indeed.com/viewjob?jk=28314aa31162c56d", "https://www.indeed.com/viewjob?jk=28314aa31162c56d")</f>
        <v/>
      </c>
      <c r="F32">
        <f>HYPERLINK("http://www.indeed.com/job/full-stack-software-developer-28314aa31162c56d", "http://www.indeed.com/job/full-stack-software-developer-28314aa31162c56d")</f>
        <v/>
      </c>
      <c r="G32" t="inlineStr">
        <is>
          <t>Salt Lake City, UT, US</t>
        </is>
      </c>
      <c r="H32" s="1" t="n">
        <v>46084</v>
      </c>
      <c r="I32" t="inlineStr">
        <is>
          <t>**Job Overview**  
Grid Elevated is seeking a Full\-Stack Software Developer to help build next\-generation tools that bring intelligence to the power and energy sector. This role is a strong fit for someone who can contribute across the full software lifecycle and help design, build, and maintain reliable, scalable applications in a collaborative, fast\-moving environment. The ideal candidate brings strong full\-stack development experience, solid cloud architecture knowledge, and the ability to support systems involving real\-time communication, monitoring, and distributed services.
**Required Experience \&amp; Skills**
* Proven experience as a Full\-Stack Software Developer, Software Engineer, or similar role.
* Strong professional experience with TypeScript, React, Node.js, and Express.
* Hands\-on experience with AWS, including serverless and cloud\-native application design.
* Experience with DynamoDB or other scalable NoSQL databases, including data modeling and performance considerations.
* Experience building and maintaining production systems at scale.
* Familiarity with infrastructure as code, deployment workflows, and cloud environment management.
* Experience with cloud security fundamentals, including IAM roles, permissions, and access patterns.
* Strong understanding of system design, distributed systems, and scalable architecture.
* Ability to work independently, take ownership, and solve complex technical problems.
**Preferred Qualifications**
* Experience with Terraform, AWS SAM, or similar infrastructure automation tools.
* Experience with containerized applications and modern deployment environments.
* Experience building software that interacts with connected devices, real\-time systems, or distributed hardware.
* Experience in high\-growth or fast\-paced engineering environments.
**Why This Role**
This is an opportunity to help build software that connects applications, cloud infrastructure, and field hardware into a reliable platform customers depend on every day. We are looking for someone who is excited to take ownership, solve challenging technical problems, and help shape a scalable product.
Pay: $26\.00 \- $38\.00 per hour
Expected hours: 20\.0 – 40\.0 per week
Location:
* Salt Lake City, UT 84108 (Required)
Work Location: In person</t>
        </is>
      </c>
    </row>
    <row r="33">
      <c r="A33" t="inlineStr">
        <is>
          <t>in-21a7c3f04341d3aa</t>
        </is>
      </c>
      <c r="B33" t="inlineStr">
        <is>
          <t>Full Stack Engineer (TypeScript) | Remote</t>
        </is>
      </c>
      <c r="C33" t="inlineStr">
        <is>
          <t>Last Call Media</t>
        </is>
      </c>
      <c r="D33" t="inlineStr">
        <is>
          <t>indeed</t>
        </is>
      </c>
      <c r="E33">
        <f>HYPERLINK("https://www.indeed.com/viewjob?jk=21a7c3f04341d3aa", "https://www.indeed.com/viewjob?jk=21a7c3f04341d3aa")</f>
        <v/>
      </c>
      <c r="F33">
        <f>HYPERLINK("https://apply.workable.com/j/77B46FF4F8", "https://apply.workable.com/j/77B46FF4F8")</f>
        <v/>
      </c>
      <c r="G33" t="inlineStr">
        <is>
          <t>NC, US</t>
        </is>
      </c>
      <c r="H33" s="1" t="n">
        <v>46084</v>
      </c>
      <c r="I33" t="inlineStr">
        <is>
          <t>At Last Call, we're helping build a world where access to information is equitable and easy. Our engineers work across the stack to make public services more clear, accessible, and human.
Join us in that effort! You'll own what you build, collaborate directly with teammates and clients, and contribute to how we grow as an engineering team. This role is focused on testing and debugging existing codebases.
 **Requirements**  
What we're looking for
Strong TypeScript and JavaScript skills, with experience in at least one major framework or runtime like React or Node.js. Experience with end\-to\-end testing tools like Playwright. You should be comfortable designing and consuming APIs and working with relational databases. Experience with AWS and IaC tools like Terraform is a plus.
You communicate clearly, ask thoughtful questions, and take ownership of your work.
How we work
Fully remote, no traditional managers. You'll work closely with clients and teammates, take on real technical challenges, and have room to shape how we build. Our work supports essential services, so we hold our code and CI/CD practices to a high standard.
 **Benefits**  
What we offer
Salary of $115,000 to $145,000 based on your skills and experience. Health, dental, vision, life, and disability insurance. Flexible PTO. Professional development and home office funds with no pre\-set limits.
This role is open to engineers based in the 48 contiguous states and D.C.
To apply
No cover letter needed. We focus on your responses to our application questions. Enter job ID 39 when prompted.</t>
        </is>
      </c>
    </row>
    <row r="34">
      <c r="A34" t="inlineStr">
        <is>
          <t>in-260b509c9a292b96</t>
        </is>
      </c>
      <c r="B34" t="inlineStr">
        <is>
          <t>Full Stack Engineer (TypeScript) | Remote</t>
        </is>
      </c>
      <c r="C34" t="inlineStr">
        <is>
          <t>Last Call Media</t>
        </is>
      </c>
      <c r="D34" t="inlineStr">
        <is>
          <t>indeed</t>
        </is>
      </c>
      <c r="E34">
        <f>HYPERLINK("https://www.indeed.com/viewjob?jk=260b509c9a292b96", "https://www.indeed.com/viewjob?jk=260b509c9a292b96")</f>
        <v/>
      </c>
      <c r="F34">
        <f>HYPERLINK("https://apply.workable.com/j/E6582D6531", "https://apply.workable.com/j/E6582D6531")</f>
        <v/>
      </c>
      <c r="G34" t="inlineStr">
        <is>
          <t>IN, US</t>
        </is>
      </c>
      <c r="H34" s="1" t="n">
        <v>46084</v>
      </c>
      <c r="I34" t="inlineStr">
        <is>
          <t>At Last Call, we're helping build a world where access to information is equitable and easy. Our engineers work across the stack to make public services more clear, accessible, and human.
Join us in that effort! You'll own what you build, collaborate directly with teammates and clients, and contribute to how we grow as an engineering team. This role is focused on testing and debugging existing codebases.
 **Requirements**  
What we're looking for
Strong TypeScript and JavaScript skills, with experience in at least one major framework or runtime like React or Node.js. Experience with end\-to\-end testing tools like Playwright. You should be comfortable designing and consuming APIs and working with relational databases. Experience with AWS and IaC tools like Terraform is a plus.
You communicate clearly, ask thoughtful questions, and take ownership of your work.
How we work
Fully remote, no traditional managers. You'll work closely with clients and teammates, take on real technical challenges, and have room to shape how we build. Our work supports essential services, so we hold our code and CI/CD practices to a high standard.
 **Benefits**  
What we offer
Salary of $115,000 to $145,000 based on your skills and experience. Health, dental, vision, life, and disability insurance. Flexible PTO. Professional development and home office funds with no pre\-set limits.
This role is open to engineers based in the 48 contiguous states and D.C.
To apply
No cover letter needed. We focus on your responses to our application questions. Enter job ID 39 when prompted.</t>
        </is>
      </c>
    </row>
    <row r="35">
      <c r="A35" t="inlineStr">
        <is>
          <t>in-bd34c1a0e74bacba</t>
        </is>
      </c>
      <c r="B35" t="inlineStr">
        <is>
          <t>Full Stack Engineer (TypeScript) | Remote</t>
        </is>
      </c>
      <c r="C35" t="inlineStr">
        <is>
          <t>Last Call Media</t>
        </is>
      </c>
      <c r="D35" t="inlineStr">
        <is>
          <t>indeed</t>
        </is>
      </c>
      <c r="E35">
        <f>HYPERLINK("https://www.indeed.com/viewjob?jk=bd34c1a0e74bacba", "https://www.indeed.com/viewjob?jk=bd34c1a0e74bacba")</f>
        <v/>
      </c>
      <c r="F35">
        <f>HYPERLINK("https://apply.workable.com/j/ABB47C9F2F", "https://apply.workable.com/j/ABB47C9F2F")</f>
        <v/>
      </c>
      <c r="G35" t="inlineStr">
        <is>
          <t>MA, US</t>
        </is>
      </c>
      <c r="H35" s="1" t="n">
        <v>46084</v>
      </c>
      <c r="I35" t="inlineStr">
        <is>
          <t>At Last Call, we're helping build a world where access to information is equitable and easy. Our engineers work across the stack to make public services more clear, accessible, and human.
Join us in that effort! You'll own what you build, collaborate directly with teammates and clients, and contribute to how we grow as an engineering team. This role is focused on testing and debugging existing codebases.
 **Requirements**  
What we're looking for
Strong TypeScript and JavaScript skills, with experience in at least one major framework or runtime like React or Node.js. Experience with end\-to\-end testing tools like Playwright. You should be comfortable designing and consuming APIs and working with relational databases. Experience with AWS and IaC tools like Terraform is a plus.
You communicate clearly, ask thoughtful questions, and take ownership of your work.
How we work
Fully remote, no traditional managers. You'll work closely with clients and teammates, take on real technical challenges, and have room to shape how we build. Our work supports essential services, so we hold our code and CI/CD practices to a high standard.
 **Benefits**  
What we offer
Salary of $115,000 to $145,000 based on your skills and experience. Health, dental, vision, life, and disability insurance. Flexible PTO. Professional development and home office funds with no pre\-set limits.
This role is open to engineers based in the 48 contiguous states and D.C.
To apply
No cover letter needed. We focus on your responses to our application questions. Enter job ID 39 when prompted.</t>
        </is>
      </c>
    </row>
    <row r="36">
      <c r="A36" t="inlineStr">
        <is>
          <t>in-21bdcc35d307c4d6</t>
        </is>
      </c>
      <c r="B36" t="inlineStr">
        <is>
          <t>Principal, Full Stack Engineer</t>
        </is>
      </c>
      <c r="C36" t="inlineStr">
        <is>
          <t>Fidelity Investments</t>
        </is>
      </c>
      <c r="D36" t="inlineStr">
        <is>
          <t>indeed</t>
        </is>
      </c>
      <c r="E36">
        <f>HYPERLINK("https://www.indeed.com/viewjob?jk=21bdcc35d307c4d6", "https://www.indeed.com/viewjob?jk=21bdcc35d307c4d6")</f>
        <v/>
      </c>
      <c r="F36">
        <f>HYPERLINK("https://jobs.fidelity.com/en/jobs/2124177/principal-full-stack-engineer/", "https://jobs.fidelity.com/en/jobs/2124177/principal-full-stack-engineer/")</f>
        <v/>
      </c>
      <c r="G36" t="inlineStr">
        <is>
          <t>Smithfield, RI, US</t>
        </is>
      </c>
      <c r="H36" s="1" t="n">
        <v>46083</v>
      </c>
      <c r="I36" t="inlineStr">
        <is>
          <t>### **Job Description:**
The Role
The AM Equity \- Reporting Analytics and Engineering squad have an outstanding opportunity for a Principal Software Engineer to become a technical leader \&amp; mentor for the squad. The Equity Reporting and Analytics squad is part of the Equity Technology within Asset Management, developing software applications that support the reporting team and various Asset Management business users such as Portfolio Managers, Research Analysts and Operations teams. We are passionate about blending the best engineering practices and processes with the skills of our people to deliver for our Asset Management business partners.
The expertise we are looking for
* Degree in Computer Science, Engineering, Information Technology or equivalent and you want to learn more.
* Minimum of 7 years overall of Software Engineering experience
* Minimum of 5 years Java, Spring Boot, Spring, Angular
* Working knowledge of SQL \&amp; PL/SQL to aid in analysis and investigation.
* Proven experience in mentoring and coaching engineers
* Proven experience of working closely with Product teams to understand the importance requirements.
* Proven experience in production support and incident management.
* Minimum of 4 experience working hands\-on with AWS Cloud Technologies and Services such as EKS, EC2, S3 etc.
* Hands\-on experience developing and maintaining CI/CD pipelines.
* Hands on experience in test automation at various levels of testing (unit, component, integration, and functional tests), static code analysis and test\-driven development practices
* You appreciate Agile standard methodologies within the Scrum context and have a deep knowledge of the development lifecycle.
* Strong understanding of coding patterns and engineering standard methodologies
* Strong communication and influencing skills.
The Team
Our team is part of the engineering product area within Asset Management, developing software applications that support the reporting team and Investment Professionals in Asset Management . We are committed to evolving our agile software development process and incorporating the newest technologies and practices.
### **Certifications:**
### **Category:**
Information Technology
Most roles at Fidelity are Hybrid, requiring associates to work onsite every other week (all business days, M\-F) in a Fidelity office. This does not apply to Remote or fully Onsite roles. Some roles may have unique onsite requirements. Please consult with your recruiter for the specific expectations for this position.
Please be advised that Fidelity’s business is governed by the provisions of the Securities Exchange Act of 1934, the Investment Advisers Act of 1940, the Investment Company Act of 1940, ERISA, numerous state laws governing securities, investment and retirement\-related financial activities and the rules and regulations of numerous self\-regulatory organizations, including FINRA, among others. Those laws and regulations may restrict Fidelity from hiring and/or associating with individuals with certain Criminal Histories.</t>
        </is>
      </c>
    </row>
    <row r="37">
      <c r="A37" t="inlineStr">
        <is>
          <t>in-864703c72c73f2c0</t>
        </is>
      </c>
      <c r="B37" t="inlineStr">
        <is>
          <t>Principal, Full Stack Engineer</t>
        </is>
      </c>
      <c r="C37" t="inlineStr">
        <is>
          <t>Fidelity Investments</t>
        </is>
      </c>
      <c r="D37" t="inlineStr">
        <is>
          <t>indeed</t>
        </is>
      </c>
      <c r="E37">
        <f>HYPERLINK("https://www.indeed.com/viewjob?jk=864703c72c73f2c0", "https://www.indeed.com/viewjob?jk=864703c72c73f2c0")</f>
        <v/>
      </c>
      <c r="F37">
        <f>HYPERLINK("https://jobs.fidelity.com/en/jobs/2124177/principal-full-stack-engineer/", "https://jobs.fidelity.com/en/jobs/2124177/principal-full-stack-engineer/")</f>
        <v/>
      </c>
      <c r="G37" t="inlineStr">
        <is>
          <t>Merrimack, NH, US</t>
        </is>
      </c>
      <c r="H37" s="1" t="n">
        <v>46083</v>
      </c>
      <c r="I37" t="inlineStr">
        <is>
          <t>### **Job Description:**
The Role
The AM Equity \- Reporting Analytics and Engineering squad have an outstanding opportunity for a Principal Software Engineer to become a technical leader \&amp; mentor for the squad. The Equity Reporting and Analytics squad is part of the Equity Technology within Asset Management, developing software applications that support the reporting team and various Asset Management business users such as Portfolio Managers, Research Analysts and Operations teams. We are passionate about blending the best engineering practices and processes with the skills of our people to deliver for our Asset Management business partners.
The expertise we are looking for
* Degree in Computer Science, Engineering, Information Technology or equivalent and you want to learn more.
* Minimum of 7 years overall of Software Engineering experience
* Minimum of 5 years Java, Spring Boot, Spring, Angular
* Working knowledge of SQL \&amp; PL/SQL to aid in analysis and investigation.
* Proven experience in mentoring and coaching engineers
* Proven experience of working closely with Product teams to understand the importance requirements.
* Proven experience in production support and incident management.
* Minimum of 4 experience working hands\-on with AWS Cloud Technologies and Services such as EKS, EC2, S3 etc.
* Hands\-on experience developing and maintaining CI/CD pipelines.
* Hands on experience in test automation at various levels of testing (unit, component, integration, and functional tests), static code analysis and test\-driven development practices
* You appreciate Agile standard methodologies within the Scrum context and have a deep knowledge of the development lifecycle.
* Strong understanding of coding patterns and engineering standard methodologies
* Strong communication and influencing skills.
The Team
Our team is part of the engineering product area within Asset Management, developing software applications that support the reporting team and Investment Professionals in Asset Management . We are committed to evolving our agile software development process and incorporating the newest technologies and practices.
### **Certifications:**
### **Category:**
Information Technology
Most roles at Fidelity are Hybrid, requiring associates to work onsite every other week (all business days, M\-F) in a Fidelity office. This does not apply to Remote or fully Onsite roles. Some roles may have unique onsite requirements. Please consult with your recruiter for the specific expectations for this position.
Please be advised that Fidelity’s business is governed by the provisions of the Securities Exchange Act of 1934, the Investment Advisers Act of 1940, the Investment Company Act of 1940, ERISA, numerous state laws governing securities, investment and retirement\-related financial activities and the rules and regulations of numerous self\-regulatory organizations, including FINRA, among others. Those laws and regulations may restrict Fidelity from hiring and/or associating with individuals with certain Criminal Histories.</t>
        </is>
      </c>
    </row>
    <row r="38">
      <c r="A38" t="inlineStr">
        <is>
          <t>in-49d2cd99379f4596</t>
        </is>
      </c>
      <c r="B38" t="inlineStr">
        <is>
          <t>Principal, Full Stack Engineer</t>
        </is>
      </c>
      <c r="C38" t="inlineStr">
        <is>
          <t>Fidelity Investments</t>
        </is>
      </c>
      <c r="D38" t="inlineStr">
        <is>
          <t>indeed</t>
        </is>
      </c>
      <c r="E38">
        <f>HYPERLINK("https://www.indeed.com/viewjob?jk=49d2cd99379f4596", "https://www.indeed.com/viewjob?jk=49d2cd99379f4596")</f>
        <v/>
      </c>
      <c r="F38">
        <f>HYPERLINK("https://jobs.fidelity.com/en/jobs/2124177/principal-full-stack-engineer/", "https://jobs.fidelity.com/en/jobs/2124177/principal-full-stack-engineer/")</f>
        <v/>
      </c>
      <c r="G38" t="inlineStr">
        <is>
          <t>Westlake, TX, US</t>
        </is>
      </c>
      <c r="H38" s="1" t="n">
        <v>46083</v>
      </c>
      <c r="I38" t="inlineStr">
        <is>
          <t>### **Job Description:**
The Role
The AM Equity \- Reporting Analytics and Engineering squad have an outstanding opportunity for a Principal Software Engineer to become a technical leader \&amp; mentor for the squad. The Equity Reporting and Analytics squad is part of the Equity Technology within Asset Management, developing software applications that support the reporting team and various Asset Management business users such as Portfolio Managers, Research Analysts and Operations teams. We are passionate about blending the best engineering practices and processes with the skills of our people to deliver for our Asset Management business partners.
The expertise we are looking for
* Degree in Computer Science, Engineering, Information Technology or equivalent and you want to learn more.
* Minimum of 7 years overall of Software Engineering experience
* Minimum of 5 years Java, Spring Boot, Spring, Angular
* Working knowledge of SQL \&amp; PL/SQL to aid in analysis and investigation.
* Proven experience in mentoring and coaching engineers
* Proven experience of working closely with Product teams to understand the importance requirements.
* Proven experience in production support and incident management.
* Minimum of 4 experience working hands\-on with AWS Cloud Technologies and Services such as EKS, EC2, S3 etc.
* Hands\-on experience developing and maintaining CI/CD pipelines.
* Hands on experience in test automation at various levels of testing (unit, component, integration, and functional tests), static code analysis and test\-driven development practices
* You appreciate Agile standard methodologies within the Scrum context and have a deep knowledge of the development lifecycle.
* Strong understanding of coding patterns and engineering standard methodologies
* Strong communication and influencing skills.
The Team
Our team is part of the engineering product area within Asset Management, developing software applications that support the reporting team and Investment Professionals in Asset Management . We are committed to evolving our agile software development process and incorporating the newest technologies and practices.
### **Certifications:**
### **Category:**
Information Technology
Most roles at Fidelity are Hybrid, requiring associates to work onsite every other week (all business days, M\-F) in a Fidelity office. This does not apply to Remote or fully Onsite roles. Some roles may have unique onsite requirements. Please consult with your recruiter for the specific expectations for this position.
Please be advised that Fidelity’s business is governed by the provisions of the Securities Exchange Act of 1934, the Investment Advisers Act of 1940, the Investment Company Act of 1940, ERISA, numerous state laws governing securities, investment and retirement\-related financial activities and the rules and regulations of numerous self\-regulatory organizations, including FINRA, among others. Those laws and regulations may restrict Fidelity from hiring and/or associating with individuals with certain Criminal Histories.</t>
        </is>
      </c>
    </row>
    <row r="39">
      <c r="A39" t="inlineStr">
        <is>
          <t>in-bd2e3b48e77c38c1</t>
        </is>
      </c>
      <c r="B39" t="inlineStr">
        <is>
          <t>Senior Software Engineer (Developer)</t>
        </is>
      </c>
      <c r="C39" t="inlineStr">
        <is>
          <t>Boeing</t>
        </is>
      </c>
      <c r="D39" t="inlineStr">
        <is>
          <t>indeed</t>
        </is>
      </c>
      <c r="E39">
        <f>HYPERLINK("https://www.indeed.com/viewjob?jk=bd2e3b48e77c38c1", "https://www.indeed.com/viewjob?jk=bd2e3b48e77c38c1")</f>
        <v/>
      </c>
      <c r="F39">
        <f>HYPERLINK("https://jobs.boeing.com/job/-/-/185/92325894960", "https://jobs.boeing.com/job/-/-/185/92325894960")</f>
        <v/>
      </c>
      <c r="G39" t="inlineStr">
        <is>
          <t>Huntington Beach, CA, US</t>
        </is>
      </c>
      <c r="H39" s="1" t="n">
        <v>46083</v>
      </c>
      <c r="I39" t="inlineStr">
        <is>
          <t>At Boeing, we innovate and collaborate to make the world a better place. We’re committed to fostering an environment for every teammate that’s welcoming, respectful and inclusive, with great opportunity for professional growth. Find your future with us.
The Boeing Company is currently seeking a **Senior Software Engineer** **(****Developer****)** to support our **Acoustics \- 1526** team located in **Huntington Beach, California.** This position will focus on supporting the Boeing Defense, Space \&amp; Security (BDS) Software Engineering organization.
This position will support our **P\-8A Acoustic Programs** in Huntington Beach, CA. This position will focus on supporting the Boeing Defense Services (BDS) business organization. The P\-8A Acoustic Programs team provides a wide variety of Anti\-Submarine Warfare (ASW) products to the US Navy as well as international partners. The selected candidate will develop and update software components for aircraft\-based underwater sensor monitoring, training systems, and Integrated Research \&amp; Development (IR\&amp;D) efforts.
**Position Responsibilities:**
* Leads the design, development, test, and maintenance of non\-embedded software throughout the end\-to\-end lifecycle that meets industry, customer, safety, and regulation standards
* Leads review, analysis, and translation of customer requirements into initial design of software products
* Coordinates the development, maintenance, enhancement and optimization of software products and functionalities for systems integrations
* Leads activities to develop, document and maintain architectures, requirements, algorithms, interfaces and designs for software products
* Debugs and leads resolution of issues identified to ensure the reliability and efficiency of software products
* Leads handling of user inquiries, troubleshooting technical issues and user feedback analysis
* Leads research and implementation of current and emerging technologies, tools, frameworks and changes in regulations relevant to software development
* Leads development, establishment, monitoring and improvement of software processes, tools and key performance metrics that align projects with organizational goals and industry benchmarks
* Leads execution and documentation of software research and development projects
* Consults on software domains, system\-specific issues, processes and regulations
* Leads software project management activities and software supplier management functions
* Leads tracking and evaluation of software team and supplier performance to ensure product and process compliance to project plans and industry standards
**Basic** **Qualifications (Required Skills/ Experience):**
* 5\+ years of experience in programming languages such as **Python**, Java, C, C\+\+, and MATLAB
* 5\+ years of experience in Linux\-based Operating Systems (Ubuntu, RedHat)
* 5\+ years of experience in Software Configuration Management tools, preferably **Atlassian** products (Jira, Confluence, Bamboo, Bitbucket)
**Preferred Qualifications (Desired Skills/Experience):**
* Bachelor of Science degree from an accredited course of study in engineering, engineering technology (includes manufacturing engineering technology), chemistry, physics, mathematics, data science, or computer science strongly preferred
* Knowledge of specification format requirements, guidelines, and change control processes. Understanding of relationship between specifications/standards and aircraft/product certification systems
* Knowledge of host environments, including processors, operating systems and networks. Ability to build, integrate and troubleshoot software components
* Knowledge of software programming languages and databases and the ability to apply to the software domain. Programming languages encompass higher order languages, auto\-coded languages and assembly languages
* Knowledge of how to derive and allocate requirements (e.g., system, sub\-system, software) and show traceability throughout the product lifecycle
* Knowledge of software architecture and design methodologies. Ability to synthesize software architectures and designs that meet requirements, characteristics and constraints
* Knowledge of software development processes in compliance with established internal and industry standards, guidelines, and best practices in the development, testing, and deployment of software
* Knowledge of general and software development and testing tools, capability and usage. Examples include compilers, linkers, debuggers, data analysis tools, graphical user interface builders, post processing tools, requirements management tools, and web authoring tools
* Knowledge of domains, characteristics, constraints and products that require software and influence architecture, requirements, interfaces, designs, and integration/test approaches.
* Knowledge of supplier assessment processes including Preferred Supplier Certification and Work Transfer Process.
* Ability to control and deliver project deliverables, project accounting and appraisal, and optimize the contribution of the people involved using project management tools
* Knowledge of implementation, validation, and verification processes, practices, and guidelines to ensure software development quality, performance, and safety
**Drug Free Workplace:**
Boeing is a Drug Free Workplace (DFW) where post offer applicants and employees are subject to testing for marijuana, cocaine, opioids, amphetamines, PCP, and alcohol when criteria is met as outlined in our policies.
**Travel:**
Occasional travel may be required (less than 10%)
**Relocation**
This position offers relocation based on candidate eligibility. **Note:** Basic relocation will be offered for eligible internal candidates.
**CodeVue Coding Challenge:**
To be considered for this position you will be required to complete a technical assessment as part of the selection process. Failure to complete the assessment will remove you from consideration.
**Pay \&amp; Benefits:**
At Boeing, we strive to deliver a Total Rewards package that will attract, engage and retain the top talent. Elements of the Total Rewards package include competitive base pay and variable compensation opportunities.
The Boeing Company also provides eligible employees with an opportunity to enroll in a variety of benefit programs, generally including health insurance, flexible spending accounts, health savings accounts, retirement savings plans, life and disability insurance programs, and a number of programs that provide for both paid and unpaid time away from work.
The specific programs and options available to any given employee may vary depending on eligibility factors such as geographic location, date of hire, and the applicability of collective bargaining agreements.
Pay is based upon candidate experience and qualifications, as well as market and business considerations.
Summary pay range for Senior Level: $156,400 \- $211,600
Applications for this position will be accepted until **Mar. 09, 2026**
 **Export Control Requirements:**
This position must meet U.S. export control compliance requirements. To meet U.S. export control compliance requirements, a “U.S. Person” as defined by 22 C.F.R. §120\.62 is required. “U.S. Person” includes U.S. Citizen, U.S. National, lawful permanent resident, refugee, or asylee.
**Export Control Details:**
US based job, US Person required
**Relocation**
This position offers relocation based on candidate eligibility.
**Security Clearance**
This position requires the ability to obtain a U.S. Security Clearance for which the U.S. Government requires U.S. Citizenship. An interim and/or final U.S. Secret Clearance Post\-Start is required.
**Visa Sponsorship**
Employer will not sponsor applicants for employment visa status.
**Shift**
This position is for 1st shift
 **Equal Opportunity Employer:**
Boeing is an Equal Opportunity Employer. Employment decisions are made without regard to race, color, religion, national origin, gender, sexual orientation, gender identity, age, physical or mental disability, genetic factors, military/veteran status or other characteristics protected by law.</t>
        </is>
      </c>
    </row>
    <row r="40">
      <c r="A40" t="inlineStr">
        <is>
          <t>in-ce44b8c5792989ac</t>
        </is>
      </c>
      <c r="B40" t="inlineStr">
        <is>
          <t>Associate Software Engineering Manager</t>
        </is>
      </c>
      <c r="C40" t="inlineStr">
        <is>
          <t>Lockheed Martin</t>
        </is>
      </c>
      <c r="D40" t="inlineStr">
        <is>
          <t>indeed</t>
        </is>
      </c>
      <c r="E40">
        <f>HYPERLINK("https://www.indeed.com/viewjob?jk=ce44b8c5792989ac", "https://www.indeed.com/viewjob?jk=ce44b8c5792989ac")</f>
        <v/>
      </c>
      <c r="F40">
        <f>HYPERLINK("https://click.appcast.io/t/0Ybcbev-Xw5uqh_n_Q_sH589ke6qQgTi_V4_4zK9PPI=", "https://click.appcast.io/t/0Ybcbev-Xw5uqh_n_Q_sH589ke6qQgTi_V4_4zK9PPI=")</f>
        <v/>
      </c>
      <c r="G40" t="inlineStr">
        <is>
          <t>Littleton, CO, US</t>
        </is>
      </c>
      <c r="H40" s="1" t="n">
        <v>46068</v>
      </c>
      <c r="I40" t="inlineStr">
        <is>
          <t>**Job ID:** 710197BR
**Date posted:** Nov. 20, 2025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The Lockheed Martin Next Generation Interceptor (NGI) team is seeking experienced Software Engineers to be part of a team developing missile defense technology that could forever change our ability to deter and respond to adversity  
Lockheed Martin Space is seeking a full time an Associate Software Engineering Manager.  
You will combine technical leadership with people management duties to ensure software projects are delivered on time, within budget, and to the highest quality standards. The role is a primary interface to internal stakeholders and requires a systems thinking mindset that balances architecture, cost, and schedule.  
Key Responsibilities of this position include:  
* Technical Leadership: Guide solution development across code bases. Champion best in class software practices.
* Engineering Management: Own staff planning, recruitment, onboarding, and career development for a team of software engineers.
* Program Execution: Develop and maintain integrated project schedules and resource allocations. Track milestones, budgets, and risk registers; provide status reports to senior leadership and customers.
The successful candidate will have experience and/or knowledge of languages such as C or C\+\+. Must be a US Citizen; this position will require Final Secret government security clearance prior to starting. This position is located at a facility that requires special access.  
**Basic Qualifications:**  
* Bachelor's degree in a STEM field from an accredited university.
* Minimum 5 years of experience leading technical software projects in aerospace, defense, or high tech environments; proven ability to manage schedules, budgets, and multidisciplinary teams.
* Currently hold a full active security clearance.
* Demonstrated success in people management.
* Competence in C\+\+, and Python
**Desired Skills:**  
* Experience with embedded software development, such as VxWorks and Familiarity with embedded system constraints..
* Defense Program Knowledge \- Prior work on DoD programs, including exposure to contract and customer interaction.
* Exceptional written and verbal skills; proven ability to translate complex technical concepts for diverse audiences.
* Comfortable thriving in a fast paced, dynamic, multi\-disciplinary environment.
* Strong ability to view software solutions within the broader mission system context.
\#LMSpaceSoftwareEng  
**Security Clearance Statement:** This position requires a government security clearance, you must be a US Citizen for consideration.  
**Clearance Level:** Secret  
**Other Important Information You Should Know**  
**Expression of Interest:**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**Work Schedules:**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**Schedule for this Position:** 9x80 every other Friday off  
**Pay Rate:** The annual base salary range for this position in California, Massachusetts, and New York (excluding most major metropolitan areas), Colorado, Hawaii, Illinois, Maryland, Minnesota, New Jersey, Vermont, Washington or Washington DC is $113,900 \- $200,905\. For states not referenced above, the salary range for this position will reflect the candidate's final work location. Please note that the salary information is a general guideline only. Lockheed Martin considers factors such as (but not limited to) scope and responsibilities of the position, candidate's work experience, education/ training, key skills as well as market and business considerations when extending an offer.  
**Benefits offered:** Medical, Dental, Vision, Life Insurance, Short\-Term Disability, Long\-Term Disability, 401(k) match, Flexible Spending Accounts, EAP, Education Assistance, Parental Leave, Paid time off, and Holidays.
(Washington state applicants only) Non\-represented full\-time employees: accrue at least 10 hours per month of Paid Time Off (PTO) to be used for incidental absences and other reasons; receive at least 90 hours for holidays. Represented full time employees accrue 6\.67 hours of Vacation per month; accrue up to 52 hours of sick leave annually; receive at least 96 hours for holidays. PTO, Vacation, sick leave, and holiday hours are prorated based on start date during the calendar year.  
This position is incentive plan eligible.  
**Lockheed Martin is an equal opportunity employer. Qualified candidates will be considered without regard to legally protected characteristics.**  
**The application window will close in 90 days; applicants are encouraged to apply within 5 \- 30 days of the requisition posting date in order to receive optimal consideration.**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for this role. Or, if you are unsure whether your experience aligns with the requirements of this position, we encourage you to search on Lockheed Martin Jobs, and apply for roles that align with your qualifications.  
**Experience Level:** Experienced Professional  
**Business Unit:** SPACE  
**Relocation Available:** Possible  
**Career Area:** Software Engineering  
**Type:** Full\-Time  
**Shift:** First</t>
        </is>
      </c>
    </row>
    <row r="41">
      <c r="A41" t="inlineStr">
        <is>
          <t>in-f0741a9c1f26452e</t>
        </is>
      </c>
      <c r="B41" t="inlineStr">
        <is>
          <t>Sr Software Engineer, AdTech, Amazon Ads Exchange</t>
        </is>
      </c>
      <c r="C41" t="inlineStr">
        <is>
          <t>Amazon.com</t>
        </is>
      </c>
      <c r="D41" t="inlineStr">
        <is>
          <t>indeed</t>
        </is>
      </c>
      <c r="E41">
        <f>HYPERLINK("https://www.indeed.com/viewjob?jk=f0741a9c1f26452e", "https://www.indeed.com/viewjob?jk=f0741a9c1f26452e")</f>
        <v/>
      </c>
      <c r="F41">
        <f>HYPERLINK("https://www.amazon.jobs/jobs/3172104/sr-software-engineer-adtech-amazon-ads-exchange?cmpid=DA_INAD200785B", "https://www.amazon.jobs/jobs/3172104/sr-software-engineer-adtech-amazon-ads-exchange?cmpid=DA_INAD200785B")</f>
        <v/>
      </c>
      <c r="G41" t="inlineStr">
        <is>
          <t>Arlington, VA, US</t>
        </is>
      </c>
      <c r="H41" s="1" t="n">
        <v>46054</v>
      </c>
      <c r="I41"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\- 193,300\.00 \- 261,500\.00 USD annually  
USA, CA, San Francisco \- 193,300\.00 \- 261,500\.00 USD annually  
USA, VA, Arlington \- 168,100\.00 \- 227,400\.00 USD annually</t>
        </is>
      </c>
    </row>
    <row r="42">
      <c r="A42" t="inlineStr">
        <is>
          <t>in-441c0c06066b5e1e</t>
        </is>
      </c>
      <c r="B42" t="inlineStr">
        <is>
          <t>Sr Software Engineer, AdTech, Amazon Ads Exchange</t>
        </is>
      </c>
      <c r="C42" t="inlineStr">
        <is>
          <t>Amazon.com</t>
        </is>
      </c>
      <c r="D42" t="inlineStr">
        <is>
          <t>indeed</t>
        </is>
      </c>
      <c r="E42">
        <f>HYPERLINK("https://www.indeed.com/viewjob?jk=441c0c06066b5e1e", "https://www.indeed.com/viewjob?jk=441c0c06066b5e1e")</f>
        <v/>
      </c>
      <c r="F42">
        <f>HYPERLINK("https://www.amazon.jobs/jobs/3172104/sr-software-engineer-adtech-amazon-ads-exchange?cmpid=DA_INAD200785B", "https://www.amazon.jobs/jobs/3172104/sr-software-engineer-adtech-amazon-ads-exchange?cmpid=DA_INAD200785B")</f>
        <v/>
      </c>
      <c r="G42" t="inlineStr">
        <is>
          <t>Palo Alto, CA, US</t>
        </is>
      </c>
      <c r="H42" s="1" t="n">
        <v>46054</v>
      </c>
      <c r="I42"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\- 193,300\.00 \- 261,500\.00 USD annually  
USA, CA, San Francisco \- 193,300\.00 \- 261,500\.00 USD annually  
USA, VA, Arlington \- 168,100\.00 \- 227,400\.00 USD annually</t>
        </is>
      </c>
    </row>
    <row r="43">
      <c r="A43" t="inlineStr">
        <is>
          <t>in-7d9ce1b919a94f09</t>
        </is>
      </c>
      <c r="B43" t="inlineStr">
        <is>
          <t>Sr Software Engineer, AdTech, Amazon Ads Exchange</t>
        </is>
      </c>
      <c r="C43" t="inlineStr">
        <is>
          <t>Amazon.com</t>
        </is>
      </c>
      <c r="D43" t="inlineStr">
        <is>
          <t>indeed</t>
        </is>
      </c>
      <c r="E43">
        <f>HYPERLINK("https://www.indeed.com/viewjob?jk=7d9ce1b919a94f09", "https://www.indeed.com/viewjob?jk=7d9ce1b919a94f09")</f>
        <v/>
      </c>
      <c r="F43">
        <f>HYPERLINK("https://www.amazon.jobs/jobs/3172104/sr-software-engineer-adtech-amazon-ads-exchange?cmpid=DA_INAD200785B", "https://www.amazon.jobs/jobs/3172104/sr-software-engineer-adtech-amazon-ads-exchange?cmpid=DA_INAD200785B")</f>
        <v/>
      </c>
      <c r="G43" t="inlineStr">
        <is>
          <t>San Francisco, CA, US</t>
        </is>
      </c>
      <c r="H43" s="1" t="n">
        <v>46054</v>
      </c>
      <c r="I43"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\- 193,300\.00 \- 261,500\.00 USD annually  
USA, CA, San Francisco \- 193,300\.00 \- 261,500\.00 USD annually  
USA, VA, Arlington \- 168,100\.00 \- 227,400\.00 USD annually</t>
        </is>
      </c>
    </row>
    <row r="44">
      <c r="A44" t="inlineStr">
        <is>
          <t>in-a2eb5acf76c51492</t>
        </is>
      </c>
      <c r="B44" t="inlineStr">
        <is>
          <t>Software Engineer II, Android</t>
        </is>
      </c>
      <c r="C44" t="inlineStr">
        <is>
          <t>Amazon.com</t>
        </is>
      </c>
      <c r="D44" t="inlineStr">
        <is>
          <t>indeed</t>
        </is>
      </c>
      <c r="E44">
        <f>HYPERLINK("https://www.indeed.com/viewjob?jk=a2eb5acf76c51492", "https://www.indeed.com/viewjob?jk=a2eb5acf76c51492")</f>
        <v/>
      </c>
      <c r="F44">
        <f>HYPERLINK("https://www.amazon.jobs/jobs/3166054/software-engineer-ii-android?cmpid=DA_INAD200785B", "https://www.amazon.jobs/jobs/3166054/software-engineer-ii-android?cmpid=DA_INAD200785B")</f>
        <v/>
      </c>
      <c r="G44" t="inlineStr">
        <is>
          <t>Seattle, WA, US</t>
        </is>
      </c>
      <c r="H44" s="1" t="n">
        <v>46044</v>
      </c>
      <c r="I4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1\+ years of software development engineer or related occupational experience
* 1\+ years of designing and developing large\-scale, multi\-tiered, multi\-threaded, embedded or distributed software applications, tools, systems, and services using: C\#, C\+\+, Java, or Perl experience
* 1\+ years of Object Oriented Design experience
* Bachelor's degree or foreign equivalent in Computer Science, Engineering, Mathematics, or a related field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\- 143,700\.00 \- 194,400\.00 USD annually  
USA, CA, San Francisco \- 165,200\.00 \- 223,600\.00 USD annually  
USA, WA, SEATTLE \- 143,700\.00 \- 194,400\.00 USD annually  
USA, WA, Seattle \- 143,700\.00 \- 194,400\.00 USD annually</t>
        </is>
      </c>
    </row>
    <row r="45">
      <c r="A45" t="inlineStr">
        <is>
          <t>in-e05e525cf5f65a68</t>
        </is>
      </c>
      <c r="B45" t="inlineStr">
        <is>
          <t>Software Engineer II, Android</t>
        </is>
      </c>
      <c r="C45" t="inlineStr">
        <is>
          <t>Amazon.com</t>
        </is>
      </c>
      <c r="D45" t="inlineStr">
        <is>
          <t>indeed</t>
        </is>
      </c>
      <c r="E45">
        <f>HYPERLINK("https://www.indeed.com/viewjob?jk=e05e525cf5f65a68", "https://www.indeed.com/viewjob?jk=e05e525cf5f65a68")</f>
        <v/>
      </c>
      <c r="F45">
        <f>HYPERLINK("https://www.amazon.jobs/jobs/3166054/software-engineer-ii-android?cmpid=DA_INAD200785B", "https://www.amazon.jobs/jobs/3166054/software-engineer-ii-android?cmpid=DA_INAD200785B")</f>
        <v/>
      </c>
      <c r="G45" t="inlineStr">
        <is>
          <t>San Francisco, CA, US</t>
        </is>
      </c>
      <c r="H45" s="1" t="n">
        <v>46044</v>
      </c>
      <c r="I4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1\+ years of software development engineer or related occupational experience
* 1\+ years of designing and developing large\-scale, multi\-tiered, multi\-threaded, embedded or distributed software applications, tools, systems, and services using: C\#, C\+\+, Java, or Perl experience
* 1\+ years of Object Oriented Design experience
* Bachelor's degree or foreign equivalent in Computer Science, Engineering, Mathematics, or a related field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\- 143,700\.00 \- 194,400\.00 USD annually  
USA, CA, San Francisco \- 165,200\.00 \- 223,600\.00 USD annually  
USA, WA, SEATTLE \- 143,700\.00 \- 194,400\.00 USD annually  
USA, WA, Seattle \- 143,700\.00 \- 194,400\.00 USD annually</t>
        </is>
      </c>
    </row>
    <row r="46">
      <c r="A46" t="inlineStr">
        <is>
          <t>in-2eb57dc1cc68b98d</t>
        </is>
      </c>
      <c r="B46" t="inlineStr">
        <is>
          <t>Software Engineer II, Android</t>
        </is>
      </c>
      <c r="C46" t="inlineStr">
        <is>
          <t>Amazon.com</t>
        </is>
      </c>
      <c r="D46" t="inlineStr">
        <is>
          <t>indeed</t>
        </is>
      </c>
      <c r="E46">
        <f>HYPERLINK("https://www.indeed.com/viewjob?jk=2eb57dc1cc68b98d", "https://www.indeed.com/viewjob?jk=2eb57dc1cc68b98d")</f>
        <v/>
      </c>
      <c r="F46">
        <f>HYPERLINK("https://www.amazon.jobs/jobs/3166054/software-engineer-ii-android?cmpid=DA_INAD200785B", "https://www.amazon.jobs/jobs/3166054/software-engineer-ii-android?cmpid=DA_INAD200785B")</f>
        <v/>
      </c>
      <c r="G46" t="inlineStr">
        <is>
          <t>Irvine, CA, US</t>
        </is>
      </c>
      <c r="H46" s="1" t="n">
        <v>46044</v>
      </c>
      <c r="I4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1\+ years of software development engineer or related occupational experience
* 1\+ years of designing and developing large\-scale, multi\-tiered, multi\-threaded, embedded or distributed software applications, tools, systems, and services using: C\#, C\+\+, Java, or Perl experience
* 1\+ years of Object Oriented Design experience
* Bachelor's degree or foreign equivalent in Computer Science, Engineering, Mathematics, or a related field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Irvine \- 143,700\.00 \- 194,400\.00 USD annually  
USA, CA, San Francisco \- 165,200\.00 \- 223,600\.00 USD annually  
USA, WA, SEATTLE \- 143,700\.00 \- 194,400\.00 USD annually  
USA, WA, Seattle \- 143,700\.00 \- 194,400\.00 USD annually</t>
        </is>
      </c>
    </row>
    <row r="47">
      <c r="A47" t="inlineStr">
        <is>
          <t>in-deaa4febd2483f4c</t>
        </is>
      </c>
      <c r="B47" t="inlineStr">
        <is>
          <t>Software Engineer I</t>
        </is>
      </c>
      <c r="C47" t="inlineStr">
        <is>
          <t>Amazon.com</t>
        </is>
      </c>
      <c r="D47" t="inlineStr">
        <is>
          <t>indeed</t>
        </is>
      </c>
      <c r="E47">
        <f>HYPERLINK("https://www.indeed.com/viewjob?jk=deaa4febd2483f4c", "https://www.indeed.com/viewjob?jk=deaa4febd2483f4c")</f>
        <v/>
      </c>
      <c r="F47">
        <f>HYPERLINK("https://www.amazon.jobs/jobs/3141336/software-engineer-i?cmpid=DA_INAD200785B", "https://www.amazon.jobs/jobs/3141336/software-engineer-i?cmpid=DA_INAD200785B")</f>
        <v/>
      </c>
      <c r="G47" t="inlineStr">
        <is>
          <t>San Francisco, CA, US</t>
        </is>
      </c>
      <c r="H47" s="1" t="n">
        <v>46001</v>
      </c>
      <c r="I4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Commerce Engineering organization, where we're revolutionizing how viewers engage with their favorite creators. We are the teams behind Subscriptions, Gifting, Bits, Hype Train and Turbo products. From experimental features to established systems used by millions, we're constantly pushing the boundaries of what's possible in live streaming.  
This position and team are based in Seattle, WA and San Francisco, CA  
You Will  
* Craft immersive, interactive experiences that keep viewers supporting creators while engaging with the Twitch Community.
* Architect and build robust, scalable applications that can handle millions of concurrent users
* Collaborate across teams to create cohesive solutions that drive business impact
* Transform customer feedback into innovative features that enhance the Twitch experience
Perks  
* Medical, Dental, Vision \&amp; Disability Insurance
* 401(k)
* Maternity \&amp; Parental Leave
* Flexible PTO
* Amazon Employee Discount
**BASIC QUALIFICATIONS**
------------------------
* 1\+ years of non\-internship professional software development experience
* 0\-2 years of professional software development experience
* Excellent verbal and written communication skills; Ability to effectively collaborate with teammates is critical to success.
* A track record of building consumer\-facing products that users love
* Demonstrable experience of modern programming languages and frameworks
* Sharp problem\-solving skills with a focus on algorithms, data structures, and schema design
* Bachelor's degree in Computer Science or equivalent real\-world experience
**PREFERRED QUALIFICATIONS**
----------------------------
* Bachelor's degree in computer science or equivalent
* Experience with mobile development, either native or hybrid
* Familiarity with AWS infrastructure
* Experience with email / notifications technologies
* Experience writing Go in production systems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8">
      <c r="A48" t="inlineStr">
        <is>
          <t>in-08db28ffc1aee477</t>
        </is>
      </c>
      <c r="B48" t="inlineStr">
        <is>
          <t>Software Engineer I</t>
        </is>
      </c>
      <c r="C48" t="inlineStr">
        <is>
          <t>Amazon.com</t>
        </is>
      </c>
      <c r="D48" t="inlineStr">
        <is>
          <t>indeed</t>
        </is>
      </c>
      <c r="E48">
        <f>HYPERLINK("https://www.indeed.com/viewjob?jk=08db28ffc1aee477", "https://www.indeed.com/viewjob?jk=08db28ffc1aee477")</f>
        <v/>
      </c>
      <c r="F48">
        <f>HYPERLINK("https://www.amazon.jobs/jobs/3141336/software-engineer-i?cmpid=DA_INAD200785B", "https://www.amazon.jobs/jobs/3141336/software-engineer-i?cmpid=DA_INAD200785B")</f>
        <v/>
      </c>
      <c r="G48" t="inlineStr">
        <is>
          <t>Seattle, WA, US</t>
        </is>
      </c>
      <c r="H48" s="1" t="n">
        <v>46001</v>
      </c>
      <c r="I4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Commerce Engineering organization, where we're revolutionizing how viewers engage with their favorite creators. We are the teams behind Subscriptions, Gifting, Bits, Hype Train and Turbo products. From experimental features to established systems used by millions, we're constantly pushing the boundaries of what's possible in live streaming.  
This position and team are based in Seattle, WA and San Francisco, CA  
You Will  
* Craft immersive, interactive experiences that keep viewers supporting creators while engaging with the Twitch Community.
* Architect and build robust, scalable applications that can handle millions of concurrent users
* Collaborate across teams to create cohesive solutions that drive business impact
* Transform customer feedback into innovative features that enhance the Twitch experience
Perks  
* Medical, Dental, Vision \&amp; Disability Insurance
* 401(k)
* Maternity \&amp; Parental Leave
* Flexible PTO
* Amazon Employee Discount
**BASIC QUALIFICATIONS**
------------------------
* 1\+ years of non\-internship professional software development experience
* 0\-2 years of professional software development experience
* Excellent verbal and written communication skills; Ability to effectively collaborate with teammates is critical to success.
* A track record of building consumer\-facing products that users love
* Demonstrable experience of modern programming languages and frameworks
* Sharp problem\-solving skills with a focus on algorithms, data structures, and schema design
* Bachelor's degree in Computer Science or equivalent real\-world experience
**PREFERRED QUALIFICATIONS**
----------------------------
* Bachelor's degree in computer science or equivalent
* Experience with mobile development, either native or hybrid
* Familiarity with AWS infrastructure
* Experience with email / notifications technologies
* Experience writing Go in production systems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9">
      <c r="A49" t="inlineStr">
        <is>
          <t>in-2a1f03eb55615416</t>
        </is>
      </c>
      <c r="B49" t="inlineStr">
        <is>
          <t>Software Engineer II, Android</t>
        </is>
      </c>
      <c r="C49" t="inlineStr">
        <is>
          <t>Amazon.com</t>
        </is>
      </c>
      <c r="D49" t="inlineStr">
        <is>
          <t>indeed</t>
        </is>
      </c>
      <c r="E49">
        <f>HYPERLINK("https://www.indeed.com/viewjob?jk=2a1f03eb55615416", "https://www.indeed.com/viewjob?jk=2a1f03eb55615416")</f>
        <v/>
      </c>
      <c r="F49">
        <f>HYPERLINK("https://www.amazon.jobs/jobs/3138330/software-engineer-ii-android?cmpid=DA_INAD200785B", "https://www.amazon.jobs/jobs/3138330/software-engineer-ii-android?cmpid=DA_INAD200785B")</f>
        <v/>
      </c>
      <c r="G49" t="inlineStr">
        <is>
          <t>Seattle, WA, US</t>
        </is>
      </c>
      <c r="H49" s="1" t="n">
        <v>45995</v>
      </c>
      <c r="I49"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0">
      <c r="A50" t="inlineStr">
        <is>
          <t>in-6433d7cb4718e986</t>
        </is>
      </c>
      <c r="B50" t="inlineStr">
        <is>
          <t>Software Engineer II, Android</t>
        </is>
      </c>
      <c r="C50" t="inlineStr">
        <is>
          <t>Amazon.com</t>
        </is>
      </c>
      <c r="D50" t="inlineStr">
        <is>
          <t>indeed</t>
        </is>
      </c>
      <c r="E50">
        <f>HYPERLINK("https://www.indeed.com/viewjob?jk=6433d7cb4718e986", "https://www.indeed.com/viewjob?jk=6433d7cb4718e986")</f>
        <v/>
      </c>
      <c r="F50">
        <f>HYPERLINK("https://www.amazon.jobs/jobs/3138330/software-engineer-ii-android?cmpid=DA_INAD200785B", "https://www.amazon.jobs/jobs/3138330/software-engineer-ii-android?cmpid=DA_INAD200785B")</f>
        <v/>
      </c>
      <c r="G50" t="inlineStr">
        <is>
          <t>San Francisco, CA, US</t>
        </is>
      </c>
      <c r="H50" s="1" t="n">
        <v>45995</v>
      </c>
      <c r="I5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1">
      <c r="A51" t="inlineStr">
        <is>
          <t>in-7c851e290ee2d7e7</t>
        </is>
      </c>
      <c r="B51" t="inlineStr">
        <is>
          <t>Software Engineer II, Android</t>
        </is>
      </c>
      <c r="C51" t="inlineStr">
        <is>
          <t>Amazon.com</t>
        </is>
      </c>
      <c r="D51" t="inlineStr">
        <is>
          <t>indeed</t>
        </is>
      </c>
      <c r="E51">
        <f>HYPERLINK("https://www.indeed.com/viewjob?jk=7c851e290ee2d7e7", "https://www.indeed.com/viewjob?jk=7c851e290ee2d7e7")</f>
        <v/>
      </c>
      <c r="F51">
        <f>HYPERLINK("https://www.amazon.jobs/jobs/3138330/software-engineer-ii-android?cmpid=DA_INAD200785B", "https://www.amazon.jobs/jobs/3138330/software-engineer-ii-android?cmpid=DA_INAD200785B")</f>
        <v/>
      </c>
      <c r="G51" t="inlineStr">
        <is>
          <t>Irvine, CA, US</t>
        </is>
      </c>
      <c r="H51" s="1" t="n">
        <v>45995</v>
      </c>
      <c r="I5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2">
      <c r="A52" t="inlineStr">
        <is>
          <t>in-7fb111fd572fb654</t>
        </is>
      </c>
      <c r="B52" t="inlineStr">
        <is>
          <t>Senior Embedded Software Engineer, Amazon Leo Digital RF Systems</t>
        </is>
      </c>
      <c r="C52" t="inlineStr">
        <is>
          <t>Amazon.com</t>
        </is>
      </c>
      <c r="D52" t="inlineStr">
        <is>
          <t>indeed</t>
        </is>
      </c>
      <c r="E52">
        <f>HYPERLINK("https://www.indeed.com/viewjob?jk=7fb111fd572fb654", "https://www.indeed.com/viewjob?jk=7fb111fd572fb654")</f>
        <v/>
      </c>
      <c r="F52">
        <f>HYPERLINK("https://www.amazon.jobs/jobs/3130773/senior-embedded-software-engineer-amazon-leo-digital-rf-systems?cmpid=DA_INAD200785B", "https://www.amazon.jobs/jobs/3130773/senior-embedded-software-engineer-amazon-leo-digital-rf-systems?cmpid=DA_INAD200785B")</f>
        <v/>
      </c>
      <c r="G52" t="inlineStr">
        <is>
          <t>San Diego, CA, US</t>
        </is>
      </c>
      <c r="H52" s="1" t="n">
        <v>45981</v>
      </c>
      <c r="I52"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Join our mission to revolutionize space technology by developing secure, mission\-critical software that powers our satellite constellation. Your work will directly enable communications, autonomous operations, and reliable performance for satellites serving customers worldwide—while ensuring robust security from the moment they launch until their planned de\-orbit.  
About the Role:  
We're seeking an experienced embedded software engineer with strong security expertise to architect and develop mission\-critical, security\-hardened software for our satellite systems. You'll work at the intersection of hardware, software, and cybersecurity, creating firmware that not only controls satellite operations but also protects against evolving threats in the space domain.  
Export Control Requirement:  
Due to applicable export control laws and regulations, candidates must be a U.S. citizen or national, U.S. permanent resident (i.e., current Green Card holder), or lawfully admitted into the U.S. as a refugee or granted asylum.  
Key job responsibilities  
* Lead secure software development for critical modules including ASIC firmware, commanding systems, telemetry processing, power control, hardware interfaces, and autonomous capabilities, implementing security\-by\-design principles throughout the satellite's operational lifetime
* Drive security architecture and threat modeling by identifying potential vulnerabilities, conducting security reviews, and designing defensive measures to protect satellite systems from cyber threats
* Design and implement robust, security\-hardened software and firmware in Linux and real\-time operating system (RTOS) environments, ensuring high reliability and security under resource constraints
* Conduct and support penetration testing to validate security controls, identify weaknesses, and implement remediation strategies for embedded systems
* Build secure hardware interfaces by writing software that communicates with devices and electronics using protocols including I2C, I3C, SPI, UART, USB, JTAG, and Ethernet, with appropriate security controls and authentication mechanisms
* Collaborate closely with hardware design teams, security architects, and customers to support secure custom silicon chip and board design, bringing new hardware from concept through secure bring\-up, verification, and integration
* Champion security and reliability by following best practices in secure embedded software development, including secure coding standards, code reviews, and security testing to ensure our systems meet the demanding requirements of space operations
* Optimize for secure production by partnering with test engineers to integrate security validation into manufacturing and test environments
About the team  
* Meaningful impact: Your code will operate in space, enabling critical communications and services while protecting vital infrastructure
* Technical growth: Work with cutting\-edge technology at the intersection of highly sophisticated ASIC/SOC, hardware, software, security, and space systems
* Security leadership: Shape security practices and architecture for next\-generation satellite systems
* Collaborative environment: Partner with world\-class hardware engineers, security architects, systems engineers, and domain experts
* Innovation culture: We value creative problem\-solving and encourage new approaches to complex security and engineering challenges
**BASIC QUALIFICATIONS**
------------------------
* 7\+ years of non\-internship professional software development experience
* 5\+ years of programming with at least one software programming language experience
* 7\+ years of leading design or architecture (design patterns, reliability and scaling) of new and existing systems experience
* Experience as a mentor, tech lead or leading an engineering team
* Knowledge of programming languages such as C/C\+\+, Python, Java or Perl
* 7\+ years of professional software engineering experience, with significant contributions to system design and architecture of complex systems (including architecture patterns, reliability, scaling, and security considerations)
* Deep expertise in secure embedded firmware development for bare\-metal or RTOS\-based systems, with proven ability to meet real\-time, low\-power, reliability, and security requirements under hardware resource constraints
* Experience with debugging tools such as GDB for testing code on FPGA or prototype chips
* Experience with security\-aware software design, including threat modeling, security reviews, and vulnerability assessment
* Practical knowledge of penetration testing methodologies and tools for embedded systems
**PREFERRED QUALIFICATIONS**
----------------------------
* Experience in system\-level architecture and board\-level design
* Background working with security\-aware bootloaders, secure boot chains, and trusted execution environments
* Practical experience using cryptography libraries (mbedTLS, OpenSSL, PKCS11\) in secure applications, including key management and secure storage
* Knowledge of security standards and frameworks (e.g., Common Criteria, NIST guidelines, secure coding standards)
* Experience with hardware security modules (HSMs) or trusted platform modules (TPMs)
* Familiarity with secure communications protocols and encryption implementations
* Knowledge of telecommunications or data communications systems security (routers and switches)
* Experience with security certifications or compliance requirements for aerospace/defense systems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\- 168,100\.00 \- 227,400\.00 USD annually  
USA, WA, Redmond \- 168,100\.00 \- 227,400\.00 USD annually</t>
        </is>
      </c>
    </row>
    <row r="53">
      <c r="A53" t="inlineStr">
        <is>
          <t>in-01b9826a829a2bd3</t>
        </is>
      </c>
      <c r="B53" t="inlineStr">
        <is>
          <t>Senior Embedded Software Engineer, Amazon Leo Digital RF Systems</t>
        </is>
      </c>
      <c r="C53" t="inlineStr">
        <is>
          <t>Amazon.com</t>
        </is>
      </c>
      <c r="D53" t="inlineStr">
        <is>
          <t>indeed</t>
        </is>
      </c>
      <c r="E53">
        <f>HYPERLINK("https://www.indeed.com/viewjob?jk=01b9826a829a2bd3", "https://www.indeed.com/viewjob?jk=01b9826a829a2bd3")</f>
        <v/>
      </c>
      <c r="F53">
        <f>HYPERLINK("https://www.amazon.jobs/jobs/3130773/senior-embedded-software-engineer-amazon-leo-digital-rf-systems?cmpid=DA_INAD200785B", "https://www.amazon.jobs/jobs/3130773/senior-embedded-software-engineer-amazon-leo-digital-rf-systems?cmpid=DA_INAD200785B")</f>
        <v/>
      </c>
      <c r="G53" t="inlineStr">
        <is>
          <t>Redmond, WA, US</t>
        </is>
      </c>
      <c r="H53" s="1" t="n">
        <v>45981</v>
      </c>
      <c r="I53"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Join our mission to revolutionize space technology by developing secure, mission\-critical software that powers our satellite constellation. Your work will directly enable communications, autonomous operations, and reliable performance for satellites serving customers worldwide—while ensuring robust security from the moment they launch until their planned de\-orbit.  
About the Role:  
We're seeking an experienced embedded software engineer with strong security expertise to architect and develop mission\-critical, security\-hardened software for our satellite systems. You'll work at the intersection of hardware, software, and cybersecurity, creating firmware that not only controls satellite operations but also protects against evolving threats in the space domain.  
Export Control Requirement:  
Due to applicable export control laws and regulations, candidates must be a U.S. citizen or national, U.S. permanent resident (i.e., current Green Card holder), or lawfully admitted into the U.S. as a refugee or granted asylum.  
Key job responsibilities  
* Lead secure software development for critical modules including ASIC firmware, commanding systems, telemetry processing, power control, hardware interfaces, and autonomous capabilities, implementing security\-by\-design principles throughout the satellite's operational lifetime
* Drive security architecture and threat modeling by identifying potential vulnerabilities, conducting security reviews, and designing defensive measures to protect satellite systems from cyber threats
* Design and implement robust, security\-hardened software and firmware in Linux and real\-time operating system (RTOS) environments, ensuring high reliability and security under resource constraints
* Conduct and support penetration testing to validate security controls, identify weaknesses, and implement remediation strategies for embedded systems
* Build secure hardware interfaces by writing software that communicates with devices and electronics using protocols including I2C, I3C, SPI, UART, USB, JTAG, and Ethernet, with appropriate security controls and authentication mechanisms
* Collaborate closely with hardware design teams, security architects, and customers to support secure custom silicon chip and board design, bringing new hardware from concept through secure bring\-up, verification, and integration
* Champion security and reliability by following best practices in secure embedded software development, including secure coding standards, code reviews, and security testing to ensure our systems meet the demanding requirements of space operations
* Optimize for secure production by partnering with test engineers to integrate security validation into manufacturing and test environments
About the team  
* Meaningful impact: Your code will operate in space, enabling critical communications and services while protecting vital infrastructure
* Technical growth: Work with cutting\-edge technology at the intersection of highly sophisticated ASIC/SOC, hardware, software, security, and space systems
* Security leadership: Shape security practices and architecture for next\-generation satellite systems
* Collaborative environment: Partner with world\-class hardware engineers, security architects, systems engineers, and domain experts
* Innovation culture: We value creative problem\-solving and encourage new approaches to complex security and engineering challenges
**BASIC QUALIFICATIONS**
------------------------
* 7\+ years of non\-internship professional software development experience
* 5\+ years of programming with at least one software programming language experience
* 7\+ years of leading design or architecture (design patterns, reliability and scaling) of new and existing systems experience
* Experience as a mentor, tech lead or leading an engineering team
* Knowledge of programming languages such as C/C\+\+, Python, Java or Perl
* 7\+ years of professional software engineering experience, with significant contributions to system design and architecture of complex systems (including architecture patterns, reliability, scaling, and security considerations)
* Deep expertise in secure embedded firmware development for bare\-metal or RTOS\-based systems, with proven ability to meet real\-time, low\-power, reliability, and security requirements under hardware resource constraints
* Experience with debugging tools such as GDB for testing code on FPGA or prototype chips
* Experience with security\-aware software design, including threat modeling, security reviews, and vulnerability assessment
* Practical knowledge of penetration testing methodologies and tools for embedded systems
**PREFERRED QUALIFICATIONS**
----------------------------
* Experience in system\-level architecture and board\-level design
* Background working with security\-aware bootloaders, secure boot chains, and trusted execution environments
* Practical experience using cryptography libraries (mbedTLS, OpenSSL, PKCS11\) in secure applications, including key management and secure storage
* Knowledge of security standards and frameworks (e.g., Common Criteria, NIST guidelines, secure coding standards)
* Experience with hardware security modules (HSMs) or trusted platform modules (TPMs)
* Familiarity with secure communications protocols and encryption implementations
* Knowledge of telecommunications or data communications systems security (routers and switches)
* Experience with security certifications or compliance requirements for aerospace/defense systems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\- 168,100\.00 \- 227,400\.00 USD annually  
USA, WA, Redmond \- 168,100\.00 \- 227,400\.00 USD annually</t>
        </is>
      </c>
    </row>
    <row r="54">
      <c r="A54" t="inlineStr">
        <is>
          <t>in-3723df1b582c5517</t>
        </is>
      </c>
      <c r="B54" t="inlineStr">
        <is>
          <t>Sr. Device Software Engineer, Amazon Leo Government</t>
        </is>
      </c>
      <c r="C54" t="inlineStr">
        <is>
          <t>Amazon.com</t>
        </is>
      </c>
      <c r="D54" t="inlineStr">
        <is>
          <t>indeed</t>
        </is>
      </c>
      <c r="E54">
        <f>HYPERLINK("https://www.indeed.com/viewjob?jk=3723df1b582c5517", "https://www.indeed.com/viewjob?jk=3723df1b582c5517")</f>
        <v/>
      </c>
      <c r="F54">
        <f>HYPERLINK("https://www.amazon.jobs/jobs/3082545/sr-device-software-engineer-amazon-leo-government-?cmpid=DA_INAD200785B", "https://www.amazon.jobs/jobs/3082545/sr-device-software-engineer-amazon-leo-government-?cmpid=DA_INAD200785B")</f>
        <v/>
      </c>
      <c r="G54" t="inlineStr">
        <is>
          <t>Arlington, VA, US</t>
        </is>
      </c>
      <c r="H54" s="1" t="n">
        <v>45911</v>
      </c>
      <c r="I54"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 Senior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is based in Northridge, El Segundo, Seattle, or Arlington with U.S. relocation benefits offered. Onsite work is required 5 days a week.  
Key job responsibilities  
* Design, develop, and optimize embedded software for Amazon Leo’s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Develop low\-level drivers for peripherals and interfaces, including I2C, SPI, PCIe, UART, and GPIO.
* Collaborate with hardware teams to support board bring\-up and integration testing.
* Drive security initiatives, including bootloaders, cryptography, and secure Software Development Lifecycle (SDLC) practices.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Security Clearance :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Bachelor's degree in computer science or equivalent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3\+ years of programming experience in C, C\+\+, or Rust for resource\-constrained systems
* Proficiency in debugging, optimization, and hardware\-software system integration
* Excellent written and verbal communication skills
**PREFERRED QUALIFICATIONS**
----------------------------
* Master's degree in computer science or equivalent
* 5\+ years of full software development life cycle, including coding standards, code reviews, source control management, build processes, testing, and operations experience
* 3\+ years of experience leading architecture and design for fault\-tolerant, real\-time systems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\- 168,100\.00 \- 227,400\.00 USD annually  
USA, CA, Northridge \- 168,100\.00 \- 227,400\.00 USD annually  
USA, VA, Arlington \- 168,100\.00 \- 227,400\.00 USD annually  
USA, WA, Redmond \- 168,100\.00 \- 227,400\.00 USD annually</t>
        </is>
      </c>
    </row>
    <row r="55">
      <c r="A55" t="inlineStr">
        <is>
          <t>in-5ef9be4641d1d95a</t>
        </is>
      </c>
      <c r="B55" t="inlineStr">
        <is>
          <t>Sr. Device Software Engineer, Amazon Leo Government</t>
        </is>
      </c>
      <c r="C55" t="inlineStr">
        <is>
          <t>Amazon.com</t>
        </is>
      </c>
      <c r="D55" t="inlineStr">
        <is>
          <t>indeed</t>
        </is>
      </c>
      <c r="E55">
        <f>HYPERLINK("https://www.indeed.com/viewjob?jk=5ef9be4641d1d95a", "https://www.indeed.com/viewjob?jk=5ef9be4641d1d95a")</f>
        <v/>
      </c>
      <c r="F55">
        <f>HYPERLINK("https://www.amazon.jobs/jobs/3082545/sr-device-software-engineer-amazon-leo-government-?cmpid=DA_INAD200785B", "https://www.amazon.jobs/jobs/3082545/sr-device-software-engineer-amazon-leo-government-?cmpid=DA_INAD200785B")</f>
        <v/>
      </c>
      <c r="G55" t="inlineStr">
        <is>
          <t>Redmond, WA, US</t>
        </is>
      </c>
      <c r="H55" s="1" t="n">
        <v>45911</v>
      </c>
      <c r="I55"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 Senior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is based in Northridge, El Segundo, Seattle, or Arlington with U.S. relocation benefits offered. Onsite work is required 5 days a week.  
Key job responsibilities  
* Design, develop, and optimize embedded software for Amazon Leo’s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Develop low\-level drivers for peripherals and interfaces, including I2C, SPI, PCIe, UART, and GPIO.
* Collaborate with hardware teams to support board bring\-up and integration testing.
* Drive security initiatives, including bootloaders, cryptography, and secure Software Development Lifecycle (SDLC) practices.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Security Clearance :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Bachelor's degree in computer science or equivalent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3\+ years of programming experience in C, C\+\+, or Rust for resource\-constrained systems
* Proficiency in debugging, optimization, and hardware\-software system integration
* Excellent written and verbal communication skills
**PREFERRED QUALIFICATIONS**
----------------------------
* Master's degree in computer science or equivalent
* 5\+ years of full software development life cycle, including coding standards, code reviews, source control management, build processes, testing, and operations experience
* 3\+ years of experience leading architecture and design for fault\-tolerant, real\-time systems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\- 168,100\.00 \- 227,400\.00 USD annually  
USA, CA, Northridge \- 168,100\.00 \- 227,400\.00 USD annually  
USA, VA, Arlington \- 168,100\.00 \- 227,400\.00 USD annually  
USA, WA, Redmond \- 168,100\.00 \- 227,400\.00 USD annually</t>
        </is>
      </c>
    </row>
    <row r="56">
      <c r="A56" t="inlineStr">
        <is>
          <t>in-1e90386ecd834a7b</t>
        </is>
      </c>
      <c r="B56" t="inlineStr">
        <is>
          <t>Sr. Device Software Engineer, Amazon Leo Government</t>
        </is>
      </c>
      <c r="C56" t="inlineStr">
        <is>
          <t>Amazon.com</t>
        </is>
      </c>
      <c r="D56" t="inlineStr">
        <is>
          <t>indeed</t>
        </is>
      </c>
      <c r="E56">
        <f>HYPERLINK("https://www.indeed.com/viewjob?jk=1e90386ecd834a7b", "https://www.indeed.com/viewjob?jk=1e90386ecd834a7b")</f>
        <v/>
      </c>
      <c r="F56">
        <f>HYPERLINK("https://www.amazon.jobs/jobs/3082545/sr-device-software-engineer-amazon-leo-government-?cmpid=DA_INAD200785B", "https://www.amazon.jobs/jobs/3082545/sr-device-software-engineer-amazon-leo-government-?cmpid=DA_INAD200785B")</f>
        <v/>
      </c>
      <c r="G56" t="inlineStr">
        <is>
          <t>Northridge, CA, US</t>
        </is>
      </c>
      <c r="H56" s="1" t="n">
        <v>45911</v>
      </c>
      <c r="I56"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 Senior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is based in Northridge, El Segundo, Seattle, or Arlington with U.S. relocation benefits offered. Onsite work is required 5 days a week.  
Key job responsibilities  
* Design, develop, and optimize embedded software for Amazon Leo’s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Develop low\-level drivers for peripherals and interfaces, including I2C, SPI, PCIe, UART, and GPIO.
* Collaborate with hardware teams to support board bring\-up and integration testing.
* Drive security initiatives, including bootloaders, cryptography, and secure Software Development Lifecycle (SDLC) practices.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Security Clearance :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Bachelor's degree in computer science or equivalent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3\+ years of programming experience in C, C\+\+, or Rust for resource\-constrained systems
* Proficiency in debugging, optimization, and hardware\-software system integration
* Excellent written and verbal communication skills
**PREFERRED QUALIFICATIONS**
----------------------------
* Master's degree in computer science or equivalent
* 5\+ years of full software development life cycle, including coding standards, code reviews, source control management, build processes, testing, and operations experience
* 3\+ years of experience leading architecture and design for fault\-tolerant, real\-time systems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\- 168,100\.00 \- 227,400\.00 USD annually  
USA, CA, Northridge \- 168,100\.00 \- 227,400\.00 USD annually  
USA, VA, Arlington \- 168,100\.00 \- 227,400\.00 USD annually  
USA, WA, Redmond \- 168,100\.00 \- 227,400\.00 USD annually</t>
        </is>
      </c>
    </row>
    <row r="57">
      <c r="A57" t="inlineStr">
        <is>
          <t>in-3f4e2cb98182e6c7</t>
        </is>
      </c>
      <c r="B57" t="inlineStr">
        <is>
          <t>Sr. Device Software Engineer, Amazon Leo Government</t>
        </is>
      </c>
      <c r="C57" t="inlineStr">
        <is>
          <t>Amazon.com</t>
        </is>
      </c>
      <c r="D57" t="inlineStr">
        <is>
          <t>indeed</t>
        </is>
      </c>
      <c r="E57">
        <f>HYPERLINK("https://www.indeed.com/viewjob?jk=3f4e2cb98182e6c7", "https://www.indeed.com/viewjob?jk=3f4e2cb98182e6c7")</f>
        <v/>
      </c>
      <c r="F57">
        <f>HYPERLINK("https://www.amazon.jobs/jobs/3082545/sr-device-software-engineer-amazon-leo-government-?cmpid=DA_INAD200785B", "https://www.amazon.jobs/jobs/3082545/sr-device-software-engineer-amazon-leo-government-?cmpid=DA_INAD200785B")</f>
        <v/>
      </c>
      <c r="G57" t="inlineStr">
        <is>
          <t>El Segundo, CA, US</t>
        </is>
      </c>
      <c r="H57" s="1" t="n">
        <v>45911</v>
      </c>
      <c r="I57"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 Senior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is based in Northridge, El Segundo, Seattle, or Arlington with U.S. relocation benefits offered. Onsite work is required 5 days a week.  
Key job responsibilities  
* Design, develop, and optimize embedded software for Amazon Leo’s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Develop low\-level drivers for peripherals and interfaces, including I2C, SPI, PCIe, UART, and GPIO.
* Collaborate with hardware teams to support board bring\-up and integration testing.
* Drive security initiatives, including bootloaders, cryptography, and secure Software Development Lifecycle (SDLC) practices.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Security Clearance :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Bachelor's degree in computer science or equivalent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3\+ years of programming experience in C, C\+\+, or Rust for resource\-constrained systems
* Proficiency in debugging, optimization, and hardware\-software system integration
* Excellent written and verbal communication skills
**PREFERRED QUALIFICATIONS**
----------------------------
* Master's degree in computer science or equivalent
* 5\+ years of full software development life cycle, including coding standards, code reviews, source control management, build processes, testing, and operations experience
* 3\+ years of experience leading architecture and design for fault\-tolerant, real\-time systems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\- 168,100\.00 \- 227,400\.00 USD annually  
USA, CA, Northridge \- 168,100\.00 \- 227,400\.00 USD annually  
USA, VA, Arlington \- 168,100\.00 \- 227,400\.00 USD annually  
USA, WA, Redmond \- 168,100\.00 \- 227,400\.00 USD annually</t>
        </is>
      </c>
    </row>
    <row r="58">
      <c r="A58" t="inlineStr">
        <is>
          <t>in-a50ec1e62c5d44e3</t>
        </is>
      </c>
      <c r="B58" t="inlineStr">
        <is>
          <t>Device Software Engineer, Amazon Leo Government</t>
        </is>
      </c>
      <c r="C58" t="inlineStr">
        <is>
          <t>Amazon.com</t>
        </is>
      </c>
      <c r="D58" t="inlineStr">
        <is>
          <t>indeed</t>
        </is>
      </c>
      <c r="E58">
        <f>HYPERLINK("https://www.indeed.com/viewjob?jk=a50ec1e62c5d44e3", "https://www.indeed.com/viewjob?jk=a50ec1e62c5d44e3")</f>
        <v/>
      </c>
      <c r="F58">
        <f>HYPERLINK("https://www.amazon.jobs/jobs/3083623/device-software-engineer-amazon-leo-government-?cmpid=DA_INAD200785B", "https://www.amazon.jobs/jobs/3083623/device-software-engineer-amazon-leo-government-?cmpid=DA_INAD200785B")</f>
        <v/>
      </c>
      <c r="G58" t="inlineStr">
        <is>
          <t>Redmond, WA, US</t>
        </is>
      </c>
      <c r="H58" s="1" t="n">
        <v>45910</v>
      </c>
      <c r="I58"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an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can sit in either Northridge, El Segundo, Seattle, or Arlington with U.S. relocation benefits offered. On\-site work is required 5 days a week.  
Key job responsibilities  
* Design, develop, and optimize embedded software for Kuiper’s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2\+ years of programming experience in C, C\+\+, or Rust for resource\-constrained systems
* Proficiency in debugging, optimization, and hardware\-software system integration
* Proficiency in debugging, optimization, and hardware\-software system integration
* Excellent written and verbal communication skills
**PREFERRED QUALIFICATIONS**
----------------------------
* Bachelor's degree in computer science or equivalent
* 3\+ years of full software development life cycle, including coding standards, code reviews, source control management, build processes, testing, and operations experience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\- 143,700\.00 \- 194,400\.00 USD annually  
USA, CA, Northridge \- 143,700\.00 \- 194,400\.00 USD annually  
USA, VA, Arlington \- 143,700\.00 \- 194,400\.00 USD annually  
USA, WA, Redmond \- 143,700\.00 \- 194,400\.00 USD annually</t>
        </is>
      </c>
    </row>
    <row r="59">
      <c r="A59" t="inlineStr">
        <is>
          <t>in-a2bebc365249a67a</t>
        </is>
      </c>
      <c r="B59" t="inlineStr">
        <is>
          <t>Device Software Engineer, Amazon Leo Government</t>
        </is>
      </c>
      <c r="C59" t="inlineStr">
        <is>
          <t>Amazon.com</t>
        </is>
      </c>
      <c r="D59" t="inlineStr">
        <is>
          <t>indeed</t>
        </is>
      </c>
      <c r="E59">
        <f>HYPERLINK("https://www.indeed.com/viewjob?jk=a2bebc365249a67a", "https://www.indeed.com/viewjob?jk=a2bebc365249a67a")</f>
        <v/>
      </c>
      <c r="F59">
        <f>HYPERLINK("https://www.amazon.jobs/jobs/3083623/device-software-engineer-amazon-leo-government-?cmpid=DA_INAD200785B", "https://www.amazon.jobs/jobs/3083623/device-software-engineer-amazon-leo-government-?cmpid=DA_INAD200785B")</f>
        <v/>
      </c>
      <c r="G59" t="inlineStr">
        <is>
          <t>El Segundo, CA, US</t>
        </is>
      </c>
      <c r="H59" s="1" t="n">
        <v>45910</v>
      </c>
      <c r="I59"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an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can sit in either Northridge, El Segundo, Seattle, or Arlington with U.S. relocation benefits offered. On\-site work is required 5 days a week.  
Key job responsibilities  
* Design, develop, and optimize embedded software for Kuiper’s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2\+ years of programming experience in C, C\+\+, or Rust for resource\-constrained systems
* Proficiency in debugging, optimization, and hardware\-software system integration
* Proficiency in debugging, optimization, and hardware\-software system integration
* Excellent written and verbal communication skills
**PREFERRED QUALIFICATIONS**
----------------------------
* Bachelor's degree in computer science or equivalent
* 3\+ years of full software development life cycle, including coding standards, code reviews, source control management, build processes, testing, and operations experience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\- 143,700\.00 \- 194,400\.00 USD annually  
USA, CA, Northridge \- 143,700\.00 \- 194,400\.00 USD annually  
USA, VA, Arlington \- 143,700\.00 \- 194,400\.00 USD annually  
USA, WA, Redmond \- 143,700\.00 \- 194,400\.00 USD annually</t>
        </is>
      </c>
    </row>
    <row r="60">
      <c r="A60" t="inlineStr">
        <is>
          <t>in-5f3549e8d7820170</t>
        </is>
      </c>
      <c r="B60" t="inlineStr">
        <is>
          <t>Device Software Engineer, Amazon Leo Government</t>
        </is>
      </c>
      <c r="C60" t="inlineStr">
        <is>
          <t>Amazon.com</t>
        </is>
      </c>
      <c r="D60" t="inlineStr">
        <is>
          <t>indeed</t>
        </is>
      </c>
      <c r="E60">
        <f>HYPERLINK("https://www.indeed.com/viewjob?jk=5f3549e8d7820170", "https://www.indeed.com/viewjob?jk=5f3549e8d7820170")</f>
        <v/>
      </c>
      <c r="F60">
        <f>HYPERLINK("https://www.amazon.jobs/jobs/3083623/device-software-engineer-amazon-leo-government-?cmpid=DA_INAD200785B", "https://www.amazon.jobs/jobs/3083623/device-software-engineer-amazon-leo-government-?cmpid=DA_INAD200785B")</f>
        <v/>
      </c>
      <c r="G60" t="inlineStr">
        <is>
          <t>Northridge, CA, US</t>
        </is>
      </c>
      <c r="H60" s="1" t="n">
        <v>45910</v>
      </c>
      <c r="I60"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an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can sit in either Northridge, El Segundo, Seattle, or Arlington with U.S. relocation benefits offered. On\-site work is required 5 days a week.  
Key job responsibilities  
* Design, develop, and optimize embedded software for Kuiper’s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2\+ years of programming experience in C, C\+\+, or Rust for resource\-constrained systems
* Proficiency in debugging, optimization, and hardware\-software system integration
* Proficiency in debugging, optimization, and hardware\-software system integration
* Excellent written and verbal communication skills
**PREFERRED QUALIFICATIONS**
----------------------------
* Bachelor's degree in computer science or equivalent
* 3\+ years of full software development life cycle, including coding standards, code reviews, source control management, build processes, testing, and operations experience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\- 143,700\.00 \- 194,400\.00 USD annually  
USA, CA, Northridge \- 143,700\.00 \- 194,400\.00 USD annually  
USA, VA, Arlington \- 143,700\.00 \- 194,400\.00 USD annually  
USA, WA, Redmond \- 143,700\.00 \- 194,400\.00 USD annually</t>
        </is>
      </c>
    </row>
    <row r="61">
      <c r="A61" t="inlineStr">
        <is>
          <t>in-5939cde0eb552c80</t>
        </is>
      </c>
      <c r="B61" t="inlineStr">
        <is>
          <t>Device Software Engineer, Amazon Leo Government</t>
        </is>
      </c>
      <c r="C61" t="inlineStr">
        <is>
          <t>Amazon.com</t>
        </is>
      </c>
      <c r="D61" t="inlineStr">
        <is>
          <t>indeed</t>
        </is>
      </c>
      <c r="E61">
        <f>HYPERLINK("https://www.indeed.com/viewjob?jk=5939cde0eb552c80", "https://www.indeed.com/viewjob?jk=5939cde0eb552c80")</f>
        <v/>
      </c>
      <c r="F61">
        <f>HYPERLINK("https://www.amazon.jobs/jobs/3083623/device-software-engineer-amazon-leo-government-?cmpid=DA_INAD200785B", "https://www.amazon.jobs/jobs/3083623/device-software-engineer-amazon-leo-government-?cmpid=DA_INAD200785B")</f>
        <v/>
      </c>
      <c r="G61" t="inlineStr">
        <is>
          <t>Arlington, VA, US</t>
        </is>
      </c>
      <c r="H61" s="1" t="n">
        <v>45910</v>
      </c>
      <c r="I61" t="inlineStr">
        <is>
          <t>**DESCRIPTION**
---------------
Amazon Leo is Amazon’s initiative to launch a constellation of 3,236 Low Earth Orbit (LEO) satellites to provide high\-speed, low\-latency broadband connectivity to unserved and underserved communities globally. Join our mission to close the digital divide and connect people, businesses, and governments in places where reliable connectivity has been a challenge.  
We are breaking new ground with every device we design, from custom silicon to secure software, to enable innovative satellite and ground systems. Be part of a team that pushes the boundaries of satellite communications technology to make global connectivity a reality.  
As an Device Software Development Engineer on the Amazon Leo Government (ALG) team, you will design and develop embedded software for Amazon Leo’s satellite and ground systems. You’ll work on fault\-tolerant, real\-time platforms, collaborating closely with hardware, systems, and product teams to deliver secure, reliable, and high\-performance solutions.  
This is a unique opportunity to shape the next generation of space\-based communication systems with minimal legacy constraints. Your work will directly support critical government initiatives, enabling secure and high\-performance communication systems for U.S. and allied missions.  
This role can sit in either Northridge, El Segundo, Seattle, or Arlington with U.S. relocation benefits offered. On\-site work is required 5 days a week.  
Key job responsibilities  
* Design, develop, and optimize embedded software for Kuiper’s satellite and ground terminal systems, focusing on fault\-tolerant, real\-time platforms.
* Leverage modern application frameworks for Embedded Linux and RTOS platforms to develop scalable, modular, and high\-performance software.
* Implement and integrate software for data processing, device control, and networking protocols (e.g., TCP/IP, UDP).
* Debug and resolve complex hardware\-software integration issues using tools like logic analyzers and oscilloscopes.
* Collaborate with cross\-functional teams to ensure seamless hardware\-software interaction and system reliability.
* Mentor junior engineers, conduct design reviews, and uphold high software quality standards.
This position requires that the candidate selected be a U.S. Citizen in order to comply with U.S. government\-imposed requirements related to the nature of the work and/or where it will be performed.  
About the team  
Amazon Leo Government(ALG) is a multidisciplinary team developing targeted and scalable solutions for custom satellite and ground applications. ALG Device Software focuses on embedded software solutions for custom products supporting U.S. and allied government customers. We collaborate closely with hardware and systems teams to deliver secure, high\-performance solutions for mission\-critical applications.**BASIC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2\+ years of programming experience in C, C\+\+, or Rust for resource\-constrained systems
* Proficiency in debugging, optimization, and hardware\-software system integration
* Proficiency in debugging, optimization, and hardware\-software system integration
* Excellent written and verbal communication skills
**PREFERRED QUALIFICATIONS**
----------------------------
* Bachelor's degree in computer science or equivalent
* 3\+ years of full software development life cycle, including coding standards, code reviews, source control management, build processes, testing, and operations experience
* Hands\-on experience with Xilinx platforms, custom silicon development, cryptography, and secure Software Development Lifecycle (SDLC) practices
* In\-depth knowledge of Linux kernel internals, including process scheduling, memory management, concurrency, synchronization, and networking subsystems
* Familiarity with networking protocols (e.g., TCP/IP, UDP) and low\-level hardware interfaces such as I2C, SPI, and PCIe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El Segundo \- 143,700\.00 \- 194,400\.00 USD annually  
USA, CA, Northridge \- 143,700\.00 \- 194,400\.00 USD annually  
USA, VA, Arlington \- 143,700\.00 \- 194,400\.00 USD annually  
USA, WA, Redmond \- 143,700\.00 \- 194,400\.00 USD annually</t>
        </is>
      </c>
    </row>
    <row r="62">
      <c r="A62" t="inlineStr">
        <is>
          <t>in-45c3edd33dcef671</t>
        </is>
      </c>
      <c r="B62" t="inlineStr">
        <is>
          <t>Software Developer Engineer - iOS, Ring</t>
        </is>
      </c>
      <c r="C62" t="inlineStr">
        <is>
          <t>Amazon.com</t>
        </is>
      </c>
      <c r="D62" t="inlineStr">
        <is>
          <t>indeed</t>
        </is>
      </c>
      <c r="E62">
        <f>HYPERLINK("https://www.indeed.com/viewjob?jk=45c3edd33dcef671", "https://www.indeed.com/viewjob?jk=45c3edd33dcef671")</f>
        <v/>
      </c>
      <c r="F62">
        <f>HYPERLINK("https://www.amazon.jobs/jobs/3011028/software-developer-engineer--ios-ring?cmpid=DA_INAD200785B", "https://www.amazon.jobs/jobs/3011028/software-developer-engineer--ios-ring?cmpid=DA_INAD200785B")</f>
        <v/>
      </c>
      <c r="G62" t="inlineStr">
        <is>
          <t>Austin, TX, US</t>
        </is>
      </c>
      <c r="H62" s="1" t="n">
        <v>45812</v>
      </c>
      <c r="I62"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3">
      <c r="A63" t="inlineStr">
        <is>
          <t>in-3482657d7d9c8775</t>
        </is>
      </c>
      <c r="B63" t="inlineStr">
        <is>
          <t>Software Developer Engineer - iOS, Ring</t>
        </is>
      </c>
      <c r="C63" t="inlineStr">
        <is>
          <t>Amazon.com</t>
        </is>
      </c>
      <c r="D63" t="inlineStr">
        <is>
          <t>indeed</t>
        </is>
      </c>
      <c r="E63">
        <f>HYPERLINK("https://www.indeed.com/viewjob?jk=3482657d7d9c8775", "https://www.indeed.com/viewjob?jk=3482657d7d9c8775")</f>
        <v/>
      </c>
      <c r="F63">
        <f>HYPERLINK("https://www.amazon.jobs/jobs/3011028/software-developer-engineer--ios-ring?cmpid=DA_INAD200785B", "https://www.amazon.jobs/jobs/3011028/software-developer-engineer--ios-ring?cmpid=DA_INAD200785B")</f>
        <v/>
      </c>
      <c r="G63" t="inlineStr">
        <is>
          <t>Irvine, CA, US</t>
        </is>
      </c>
      <c r="H63" s="1" t="n">
        <v>45812</v>
      </c>
      <c r="I63"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4">
      <c r="A64" t="inlineStr">
        <is>
          <t>in-b4cb2ba3568c6416</t>
        </is>
      </c>
      <c r="B64" t="inlineStr">
        <is>
          <t>Software Developer Engineer - iOS, Ring</t>
        </is>
      </c>
      <c r="C64" t="inlineStr">
        <is>
          <t>Amazon.com</t>
        </is>
      </c>
      <c r="D64" t="inlineStr">
        <is>
          <t>indeed</t>
        </is>
      </c>
      <c r="E64">
        <f>HYPERLINK("https://www.indeed.com/viewjob?jk=b4cb2ba3568c6416", "https://www.indeed.com/viewjob?jk=b4cb2ba3568c6416")</f>
        <v/>
      </c>
      <c r="F64">
        <f>HYPERLINK("https://www.amazon.jobs/jobs/3011028/software-developer-engineer--ios-ring?cmpid=DA_INAD200785B", "https://www.amazon.jobs/jobs/3011028/software-developer-engineer--ios-ring?cmpid=DA_INAD200785B")</f>
        <v/>
      </c>
      <c r="G64" t="inlineStr">
        <is>
          <t>Hawthorne, CA, US</t>
        </is>
      </c>
      <c r="H64" s="1" t="n">
        <v>45812</v>
      </c>
      <c r="I64"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5">
      <c r="A65" t="inlineStr">
        <is>
          <t>in-b0891bdad6f93c8b</t>
        </is>
      </c>
      <c r="B65" t="inlineStr">
        <is>
          <t>Senior Software Engineer - Query Processing, Aurora DSQL</t>
        </is>
      </c>
      <c r="C65" t="inlineStr">
        <is>
          <t>Amazon Web Services</t>
        </is>
      </c>
      <c r="D65" t="inlineStr">
        <is>
          <t>indeed</t>
        </is>
      </c>
      <c r="E65">
        <f>HYPERLINK("https://www.indeed.com/viewjob?jk=b0891bdad6f93c8b", "https://www.indeed.com/viewjob?jk=b0891bdad6f93c8b")</f>
        <v/>
      </c>
      <c r="F65">
        <f>HYPERLINK("https://www.amazon.jobs/jobs/2987643/senior-software-engineer--query-processing-aurora-dsql?cmpid=DA_INAD200785B", "https://www.amazon.jobs/jobs/2987643/senior-software-engineer--query-processing-aurora-dsql?cmpid=DA_INAD200785B")</f>
        <v/>
      </c>
      <c r="G65" t="inlineStr">
        <is>
          <t>Seattle, WA, US</t>
        </is>
      </c>
      <c r="H65" s="1" t="n">
        <v>45796</v>
      </c>
      <c r="I65"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6">
      <c r="A66" t="inlineStr">
        <is>
          <t>in-f4df5875b0837760</t>
        </is>
      </c>
      <c r="B66" t="inlineStr">
        <is>
          <t>Senior Software Engineer - Query Processing, Aurora DSQL</t>
        </is>
      </c>
      <c r="C66" t="inlineStr">
        <is>
          <t>Amazon Web Services</t>
        </is>
      </c>
      <c r="D66" t="inlineStr">
        <is>
          <t>indeed</t>
        </is>
      </c>
      <c r="E66">
        <f>HYPERLINK("https://www.indeed.com/viewjob?jk=f4df5875b0837760", "https://www.indeed.com/viewjob?jk=f4df5875b0837760")</f>
        <v/>
      </c>
      <c r="F66">
        <f>HYPERLINK("https://www.amazon.jobs/jobs/2987643/senior-software-engineer--query-processing-aurora-dsql?cmpid=DA_INAD200785B", "https://www.amazon.jobs/jobs/2987643/senior-software-engineer--query-processing-aurora-dsql?cmpid=DA_INAD200785B")</f>
        <v/>
      </c>
      <c r="G66" t="inlineStr">
        <is>
          <t>East Palo Alto, CA, US</t>
        </is>
      </c>
      <c r="H66" s="1" t="n">
        <v>45796</v>
      </c>
      <c r="I66"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7"/>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li-4380142986</t>
        </is>
      </c>
      <c r="B2" t="inlineStr">
        <is>
          <t>Software Engineer III</t>
        </is>
      </c>
      <c r="C2" t="inlineStr">
        <is>
          <t>Truist</t>
        </is>
      </c>
      <c r="D2" t="inlineStr">
        <is>
          <t>linkedin</t>
        </is>
      </c>
      <c r="E2">
        <f>HYPERLINK("https://www.linkedin.com/jobs/view/4380142986", "https://www.linkedin.com/jobs/view/4380142986")</f>
        <v/>
      </c>
      <c r="F2" t="inlineStr"/>
      <c r="G2" t="inlineStr">
        <is>
          <t>Atlanta, GA</t>
        </is>
      </c>
      <c r="H2" t="inlineStr"/>
      <c r="I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*Accessibility* 
*(accommodation requests only; other inquiries won't receive a response).*
**Regular or Temporary:**
 Regular
**Language Fluency:** 
 English (Required)
**Work Shift:**
 1st shift (United States of America)
**Please review the following job description:**
 We're seeking a highly skilled Software Engineer/Technical Lead to design, build, and lead enterprise\-grade reference data management solutions. This role is responsible for architecting scalable metadata and hierarchy management solutions using leading vendor tools such as Oracle Enterprise Data Management Cloud Services (EDMCS), and other enterprise platforms.
 The ideal candidate will combine deep technical engineering expertise with strong data governance knowledge to deliver secure, and highly available reference data services integrated across analytics and regulatory reporting platforms. This role is office\-centric 5 days/wk.
 This role requires hands\-on development, platform configuration, cloud enablement, DevOps integration, and technical leadership across full solution lifecycle phases. Work in a capacity to influence cross\-functional teams, ensuring alignment across Line of Business (LOB), and Technology delivery functions. Serve as a key liaison between business stakeholders and engineering teams, ensuring data solutions are scalable, auditable and aligned with cloud and enterprise architecture strategies. This role is office\-centric 5 days/wk.
****ESSENTIAL DUTIES AND RESPONSIBILITIES**
 :**
 Following is a summary of the essential functions for this job. Other duties may be performed, both major and minor, which are not mentioned below. Specific activities may change from time to time.
* Lead and participate in the design, development, testing, implementation, maintenance, and support of highly complex solutions in adherence to company standards, including robust unit testing and support for subsequent release testing.
* Develop scalable solutions for hierarchy frameworks, metadata models, and governance workflows.
* Configure and develop cloud strategy solutions ensuring customized coding, software integration, perform analysis, using tools specific to the project or the area.
* Build non\-functional monitoring capabilities and provide escalated support for highly complex applications in production.
* Analytical capability, stakeholder engagement skills, and ability to anticipate evolving enterprise data needs are critical to success in this role.
* Responsible for providing automated monitoring capabilities, providing warranty support, and providing knowledge transfer to production support.
* Exceptional communication, teamwork and influencing skills that foster a collaborative and continuous improvement environment
* Ability to manage multiple concurrent projects, activities and tasks under time constraints
* Ability to deliver innovative, creative solutions and to think strategically beyond conventional approaches
* Build REST PAI integration for real\-time and batch synchronization.
* Enforce role\-based access control (RBAC) and segregation of duties for security controls and monitoring in support of company standards.
* Support regulatory control review, internal and external audit requirements.
* Familiarity with DevOps practices, Gitlab, and CI/CD pipeline for code deployments.
* Strong troubleshooting and performance optimization skills.
* Develop code in accordance with the acceptance criteria established by the Product Owner.
* Support ongoing migration effort from on\-premises to Cloud\-based platform.
**Qualifications**
**Required Qualifications**
 The requirements listed below are representative of the knowledge, skill and/or ability required. Reasonable accommodation may be made to enable individuals with disabilities to perform the essential functions.
* Bachelor’s Degree and six to ten years of experience or equivalent education and software engineering training or experience
* In\-depth knowledge in information systems and ability to identify, apply, and implement best practices.
* Understanding of key business processes and competitive strategies related to the IT function Ability to plan and manage projects and solve complex problems by applying best practices
* Ability to provide direction and mentor less experienced teammates. Ability to interpret and convey complex, difficult, or sensitive information
* Professional experience building high\-quality apps or services from the ground up and scaling at an enterprise level
* Experience with Open\-Source tools and frameworks
* Knowledge on cloud technologies, such as AWS, Azure, or GCP
* Strong understanding of SOA and/or Open API methodologies and service architecture
* Experience using web servers, application containers, caching technologies
* Strong knowledge of relational database design and development (SQL, stored procedures, data modeling)
**Preferred Qualifications**
* Banking or financial services experience
* Knowledge of one or more of: solid foundation in data structures, and software design with strong analytical and debugging skills.
* Master’s degree and ten\+ years of experience or an equivalent combination of education and work experience
**General Description of Available Benefits for Eligible Employees of Truist Financial Corporation:** 
 All regular teammates (not temporary or contingent workers) working 20 hours or more per week are eligible for benefits, though eligibility for specific benefits may be determined by the division of Truist offering the position. Truist offers medical, dental, vision, life insurance, disability, accidental death and dismemberment, tax\-preferred savings accounts, and a 401k plan to teammates. Teammates also receive no less than 10 days of vacation (prorated based on date of hire and by full\-time or part\-time status) during their first year of employment, along with 10 sick days (also prorated), and paid holidays. For more details on Truist’s generous benefit plans, please visit our Benefits site. Depending on the position and division, this job may also be eligible for Truist’s defined benefit pension plan, restricted stock units, and/or a deferred compensation plan. As you advance through the hiring process, you will also learn more about the specific benefits available for any non\-temporary position for which you apply, based on full\-time or part\-time status, position, and division of work.
***Truist is an Equal Opportunity Employer that does not discriminate on the basis of race, gender, color, religion, citizenship or national origin, age, sexual orientation, gender identity, disability, veteran status, or other classification protected by law. Truist is a Drug Free Workplace.***
 EEO is the Law E\-Verify IER Right to Work</t>
        </is>
      </c>
    </row>
    <row r="3">
      <c r="A3" t="inlineStr">
        <is>
          <t>li-4380321571</t>
        </is>
      </c>
      <c r="B3" t="inlineStr">
        <is>
          <t>Principal Software Engineer - AI (NYC, Hybrid)</t>
        </is>
      </c>
      <c r="C3" t="inlineStr">
        <is>
          <t>Sartre Group</t>
        </is>
      </c>
      <c r="D3" t="inlineStr">
        <is>
          <t>linkedin</t>
        </is>
      </c>
      <c r="E3">
        <f>HYPERLINK("https://www.linkedin.com/jobs/view/4380321571", "https://www.linkedin.com/jobs/view/4380321571")</f>
        <v/>
      </c>
      <c r="F3" t="inlineStr"/>
      <c r="G3" t="inlineStr"/>
      <c r="H3" t="inlineStr"/>
      <c r="I3" t="inlineStr">
        <is>
          <t>**Firm:** 
 Top\-performing New York Hedge Fund
**Role:** 
 Principal AI Software Engineer \- Core Systems
**Tech Stack:** 
 Python, C\+\+/Java, AWS, GCP, Kafka, ClickHouse, Kubernetes, MLOps
**Compensation:** 
 $225,000\-$300,000 base \+ bonus
**Location:** 
 NYC (Hybrid \- 4 days in\-office, relocation available)
**About the Company** 
 We are partnered with one of the top\-performing hedge funds globally, building out a new Central AI Engineering group responsible for the core infrastructure behind firm\-wide AI research and trading systems.
**About the Role** 
 This is a principal\-level hire \- a senior technical leader who will operate as a right hand to the Head of AI Engineering, owning architectural decisions and shaping the long\-term direction of AI systems across the firm. This is not a research role. It is deeply hands\-on, systems\-focused engineering at scale.
**Responsibilities** 
* Architecting and building distributed systems that power AI\-driven research and trading platforms
* Designing infrastructure for large\-scale model training, orchestration, and low\-latency inference
* Optimizing system performance under strict latency and reliability constraints
* Establishing engineering standards across ML infrastructure, deployment, and observability
* Partnering directly with researchers, data scientists, and trading teams to productionize AI
**Qualifications** 
* 7–10\+ years of software engineering experience, with significant system design ownership
* Strong Python plus deep expertise in C\+\+ or Java
* Proven experience architecting distributed systems at scale (high QPS, low latency environments preferred)
* Experience designing or operating ML infrastructure, model serving platforms, or data\-intensive systems
* Hands\-on experience with AWS or GCP, Kubernetes, and messaging/data systems such as Kafka, ClickHouse, or Postgres
* Ability to think critically about trade\-offs, failure modes, and long\-term architecture
* Experience in finance is helpful but not required. Experience building production AI systems is essential.
**Required Skills** 
* Strong Python plus deep expertise in C\+\+ or Java
* Proven experience in architecting distributed systems at scale
* Hands\-on experience with AWS or GCP, Kubernetes, and messaging/data systems
**Preferred Skills** 
* Experience in finance is helpful but not required
* Experience building production AI systems is essential
 If you’re a systems\-focused AI engineer who enjoys building durable, high\-performance infrastructure and shaping technical direction at scale, this is a rare opportunity to do so inside one of the most ambitious AI buildouts in finance.
 Apply to learn more about the role and team.</t>
        </is>
      </c>
    </row>
    <row r="4">
      <c r="A4" t="inlineStr">
        <is>
          <t>li-4221825078</t>
        </is>
      </c>
      <c r="B4" t="inlineStr">
        <is>
          <t>Staff Software Engineer, Applied AI</t>
        </is>
      </c>
      <c r="C4" t="inlineStr">
        <is>
          <t>Smarter Technologies</t>
        </is>
      </c>
      <c r="D4" t="inlineStr">
        <is>
          <t>linkedin</t>
        </is>
      </c>
      <c r="E4">
        <f>HYPERLINK("https://www.linkedin.com/jobs/view/4221825078", "https://www.linkedin.com/jobs/view/4221825078")</f>
        <v/>
      </c>
      <c r="F4">
        <f>HYPERLINK("https://job-boards.greenhouse.io/smartertechnologies/jobs/4654807005&amp;urlHash=wncR", "https://job-boards.greenhouse.io/smartertechnologies/jobs/4654807005&amp;urlHash=wncR")</f>
        <v/>
      </c>
      <c r="G4" t="inlineStr"/>
      <c r="H4" t="inlineStr"/>
      <c r="I4" t="inlineStr">
        <is>
          <t>Smarter Technologies is the automation and insight platform for healthcare efficiency. As a leading AI\-powered revenue cycle management (RCM) platform, we combine proprietary agentic agents, human\-in\-the\-loop AI agents, clinical ontology, and global financial and administrative services. Our comprehensive platform empowers healthcare organizations to automate the entirety of their administrative and financial workflows—driving operational optimization, reducing costs, and enabling better patient experiences.
**Staff Software Engineer, Applied AI** 
**Role** 
 We're looking for an Exceptional AI Engineer for our Applied AI Engineering team.
 As a key member of our platform engineering team, you will play a pivotal role in developing and optimizing AI\-driven solutions that enhance our end\-to\-end platform, including our customer\-facing web application, backend infrastructure, and developer suite. Your work will empower a community of developers worldwide to build tailored AI solutions for unique customer use cases, enriching the ecosystem of automation modules.
*\*\*This role is fully remote within the US\*\** 
**What You’ll Do** 
* Stay at the forefront of AI advancements, continuously exploring new techniques, models, and tools. Your insights will help drive innovation and keep our platform at the cutting edge of technology.
* Work closely with core platform and automation engineers, as well as other stakeholders, to identify and address business needs through AI solutions. You will play a key role in bridging the gap between AI research and practical application.
* Utilize APIs, pre\-trained models, and other tools to implement AI\-driven features across our platform. You will focus on integrating these capabilities into production systems, enhancing the functionality and performance of our solutions.
* Fine\-tune and optimize existing solutions for specific product requirements, ensuring that AI integrations are efficient, scalable, and reliable.
**What You Bring** 
* Bachelor’s or Master’s in Computer Science/Engineering, Data Science, or a related field.
* Over 3 years of experience in applied AI, with a focus on implementing and integrating AI solutions using APIs and pre\-trained models.
* Proficiency in programming languages such as Python, TypeScript, or similar, with experience in utilizing AI/ML frameworks and tools such as LangChain, LlamaIndex, etc.
* Familiarity with cloud infrastructure (ideally AWS) and experience in deploying and scaling AI applications.
* Strong understanding of AI/ML concepts, but with a practical focus on application rather than research.
* Excellent written and verbal communication skills, with the ability to convey complex AI concepts to technical and non\-technical audiences.
**Nice To Haves** 
* A practical approach to AI, with a focus on delivering tangible results and real\-world applications.
* The ability to navigate and implement cutting\-edge AI technologies and tools, including emerging areas like autonomous agents.
* An entrepreneurial mindset, eager to explore new possibilities and push the boundaries of what AI can achieve.
* A collaborative spirit, ready to work closely with cross\-functional teams and contribute to a shared vision.
* Strong problem\-solving skills and a proactive attitude towards learning and adapting to new challenges.
**Required Technical Exercise \- submissions without this component will not be considered:** 
* Please spend no more than 20 minutes completing a quick coding exercise by following the instructions here.
**California Salary Range** 
 $235,000 \- $315,000 USD</t>
        </is>
      </c>
    </row>
    <row r="5">
      <c r="A5" t="inlineStr">
        <is>
          <t>li-4334158613</t>
        </is>
      </c>
      <c r="B5" t="inlineStr">
        <is>
          <t>Software Engineer, Fullstack, Early Career</t>
        </is>
      </c>
      <c r="C5" t="inlineStr">
        <is>
          <t>Notion</t>
        </is>
      </c>
      <c r="D5" t="inlineStr">
        <is>
          <t>linkedin</t>
        </is>
      </c>
      <c r="E5">
        <f>HYPERLINK("https://www.linkedin.com/jobs/view/4334158613", "https://www.linkedin.com/jobs/view/4334158613")</f>
        <v/>
      </c>
      <c r="F5">
        <f>HYPERLINK("https://jobs.ashbyhq.com/notion/f7399542-9122-481a-bf64-43bf8093748b?source=LinkedIn&amp;urlHash=b0Cn", "https://jobs.ashbyhq.com/notion/f7399542-9122-481a-bf64-43bf8093748b?source=LinkedIn&amp;urlHash=b0Cn")</f>
        <v/>
      </c>
      <c r="G5" t="inlineStr">
        <is>
          <t>San Francisco, CA</t>
        </is>
      </c>
      <c r="H5" t="inlineStr"/>
      <c r="I5" t="inlineStr">
        <is>
          <t>**About Us**
 Notion helps you build beautiful tools for your life’s work. In today's world of endless apps and tabs, Notion provides one place for teams to get everything done, seamlessly connecting docs, notes, projects, calendar, and email—with AI built in to find answers and automate work. Millions of users, from individuals to large organizations like Toyota, Figma, and OpenAI, love Notion for its flexibility and choose it because it helps them save time and money.
 In\-person collaboration is essential to Notion's culture. We require all team members to work from our offices on Mondays, Tuesdays, and Thursdays, our designated Anchor Days. Certain teams or positions may require additional in\-office workdays.
**About The Role**
 As an Early Career Software Engineer at Notion, you’ll help shape core user experiences and accelerate how people discover value in Notion. You'll tackle meaningful challenges with increasing autonomy, crafting code that millions of users will experience. You'll take ownership of projects that matter, make critical technical decisions, and contribute your unique perspective to our product vision. Working alongside passionate experts across design, product, and data, you'll help shape the future of how people work.
 We’re hiring early career engineers to join us across several teams at Notion. Your recruiter will partner with you to find the team that best aligns with your interests and where you can make the highest impact.
 What You’ll Achieve
* Plan, build, and ship product features from conception to launch, then iterate based on insights and user feedback.
* Improve performance, reliability, and quality of key experiences used by millions of users and thousands of organizations.
* Run experiments that drive activation, retention, collaboration, and revenue, partnering with design, data science, and research.
* Build internal tools and platform improvements that help all engineers ship quickly and safely.
* Contribute to team norms, code quality, and a culture of learning and thoughtful tradeoffs.
 Areas you might work on
* Core Notion product features: Help develop, improve, and maintain features for our flagship product, focusing on the editor, databases, sharing, or other key areas that power millions of workflows.
* AI and automation: Help develop and integrate intelligent features that make Notion more powerful, contextual, and efficient for our users.
* Growth and activation: Work on features that help new users discover Notion's value, improve onboarding experiences, and increase user engagement.
* Platform and infrastructure: Contribute to the systems that power Notion's backend services, ensuring reliability, scalability, and performance as our user base grows.
 Skills You’ll Bring
* Proven track record of execution: You have a minimum of 1 year (and up to 3 years) of full\-time professional engineering experience, including building world\-class product experiences as part of an engineering team. You have solid fundamentals in data structures, algorithms, and distributed systems, with a product\-minded, pragmatic approach to solving problems.
* Thoughtful problem\-solving: You approach problems holistically, starting with a clear and accurate understanding of the context. You think about the implications of what you're building and how it will impact real people's lives. You can navigate ambiguity successfully, decompose complex problems into clean solutions, while also balancing the business impact of what you’re building.
* Impact\-driven approach to technology: You see technologies as tools to achieve user impact rather than ends in themselves. You care more about building successful systems that solve real problems than about using specific tech stacks or following trends. You stay current with the latest tools like Cursor, Claude Code, and other AI\-assisted development environments, you're pragmatic about choosing the right tool for the job, focusing on what delivers the most value to users and the business.
* Proactive communication and high agency: You own your work, communicating clearly about progress and blockers. You don't wait for instructions for every step but rather show initiative in identifying what needs to be done and driving projects forward. You ask questions when needed while independently finding solutions to problems.
* You don’t need to be an AI expert, but you’re curious and willing to adopt AI tools to work smarter and deliver better results
 Nice to Have
* Experience with parts of our stack like React, TypeScript, Node.js, Postgres, or with experimentation and analytics tooling.
* Exposure to distributed systems, observability, CI/CD, or infrastructure fundamentals.
* An interest in product quality and craft, and in helping others stay in flow.
* You've heard of computing pioneers like Ada Lovelace, Douglas Engelbart, Alan Kay, and others—and understand why we're big fans of their work.
 We hire talented and passionate people from a variety of backgrounds because we want our global employee base to represent the wide diversity of our customers.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$126,000 \- $180,000 per year.
 By clicking “Submit Application”, I understand and agree that Notion and its affiliates and subsidiaries will collect and process my information in accordance with Notion’s Global Recruiting Privacy Policy and NYLL 144\.</t>
        </is>
      </c>
    </row>
    <row r="6">
      <c r="A6" t="inlineStr">
        <is>
          <t>li-4380318350</t>
        </is>
      </c>
      <c r="B6" t="inlineStr">
        <is>
          <t>Software Engineer, Backend</t>
        </is>
      </c>
      <c r="C6" t="inlineStr">
        <is>
          <t>Mirage</t>
        </is>
      </c>
      <c r="D6" t="inlineStr">
        <is>
          <t>linkedin</t>
        </is>
      </c>
      <c r="E6">
        <f>HYPERLINK("https://www.linkedin.com/jobs/view/4380318350", "https://www.linkedin.com/jobs/view/4380318350")</f>
        <v/>
      </c>
      <c r="F6">
        <f>HYPERLINK("https://jobs.ashbyhq.com/mirage/44b99a31-2f04-41ce-b671-f59f6493fd0e/application?utm_source=LEbxa7kWm6&amp;urlHash=AdmC", "https://jobs.ashbyhq.com/mirage/44b99a31-2f04-41ce-b671-f59f6493fd0e/application?utm_source=LEbxa7kWm6&amp;urlHash=AdmC")</f>
        <v/>
      </c>
      <c r="G6" t="inlineStr">
        <is>
          <t>New York, NY</t>
        </is>
      </c>
      <c r="H6" t="inlineStr"/>
      <c r="I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(Captions by Mirage)
 Research (Seeing Voices, technical\-white\-paper)
 Updates (Mirage on X / twitter)
 TechCrunch, Forbes AI 50, Fast Company (press)
**Our Investors**
 We’re very fortunate to have some the best investors and entrepreneurs backing us, including
 **Index Ventures, Kleiner Perkins, Sequoia Capital, Andreessen Horowitz,**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(Talkspace, Kindbody, One Medical subscription, HealthAdvocate, Teladoc)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
 Compensation Range: $185K \- $285K</t>
        </is>
      </c>
    </row>
    <row r="7">
      <c r="A7" t="inlineStr">
        <is>
          <t>li-4370616213</t>
        </is>
      </c>
      <c r="B7" t="inlineStr">
        <is>
          <t>Software Engineer, Data Platform</t>
        </is>
      </c>
      <c r="C7" t="inlineStr">
        <is>
          <t>Discord</t>
        </is>
      </c>
      <c r="D7" t="inlineStr">
        <is>
          <t>linkedin</t>
        </is>
      </c>
      <c r="E7">
        <f>HYPERLINK("https://www.linkedin.com/jobs/view/4370616213", "https://www.linkedin.com/jobs/view/4370616213")</f>
        <v/>
      </c>
      <c r="F7" t="inlineStr"/>
      <c r="G7" t="inlineStr"/>
      <c r="H7" t="inlineStr"/>
      <c r="I7" t="inlineStr">
        <is>
          <t>Discord is used by over 200 million people every month for many different reasons, but there’s one thing that nearly everyone does on our platform:
 **play video games.** 
 Over 90% of our users play games, spending a combined 1\.5 billion hours playing thousands of unique titles on Discord each month. Discord plays a uniquely important role in the future of gaming. We are focused on making it easier and more fun for people to talk and hang out before, during, and after playing games.
**Every day, hundreds of millions of gamers gather on Discord to hang out, strategize their next raid, celebrate tournament victories, and build communities around the games they love. Behind every voice channel, every streamer Go Live, every Quest completed, there's data, petabytes of it, telling the story of how people connect through gaming.**
**We're looking for someone who gets excited about building data infrastructure at massive scale and cares deeply about the gaming communities we serve. Someone with passion for building lovable products for Discord users and Discord engineers. We’re building the next generation Data Platform that powers decisions for one of the most vibrant platforms in the world.**
**If you're the kind of Software Engineer who lights up when talking about distributed systems, cares deeply about user privacy, grounding decisions in data, and wants your work to directly impact millions of gamers worldwide, we want to talk to you.**
**To learn more about Discord’s Data Platform, read our engineering blog, including how we built our modern data stack leveraging open\-source tools!**
**What You'll Be Doing**
* Build and maintain data infrastructure processing petabytes of data across millions of users
* Write clean, well\-tested code for data ingestion, transformation, and serving systems
* Own projects end\-to\-end with guidance from senior engineers. From design through deployment and production support
* Collaborate with data scientists, engineers, and product teams to deliver solutions that power Discord's insights
**What You Should Have**
* 3\+ years of software engineering experience with strong programming skills in Python, Java, Rust, Go, or similar
* Solid CS fundamentals and demonstrated ability to quickly learn new technologies and ramp up on unfamiliar systems
* Proven debugging skills and growth mindset. You seek feedback and continuously improve
* Strong collaboration skills and ability to clearly explain technical concepts to different audiences
**Bonus Points**
* Passion for Discord and gaming
* Experience with the data ecosystem: pipelines, ETL, modeling, or warehousing (Kafka, Spark, Flink, Airflow, Dagster, SQL, etc.)
* Cloud infrastructure knowledge (AWS, GCP, Azure) or containerization (Docker, Kubernetes)
*Candidates must reside in or be willing to relocate to the San Francisco Bay Area (Alameda, Contra Costa, Marin, Napa, San Francisco, San Mateo, Santa Clara, Solano, and Sonoma counties). Relocation assistance may be available.*
*The US base salary range for this full\-time position is $160,000 to $180,000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t>
        </is>
      </c>
    </row>
    <row r="8">
      <c r="A8" t="inlineStr">
        <is>
          <t>li-4363042580</t>
        </is>
      </c>
      <c r="B8" t="inlineStr">
        <is>
          <t>Software Engineer II</t>
        </is>
      </c>
      <c r="C8" t="inlineStr">
        <is>
          <t>Sony Interactive Entertainment</t>
        </is>
      </c>
      <c r="D8" t="inlineStr">
        <is>
          <t>linkedin</t>
        </is>
      </c>
      <c r="E8">
        <f>HYPERLINK("https://www.linkedin.com/jobs/view/4363042580", "https://www.linkedin.com/jobs/view/4363042580")</f>
        <v/>
      </c>
      <c r="F8" t="inlineStr"/>
      <c r="G8" t="inlineStr">
        <is>
          <t>San Mateo, CA</t>
        </is>
      </c>
      <c r="H8" t="inlineStr"/>
      <c r="I8" t="inlineStr">
        <is>
          <t>**Why PlayStation?**
 PlayStation isn’t just the Best Place to Play — it’s also the Best Place to Work. Today, we’re recognized as a global leader in entertainment producing The PlayStation family of products and services including PlayStation®5, PlayStation®4, PlayStation®VR, PlayStation®Plus, acclaimed PlayStation software titles from PlayStation Studios, and more.
 PlayStation also strives to create an inclusive environment that empowers employees and embraces diversity. We welcome and encourage everyone who has a passion and curiosity for innovation, technology, and play to explore our open positions and join our growing global team.
 The PlayStation brand falls under Sony Interactive Entertainment, a wholly\-owned subsidiary of Sony Group Corporation.
 You will be a key member of our backend team and determine the core infrastructure of our next generation platforms and services to enhance our PlayStation ecosystem.
 Responsibilities:
* Contribute to the development of backend systems that power the PlayStation platform as part of a collaborative Scrum team.
* Work closely with other developers and teams to support the design and implementation of platform services.
* Build and maintain scalable services using Node.js and TypeScript/JavaScript.
* Write clean, maintainable, and well\-tested code, including unit tests for features and bug fixes.
* Assist in troubleshooting, debugging, and resolving technical issues.
* Participate in code reviews and contribute to improving overall code quality.
* Create and maintain technical documentation for your work.
* Continuously learn and grow by engaging with senior engineers and adopting best practices in software development.
 Required Qualifications:
* Bachelor’s degree in Computer Science or related field, or equivalent practical experience.
* 3\+ years of experience in backend or full\-stack development.
* Direct experience with Node.js, JavaScript, and/or TypeScript.
* Knowledge of RESTful APIs and general web service principles.
* Familiarity Exposure to cloud technologies such as AWS, Azure, or GCP.
* Strong problem\-solving and communication skills, with an eagerness to learn and take feedback.
* Comfortable working in a collaborative, agile team environment.
* Experience working with GraphQL or RESTful APIs.
* Knowledge of version control systems such as Git and familiarity with pull request workflows.
* Interest in CI/CD pipelines and understanding the basics of automated builds or testing.
* Awareness of monitoring tools or performance metrics for backend services.
* Familiarity with frontend frameworks or Server\-Side Rendering (SSR) tools such as Next.js is a plus.
* Coursework or exposure to software testing, data structures, or distributed systems concepts.
* Familiarity with other Server Side Languages
***Please refer to our Candidate Privacy Notice for more information about how we process your personal information, and your data protection rights.***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medical, dental, vision, matching 401(k), paid time off, wellness program and coveted employee discounts for Sony products. This role also may be eligible for a bonus package. Click
 **here** 
 to learn more.
 The estimated base pay range for this role is listed below.
 $163,700—$245,500 USD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*PlayStation is a Fair Chance employer and qualified applicants with arrest and conviction records will be considered for employment.*</t>
        </is>
      </c>
    </row>
    <row r="9">
      <c r="A9" t="inlineStr">
        <is>
          <t>li-4380183050</t>
        </is>
      </c>
      <c r="B9" t="inlineStr">
        <is>
          <t>Software Engineer 1</t>
        </is>
      </c>
      <c r="C9" t="inlineStr">
        <is>
          <t>Intuit</t>
        </is>
      </c>
      <c r="D9" t="inlineStr">
        <is>
          <t>linkedin</t>
        </is>
      </c>
      <c r="E9">
        <f>HYPERLINK("https://www.linkedin.com/jobs/view/4380183050", "https://www.linkedin.com/jobs/view/4380183050")</f>
        <v/>
      </c>
      <c r="F9">
        <f>HYPERLINK("https://dsp.prng.co/cCWDmWb&amp;urlHash=xcI0", "https://dsp.prng.co/cCWDmWb&amp;urlHash=xcI0")</f>
        <v/>
      </c>
      <c r="G9" t="inlineStr">
        <is>
          <t>Mountain View, CA</t>
        </is>
      </c>
      <c r="H9" t="inlineStr"/>
      <c r="I9" t="inlineStr">
        <is>
          <t>**Overview**
 Intuit is the global ﬁnancial technology platform that powers prosperity for the people and communities we serve. With approximately 100 million customers worldwide using products such as TurboTax, Credit Karma, QuickBooks, and Mailchimp, we believe that everyone should have the opportunity to prosper. We never stop working to ﬁnd new, innovative ways to make that possible.
 This role is ideal for those at the start of their professional journey, who are eager to learn, grow, and make an immediate impact. As this is a general posting, we’ll align you with a team based on your skills, interests, and career aspirations to set you up for success.
 We're cultivating a culture that prioritizes innovators, risk\-takers, and imaginative thinkers. In pursuit of becoming AI\-native, we recognize that fostering a "builder" mindset is essential.
 You’ll help create solutions that transform how millions of consumers and small businesses manage their ﬁnances in cloud, platform, mobile, and SaaS environments. Working in a culture that embraces experimentation and rapid prototyping, you’ll collaborate closely with customers and cross\-functional teams, turning ideas into real impact while building the skills to launch a rewarding career.
**Responsibilities**
 Frontend Engineering:
* Experience developing scalable, responsive, and dynamic web\-based applications
* Familiarity with modern frontend tools and frameworks such as React, AngularJS, or js
* Knowledge of HTML, CSS, and JavaScript standards
* Strong ability to collaborate with designers, UX specialists, and backend engineers
**Backend Engineering**
* Experience developing web applications using server\-side languages, such as Java, Python, or Node.js.
* Familiarity with database technologies such as MySQL, PostgreSQL, or MongoDB
* Understanding of RESTful API design principles and ability to work with API integrations
* Experience with server frameworks such as Express, Spring MVC or Django
**Fullstack Engineering**
* Familiarity with both frontend and backend development
* Ability to work effectively with developers and designers, discussing application and API architectures
* Understanding of Agile methodologies and ability to work with Scrum teams
* Familiarity with tools such as Git, Jenkins, or Travis
**Mobile Engineering**
* Experience developing applications for one or more platforms such as Android and iOS
* Familiarity with mobile application development frameworks such as React Native or Flutter
* Understanding of development tools such as XCode, Android Studio and SDK languages such as Objective\-C, Swift or Java
* Ability to work with designers and backend engineers to integrate mobile applications with cloud\-based APIs
**Across All Tech Stacks**
* Contribute to our core products and services, as well as systems that power critical engineering operations.
* See your work launched and help solve meaningful problems for
* Learn and apply proven best practices in designing, building, and supporting software
* Receive hands\-on guidance, detailed feedback, and mentorship from experienced team members.
* Collaborate closely with peers across disciplines and build strong, supportive working
* Gain exposure to innovation methods like Design for Delight to experiment, iterate, and create impact.
**Qualifications**
* Bachelor’s or Master’s degree in Computer Science, a related technical ﬁeld, or equivalent practical experience.
* Foundational understanding of Agile development, object\-oriented design, and programming principles.
* Coursework, internships, personal projects, or academic experience with one or more programming languages (e.g., Java, Python, JavaScript, C\+\+, etc.).
* Basic knowledge of front\-end web technologies (HTML, CSS, JavaScript) and familiarity with frameworks or tools is a plus.
* Strong written, verbal, and collaboration skills with the ability to work effectively in a team environment.
* Willingness to learn and adapt to new priorities, tools, and technologies in a fast\-paced, dynamic environment.
* Able to leverage AI tools and platforms to enhance productivity and problem\-solving
* Comfortable using AI\-assisted development environments (such as GitHub Copilot, Tabnine, or similar tools) to improve code quality and speed.
* Able to identify tasks that could be automated or optimized using AI
* Demonstrates awareness of ethical considerations, bias, and limitations of AI tools, applying them responsibly.
* Can effectively review and validate AI\-generated outputs to ensure correctness and maintain software quality standards.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t>
        </is>
      </c>
    </row>
    <row r="10">
      <c r="A10" t="inlineStr">
        <is>
          <t>li-4380138518</t>
        </is>
      </c>
      <c r="B10" t="inlineStr">
        <is>
          <t>Senior Software Engineer - Backend</t>
        </is>
      </c>
      <c r="C10" t="inlineStr">
        <is>
          <t>Plaid</t>
        </is>
      </c>
      <c r="D10" t="inlineStr">
        <is>
          <t>linkedin</t>
        </is>
      </c>
      <c r="E10">
        <f>HYPERLINK("https://www.linkedin.com/jobs/view/4380138518", "https://www.linkedin.com/jobs/view/4380138518")</f>
        <v/>
      </c>
      <c r="F10" t="inlineStr"/>
      <c r="G10" t="inlineStr">
        <is>
          <t>Seattle, WA</t>
        </is>
      </c>
      <c r="H10" t="inlineStr"/>
      <c r="I10"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**Responsibilities**
* Design \&amp; Development: Build and maintain backend services with a focus on performance, reliability and scalability.
* Collaboration: Work closely with product managers and other stakeholders to define and implement new features that meet product and customer needs.
* Code Quality: Write clean, maintainable and efficient code.
* Testing \&amp; Debugging: Develop automated tests to ensure the quality and reliability of the codebase. Troubleshoot and resolve issues.
* Engage in hands\-on coding and architectural design, setting and maintaining high technical standards for a high performing team.
* Grow the team via mentorship and leadership, reviewing technical documents and code changes
**Qualifications**
* 5\+ years of experience with extensive experience in software engineering with a proven track record of shipping successful projects.
* Experience with MySQL or other relational databases
* Experience working with microservices.
* Excellent coding, testing, and system design skills.
* Prior experience with cross functional collaboration, communication and project management skills.
* Demonstrated leadership skills and the ability to mentor and guide junior engineers.
* Ability to work with operations, product, design, and data science.
 $165,600 \- $248,400 a year
 The target base salary for this position ranges from $165,600/year to $248,400/year in Seattle.
 The base salary range listed for this full\-time position excludes equity and benefits. The pay range shown on each job posting is the minimum and maximum target for new\-hire salaries. Actual pay may be higher or lower depending on factors like skills, experience, and relevant education or training.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11">
      <c r="A11" t="inlineStr">
        <is>
          <t>li-4380125645</t>
        </is>
      </c>
      <c r="B11" t="inlineStr">
        <is>
          <t>Software Engineer 1 - Data</t>
        </is>
      </c>
      <c r="C11" t="inlineStr">
        <is>
          <t>Intuit</t>
        </is>
      </c>
      <c r="D11" t="inlineStr">
        <is>
          <t>linkedin</t>
        </is>
      </c>
      <c r="E11">
        <f>HYPERLINK("https://www.linkedin.com/jobs/view/4380125645", "https://www.linkedin.com/jobs/view/4380125645")</f>
        <v/>
      </c>
      <c r="F11" t="inlineStr"/>
      <c r="G11" t="inlineStr">
        <is>
          <t>Mountain View, CA</t>
        </is>
      </c>
      <c r="H11" t="inlineStr"/>
      <c r="I11" t="inlineStr">
        <is>
          <t>**Overview**
 As an entry level Data Engineer, you will contribute to high\-scale pipelines that capture, process, and deliver
 **clickstream data** 
 across the enterprise. This data is the lifeblood of our organization—it powers real\-time
 **Marketing** 
 ,
 **personalization** 
 , and provides the
 **Analytics** 
 that drive our product strategy.
**Responsibilities**
* Develop feature enhancements to high throughput real\-time and batch pipelines
* Contribute to observability and operational excellence of business critical pipelines
* Contribute to modernization efforts to bring meaningful difference in quality , availability and performance for thousands of internal data consumers
**Qualifications**
 Required Qualifications
* Programming: Proficiency in Java and Python.
* Data Engineering : Understanding of data engineering concepts and atleast 6\-9 months of working experience developing / managing real\-time and batch pipelines in spark and flink.
* SQL Fundamentals: Strong ability to write queries (Joins, CTAs, Group Bys).
* Academic Background: B.S. in Computer Science, Data Science, or a related technical field (Recent grads are encouraged!).
* CS Foundations: Understanding of Data Structures (Hashes, Lists, Trees) and how they impact processing speed.
* Version Control: Basic Git skills (pull requests, branching, resolving merge conflicts).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t>
        </is>
      </c>
    </row>
    <row r="12">
      <c r="A12" t="inlineStr">
        <is>
          <t>li-4378502440</t>
        </is>
      </c>
      <c r="B12" t="inlineStr">
        <is>
          <t>Software Engineer (All Levels)</t>
        </is>
      </c>
      <c r="C12" t="inlineStr">
        <is>
          <t>Blossom</t>
        </is>
      </c>
      <c r="D12" t="inlineStr">
        <is>
          <t>linkedin</t>
        </is>
      </c>
      <c r="E12">
        <f>HYPERLINK("https://www.linkedin.com/jobs/view/4378502440", "https://www.linkedin.com/jobs/view/4378502440")</f>
        <v/>
      </c>
      <c r="F12">
        <f>HYPERLINK("https://jobs.ashbyhq.com/Blossom-Health/2e2aa507-b861-45c1-9f09-f8ad2da908eb/application?utm_source=Rd3x3m3aqJ&amp;urlHash=Jsjk", "https://jobs.ashbyhq.com/Blossom-Health/2e2aa507-b861-45c1-9f09-f8ad2da908eb/application?utm_source=Rd3x3m3aqJ&amp;urlHash=Jsjk")</f>
        <v/>
      </c>
      <c r="G12" t="inlineStr">
        <is>
          <t>New York, NY</t>
        </is>
      </c>
      <c r="H12" t="inlineStr"/>
      <c r="I1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Ship high\-quality code that balances speed and technical rigor
* Proactively identifying and resolving system reliability risks, owning uptime, observability, and performance as first\-class engineering concerns
* Leverage cutting\-edge AI to create intuitive and novel clinician and patient experiences
* Conduct thoughtful code reviews and provide technical mentorship, raising the bar for engineering excellence across the team and beyond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(SoHo) 5 days a week
****Benefits:****
* Competitive salary, equity, growth opportunities
* Best\-in\-class health, dental, and vision insurance
* A focus on outcomes, not hours, with unlimited PTO
* Team outings, offsites, and a sunny SoHo office stocked with snacks
 Compensation Range: $150K \- $220K</t>
        </is>
      </c>
    </row>
    <row r="13">
      <c r="A13" t="inlineStr">
        <is>
          <t>li-4379193875</t>
        </is>
      </c>
      <c r="B13" t="inlineStr">
        <is>
          <t>#Senior Software Engineer</t>
        </is>
      </c>
      <c r="C13" t="inlineStr">
        <is>
          <t>Qualcomm</t>
        </is>
      </c>
      <c r="D13" t="inlineStr">
        <is>
          <t>linkedin</t>
        </is>
      </c>
      <c r="E13">
        <f>HYPERLINK("https://www.linkedin.com/jobs/view/4379193875", "https://www.linkedin.com/jobs/view/4379193875")</f>
        <v/>
      </c>
      <c r="F13" t="inlineStr"/>
      <c r="G13" t="inlineStr">
        <is>
          <t>San Diego, CA</t>
        </is>
      </c>
      <c r="H13" t="inlineStr"/>
      <c r="I13" t="inlineStr">
        <is>
          <t>**Company**
 Qualcomm Innovation Center, Inc.
**Job Area**
 Engineering Group, Engineering Group \&gt; Software Engineering
**General Summary**
* This position is not eligible for Qualcomm immigration sponsorship. \*\*
 As a leading technology innovator, Qualcomm pushes the boundaries of what's possible to enable next\-generation experiences and drives digital transformation to help create a smarter, connected future for all. As a Qualcomm Software Engineer, you will design, develop, create, modify, and validate embedded and cloud edge software, applications, and/or specialized utility programs that launch cutting\-edge, world class products that meet and exceed customer needs. Qualcomm Software Engineers collaborate with systems, hardware, architecture, test engineers, and other teams to design system\-level software solutions and obtain information on performance requirements and interfaces.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**Preferred Qualifications**
* Master's Degree in Engineering, Information Systems, Computer Science or related field.
* 4\+ years of Software Engineering or related work experience.
* 2\+ years of experience with Database Management Software.
* 2\+ years of experience with API.
* 1\+ year of work experience with Git, Perforce, or Source Code Management System.
**Principal Duties And Responsibilities**
* Applies Software knowledge and experience to design, develop, create, modify, and validate embedded and cloud edge software, applications, and/or specialized utility programs.
* Analyzes user needs and software requirements to design and customize software for optimal operational efficiency.
* Designs and implements software modules for products and systems.
* Participates in the design, coding for large features, unit testing, significant debugging fixes, and integration efforts to ensure projects are completed to specifications and schedules.
* Performs code reviews and regression tests as well as triages and fixes issues to ensure the quality of code.
* Collaborates with others inside project team to accomplish project objectives.
* Writes technical documentation for Software projects.
**Level Of Responsibility**
* Works under supervision.
* Decision\-making may affect work beyond immediate work group.
* Requires verbal and written communication skills to convey information. May require basic negotiation, influence, tact, etc.
* Tasks do not have defined steps; planning, problem\-solving, and prioritization must occur to complete the tasks effectively.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$111,300\.00 \- $166,900\.00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14">
      <c r="A14" t="inlineStr">
        <is>
          <t>li-4368954478</t>
        </is>
      </c>
      <c r="B14" t="inlineStr">
        <is>
          <t>Software Engineer, Developer Platform</t>
        </is>
      </c>
      <c r="C14" t="inlineStr">
        <is>
          <t>Verily</t>
        </is>
      </c>
      <c r="D14" t="inlineStr">
        <is>
          <t>linkedin</t>
        </is>
      </c>
      <c r="E14">
        <f>HYPERLINK("https://www.linkedin.com/jobs/view/4368954478", "https://www.linkedin.com/jobs/view/4368954478")</f>
        <v/>
      </c>
      <c r="F14" t="inlineStr"/>
      <c r="G14" t="inlineStr">
        <is>
          <t>San Bruno, CA</t>
        </is>
      </c>
      <c r="H14" t="inlineStr"/>
      <c r="I14" t="inlineStr">
        <is>
          <t>**Who We Are**
 Verily is a subsidiary of Alphabet that is using a data\-driven approach to change the way people manage their health and the way healthcare is delivered. Launched from Google X in 2015, our purpose is to bring the promise of precision health to everyone, every day. We are focused on generating and activating data from a variety of sources, including clinical, social, behavioral and the real world, to arrive at the best solutions for a person based on a comprehensive view of the evidence. Our unique expertise and capabilities in technology, data science and healthcare enable the entire healthcare ecosystem to drive better health outcomes.
**Description**
 The Developer Platform team is responsible for building cloud\-native, self\-service developer infrastructure that enables the software development lifecycle for over 600 engineers at Verily. We furnish a speedy, delightful, scalable, and secure developer journey through integrated capabilities in AI, IDE extensions, application templates, developer portals, CI/CD and other functional areas.
 We are a product\-oriented, highly\-effective, world\-class platform engineering team that has a large positive impact on the product development process at Verily. As part of this team, you will work closely with engineers who have worked on successful projects like Kubernetes, Istio and Firebase.
**Responsibilities**
* Own the implementation for a significant platform capability or set of capabilities.
* Participate in the design and development of capabilities that leverage state\-of\-the\-art cloud\-native open source components (e.g. Kubernetes, VSCode, Backstage, Terraform) and cutting\-edge AI.
* Communicate and collaborate effectively with other team members contributing to your objectives.
* Drive execution through high\-quality implementation and set an example of best practices in code health and production (e.g. monitoring, frequent releases, reliable CI).
**Qualifications**
 Minimum Qualifications
* BA/BS degree in Computer Science, Electrical Engineering, or a related field; or equivalent practical experience in software engineering with 3\+ years experience developing and maintaining reliable, scalable, and secure products and services in production in Go, Python, TypeScript, or similar programming languages.
* Prior experience with cloud technologies: Google Cloud Platform/Amazon Web Services/Azure or other cloud providers, GitHub Actions, VSCode, Kubernetes, Backstage, or related tools.
* Strong foundation in data structures, algorithms, and system design with strong analytical and debugging skills.
* Strong communication skills in scenarios like discussing a new feature, investigating a customer issue, and articulating next steps and blockers in a task.
**Preferred Qualifications**
* Experience with Google Cloud Platform and Kubernetes.
* Experience in building with LLMs to solve business problems.
* Strong working knowledge of microservices, software delivery platforms, DevSecOps, continuous integration, and release management processes.
* Familiarity working in a centralized developer platform team.
* Passionate about developer experience with a high empathy for users.
 Qualified applicants must not require employer sponsored work authorization now or in the future for employment in the United States.
 The US base salary range for this full\-time position is $123,000 \- $185,000 \+ bonus \+ benefits.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Verily Life Sciences LLC is an equal opportunity employer. Qualified applicants will receive consideration for employment without regard to race, color, religion, sex, sexual orientation, gender identity, national origin, disability or protected veteran status. For our EEO Policy Statement, please click here. If you'd like more information on your EEO rights under the law, please click here.
 If you have a need that requires accommodation, please let us know by completing our Accommodations for Applicants form.</t>
        </is>
      </c>
    </row>
    <row r="15">
      <c r="A15" t="inlineStr">
        <is>
          <t>li-4380179133</t>
        </is>
      </c>
      <c r="B15" t="inlineStr">
        <is>
          <t>Software Engineer</t>
        </is>
      </c>
      <c r="C15" t="inlineStr">
        <is>
          <t>Plaid</t>
        </is>
      </c>
      <c r="D15" t="inlineStr">
        <is>
          <t>linkedin</t>
        </is>
      </c>
      <c r="E15">
        <f>HYPERLINK("https://www.linkedin.com/jobs/view/4380179133", "https://www.linkedin.com/jobs/view/4380179133")</f>
        <v/>
      </c>
      <c r="F15" t="inlineStr"/>
      <c r="G15" t="inlineStr">
        <is>
          <t>Seattle, WA</t>
        </is>
      </c>
      <c r="H15" t="inlineStr"/>
      <c r="I1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Plaid’s mission is to unlock financial freedom for everyone by making money movement and access to financial data simple and secure. As a Software Engineer, you will design and build the systems that power how millions of people connect to their finances. You will work across the stack, from reliable backend services and APIs to intuitive applications that bring those systems to life. You will collaborate with engineers, product managers, and designers to ship products that make financial services more accessible and transparent. At Plaid, engineers take ownership early, grow quickly, and see their work reach millions of users.
**Responsibilities**
* System Design \&amp; Development: Build and maintain scalable, reliable backend or fullstack systems and APIs that power Plaid’s products.
* Collaboration: Work closely with product managers, designers, and other engineers to define and deliver features that solve real customer problems.
* Code Quality: Write clean, efficient, and well\-tested code. Participate in reviews to maintain high engineering standards.
* Testing \&amp; Debugging: Build automated tests, monitor system performance, and troubleshoot issues in production environments.
* Continuous Improvement: Contribute to technical design discussions, share best practices, and help improve how we build at Plaid.
**Qualifications**
* 1\-4 years of software engineering experience (post\-internship)
* Proven ability to ship reliable systems or features at scale
* Strong problem\-solving skills. You turn ideas into practical, maintainable solutions.
* High ownership. You are excited to roll up your sleeves and figure things out that don’t have precedent at Plaid.
* Collaborative mindset. You thrive in a fast\-paced environment and enjoy working with others to deliver results.
* Growth oriented. You seek feedback, learn quickly, and take pride in improving your craft.
 $150,144 \- $205,344 a year
 The target base salary for this position ranges from $150,144/year to $205,344/year in Seattle.
 The base salary range listed for this full\-time position excludes equity and benefits. The pay range shown on each job posting is the minimum and maximum target for new\-hire salaries. Actual pay may be higher or lower depending on factors like skills, experience, and relevant education or training.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16">
      <c r="A16" t="inlineStr">
        <is>
          <t>li-4379085090</t>
        </is>
      </c>
      <c r="B16" t="inlineStr">
        <is>
          <t>Full Stack Engineer</t>
        </is>
      </c>
      <c r="C16" t="inlineStr">
        <is>
          <t>Wonder</t>
        </is>
      </c>
      <c r="D16" t="inlineStr">
        <is>
          <t>linkedin</t>
        </is>
      </c>
      <c r="E16">
        <f>HYPERLINK("https://www.linkedin.com/jobs/view/4379085090", "https://www.linkedin.com/jobs/view/4379085090")</f>
        <v/>
      </c>
      <c r="F16">
        <f>HYPERLINK("https://wonder.wd1.myworkdayjobs.com/WG/job/HQ/Full-Stack-Engineer_JR100914-1?source=LinkedIn&amp;urlHash=yUdC", "https://wonder.wd1.myworkdayjobs.com/WG/job/HQ/Full-Stack-Engineer_JR100914-1?source=LinkedIn&amp;urlHash=yUdC")</f>
        <v/>
      </c>
      <c r="G16" t="inlineStr"/>
      <c r="H16" t="inlineStr"/>
      <c r="I16" t="inlineStr">
        <is>
          <t>**About Wonder**
 Everything’s on the menu at Wonder. Except compromise.
 The Wonder app is the premiere platform to feed every craving, all in one order. Our 25\+ award\-winning restaurant partners span every cuisine you can think of, from Greek to Thai, and come from the minds of the best chefs in the industry—Bobby Flay, José Andrés, Marcus Samuelsson, and more.
 And our diners don’t have to choose just one: they can mix and match dishes from as many Made by Wonder restaurants as they’d like, or order from neighborhood gems near them. Everything is made to order at our brick\-and\-mortar locations across the East Coast and delivered fast and free, and more locations are opening every week.
 The best in the business are coming to Wonder, working every day to make us the destination for every mealtime moment. Join a team of technology, culinary, and logistics pioneers, backed by top\-tier venture capitalists, and help us make great food more accessible.
**About The Role**
 We're building a UI where an AI agent does the heavy lifting. Our platform lets restaurant operators manage menus, ingredients, and operations through a natural, agent\-driven interface — backed by a cloud\-native microservices architecture moving fast toward production.
 You'd be one of the early engineers on a small team, which means real ownership, broad impact, and a chance to shape how we build.
**The Impact You'll Make**
* End\-to\-end features across a modern TypeScript stack — frontend to backend to infrastructure
* The agent\-driven UI layer that sits at the core of our product
* AI\-powered workflows and agent systems using Google Vertex AI
* Distributed microservices communicating over gRPC and RabbitMQ
* Infrastructure on Docker locally, Terraform and AWS in production
**What You Bring To The Table**
* 3\+ Years of Experience with Node.Js
* Are fluent in TypeScript and comfortable jumping between layers of the stack
* Have shipped production Node.js services and aren't afraid of distributed systems complexity
* Move fast but care about correctness — you know when to slow down
* Communicate well and are comfortable making decisions with limited context
* Are excited about AI and want to build with it, not just talk about it
**Our hybrid model requires 3 days a week in the office. That said, many team members choose to come in more often to take advantage of in\-person collaboration and connection. You're welcome—and encouraged—to be in the office up to 5 days a week if it works for you.**
 NY/NJ Salary: $208,500 \- $216,500 per year.
 Wonder uses geographic\-specific salary structures, which means the salary offered may vary depending on where the job is located. The final salary offer will take into account various factors, such as the candidate's skills, education, training, credentials, and experience.
**Benefits**
 We offer a competitive salary package including equity and 401K. Additionally, we provide multiple medical, dental, and vision plans to meet all of our employees' needs as well as many benefits and perks that are not listed.
**A Final Note**
 At Wonder, we believe that in order to build the best team, we must hire using an objective lens. We are committed to fair hiring practices where we hire people for their potential and advocate for diversity, equity, and inclusion. As such, we do not discriminate or make decisions based on your race, color, religion, gender identity or expression, sexual orientation, national origin, age, military service eligibility, veteran status, marital status, disability, or any other protected class. If you have a disability, please let your recruiter know how we can make your interview process work best for you.
**We look forward to hearing from you! We'll contact you via email or text to schedule interviews and share information about your candidacy** 
 .</t>
        </is>
      </c>
    </row>
    <row r="17">
      <c r="A17" t="inlineStr">
        <is>
          <t>li-4380164822</t>
        </is>
      </c>
      <c r="B17" t="inlineStr">
        <is>
          <t>Software Engineer - Early Career (USA)</t>
        </is>
      </c>
      <c r="C17" t="inlineStr">
        <is>
          <t>Lensa</t>
        </is>
      </c>
      <c r="D17" t="inlineStr">
        <is>
          <t>linkedin</t>
        </is>
      </c>
      <c r="E17">
        <f>HYPERLINK("https://www.linkedin.com/jobs/view/4380164822", "https://www.linkedin.com/jobs/view/4380164822")</f>
        <v/>
      </c>
      <c r="F17" t="inlineStr"/>
      <c r="G17" t="inlineStr">
        <is>
          <t>New York, NY</t>
        </is>
      </c>
      <c r="H17" t="inlineStr"/>
      <c r="I17"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Trexquant Investment. Clicking "Apply Now" or "Read more" on Lensa redirects you to the job board/employer site. Any information collected there is subject to their terms and privacy notice.
 Trexquant is a growing systematic fund at the forefront of quantitative finance, with a team of world\-class researchers and engineers. As we continue to expand our trading operations, we are investing heavily in building the next generation of our quantitative research \&amp; trading platform.
 We are seeking an Early Career Software Engineer with strong programming skills to join our engineering team. In this role, you will work closely with experienced engineers and quantitative researchers to develop the infrastructure that powers systematic trading, including data pipelines, back testing tools, and execution systems. You will have the opportunity to contribute to greenfield development projects, where you’ll help build new systems from the ground up, driving innovation and scalability in our technology stack.
**Responsibilities**
* Full lifecycle development of low\-latency, high\-throughput research and trading systems using C\+\+, C, Java, or Rust
* Build and optimize data processing pipelines to ensure reliable access to large, high\-quality datasets.
* Assist in developing tools for back testing, model training, and strategy evaluation.
* Collaborate with researchers and traders to deliver technical solutions that improve research productivity and trading performance.
* Participate in code reviews, testing, and documentation to maintain high\-quality standards.
* Stay abreast of emerging technologies, tools, and best practices, bringing innovative ideas to continuously improve our systems.
**Requirements**
* BS/MS degree in Computer Science, or a related STEM field
* Strong knowledge of data structures, algorithms, and object\-oriented programming.
* Proficiency in one or more programming languages: C\+\+, C, Python, Java, or Rust.
* Familiarity with Linux environments
* Excellent problem\-solving skills and ability to learn quickly in a collaborative team setting.
**Benefits**
* Competitive salary plus bonus based on individual and company performance.
* Collaborative, casual, and friendly work environment.
* PPO health, dental, and vision insurance premiums fully covered for you and your dependents.
* Pre\-tax commuter benefits.
* Weekly company meals.
 Applications are open for both Stamford and New York City offices, the latter with a planned opening in October 2026\.
 The base salary range is $130,000 \- $175,000 depending on the candidate’s educational and professional background. Base salary is one component of Trexquant’s total compensation, which may also include a discretionary, performance\-based bonus. This position is classified as overtime\-exempt.
 Trexquant is an Equal Opportunity Employer.
 If you have questions about this posting, please contact support@lensa.com</t>
        </is>
      </c>
    </row>
    <row r="18">
      <c r="A18" t="inlineStr">
        <is>
          <t>li-4379292080</t>
        </is>
      </c>
      <c r="B18" t="inlineStr">
        <is>
          <t>Software Engineer</t>
        </is>
      </c>
      <c r="C18" t="inlineStr">
        <is>
          <t>Microsoft</t>
        </is>
      </c>
      <c r="D18" t="inlineStr">
        <is>
          <t>linkedin</t>
        </is>
      </c>
      <c r="E18">
        <f>HYPERLINK("https://www.linkedin.com/jobs/view/4379292080", "https://www.linkedin.com/jobs/view/4379292080")</f>
        <v/>
      </c>
      <c r="F18" t="inlineStr"/>
      <c r="G18" t="inlineStr">
        <is>
          <t>Redmond, WA</t>
        </is>
      </c>
      <c r="H18" t="inlineStr"/>
      <c r="I18" t="inlineStr">
        <is>
          <t>**Overview**
 OneDrive and SharePoint are rapidly growing services at the center of Microsoft's cloud, interacting with almost every part of Microsoft. You will be a part of a team that is fundamentally changing the way that millions of people use their devices and interact with the most important content for their home, work, and school.
 We are looking for smart, agile, and curious engineers who love creating and building things that delight and protect our customers. You will be working with a team of amazing engineers, PMs, and designers, and work closely with other teams across Microsoft to deliver large scale, distributed architectures, and features to meet OneDrive and SharePoint's core service needs.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You will work in large\-scale distributed systems that are critical for customers around the world.
* You will design and deliver services that manage internet\-scale data stores, enable best\-in\-the\-world file and site browsing and editing performance, or add innovative features to how people manage and interact with their data and telemetry.
* Given the scope of OneDrive and SharePoint, we have positions that range from the very front end of how a customer interacts with our services, through core system logic, to mega\-scale storage, to background infrastructure to support our services and the engineers that build and maintain them.
* Everything you do will be supported by a world\-class engineering team.As an engineer in our team, you will contribute to and help shape the vibrant, inclusive engineering culture of OneDrive \&amp; SharePoint.
* You will be expected to do deep, data\-driven, collaborative design for additions and changes to our products.
* You will write clean, efficient code and comprehensive tests.
* You will build excellent coverage with metrics and telemetry to ensure we understand exactly what is happening with our services at all times.
* You will deliver features that will support and serve hundreds of millions of customers around the world.
**Qualifications**
**Required Qualifications:**
* Bachelor's Degree in Computer Science, or related technical discipline with proven experience coding in languages including, but not limited to, C, C\+\+, C\#, Java, JavaScript, or Python
+ OR equivalent experience.
* Experience collaborating with peers and partner teams to meet joint engineering goals.
* Solid coding, debugging, algorithm design, and problem\-solving skills.
* Experience with cloud\-scale services and server/service management features.
* Able to learn new systems quickly and adapt new methodologies to our services.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 Master's Degree in Computer Science or related technical field with proven experience coding in languages including, but not limited to, C, C\+\+, C\#, Java, JavaScript, or Python
+ OR Bachelor's Degree in Computer Science or related technical field AND 2\+ years technical engineering experience with coding in languages including, but not limited to, C, C\+\+, C\#, Java, JavaScript, or Python
+ OR equivalent experience.
* Experience with building cloud\-scale infrastructure components.
* Awareness, passion, and experience related to cloud scale distributed design and patterns.
* Familiarity with secure software design concepts.
* Proven track record of delivering projects that include multiple components.
* Ability and eagerness to work across and partner with multiple engineering teams to achieve business goals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9">
      <c r="A19" t="inlineStr">
        <is>
          <t>li-4379198450</t>
        </is>
      </c>
      <c r="B19" t="inlineStr">
        <is>
          <t>#Senior Software Engineer</t>
        </is>
      </c>
      <c r="C19" t="inlineStr">
        <is>
          <t>Qualcomm</t>
        </is>
      </c>
      <c r="D19" t="inlineStr">
        <is>
          <t>linkedin</t>
        </is>
      </c>
      <c r="E19">
        <f>HYPERLINK("https://www.linkedin.com/jobs/view/4379198450", "https://www.linkedin.com/jobs/view/4379198450")</f>
        <v/>
      </c>
      <c r="F19" t="inlineStr"/>
      <c r="G19" t="inlineStr">
        <is>
          <t>San Diego, CA</t>
        </is>
      </c>
      <c r="H19" t="inlineStr"/>
      <c r="I19" t="inlineStr">
        <is>
          <t>**Company**
 Qualcomm Technologies, Inc.
**Job Area**
 Engineering Group, Engineering Group \&gt; Software Engineering
**General Summary**
* This position is not eligible for Qualcomm immigration sponsorship. \*\*
 Qualcomm Cloud is looking for a software engineer in the areas of Linux user space development to build API support for AI frameworks like Pytorch. The development target is Qualcomm high\-performance inference accelerator AI 100 and related products.
 Responsibilities will include software architecture and design, software development, software integration, functional and performance testing for a Linux based product. The tools of the trade are C/C\+\+ and Python.
 The candidate will leverage her experience to build programming APIs to enable a user to run ML kernels on Cloud AI 100 in a user friendly and performant way.
**Required Skills And Aptitudes**
* Experience with Linux user\-space development, API development and multi\-threaded processing.
* Experience with development in C/C\+\+.
* Experience with development in Python.
* Knowledge of RTOS, SoC architecture (core, cache, memory, bus architecture, IOs, etc.) and common hardware blocks
* Experience with Source Code and Configuration management tools
* Experience evangelizing innovative and new software architectural designs.
* Good communication skills and ability to negotiate in a co\-operative way.
* 2\+ years of relevant experience
**Desirable Skills And Aptitudes**
* Understanding of PT 2\.0 framework
* Familiar with high\-speed interfaces such as PCIe and LPDDR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$100,200\.00 \- $166,900\.00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20">
      <c r="A20" t="inlineStr">
        <is>
          <t>li-4376421101</t>
        </is>
      </c>
      <c r="B20" t="inlineStr">
        <is>
          <t>Software Engineer, Integration</t>
        </is>
      </c>
      <c r="C20" t="inlineStr">
        <is>
          <t>Topsort</t>
        </is>
      </c>
      <c r="D20" t="inlineStr">
        <is>
          <t>linkedin</t>
        </is>
      </c>
      <c r="E20">
        <f>HYPERLINK("https://www.linkedin.com/jobs/view/4376421101", "https://www.linkedin.com/jobs/view/4376421101")</f>
        <v/>
      </c>
      <c r="F20" t="inlineStr"/>
      <c r="G20" t="inlineStr">
        <is>
          <t>Boston, MA</t>
        </is>
      </c>
      <c r="H20" t="inlineStr"/>
      <c r="I20" t="inlineStr">
        <is>
          <t>We're quickly growing and super excited for you to join us!
**About Topsort** 
 At Topsort, we believe in the mission of democratizing the secret technologies of the walled gardens and creating a privacy\-first cookie\-free world of clean advertising with modern tech, friendly products, and AI. We believe in making advertising intuitive, intelligent, and genuinely cool, without any of the creepy ads or cookie\-obsession (well, maybe just the chocolate ones). In a rapidly changing industry, we're on a mission to democratize monetization access for all and ensure that advertising doesn't leave any brand or seller feeling confused or overwhelmed
 Today, Topsort has 5 major hubs worldwide, and employees in 13\+ countries, including Menlo Park, Boston, Santiago Chile, Sao Paulo Brazil, Barcelona Spain, and Sydney Australia. We are a truly global company that was born in the pandemic that’s had rapid growth since out of a genius product, a customer\-first mentality, and a hardworking team of talented individuals. Since our founding in 2021, we’ve gained customers in retail, marketplaces, and delivery apps in 40\+ countries and quickly approaching the \#1 position in the industry.
 Do you enjoy a fast\-paced environment? Do you like seeing your work create real\-time impact, being part of a rocket ship from the very beginning? Let’s do the unimaginable \- let’s make ads clean and cool again, with AI and modern technology.
**What it’s like to work at Topsort** 
 Our team is all about straightforward communication, embracing feedback without taking it personally, and fostering a super collaborative environment. It’s a sports team that’s hyper focused on winning, collaborative internally, and competitive externally \- never the other way around. We thrive on working in the open, lifting each other up, and getting things done with a sense of urgency. We're the kind of team that loves making bold choices, sharing extraordinary opinions, and maintaining a 100 mph pace. No endless meetings here – if it can be done today, we're all about getting it done today
 **.** 
**About the Role:** 
 We are looking for a hands\-on and client\-facing Software Engineers \- Integrations focuesd to join our team at Topsort. In this role, you will play a pivotal part in translating real\-world business needs into powerful, scalable product solutions. You’ll collaborate directly with sales, product, and engineering teams to support Pre\-sales conversations \- partner with sales to understand customer pain points, lead technical implementations with Topsort. 
**You will:**
* Engage with Prospects \&amp; Clients: Work closely with the sales and customer success teams to understand client requirements and propose tailored technical solutions.
* Own Technical Discovery \&amp; Demos: Lead technical conversations and run product demonstrations that align our platform’s capabilities with customer needs.
* Solution Design: Translate business challenges into feasible product configurations, data integrations, and implementation plans.
* Support RFPs and Security Questionnaires: Respond to technical and compliance\-related questions in RFPs and trust questionnaires.
* Own the entire integration process – You won’t just be following instructions; you’ll be leading integrations end\-to\-end, solving complex challenges, and acting as a trusted technical advisor to our clients.
* Be the bridge between tech \&amp; customer success – Work directly with clients, engineers, and product teams to deeply understand their needs and ensure seamless API integrations. Your solutions won’t just be functional—they’ll be impactful and user\-friendly, strengthening long\-term customer relationships.
**What (we think) you need to be successful** 
**\- we’re open to not checking all the boxes and be proven wrong by outlier candidates as well!** 
* Industry Experience: 3\+ years in software development, managing integrations, APIs, system interoperability, or ad tech is a plus. etc.
* API Expertise: Strong experience with
 **RESTful APIs, authentication methods (OAuth), and data formats (JSON, XML).**
* Proven ability to communicate complex technical ideas clearly to both technical and non\-technical audiences.
* Demonstrated success working directly with enterprise clients, understanding their operational realities and constraints.
* Comfortable navigating ambiguity and making decisions with incomplete information.
* Clear sense of ownership — you lead the solution from pre\-sales design through implementation and post\-sale success.
* Experience collaborating with product and engineering teams to shape customer\-driven roadmaps.
* Bachelor’s degree and above in
 **Computer Science, Engineering, or related field from a top school.**
* CRM \&amp; Platforms: Familiarity with customer relationship management (CRM) tools and integration platforms.
* Communication \&amp; Stakeholder Management:  Strong ability to interact with both
 **technical and non\-technical audiences** 
 , translating complex concepts into actionable insights.
**What We Value** 
 At Topsort, we seek professionals who embody the following qualities to drive our mission forward:
 * ****Deep dive into details:****
 Professionals who are not content with superficial answers and dive deeply into the details to uncover root causes and optimal solutions.
* ****Team first:****
  A low need for individual recognition, always prioritizing collective results over personal credit.
* ****You thrive with ambiguity:****
 Exceptional ability to tackle open\-ended problems in unstructured environments, turning chaos into structured innovation.
* ****Adaptability:****
 Willingness to learn, mentor, lead, and follow as the situation demands, fostering growth at all levels.
* ****Urgency:****
 A disproportionate sense of urgency in execution, while keeping scalability and the creation of replicable processes in mind to ensure long\-term success.
* ****Curiosity:****
 Genuinely curious individuals who can quickly learn difficult concepts and apply them effectively.
 Do you sound like the right fit? Let's dive right in!</t>
        </is>
      </c>
    </row>
    <row r="21">
      <c r="A21" t="inlineStr">
        <is>
          <t>li-4098166100</t>
        </is>
      </c>
      <c r="B21" t="inlineStr">
        <is>
          <t>Software Engineer, Frontend (All Levels)</t>
        </is>
      </c>
      <c r="C21" t="inlineStr">
        <is>
          <t>Zip</t>
        </is>
      </c>
      <c r="D21" t="inlineStr">
        <is>
          <t>linkedin</t>
        </is>
      </c>
      <c r="E21">
        <f>HYPERLINK("https://www.linkedin.com/jobs/view/4098166100", "https://www.linkedin.com/jobs/view/4098166100")</f>
        <v/>
      </c>
      <c r="F21" t="inlineStr"/>
      <c r="G21" t="inlineStr">
        <is>
          <t>San Francisco, CA</t>
        </is>
      </c>
      <c r="H21" t="inlineStr"/>
      <c r="I21" t="inlineStr">
        <is>
          <t>**About Zip**
 Here at Zip, we're reimagining how modern businesses function in the age of AI. The simple task of buying software, services, or tools at work has become hopelessly complicated at even the most innovative companies in the world. Today, enterprises spend $120T\+ per year globally (\&gt;30 times larger than annual consumer e\-commerce spend) and rely on vendors more than ever before to run their businesses.
 Our co\-founders started Zip in 2020 to address this seemingly universal problem with a purpose\-built procurement platform that provides a simple, consumer\-grade user experience. Within the last 5 years, Zip has created a new category and developed the leading solution in this $50B\+ TAM space. Today, the world’s leading companies like OpenAI, Snowflake, Anthropic, Coinbase, and JPMorgan Chase rely on Zip to manage billions of dollars in spend.
 We have a world\-class team coming from category\-defining companies like Airbnb, Meta, Stripe, Salesforce, Apple, and Google. With a $2\.2 billion valuation and $370 million in funding from Y Combinator, Tiger Global, BOND, DST Global, and CRV, we’re focused on developing cutting\-edge technology, expanding into new global markets, and—above all–driving incredible value for our customers. Join us!
 We’re looking for a passionate
 **Software Engineer, Frontend (Mid\-level to Senior)** 
 to help us build beautiful, performant, and scalable user\-facing experiences. In this role, you’ll take ownership of our core frontend architecture and ship features that have a direct and immediate impact on our customers.
 You'll collaborate closely with a highly skilled, cross\-functional team that values thoughtful design, fast iteration, and clean, maintainable code. Our engineers have a high degree of autonomy and are trusted to take features from concept to production, all while contributing towards improving our frontend practices as a company.
**You will**
* Design and build highly reliable and resilient products and features.
* Work closely with cross functional product and customer\-facing teams to understand requirements and ship thoughtful solutions.
* Write high\-quality, extensible, and maintainable code.
* Design and build scalable frontend applications and components.
* Design and build APIs to drive existing and new features for a web\-based application.
**Qualifications**
* 3\+ years of experience in modern web app development
* BS or higher, in Computer Science or technical field
* Proficiency in React, TypeScript, browser APIs, and performance optimization
* Experience with web application and API development in production environments. At Zip, our stack includes Python, Typescript, React, and GraphQL.
* Experience with industry standard build, test, deploy tools. At Zip, we work with: Kubernetes, Spinnaker, Jenkins, Segment, Github Actions, Datadog, Bugsnag and Fullstory.
* Ability and interest to quickly learn new frameworks and architecture patterns as needed
* Experience working at a small company with diverse responsibilities is a bonus, but not required.
* Exposure to AI\-driven automation or interest in working with AI/ML teams to build intelligent workflows.
 The salary range for this role is $150,000 \- $220,000\. The salary for this position is determined based on a variety of job\-related factors that may include location, relevant experience, education, or particular skills and expertise.
**Perks \&amp; Benefits**
 At Zip, we’re committed to providing our employees with everything they need to do their best work.
* 📈 Start\-up equity
* 🦷 100% health, vision \&amp; dental coverage options
* 🍽️ Catered breakfast, lunch, \&amp; dinner
* 🌴 Flexible PTO
* 🏋️‍♀️ ClassPass membership
* 🚍 Monthly commuter benefit
* 🚠 Team building events \&amp; happy hours
* 💻 Home office stipend
* 🛜 Phone/internet reimbursement
* 🍼 Paid parental leave
* 🧑‍🧑‍🧒‍🧒 Fertility stipend
* 💸 401k plan
* 🤖 Unlimited AI token usage
*We're looking to hire Zipsters and that means hiring people who take ownership, communicate openly, have an underdog mindset, and are excited to increase the pace of innovation for every business in the world. We encourage all candidates to apply even if your experience doesn't exactly match up to our job description. We are committed to building a diverse and inclusive workspace where everyone (regardless of age, religion, ethnicity, gender, sexual orientation, and more) feels like they belong. We look forward to hearing from you!*</t>
        </is>
      </c>
    </row>
    <row r="22">
      <c r="A22" t="inlineStr">
        <is>
          <t>li-4380324689</t>
        </is>
      </c>
      <c r="B22" t="inlineStr">
        <is>
          <t>Software Engineer</t>
        </is>
      </c>
      <c r="C22" t="inlineStr">
        <is>
          <t>Microsoft</t>
        </is>
      </c>
      <c r="D22" t="inlineStr">
        <is>
          <t>linkedin</t>
        </is>
      </c>
      <c r="E22">
        <f>HYPERLINK("https://www.linkedin.com/jobs/view/4380324689", "https://www.linkedin.com/jobs/view/4380324689")</f>
        <v/>
      </c>
      <c r="F22" t="inlineStr"/>
      <c r="G22" t="inlineStr"/>
      <c r="H22" t="inlineStr"/>
      <c r="I22" t="inlineStr">
        <is>
          <t>**Overview**
**Job Overview**
 Microsoft is a company where passionate innovators come to collaborate, envision what can be and take their careers further. This is a world of more possibilities, more innovation, more openness, and the sky is the limit thinking in a cloud\-enabled world.
 Microsoft’s Azure Data engineering team is leading the transformation of analytics in the world of data with products like databases, data integration, big data analytics, messaging \&amp; real\-time analytics, and business intelligence. The products our portfolio include Microsoft Fabric, Azure SQL DB, Azure Cosmos DB, Azure PostgreSQL, Azure Data Factory, Azure Synapse Analytics, Azure Service Bus, Azure Event Grid, and Power BI. Our mission is to build the data platform for the age of AI, powering a new class of data\-first applications and driving a data culture.
 Within Azure Data, the big data analytics team provides a range of products that enable data engineers and data scientists to extract intelligence from all data – structured, semi\-structured, and unstructured. We build the Data Engineering, Data Science, and Data Integration pillars of Microsoft Fabric.
 The App and Data Development team within Microsoft Fabric is dedicated to empowering both application and data developers with cutting\-edge tools and seamless experiences. Focused on the integration of AI across the development lifecycle, this team builds intelligent capabilities that simplify and accelerate app and data workflows. By offering unified interfaces, robust APIs, and AI\-assisted features, the team ensures that developers can easily create, manage, and scale data\-driven applications within the Microsoft Fabric ecosystem.
 We do not just value differences or different perspectives. We seek them out and invite them in so we can tap into the collective power of everyone in the company. As a result, our customers are better served.
**Responsibilities**
* Design and implement services to enable real time, highly scalable, performant, and sustainable solutions.
* Deliver well\-tested features across different services and platforms.
* Use engineering best practices throughout the software development lifecycle to establish maintainable, reliable, and secure systems.
* Collaborate with teammates in various roles to plan and execute on key deliverables.
* Participate in rotating livesite shifts, working on call to monitor system/product feature/service for degradation, downtime, or interruptions.
* Take ownership of service health including monitoring, metrics, telemetry. Identify and implement areas for improvement in the live\-site process and tools.
* Innovate for both customer use cases and overall health of the service.
* Work in a culture of continuous improvement, adaptation, reflection, and growth.
* Embody culture and values
**Qualifications**
**Required Qualifications:**
* Bachelor's Degree in Computer Science, or related technical discipline
+ 
- OR equivalent experience
* Proven experience coding in languages including, but not limited to, C, C\+\+, C\#, Java, JavaScript, or Python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Bachelor's Degree in Computer Science, or related technical field AND 1\+ year(s) technical engineering experience with coding in languages including, but not limited to, C, C\+\+, C\#, Java, JavaScript, or Python,
+ OR Master's Degree in Computer Science or related technical field with proven experience coding in languages including, but not limited to, C, C\+\+, C\#, Java, JavaScript, or Python
+ OR equivalent experience.
* Experience in developing services with Containers, Serverless functions and Databases is preferred
* Cross\-team collaboration experience for feature delivery and livesite issues preferred
* Full stack development for end\-to\-end feature design and development experience preferred
* Developer and user experiences for SaaS applications experience is preferred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3">
      <c r="A23" t="inlineStr">
        <is>
          <t>li-4361895415</t>
        </is>
      </c>
      <c r="B23" t="inlineStr">
        <is>
          <t>Software Engineer I</t>
        </is>
      </c>
      <c r="C23" t="inlineStr">
        <is>
          <t>AMH</t>
        </is>
      </c>
      <c r="D23" t="inlineStr">
        <is>
          <t>linkedin</t>
        </is>
      </c>
      <c r="E23">
        <f>HYPERLINK("https://www.linkedin.com/jobs/view/4361895415", "https://www.linkedin.com/jobs/view/4361895415")</f>
        <v/>
      </c>
      <c r="F23" t="inlineStr"/>
      <c r="G23" t="inlineStr">
        <is>
          <t>Draper, UT</t>
        </is>
      </c>
      <c r="H23" t="inlineStr"/>
      <c r="I23" t="inlineStr">
        <is>
          <t>Since 2012, we've grown to become one of the leading single\-family rental companies and homebuilders in the country, recently recognized as a top employer by Fortune and Great Place To Work®.  At AMH, our goal is to simplify the experience of leasing a home through professional management and maintenance support, so our residents can focus on what really matters to them, wherever they are in life.
 The
 **Software Engineer I** 
 is responsible for the creation, maintenance, and enhancement of robust web applications leveraging modern cloud\-based technologies and architectural patterns. Implements and maintains software solutions to meet the needs of the business and supports the latest security standards. Contributes to back\-end and front\-end development with strong situational adaptability. Able to troubleshoot, diagnose, and resolve moderate to severe bugs. Understands and implements current industry best practices and enforces such in peer code reviews. Assists in the process of translating business requirements into well\-architected software that will contribute to the growth and success of the entire organization.
**Responsibilities**
* Build Azure based, cloud\-native web applications in ASP.NET Core and React, implement microservices, micro frontends, serverless, containers and leverage core Azure services including but not limited to Azure functions, AKS, Azure Service Bus, Stream Analytics, Azure SQL.
* Implement APIs through Event\-Driven Microservices Architecture, ensuring scalable, resilient communication between services. Contribute to application documentation through sequence diagrams, workflow diagrams, and detailed API documentation to ensure clarity and maintainability.
* Address technical debt by identifying code and infrastructure that require improvement, optimizing existing systems for better performance, and implementing best practices to enhance maintainability and scalability of software solutions.
* Perform code reviews of other developers to ensure compliance with coding and security standards.
* Participate in agile ceremonies such as sprint planning, daily stand\-ups, and retrospectives to ensure the team is aligned and working towards common goals.
**Requirements**
* High school diploma or GED required
* Bachelor’s degree in computer science and/or a related field preferred
* Minimum three (1\) year of experience delivering enterprise web applications in ASP.Net/C\# and responsive web
* Expertise in Azure stack web development, distributed architecture/systems, microservices, React based micro frontends
* Strong experience in Azure application security, hosting/patterns, containerization
* Experience with distributed development design, messaging patterns, .NET modern ecosystem, and overall enterprise development acumen
**Compensation**
 The anticipated pay range/scale for this position is commensurate with experience. Actual starting base pay within this range will depend on factors including geographic location, education, training, skills, and relevant experience.
**Additional Compensation**
 This position is eligible to receive a discretionary annual bonus.
 Perks and Benefits
 Employees have the opportunity to participate in medical, dental and vision insurance; flexible spending accounts and/or health savings accounts; dependent savings accounts; 401(k) with company matching contributions; employee stock purchase plan; and a tuition reimbursement program. The Company provides 9 paid holidays per year, and, upon hire, new employees will accrue paid time off (PTO) at a rate of 0\.0577 hours of PTO per hour worked, up to a maximum of 120 hours per year.
**CA Privacy Notice:** 
 To learn more about what information we collect when you apply for a job, and how we use that information, please see our CA Job Applicant Privacy Notice found at https://www.amh.com/ca\-privacy\-notice.</t>
        </is>
      </c>
    </row>
    <row r="24">
      <c r="A24" t="inlineStr">
        <is>
          <t>li-4278657470</t>
        </is>
      </c>
      <c r="B24" t="inlineStr">
        <is>
          <t>Backend Engineer</t>
        </is>
      </c>
      <c r="C24" t="inlineStr">
        <is>
          <t>Tarro</t>
        </is>
      </c>
      <c r="D24" t="inlineStr">
        <is>
          <t>linkedin</t>
        </is>
      </c>
      <c r="E24">
        <f>HYPERLINK("https://www.linkedin.com/jobs/view/4278657470", "https://www.linkedin.com/jobs/view/4278657470")</f>
        <v/>
      </c>
      <c r="F24" t="inlineStr"/>
      <c r="G24" t="inlineStr">
        <is>
          <t>San Mateo, CA</t>
        </is>
      </c>
      <c r="H24" t="inlineStr"/>
      <c r="I24" t="inlineStr">
        <is>
          <t>**About Us**
 Here at Tarro we build products that empower small brick and mortar restaurants by liberating them of the operational burden of running their business. We accomplish this by providing a frictionless connection between them and their customers through our multi\-product ecosystem offering AI\-enabled order taking, delivery enablement, payment solutions, and point\-of\-sale software. At Tarro, we use a combination of bits (technology) and atoms (people) to solve real world problems facing small business owners.
 We obsess over placing our customers first and working backwards from there. When our customers succeed, we succeed. The restaurant industry in the US is over a $1 trillion total addressable market (TAM), but remains relatively underserved by technology. Large chains are able to afford expensive tech that gives them a huge advantage; we believe that small restaurant owners deserve access to the same technologies at an affordable price.
 Tarro has been profitable for nearly a decade and has seen 5x revenue growth in the past four years. As of our last fundraising round in mid\-2022, we were valued at $450M and have since seen substantial growth across customer acquisition, product development, and company headcount. Thousands of loyal restaurants have entrusted Tarro with their success, and together we have supported nearly 20 million customers. We are proud to be named one of Built In’s top companies to work for in 2023\.
 To learn more about our culture, values and how you can be a part of helping mom \&amp; pop restaurants thrive, please visit us here! Helping restaurants thrive, not just survive
 **.**
**What We're Looking For**
 Tarro is growing fast. We’re adding rapidly to our product portfolio. In our next phase of growth, we are looking for a Backend Engineer to join our Engineering team to help build reliable, performant, and well\-integrated systems and products for our customers.
**What You Will Accomplish**
* You will be working in a fast\-paced, high\-growth startup environment where you will always be learning
* You’ll spearhead the development of high\-quality products from the ground\-up with high velocity.
* You’ll have a huge impact and work on large scope spanning multiple products
* You’ll be an owner, write a lot of code and iterate very quickly
* You will partner with Product Managers and other stakeholders to advance the product vision, iterate on customer feedback and drive the expansion of Tarro into new opportunities
**About You**
* You have 2\+ years relevant experience building large\-scale applications or similar experience
* You currently have, or are in the process of obtaining a Bachelor's degree in Computer Science, Computer Engineering, relevant technical field, or equivalent practical experience
* You are a self\-starter and thrive in an environment where you have technical freedom
* You are excited about the opportunity to work up and down the stack and learn Rust
* You are passionate about solving customer’s problems and building something from the ground\-up
* You prefer an environment with limited meetings, processes, planning, politics, and formal reviews
**Bonus Points**
* You have achieved a BS / MS / PhD in Computer Science or a related field
* You have experience in a consumer\-driven industry with a passion for the customer.
* You have experience building products from 0 to 1 in an unstructured environment
* You have a roll\-up\-your\-sleeves mentality with current or prior experience working in a fast\-paced, collaborative, highly ambiguous environment frequently wearing more than one hat.
**Our tech stack:** 
 Rust, S3, EC2, NextJS
 Tarro is committed to hiring the best team to empower small businesses to thrive. We believe that a diverse workforce is paramount to our success. We welcome talent from all backgrounds \- including but not limited to \- race, sexual orientation, gender identity, age, nationality, religion, veteran status, political affiliation, and disability.
 If you do not meet all the requirements listed above which candidates rarely do, don't worry. We still encourage you to apply!
 The base salary range for this role is $180,000\- $250,000 USD \+ equity.</t>
        </is>
      </c>
    </row>
    <row r="25">
      <c r="A25" t="inlineStr">
        <is>
          <t>li-4379409253</t>
        </is>
      </c>
      <c r="B25" t="inlineStr">
        <is>
          <t>Full Stack Engineer</t>
        </is>
      </c>
      <c r="C25" t="inlineStr">
        <is>
          <t>Alexander Lyons Solutions</t>
        </is>
      </c>
      <c r="D25" t="inlineStr">
        <is>
          <t>linkedin</t>
        </is>
      </c>
      <c r="E25">
        <f>HYPERLINK("https://www.linkedin.com/jobs/view/4379409253", "https://www.linkedin.com/jobs/view/4379409253")</f>
        <v/>
      </c>
      <c r="F25" t="inlineStr"/>
      <c r="G25" t="inlineStr">
        <is>
          <t>New York, NY</t>
        </is>
      </c>
      <c r="H25" t="inlineStr"/>
      <c r="I25" t="inlineStr">
        <is>
          <t>My client, a scaling
 **Fintech startup** 
 , is seeking a
 **Full\-stack Software Engineer** 
 to lead the development of their next\-gen Data and AI products for the world’s most sophisticated hedge funds.
 This isn't just maintaining code; it’s about owning the product lifecycle in an environment where
 **precision meets innovation** 
 .
 They are looking for a Full\-stack Engineer with a passion for product and AI, strong communication skills, and deep technical expertise. The ideal candidate is
 **backend\-focused** 
 (Python \+ FastAPI/Flask/Django) but happy to dabble across the stack (React/Vue/TypeScript \+ SQL \+ AWS/Azure/GCP).
**Who you are:** 
* A proven track record as a Full\-stack Engineer within Fintech or a Hedge Fund is ideal.
* Alternatively, you may be a
 **Founding Engineer** 
 with an entrepreneurial streak and a deep interest in financial markets, investing, trading, or risk.
**The Details:** 
* **Location:** 
 Onsite in Manhattan (5 days/week)
* **Comp:** 
 $175k–$250k base \+ equity \+ bonus
* **Impact:** 
 High\-visibility role during a rapid growth phase.</t>
        </is>
      </c>
    </row>
    <row r="26">
      <c r="A26" t="inlineStr">
        <is>
          <t>li-4286307379</t>
        </is>
      </c>
      <c r="B26" t="inlineStr">
        <is>
          <t>Software Engineer - Full-Stack</t>
        </is>
      </c>
      <c r="C26" t="inlineStr">
        <is>
          <t>HappyRobot</t>
        </is>
      </c>
      <c r="D26" t="inlineStr">
        <is>
          <t>linkedin</t>
        </is>
      </c>
      <c r="E26">
        <f>HYPERLINK("https://www.linkedin.com/jobs/view/4286307379", "https://www.linkedin.com/jobs/view/4286307379")</f>
        <v/>
      </c>
      <c r="F26">
        <f>HYPERLINK("https://jobs.ashbyhq.com/happyrobot.ai/cbe3137c-2305-4368-a60e-adce4bd38c3a?src=Linkedin&amp;urlHash=9NSJ", "https://jobs.ashbyhq.com/happyrobot.ai/cbe3137c-2305-4368-a60e-adce4bd38c3a?src=Linkedin&amp;urlHash=9NSJ")</f>
        <v/>
      </c>
      <c r="G26" t="inlineStr">
        <is>
          <t>San Francisco, CA</t>
        </is>
      </c>
      <c r="H26" t="inlineStr"/>
      <c r="I26" t="inlineStr">
        <is>
          <t>**About HappyRobot**
 HappyRobot is the infrastructure for enterprises to build and orchestrate AI workforces. Our AI workers don't just communicate \- they make decisions, take action, and run operations autonomously across voice, email, and enterprise systems. Born in Y Combinator (S23\) and backed by a16z and Base10 with over $60M raised, we power critical operations for global enterprises worldwide.
 Our platform is battle\-tested in the most demanding environments \- where AI has real consequences. We started in logistics, built our own voice stack, models, and orchestration layer from the ground up, and are now bringing that infrastructure to every enterprise that runs the real economy. Learn more about our vision in our manifesto.
**About The Role**
 At
 **HappyRobot** 
 , Full Stack Engineers own meaningful parts of the product and infrastructure end\-to\-end.
 We’re looking for builders who thrive in ambiguity, care deeply about craft, and want real ownership over what they create.
 What We’re Looking For
* Strong generalist — you’re excellent on either the front end or back end, and comfortable working across the stack
* Front\-end expertise with TypeScript and Next.js, including performance, UX, and clean architecture
* Back\-end experience with Go, building reliable, scalable systems
* Product\-minded engineer who understands tradeoffs between speed, quality, and scale.
 What You’ll Do
* Build and own entire sections of the product, including major parts of the web application
* Design, implement, and ship features end\-to\-end — from UI to APIs to infrastructure
* Help optimize and scale our voice AI infrastructure, improving latency, reliability, and cost
* Collaborate closely with founders and teammates to shape product direction
* Ship to production frequently and iterate based on real user feedback
**Why join us?**
* Opportunity to work at a high\-growth AI startup, backed by top investors.
* Rapidly growing and backed by top investors including a16z, Y Combinator, and Base10\.
* Ownership \&amp; Autonomy \- Take full ownership of projects and ship fast.
* Top\-Tier Compensation \- Competitive salary \+ equity in a high\-growth startup.
* Comprehensive Benefits \- Healthcare, dental, vision coverage.
* Work With the Best \- Join a world\-class team of engineers and builders.
**Our Operating Principles**
***Extreme Ownership***
 We take full responsibility for our work, outcomes, and team success. No excuses, no blame\-shifting — if something needs fixing, we own it and make it better. This means stepping up, even when it’s not “your job.” If a ball is dropped, we pick it up. If a customer is unhappy, we fix it. If a process is broken, we redesign it. We don’t wait for someone else to solve it — we lead with accountability and expect the same from those around us.
***Craftsmanship***
 Putting care and intention into every task, striving for excellence, and taking deep ownership of the quality and outcome of your work. Craftsmanship means never settling for “just fine.” We sweat the details because details compound. Whether it’s a product feature, an internal doc, or a sales call — we treat it as a reflection of our standards. We aim to deliver jaw\-dropping customer experiences by being curious, meticulous, and proud of what we build — even when nobody’s watching.
***We are “majos”***
 Be friendly \&amp; have fun with your coworkers. Always be genuine \&amp; honest, but kind. “Majo” is our way of saying: be a good human. Be approachable, helpful, and warm. We’re building something ambitious, and it’s easier (and more fun) when we enjoy the ride together. We give feedback with kindness, challenge each other with respect, and celebrate wins together without ego.
***Urgency with Focus***
 Create the highest impact in the shortest amount of time. Move fast, but in the right direction. We operate with speed because time is our most limited resource. But speed without focus is chaos. We prioritize ruthlessly, act decisively, and stay aligned. We aim for high leverage: the biggest results from the simplest, smartest actions. We’re running a high\-speed marathon — not a sprint with no strategy.
***Talent Density and Meritocracy***
 Hire only people who can raise the average; ‘exceptional performance is the passing grade.’ Ability trumps seniority. We believe the best teams are built on talent density — every hire should raise the bar. We reward contribution, not titles or tenure. We give ownership to those who earn it, and we all hold each other to a high standard. A\-players want to work with other A\-players — that’s how we win.
***First\-Principles Thinking***
 Strip a problem to physics\-level facts, ignore industry dogma, rebuild the solution from scratch. We don’t copy\-paste solutions. We go back to basics, ask why things are the way they are, and rebuild from the ground up if needed. This mindset pushes us to innovate, challenge stale assumptions, and move faster than incumbents. It’s how we build what others think is impossible
*The personal data provided in your application and during the selection process will be processed by Happyrobot, Inc., acting as Data Controller.*
*By sending us your CV, you consent to the processing of your personal data for the purpose of evaluating and selecting you as a candidate for the position. Your personal data will be treated confidentially and will only be used for the recruitment process of the selected job offer.*
*In relation to the period of conservation of your personal data, these will be eliminated after three months of inactivity in compliance with the GDPR and legislation on the protection of personal data.*
*If you wish to exercise your rights of access, rectification, deletion, portability or opposition in relation to your personal data, you can do so through security@happyrobot.ai subject to the GDPR.*
*For more information, visit* 
*https://www.happyrobot.ai/privacy\-policy*
*By submitting your request, you confirm that you have read and understood this clause and that you agree to the processing of your personal data as described.*</t>
        </is>
      </c>
    </row>
    <row r="27">
      <c r="A27" t="inlineStr">
        <is>
          <t>li-4240995934</t>
        </is>
      </c>
      <c r="B27" t="inlineStr">
        <is>
          <t>Software Engineer - Imaging Systems</t>
        </is>
      </c>
      <c r="C27" t="inlineStr">
        <is>
          <t>Verkada</t>
        </is>
      </c>
      <c r="D27" t="inlineStr">
        <is>
          <t>linkedin</t>
        </is>
      </c>
      <c r="E27">
        <f>HYPERLINK("https://www.linkedin.com/jobs/view/4240995934", "https://www.linkedin.com/jobs/view/4240995934")</f>
        <v/>
      </c>
      <c r="F27" t="inlineStr"/>
      <c r="G27" t="inlineStr">
        <is>
          <t>San Mateo, CA</t>
        </is>
      </c>
      <c r="H27" t="inlineStr"/>
      <c r="I27" t="inlineStr">
        <is>
          <t>**Who We Are**
 Verkada is transforming how organizations protect their people and places with an integrated, AI\-powered platform. A leader in cloud physical security, Verkada helps organizations strengthen safety and efficiency through one connected software platform that includes solutions for video security, access control, air quality sensors, alarms, intercoms, and visitor management.
 Over 30,000 organizations worldwide, including more than 100 companies in the Fortune 500, trust Verkada as their physical security layer for easier management, intelligent control, and scalable deployments. Founded in 2016, Verkada has expanded rapidly with 15 offices and 2,200\+ full\-time employees.
**About The Role**
 We’re looking for a software engineer passionate about camera image processing to help deliver best\-in\-class image and video quality. In this role, you’ll develop and optimize imaging pipeline components—such as focus, exposure, white balance, tone mapping, and noise reduction—and work closely with hardware, firmware, and computer vision teams to push the boundaries of camera performance. You’ll evaluate image quality through lab and field testing, provide data\-driven insights, and build features that directly impact the user experience. This is a high\-impact, hands\-on role for someone excited to shape the future of camera systems.
**What You'll Do**
* Develop image processing algorithms across the camera pipeline (e.g., auto\-exposure, white balance, tone mapping) using C\+\+ and Python.
* Design scalable software solutions to support image quality (IQ) tuning, evaluation, and automation.
* Collaborate with hardware, firmware, and computer vision teams to integrate and validate image and video quality end\-to\-end.
* Build robust testing infrastructure and evaluation protocols to ensure consistent IQ performance across camera models and lighting conditions.
* Analyze image and video quality metrics, conduct lab and field testing, and apply data\-driven insights to continuously enhance the visual experience.
**What You Bring**
* BS/MS in Computer Science, Computer Engineering, Computer Vision, or a related field.
* 3\+ years of software development experience, with a strong foundation in systems programming.
* Proficiency in C\+\+.
* Strong problem\-solving skills and a proven ability to learn quickly and work independently.
* Excellent communication and documentation skills; comfortable collaborating across cross\-functional teams.
* Must be willing and able to work onsite five days per week
**Nice to Have**
* Working knowledge of optics, image sensors, ISP algorithms, and tuning parameters.
* Experience evaluating image quality characteristics such as Auto Exposure (AE), Auto Focus (AF), and Auto White Balance (AWB).
* Familiarity with photography lab equipment and hands\-on experience operating camera systems in a lab environment.
* Background in developing on\-device software for IoT systems.
* Prior involvement in ISP tuning for production camera systems.
* Ability to assess image quality both objectively and subjectively—evaluating noise, sharpness, color accuracy, and overall visual performance.
**US Employee Benefits**
 Verkada is committed to fostering a workplace environment that prioritizes the holistic health and wellbeing of our employees and their families by offering comprehensive wellness perks, benefits, and resources. Our benefits and perks programs include, but are not limited to:
* Healthcare programs that can be tailored to meet the personal health and financial well\-being needs \- Premiums are 100% covered for the employee under at least one plan and 80% for family premiums under all plans
* Nationwide medical, vision and dental coverage
* Health Saving Account (HSA) with annual employer contributions and Flexible Spending Account (FSA) with tax saving options
* Expanded mental health support
* Paid parental leave policy \&amp; fertility benefits
* Time off to relax and recharge through our paid holidays, firmwide extended holidays, flexible PTO and personal sick time
* Professional development stipend
* Fertility Stipend
* Wellness/fitness benefits
* Healthy lunches provided daily
* Commuter benefits
**Additional Information**
* We do sponsor and take over sponsorship of employment visas for this role. If we make you an offer, we will make every reasonable effort to get you a visa.
**Annual Pay Range**
 At Verkada, we want to attract and retain the best employees, and compensate them in a way that appropriately and fairly values their individual contribution to the company. With that in mind, we carefully consider a number of factors to determine the appropriate starting pay for an employee, including their primary work location and an assessment of a candidate's skills and experience, as well as market demands and internal parity. A Verkada employee may be eligible for additional forms of compensation, depending on their role, including sales incentives, discretionary bonuses, and/or equity in the company in the form of restricted stock units (RSUs)
 Below is the annual on\-target earnings (OTE) range for full\-time employees for this position, comprised of base compensation and commissions (if applicable).
 Estimated Annual Pay Range
 $130,000—$280,000 USD
**Verkada Is An Equal Opportunity Employer**
 As an equal opportunity employer, Verkada is committed to providing employment opportunities to all individuals. All applicants for positions at Verkada will be treated without regard to race, color, ethnicity, religion, sex, gender, gender identity and expression, sexual orientation, national origin, disability, age, marital status, veteran status, pregnancy, or any other basis prohibited by applicable law.
*Your application will be handled in accordance with our Candidate Privacy Policy.*</t>
        </is>
      </c>
    </row>
    <row r="28">
      <c r="A28" t="inlineStr">
        <is>
          <t>li-4374765766</t>
        </is>
      </c>
      <c r="B28" t="inlineStr">
        <is>
          <t>Founding Full Stack Engineer</t>
        </is>
      </c>
      <c r="C28" t="inlineStr">
        <is>
          <t>Berkley Hunt</t>
        </is>
      </c>
      <c r="D28" t="inlineStr">
        <is>
          <t>linkedin</t>
        </is>
      </c>
      <c r="E28">
        <f>HYPERLINK("https://www.linkedin.com/jobs/view/4374765766", "https://www.linkedin.com/jobs/view/4374765766")</f>
        <v/>
      </c>
      <c r="F28" t="inlineStr"/>
      <c r="G28" t="inlineStr">
        <is>
          <t>Manhattan, NY</t>
        </is>
      </c>
      <c r="H28" t="inlineStr"/>
      <c r="I28" t="inlineStr">
        <is>
          <t>**Founding Fullstack Engineer \| Onsite New York \| VC\-Backed Energy Startup** 
 Berkley Hunt is partnering with a high\-growth, early\-stage startup building critical software for complex, highly regulated infrastructure. They combine deep domain expertise with world\-class engineering, moving at startup speed to deliver tools that professionals rely on every day.
 We are seeking a Founding Fullstack Engineer to own and ship end\-to\-end product features, from API design to frontend interfaces, turning complex workflows into intuitive, production\-grade software. This role is best suited for a hands\-on technical generalist who thrives in a fast\-moving, high\-ownership environment.
**Who You Are:** 
* 3–8 years of fullstack experience building production\-grade web applications
* Expert in TypeScript/React with strong frontend fundamentals and attention to UI/UX
* Solid backend experience: APIs, databases, auth, and scalable architecture
* Product\-minded: you understand business outcomes, user needs, and technical tradeoffs
* Ownership DNA: led projects, made technical decisions, and been accountable for outcomes
* Bonus: experience in regulated industries or designing flows/mockups in Figma
**Responsibilities:** 
* Build user\-facing web applications that simplify complex workflows for professional users
* Own the full stack: design APIs, optimize queries, implement frontend interactions, and debug production issues
* Set technical standards for code quality, design systems, testing, and developer workflows
* Collaborate with domain experts to translate requirements into intuitive, reliable software
* Balance speed and craft: ship fast but maintain high\-quality, maintainable code
* Mentor future engineers as the team scales and define the engineering playbook
**Tech Stack \&amp; Tools:** 
* Frontend: TypeScript, React
* Backend: Node.js, Python, SQL/NoSQL databases, API design
* Product Tools: Figma or equivalent for mockups
* Additional bonus: experience with technical SaaS, regulated industries, or complex workflow automation
**Why This Matters:** 
 The software you build will be used by professionals managing critical, safety\-sensitive infrastructure. Your work directly impacts efficiency, reliability, and safety, helping them execute workflows faster, with confidence, and at scale.
 This is a high\-impact, ownership\-first role at a startup where your decisions shape both the product and the engineering culture.</t>
        </is>
      </c>
    </row>
    <row r="29">
      <c r="A29" t="inlineStr">
        <is>
          <t>li-4379179857</t>
        </is>
      </c>
      <c r="B29" t="inlineStr">
        <is>
          <t>Software Engineer - Full-stack</t>
        </is>
      </c>
      <c r="C29" t="inlineStr">
        <is>
          <t>Promise</t>
        </is>
      </c>
      <c r="D29" t="inlineStr">
        <is>
          <t>linkedin</t>
        </is>
      </c>
      <c r="E29">
        <f>HYPERLINK("https://www.linkedin.com/jobs/view/4379179857", "https://www.linkedin.com/jobs/view/4379179857")</f>
        <v/>
      </c>
      <c r="F29" t="inlineStr"/>
      <c r="G29" t="inlineStr">
        <is>
          <t>San Francisco, CA</t>
        </is>
      </c>
      <c r="H29" t="inlineStr"/>
      <c r="I29" t="inlineStr">
        <is>
          <t>**Company Overview**
 Promise modernizes how government agencies and utilities support people in financial difficulty. We build technology that makes it simple for residents to receive benefits, engage with assistance programs, set up flexible payment plans, and stay on track—while helping agencies increase efficiency, recover revenue, and deliver services with dignity. Our mission is to transform public systems so they work better for everyone, especially the most vulnerable.
 Our team includes experts from companies like Palantir, Google, Stripe , and esteemed government leaders. We work hard and believe deeply in what we do. We're looking for excellent people to build innovative, resilient technology.
 Backed by over $50 million in funding from top investors – such as Reid Hoffman, Howard Schultz, Michael Seibel, Y Combinator, 8VC, The General Partnership, First Round Capital, Kapor Capital, XYZ Ventures, and Bronze Investments – Promise has been recognized as one of Fast Company's "World's Most Innovative Companies of 2022,” “Forbes Next Billion\-Dollar Startups 2024,” and Y Combinator’s \#1 GovTech startup.
**About The Role**
 At Promise, we’re building technology that helps families stay afloat—turning financial stress into stability through flexible, affordable payment solutions. As a Senior Full\-Stack Software Engineer with a frontend focus, you’ll shape the way people directly experience that mission.
 You’ll design and build intuitive, high\-impact web applications that connect individuals facing financial hardship with essential public services. Using modern tools like React, TypeScript, and GraphQL, you’ll craft seamless user journeys powered by robust backend systems.
 This is a hands\-on role for someone who cares deeply about product experience and engineering craft. You’ll move fluidly between frontend architecture and backend integrations, mentor teammates, and help define how we build as we scale. If you love turning complex systems into elegant user experiences — and want your work to matter — this role is for you.
 Why This Role Is Different
 We’re still early enough that your architectural decisions will shape the foundation of our product — but far enough along that your work will immediately impact real users at scale.
 At Promise, your code won’t just render UI. It will reduce stress, increase access, and improve how people interact with critical financial systems.
 If you’re excited about building beautiful, resilient systems that make a tangible difference in people’s lives, we’d love to meet you.
 What You’ll Do
 Build with impact
 Design and deliver scalable, reusable frontend systems and components that power critical financial workflows used by thousands of families each month.
 Craft exceptional experiences
 Collaborate closely with product and design to create intuitive, accessible, and high\-performing web applications that guide users through complex payment and relief flows with clarity and empathy.
 Bridge frontend and backend
 Partner with backend engineers to define and evolve APIs, contribute to service design when needed, and ensure data flows cleanly from distributed systems to user interfaces.
 Architect for scale
 Help shape our frontend architecture, state management patterns, orchestration layers, and shared component libraries as we grow.
 Raise the bar
 Write clean, maintainable, production\-ready code. Identify and resolve performance issues, edge cases, and UX friction points to maintain a high quality bar.
 Lead and mentor
 Support and mentor engineers, contribute to thoughtful code reviews, and help cultivate a culture of ownership, curiosity, and engineering excellence.
 What Will Help You Succeed
**Experience**
 3\+ years building production\-grade software, with significant experience in modern frontend development.
**Frontend Expertise**
 Strong proficiency in React and TypeScript. Experience building complex user flows, managing application state, and integrating APIs at scale.
**Full\-stack Fluency**
 Comfortable working across the stack — contributing to backend services (Node, GraphQL, REST, etc.) when needed to unblock progress and improve end\-to\-end delivery.
**Systems Thinking**
 Ability to translate complex distributed systems into simple, reliable user experiences.
**Product Mindset**
 You care about usability, performance, accessibility, and clarity — not just shipping features.
**Cloud Familiarity**
 Exposure to AWS, GCP, or similar cloud platforms.
**Bonus**
 Experience in fintech, payments, or government technology environments.
**Who Thrives At Promise**
**You’ll love it here if:**
* You are energized by big, complex challenges and the opportunity to solve them.
* You want your work to have a real, measurable impact on people’s lives.
* You take ownership and run toward problems, not away from them.
* You value clear, candid, and constructive communication.
**Promise Is Not For You If**
* You prefer hierarchy and rigid structures. We operate with freedom and responsibility.
* You are uncomfortable with change. We move fast, adapt often, and expect agility.
* You want a typical corporate culture. We are mission\-driven, ambitious, and direct.
* You believe efficiency means “doing less.” We believe efficiency means doing better.
 Promise is an equal opportunity employer and does not discriminate against any applicant or employee because of race, color, religion, sex, sexual orientation, gender identity, national origin, disability, genetic information, age, or military or veteran status. Additionally, the Company complies with applicable state and local laws governing non\-discrimination in employment in every jurisdiction in which it operates. Promise is committed to promoting diversity and inclusion in the workplace. We also provide reasonable accommodations to qualified individuals with disabilities, pregnant individuals, and those with sincerely held religious beliefs, in accordance with applicable laws. To request a reasonable accommodation, please email accommodations@joinpromise.com.
 Promise engages in US government contracts and restricts hiring to US persons, which includes US citizens and permanent residents (e.g., Green Card holders). Additionally, candidates must reside in the US.</t>
        </is>
      </c>
    </row>
    <row r="30">
      <c r="A30" t="inlineStr">
        <is>
          <t>li-4362564937</t>
        </is>
      </c>
      <c r="B30" t="inlineStr">
        <is>
          <t>Software Engineer III, Full Stack, Google Ads</t>
        </is>
      </c>
      <c r="C30" t="inlineStr">
        <is>
          <t>Google</t>
        </is>
      </c>
      <c r="D30" t="inlineStr">
        <is>
          <t>linkedin</t>
        </is>
      </c>
      <c r="E30">
        <f>HYPERLINK("https://www.linkedin.com/jobs/view/4362564937", "https://www.linkedin.com/jobs/view/4362564937")</f>
        <v/>
      </c>
      <c r="F30">
        <f>HYPERLINK("https://careers.google.com/jobs/results/99171459850478278-software-engineer-iii/?src=Online/LinkedIn/linkedin_us&amp;utm_source=linkedin&amp;utm_medium=jobposting&amp;utm_campaign=contract&amp;urlHash=8kbx", "https://careers.google.com/jobs/results/99171459850478278-software-engineer-iii/?src=Online/LinkedIn/linkedin_us&amp;utm_source=linkedin&amp;utm_medium=jobposting&amp;utm_campaign=contract&amp;urlHash=8kbx")</f>
        <v/>
      </c>
      <c r="G30" t="inlineStr">
        <is>
          <t>New York, NY</t>
        </is>
      </c>
      <c r="H30" t="inlineStr"/>
      <c r="I30" t="inlineStr">
        <is>
          <t>Applicants in the County of Los Angeles: Qualified applications with arrest or conviction records will be considered for employment in accordance with the Los Angeles County Fair Chance Ordinance for Employers and the California Fair Chance Act.
 Note: By applying to this position you will have an opportunity to share your preferred working location from the following:
 **Mountain View, CA, USA; Irvine, CA, USA; New York, NY, USA** 
 .
 **Minimum qualifications:**
* Bachelor’s degree or equivalent practical experience.
* 2 years of experience programming in Java or C\+\+.
* 2 years of experience programming in JavaScript or TypeScript.
**Preferred qualifications:**
* Master's degree or PhD in Computer Science or related technical field.
* 2 years of experience with performance, large scale systems data analysis, visualization tools, or debugging.
* 2 years of experience with data structures or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
 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31">
      <c r="A31" t="inlineStr">
        <is>
          <t>li-4379199845</t>
        </is>
      </c>
      <c r="B31" t="inlineStr">
        <is>
          <t>Full Stack Engineer</t>
        </is>
      </c>
      <c r="C31" t="inlineStr">
        <is>
          <t>Crossing Hurdles</t>
        </is>
      </c>
      <c r="D31" t="inlineStr">
        <is>
          <t>linkedin</t>
        </is>
      </c>
      <c r="E31">
        <f>HYPERLINK("https://www.linkedin.com/jobs/view/4379199845", "https://www.linkedin.com/jobs/view/4379199845")</f>
        <v/>
      </c>
      <c r="F31" t="inlineStr"/>
      <c r="G31" t="inlineStr">
        <is>
          <t>California, United States</t>
        </is>
      </c>
      <c r="H31" t="inlineStr"/>
      <c r="I31" t="inlineStr">
        <is>
          <t>**Position:** 
 Software Engineer III
**Type:** 
 Full\-time position
**Compensation:** 
 $80\-$110 per hour
**Location:** 
 Menlo Park, CA, USA
**Commitment:** 
 10–40 hours/week
**Role Responsibilities** 
* Design, build, and maintain scalable web applications using React/TypeScript and Python
* Leverage LLM\-based coding tools such as Cursor, Copilot, and Claude to accelerate development velocity
* Rapidly iterate on new product ideas, going from concept to production in short timeframes
* Build robust APIs and integrate with internal and external systems
* Create interactive dashboards and data visualizations using tools such as Plotly, D3, or Streamlit
* Build AI\-native applications, engineer prompts, and work with LLM APIs
**Requirements** 
* Experience building web applications using React/TypeScript and Python or similar technologies
* Demonstrated experience using LLM\-based coding tools to accelerate development
* Proven ability to rapidly prototype and ship products
* Proficiency in API design, systems integration, and data visualization
* Strong proficiency in Python
* Experience building AI\-native applications, prompt engineering, or working with LLM APIs
* Familiarity with Model Context Protocol or similar agentic frameworks such as LangChain, AutoGen, or CrewAI
* Experience building workforce management, scheduling, or operations platforms
**Application Process (Takes 20 Mins)** 
* Upload resume
* Interview (15 min)
* Submit form</t>
        </is>
      </c>
    </row>
    <row r="32">
      <c r="A32" t="inlineStr">
        <is>
          <t>li-4379283763</t>
        </is>
      </c>
      <c r="B32" t="inlineStr">
        <is>
          <t>Software Engineer</t>
        </is>
      </c>
      <c r="C32" t="inlineStr">
        <is>
          <t>Microsoft</t>
        </is>
      </c>
      <c r="D32" t="inlineStr">
        <is>
          <t>linkedin</t>
        </is>
      </c>
      <c r="E32">
        <f>HYPERLINK("https://www.linkedin.com/jobs/view/4379283763", "https://www.linkedin.com/jobs/view/4379283763")</f>
        <v/>
      </c>
      <c r="F32" t="inlineStr"/>
      <c r="G32" t="inlineStr">
        <is>
          <t>Redmond, WA</t>
        </is>
      </c>
      <c r="H32" t="inlineStr"/>
      <c r="I32" t="inlineStr">
        <is>
          <t>**Overview**
 We are seeking a Software Engineer to join the Employee Self Service Platform Extensibility team. This team is at the forefront of enabling AI\-powered self\-service experiences across HR, IT, Facilities, and other enterprise domains. You will drive the development of extensibility features that empower AI agents to deliver seamless, personalized, and actionable employee support through Microsoft Copilot Studio and BizChat.
**What We Do**
 The Employee Self\-Service (ESS) product is an emerging and cornerstone initiative within Microsoft’s Copilot ecosystem, designed to streamline and personalize employee interactions across HR, IT, and facilities domains. ESS empowers customers to quickly create conversational AI agents that integrates with enterprise systems to deliver accurate, context\-aware responses and automate routine tasks.
**Our Team**
 We are a geo\-distributed team of engineers in Redmond WA and India, with deep development partnerships with the Microsoft Copilot Studio team, Microsoft AI team and Bizchat team. We partner closely with a talented and senior set of Product Managers, Technical Program Managers, designers, and researchers. We’re a new and emerging product. Both the competition and technology are evolving rapidly, and we’re looking for individuals that current on AI technologies, thrive in ambiguity, learns quickly, curious, and capable of solving problems across multiple code stacks.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Coordinates and partners across product teams, develop and support key extensibility features in Microsoft AI products – Microsoft Copilot Studio and Bizchat.
* Collaborates with internal and customer HR, IT, and Facilities stakeholders to understand business needs and translate them into technical solutions.
* Designs and implements extensibility features that allow AI agents to interact with enterprise systems (e.g., HRIS, ITSM, Facilities platforms).
* Learns to review and break down work items into tasks with stakeholder collaboration, provide estimations, and escalate delays, while also supporting feature deployments to customers, considering user and service impacts, and adhering to best deployment practices for safety.
* Collaborates with key stakeholders to define feature requirements, integrates feedback to enhance design, and establishes feedback loops for continuous improvement based on customer metrics.
* Evaluates AI technologies (such as LLMs, SLMs, embeddings) and architectures (such as orchestration patterns, RAG, etc) when developing solutions. Specifies or implements AI platform improvements like fine\-tuning or training custom ML models.
* Learns and applies coding standards and best practices through code reviews, developing maintainable and extensible code with guidance. Utilizes debugging tools to proactively and reactively address issues in product features, ensuring code quality and reliability.
* Ensures compliance with security, privacy, safety, and accessibility standards, leverages developer tools for code creation and debugging, contributes to automation in production and deployment, and proactively seeks knowledge to improve product availability, reliability, efficiency, and performance at scale.
* Understands and applies Microsoft’s responsible AI practices to ensure systems meet our commitments to our customers.
**Qualifications**
**Required Qualifications:**
* Bachelor's Degree in Computer Science, or related technical discipline with proven experience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 Bachelor's Degree in Computer Science or related technical field AND 1\+ years technical engineering experience with coding in languages including, but not limited to, C, C\+\+, C\#, Java, JavaScript, or Python
+ OR Master's Degree in Computer Science or related technical field with proven experience coding in languages including, but not limited to, C, C\+\+, C\#, Java, JavaScript, or Python
+ OR equivalent experience.
* Demonstrated interest in/experience with AI/ML technologies.
 \#DPG \#DPGHiring \#EiP \#IC2SWE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3">
      <c r="A33" t="inlineStr">
        <is>
          <t>li-4378341990</t>
        </is>
      </c>
      <c r="B33" t="inlineStr">
        <is>
          <t>Founding Full Stack Engineer</t>
        </is>
      </c>
      <c r="C33" t="inlineStr">
        <is>
          <t>Berkley Hunt</t>
        </is>
      </c>
      <c r="D33" t="inlineStr">
        <is>
          <t>linkedin</t>
        </is>
      </c>
      <c r="E33">
        <f>HYPERLINK("https://www.linkedin.com/jobs/view/4378341990", "https://www.linkedin.com/jobs/view/4378341990")</f>
        <v/>
      </c>
      <c r="F33" t="inlineStr"/>
      <c r="G33" t="inlineStr"/>
      <c r="H33" t="inlineStr"/>
      <c r="I33" t="inlineStr">
        <is>
          <t>**Founding Full\-Stack Software Engineer \| Onsite \| Web3** 
 Berkley Hunt is partnering with a seed stage startup in the crypto space who is looking for a founding Full\-Stack Engineer to help build the next generation of tools for exploring and interacting with smart contracts. You will be responsible for designing and implementing systems and protocols that make Ethereum the bedrock of decentralized finance.
**What You’ll Do** 
* Write high\-quality and well\-tested code and review teammates’ work
* Architect, build, deploy, and maintain the infrastructure underlying product offerings
* Collaborate with design and product teams to craft first\-class user experiences
* Own product improvements from ideation through launch
* Author or contribute to Ethereum Improvement Proposals
**What We’re Looking For** 
* Based in the US
* 2\+ years of engineering experience at fast\-paced startups
* Extensive experience shipping full\-stack products from start to finish
* Proficiency in TypeScript, JavaScript, Solidity, Go, or Rust
* Supremely curious
* Web3 native
* Excellent oral and written communication skills
**Bonus Skills** 
* Experience with cloud infrastructure, networking, or orchestration (AWS, Docker, ECS, CDK, DynamoDB)
* Extensive knowledge of the Ethereum Virtual Machine (EVM) and Ethereum infrastructure
* Experience writing smart contracts</t>
        </is>
      </c>
    </row>
    <row r="34">
      <c r="A34" t="inlineStr">
        <is>
          <t>li-4379188937</t>
        </is>
      </c>
      <c r="B34" t="inlineStr">
        <is>
          <t>#Product Software Engineer</t>
        </is>
      </c>
      <c r="C34" t="inlineStr">
        <is>
          <t>Qualcomm</t>
        </is>
      </c>
      <c r="D34" t="inlineStr">
        <is>
          <t>linkedin</t>
        </is>
      </c>
      <c r="E34">
        <f>HYPERLINK("https://www.linkedin.com/jobs/view/4379188937", "https://www.linkedin.com/jobs/view/4379188937")</f>
        <v/>
      </c>
      <c r="F34">
        <f>HYPERLINK("https://careers.qualcomm.com/careers/job/446717131134?hl=en-US&amp;utm_source=linkedin&amp;domain=qualcomm.com&amp;source=APPLICANT_SOURCE-6-2&amp;urlHash=VleU", "https://careers.qualcomm.com/careers/job/446717131134?hl=en-US&amp;utm_source=linkedin&amp;domain=qualcomm.com&amp;source=APPLICANT_SOURCE-6-2&amp;urlHash=VleU")</f>
        <v/>
      </c>
      <c r="G34" t="inlineStr">
        <is>
          <t>San Diego, CA</t>
        </is>
      </c>
      <c r="H34" t="inlineStr"/>
      <c r="I34" t="inlineStr">
        <is>
          <t>**Company**
 Qualcomm Innovation Center, Inc.
**Job Area**
 Engineering Group, Engineering Group \&gt; Software Engineering
**General Summary**
* This position is not eligible for Qualcomm immigration sponsorship. \*\*
 As a leading technology innovator, Qualcomm pushes the boundaries of what's possible to enable next\-generation experiences and drives digital transformation to help create a smarter, connected future for all. As a Qualcomm Software Engineer, you will design, develop, create, modify, and validate embedded and cloud edge software, applications, and/or specialized utility programs that launch cutting\-edge, world class products that meet and exceed customer needs. Qualcomm Software Engineers collaborate with systems, hardware, architecture, test engineers, and other teams to design system\-level software solutions and obtain information on performance requirements and interfaces.
**Minimum Qualifications**
* Bachelor's degree in Engineering, Information Systems, Computer Science, or related field.
**Roles And Responsibilities**
* Strong C/C\+\+ programming skills, with an emphasis on secure programming best practices.
* Strong understanding of embedded hardware \&amp; driver concepts.
* Strong understanding of software and computer architecture concepts.
* Strong understanding of operating system concepts such as tasks, signals, timers, priorities, deadlocks, stacks, memory management, etc.
* Ability to understand and ramp up quickly on technology to serve the need.
* Good expertise and experience on product security for embedded devices like Crypto/TZ/Secure communication/DRM/Virtualization etc. will be an add\-on.
**In Addition To The Above, We Expect**
* Strong verbal and written communication skills to convey routine factual information.
* Being a team player who can function well with minimum supervision
* Attention to detail and follow\-through
**Level Of Responsibility**
* Works under supervision.
* Decision\-making affects direct area of work and/or work group.
* Tasks require multiple steps which can be performed in various orders; planning, problem\-solving, and prioritization must occur to complete the tasks effectively.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$94,200\.00 \- $141,200\.00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35">
      <c r="A35" t="inlineStr">
        <is>
          <t>li-4370342510</t>
        </is>
      </c>
      <c r="B35" t="inlineStr">
        <is>
          <t>Senior Software Engineer</t>
        </is>
      </c>
      <c r="C35" t="inlineStr">
        <is>
          <t>Berkley Hunt</t>
        </is>
      </c>
      <c r="D35" t="inlineStr">
        <is>
          <t>linkedin</t>
        </is>
      </c>
      <c r="E35">
        <f>HYPERLINK("https://www.linkedin.com/jobs/view/4370342510", "https://www.linkedin.com/jobs/view/4370342510")</f>
        <v/>
      </c>
      <c r="F35" t="inlineStr"/>
      <c r="G35" t="inlineStr"/>
      <c r="H35" t="inlineStr"/>
      <c r="I35" t="inlineStr">
        <is>
          <t>**Senior Software Engineer \| Hybrid \| Fintech** 
 A fast growing VC\-backed Series A, this team is building foundational financial infrastructure that allows value to move seamlessly across both digital and traditional assets. The focus is on turning complex, crypto\-native systems into dependable, real\-world financial tools through highly scalable backend technology. Engineering is globally distributed, with close collaboration across regions.
**The Role** 
 You’ll join as a Senior Backend Engineer responsible for designing and operating the systems that underpin payments, transfers, and asset movement. The role involves deep ownership of backend services, performance, and security, with meaningful input into architectural decisions.
 Key Responsibilities:
* Build and scale backend services and APIs for high\-throughput financial systems
* Design secure, reliable, cloud\-based infrastructure (Azure environment)
* Improve system performance, observability, and resilience
* Write clean, well\-tested production code and contribute to technical standards
* Collaborate across engineering and product teams in a distributed setup
* Develop crypto\-aware backend systems that support modern payment flows
 What You Bring:
* 5\+ years of backend engineering experience in production environments
* High\-level of expertise with Web3
* Strong experience with languages such as Go, Java, Scala, or C\#
* Solid understanding of distributed systems, API design, and microservices
* Security\-conscious mindset (authentication, authorization, encryption, API protection)
* Familiarity with blockchain concepts and crypto infrastructure
* Experience with cloud platforms and CI/CD workflows
* Clear communicator who works well across time zones</t>
        </is>
      </c>
    </row>
    <row r="36">
      <c r="A36" t="inlineStr">
        <is>
          <t>li-4379412059</t>
        </is>
      </c>
      <c r="B36" t="inlineStr">
        <is>
          <t>#Senior Software Engineer</t>
        </is>
      </c>
      <c r="C36" t="inlineStr">
        <is>
          <t>Qualcomm</t>
        </is>
      </c>
      <c r="D36" t="inlineStr">
        <is>
          <t>linkedin</t>
        </is>
      </c>
      <c r="E36">
        <f>HYPERLINK("https://www.linkedin.com/jobs/view/4379412059", "https://www.linkedin.com/jobs/view/4379412059")</f>
        <v/>
      </c>
      <c r="F36">
        <f>HYPERLINK("https://careers.qualcomm.com/careers/job/446717131731?hl=en-US&amp;utm_source=linkedin&amp;domain=qualcomm.com&amp;source=APPLICANT_SOURCE-6-2&amp;urlHash=gfmc", "https://careers.qualcomm.com/careers/job/446717131731?hl=en-US&amp;utm_source=linkedin&amp;domain=qualcomm.com&amp;source=APPLICANT_SOURCE-6-2&amp;urlHash=gfmc")</f>
        <v/>
      </c>
      <c r="G36" t="inlineStr">
        <is>
          <t>San Diego, CA</t>
        </is>
      </c>
      <c r="H36" t="inlineStr"/>
      <c r="I36" t="inlineStr">
        <is>
          <t>****Company:****
 Qualcomm Technologies, Inc.
****Job Area:****
 Engineering Group, Engineering Group \&gt; Software Engineering
****General Summary:****
* This position is not eligible for Qualcomm immigration sponsorship. \*\*
 As a leading technology innovator, Qualcomm pushes the boundaries of what's possible to enable next\-generation experiences and drives digital transformation to help create a smarter, connected future for all. Qualcomm Security Engineers perform security assessments, develop company products, and collaborate across functions to ensure performance metrics and product requirements are met.
****General Summary:****
**As a Senior Software Engineer, you will contribute to the design, development, and optimization and commercialization of software solutions for Qualcomm’s next\-generation data center platforms. You will collaborate closely with cross\-functional teams and lead a team of Engineers and contribute to the advancement of critical technologies such as virtualization, memory management, scheduler and Linux Kernel.**
****Key Responsibilities:****
* Develop and enhance features in the Linux Kernel, particularly in areas such as virtualization (KVM), scheduling, and memory management (IOMMU).
* Optimize power and performance management technologies like DVFS for next\-generation ARM\-based systems.
* Collaborate with cross\-disciplinary teams to ensure the successful delivery of high\-performance, scalable software solutions.
* Debug and resolve complex software issues using tools like JTAG debuggers.
* Contribute to upstream open\-source projects, including the Linux Kernel, as part of Qualcomm’s commitment to the open\-source community.
* Drive improvements in system software for ARMv8 and ARMv9 based platforms.
* Analyze system requirements, understand and propose corresponding system architecture. Create and maintain technical documentation for system architecture, requirements, and development processes.
* Pre\-Silicon Development on the FPGA based platform and QEMU.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****Preferred Qualifications:****
* Master’s degree in Computer Science, Engineering, or a related field, with 3\+ years of software development experience, or equivalent.
* Strong experience in Linux Kernel development, especially in areas such as virtualization (KVM), schedulers, and memory management and device trees.
* Solid knowledge of ARMv8 and ARMv9 architecture and its extensions is plus.
* Solid understanding of computer system architecture (core, cache, memory models, bus architecture, etc.). Experience in Board and SOC bringup, Device drivers, peripheral buses (SPI, I2C, USB), Memory controllers for DDR
* Familiarity with tools like SCM tools (e.g., GIT) and debugging technologies like JTAG debuggers.
* Prior contributions to open\-source projects (e.g., Linux Kernel).
* Strong debugging skills and practical experience with ARM based platforms.
* Proficiency in using tools and frameworks for system and software performance management.
* Hands\-on experience with software development methodologies for Embedded Systems.
****Principal Duties And Responsibilities:****
* Leverages expert Security knowledge and experience to achieve highly critical engineering business objectives.
* Develops highly critical new hardware and software security features and updates features into existing products; leads team to ensure security of all products is maintained throughout the product lifecycle.
* Serves as a technical expert for performing highly advanced security assessments and evaluation of company products, including vulnerability and risk assessments, threat analysis, and security code reviews to identify potential design and implementation vulnerabilities.
* Develops highly critical security architectures and designs for products and sub\-systems and leads cross\-organizational teams to adopt and implement them.
* Identifies and drives remediation for security risks and vulnerabilities, responds to product security incidents, and collaborates with high\-level customers and stakeholders regarding product security related issues.
* Serves as a technical expert for the development and deployment of highly critical processes, trainings, and tools that result in secure product development.
****Level Of Responsibility:****
* Provides supervision to direct reports.
* Decision\-making is significant in nature and affects work beyond immediate work group.
* Requires verbal and written communication skills to convey complex information. May require negotiation, influence, tact, etc.
* Has a great degree of influence over key organizational decisions.
* Tasks often require multiple steps which can be performed in various orders; extensive planning, problem\-solving, and prioritization must occur to complete the tasks effectively.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
 $111,300\.00 \- $166,900\.00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37">
      <c r="A37" t="inlineStr">
        <is>
          <t>li-4362633122</t>
        </is>
      </c>
      <c r="B37" t="inlineStr">
        <is>
          <t>Software Engineer III, Full Stack, Google Ads</t>
        </is>
      </c>
      <c r="C37" t="inlineStr">
        <is>
          <t>Google</t>
        </is>
      </c>
      <c r="D37" t="inlineStr">
        <is>
          <t>linkedin</t>
        </is>
      </c>
      <c r="E37">
        <f>HYPERLINK("https://www.linkedin.com/jobs/view/4362633122", "https://www.linkedin.com/jobs/view/4362633122")</f>
        <v/>
      </c>
      <c r="F37" t="inlineStr"/>
      <c r="G37" t="inlineStr">
        <is>
          <t>Mountain View, CA</t>
        </is>
      </c>
      <c r="H37" t="inlineStr"/>
      <c r="I37" t="inlineStr">
        <is>
          <t>Applicants in the County of Los Angeles: Qualified applications with arrest or conviction records will be considered for employment in accordance with the Los Angeles County Fair Chance Ordinance for Employers and the California Fair Chance Act.
 Note: By applying to this position you will have an opportunity to share your preferred working location from the following:
 **Mountain View, CA, USA; Irvine, CA, USA; New York, NY, USA** 
 .
 **Minimum qualifications:**
* Bachelor’s degree or equivalent practical experience.
* 2 years of experience programming in Java or C\+\+.
* 2 years of experience programming in JavaScript or TypeScript.
**Preferred qualifications:**
* Master's degree or PhD in Computer Science or related technical field.
* 2 years of experience with performance, large scale systems data analysis, visualization tools, or debugging.
* 2 years of experience with data structures or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
 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38">
      <c r="A38" t="inlineStr">
        <is>
          <t>li-4258793195</t>
        </is>
      </c>
      <c r="B38" t="inlineStr">
        <is>
          <t>Software Engineer</t>
        </is>
      </c>
      <c r="C38" t="inlineStr">
        <is>
          <t>WalkMe</t>
        </is>
      </c>
      <c r="D38" t="inlineStr">
        <is>
          <t>linkedin</t>
        </is>
      </c>
      <c r="E38">
        <f>HYPERLINK("https://www.linkedin.com/jobs/view/4258793195", "https://www.linkedin.com/jobs/view/4258793195")</f>
        <v/>
      </c>
      <c r="F38" t="inlineStr"/>
      <c r="G38" t="inlineStr">
        <is>
          <t>New York, NY</t>
        </is>
      </c>
      <c r="H38" t="inlineStr"/>
      <c r="I38" t="inlineStr">
        <is>
          <t>WalkMe, an SAP company, pioneered the Digital Adoption Platform (DAP) to enable business leaders to fully harness technology in today's complex digital landscape. By leveraging WalkMe's features—guidance, engagement, insights, and automation—employees boost efficiency, executives gain greater visibility into digital usage, and organizations maximize their digital assets, driving successful digital transformation.
 Together, SAP and WalkMe form a powerful partnership that revolutionizes the digital transformation journey. This collaboration allows businesses to unlock the full potential of SAP's robust ERP solutions while seamlessly enhancing user experience and productivity with WalkMe's intuitive digital adoption platform.
 WalkMe is looking for a
 **Software Engineer** 
 who is passionate about web and product, eager to solve complex problems and dreams of working with the BEST team.
 We are developing WalkMe’s revolutionary runtime engine and transforming the online experience for hundreds of millions of users. Our proprietary AI\-based technology is bringing the world’s leading digital adoption platform to the next level by understanding and interacting in real time with graphical user interfaces at a human level.
 As part of the DeepUI Player unit, you will be a part of the engineering group who are in charge of one of WalkMe's most progressive products.
 We are looking for people who are passionate about leading technology to the extreme. If you are passionate about developing an innovative product, making an impact, and strive to work with the industry’s brightest talent as part of one of the fastest\-growing and successful startups around – WalkMe is where you want to be!
**As this role will support our Federal business, US Citizenship is required.**
**Hybrid role \- 3 days a week in our SAP NYC office**
**What You'll Own**
* Developing features to enhance the user experience.
* Responsible for researching the latest programming techniques and web technologies.
* Deep debugging using debugging tools such as Chrome inspector.
* Testing new features for bugs or defects to ensure that they work properly.
* Optimizing web pages for maximum speed and scalability.
* Utilizing a variety of markup languages to write web pages.
* Troubleshooting and investigating complex issues in customers’ environments.
* Managing projects and tasks for multiple clients simultaneously
* Assist the team in achieving the project goals and meeting the project’s schedule.
**What You Need To Succeed**
* Eager to solve complex UI/Code problems.
* Bachelor’s degree in Computer Science.
* At least 2 years of experience with Web technologies.
* Proficient in Vanilla Javascript, Typescript, Node.js.
* Experience in JavaScript architecture.
* Experience with CI\\CD methodology.
**What Sets Us Apart**
* At WalkMe, we are dedicated to building a workforce that reflects the diversity of our global community and clients we serve through inclusive programs and initiatives including equal pay, employee resource groups, holistic benefits and more. We are committed to fostering an inclusive culture which celebrates the unique experiences and perspectives each Team Member brings to the workplace.
* Hybrid Work Arrangement: We offer a hybrid work schedule to perfectly combine the benefits of remote work and the essential connections and collaborations of onsite work.
* Supportive Culture: We focus on the whole person, celebrating what makes us unique, and create space for community.
* Professional Development: We encourage continuous learning and offer opportunities for career development through our career compass offering.
* Stay healthy and happy with Wellness@WalkMe! Enjoy quarterly wellness reimbursements, daily BrightBreaks to recharge, and WalkMe’s annual Wellness Month every July—because your well\-being matters all year long.
* WalkMe provides health coverage options, where applicable, to ensure employees have access to essential medical benefits. Our offerings are designed to support the well\-being and diverse needs of our global workforce.
* WalkMe offers a generous annual leave policy tailored to meet regional standards, ensuring all employees enjoy sufficient time off to rest and recharge.
* WalkMe offers RefreshMe Days throughout the year to further strengthen our commitment to work/life balance.
* Robust Retirement Contributions: Ask HR about the specific offerings for your region!
* SAP's acquisition of WalkMe highlights a commitment to enhancing user experience and streamlining software interactions, offering opportunities to work with cutting\-edge technology that drives efficiency and innovation in the workplace.
 Our job titles may span more than one career level. The base salary for this position is between $80,000\-$117,000\. The actual base pay is dependent upon many factors, such as: location, training, transferable skills, work experience, business needs and market demands. The base pay range is subject to change and may be modified in the future. This role may also be eligible for bonus and benefits as part of our competitive total rewards package.
 At WalkMe, we approach Diversity, Equity and Inclusion (DEI) with the same level of collaboration, innovation and accountability that we bring to the rest of our business. We believe in the value of diversity and are committed to ensuring an equitable and inclusive workplace where every employee has an equal opportunity to achieve success.
*WalkMe does not discriminate. If a candidate requires a reasonable accommodation to complete a job application, pre\-employment testing, or a job interview or to otherwise participate in the hiring process, please contact your Talent Acquisition partner immediately.*
**TO ALL RECRUITMENT AGENCIES:** 
 WalkMe does not accept agency resumes. Please do not forward resumes to WalkMe employees or any other company location. WalkMe is not responsible for any fees related to unsolicited resumes and will not pay fees to any third\-party agency or company that does not have a signed agreement with the Company for this specific role.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39">
      <c r="A39" t="inlineStr">
        <is>
          <t>li-4379408484</t>
        </is>
      </c>
      <c r="B39" t="inlineStr">
        <is>
          <t>Backend Software Engineer / Developer</t>
        </is>
      </c>
      <c r="C39" t="inlineStr">
        <is>
          <t>Bright Vision Technologies</t>
        </is>
      </c>
      <c r="D39" t="inlineStr">
        <is>
          <t>linkedin</t>
        </is>
      </c>
      <c r="E39">
        <f>HYPERLINK("https://www.linkedin.com/jobs/view/4379408484", "https://www.linkedin.com/jobs/view/4379408484")</f>
        <v/>
      </c>
      <c r="F39" t="inlineStr"/>
      <c r="G39" t="inlineStr">
        <is>
          <t>San Antonio, TX</t>
        </is>
      </c>
      <c r="H39" t="inlineStr"/>
      <c r="I39" t="inlineStr">
        <is>
          <t>Bright Vision Technologies is a forward\-thinking software development company dedicated to building innovative solutions that help businesses automate and optimize their operations.
 We leverage cutting\-edge technologies to create scalable, secure, and high\-performance backend systems. As we continue to grow, we’re looking for a skilled
 **Backend Software Engineer / Developer**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Backend Software Engineer / Developer
**Job Location:** 
 Bridgewater, New Jersey – 08807
**Onsite/Hybrid:** 
 Remote
**FULL\-TIME ROLE WITH BRIGHT VISION**
**Environment**
**Job Description:**
 Java / Python, Spring Boot, Django / Flask, RESTful APIs, JSON, Microservices Architecture, SQL (PostgreSQL, MySQL), NoSQL (MongoDB), Kafka, Redis, Docker, Kubernetes, AWS/Azure, Git, CI/CD pipelines, Linux, Agile methodologies, Unit Testing (JUnit, PyTest)
**BUT STRICTLY NO C2C/1099/3RD PARTY COMPANIES. ALL OUR ROLES ARE W2 AND NO 3RD PARTY BROKERING PLEASE.**
 For every role, a
 **coding test is required** 
 , so apply only if you are
 **confident and technically strong** 
 .
 We prefer
 **at least 3 to 5 years real time experience** 
 .
 If you are a
 **Backend Software Engineer / Developer** 
 with the above skills and are looking for an
 **H\-1 B sponsorship** 
 this year, please send your resume immediately to
 **Jaya@bvteck.com** 
 .
 We are committed to providing equal employment opportunities and fostering an inclusive work environment. We encourage applications from all qualified individuals regardless of race, ethnicity, religion, gender identity, sexual orientation, age, disability, or any other protected status. If you require accommodations during the recruitment process, please let us know.
**Position offered by “No Fee agency.”**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40">
      <c r="A40" t="inlineStr">
        <is>
          <t>li-4363393146</t>
        </is>
      </c>
      <c r="B40" t="inlineStr">
        <is>
          <t>Software Engineer III, Google Ads</t>
        </is>
      </c>
      <c r="C40" t="inlineStr">
        <is>
          <t>Google</t>
        </is>
      </c>
      <c r="D40" t="inlineStr">
        <is>
          <t>linkedin</t>
        </is>
      </c>
      <c r="E40">
        <f>HYPERLINK("https://www.linkedin.com/jobs/view/4363393146", "https://www.linkedin.com/jobs/view/4363393146")</f>
        <v/>
      </c>
      <c r="F40" t="inlineStr"/>
      <c r="G40" t="inlineStr">
        <is>
          <t>Mountain View, CA</t>
        </is>
      </c>
      <c r="H40" t="inlineStr"/>
      <c r="I40" t="inlineStr">
        <is>
          <t>Applicants in the County of Los Angeles: Qualified applications with arrest or conviction records will be considered for employment in accordance with the Los Angeles County Fair Chance Ordinance for Employers and the California Fair Chance Act.
 Note: By applying to this position you will have an opportunity to share your preferred working location from the following:
 **Mountain View, CA, USA; Los Angeles, CA, USA; New York, NY, USA** 
 .
 **Minimum qualifications:**
* Bachelor’s degree or equivalent practical experience.
* 2 years of experience programming in C\+\+.
**Preferred qualifications:**
* Master's degree or PhD in Computer Science or related technical field.
* 2 years of experience with performance, large scale systems data analysis, visualization tools, or debugging.
* 2 years of experience with data structures or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Google Ads Mission is “Powering the open and free internet with the best technology that connects users and businesses everywhere.” Google Ads operates across several countries and is composed of the following engineering teams: Search Ads, Display, Video Ads and Apps (AViD), YouTube Ads, Analytics, Insights and Measurements (AIM), Ads Privacy and Safety (APaS), Commerce, Travel and Customer Engagement, and two Departments: Reach UX and Ads Engineering Productivity.
 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Design, develop, test, deploy, maintain, and improve software.
* Manage individual project priorities, deadlines, and deliverables.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41">
      <c r="A41" t="inlineStr">
        <is>
          <t>li-4370447211</t>
        </is>
      </c>
      <c r="B41" t="inlineStr">
        <is>
          <t>Software Engineer III, Infrastructure, Search</t>
        </is>
      </c>
      <c r="C41" t="inlineStr">
        <is>
          <t>Google</t>
        </is>
      </c>
      <c r="D41" t="inlineStr">
        <is>
          <t>linkedin</t>
        </is>
      </c>
      <c r="E41">
        <f>HYPERLINK("https://www.linkedin.com/jobs/view/4370447211", "https://www.linkedin.com/jobs/view/4370447211")</f>
        <v/>
      </c>
      <c r="F41" t="inlineStr"/>
      <c r="G41" t="inlineStr">
        <is>
          <t>Mountain View, CA</t>
        </is>
      </c>
      <c r="H41" t="inlineStr"/>
      <c r="I41" t="inlineStr">
        <is>
          <t>**Minimum qualifications:**
* Bachelor’s degree or equivalent practical experience.
* 2 years of experience programming in C\+\+.
* 2 years of experience with developing large\-scale infrastructure, distributed systems or networks, or experience with compute technologies, storage or hardware architecture.
**Preferred qualifications:**
* Master's degree or PhD in Computer Science or related technical fields.
* 2 years of experience with performance, large\-scale systems data analysis, visualization tools, or debugging.
* 2 years of experience with data structures and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manage information at a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solutions.In Google Search, we're reimagining what it means to search for information – any way and anywhere. To do that, we need to solve engineering issues and expand our infrastructure, while maintaining a universally accessible and useful experience that people around the world rely on. In joining the Search team, you'll have an opportunity to make an impact on billions of people globally.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42">
      <c r="A42" t="inlineStr">
        <is>
          <t>li-4360876125</t>
        </is>
      </c>
      <c r="B42" t="inlineStr">
        <is>
          <t>Senior Software Engineer (Remote)</t>
        </is>
      </c>
      <c r="C42" t="inlineStr">
        <is>
          <t>GiveDirectly</t>
        </is>
      </c>
      <c r="D42" t="inlineStr">
        <is>
          <t>linkedin</t>
        </is>
      </c>
      <c r="E42">
        <f>HYPERLINK("https://www.linkedin.com/jobs/view/4360876125", "https://www.linkedin.com/jobs/view/4360876125")</f>
        <v/>
      </c>
      <c r="F42">
        <f>HYPERLINK("https://job-boards.greenhouse.io/givedirectly/jobs/4558349005?gh_src=oIcbvw&amp;urlHash=RrvY", "https://job-boards.greenhouse.io/givedirectly/jobs/4558349005?gh_src=oIcbvw&amp;urlHash=RrvY")</f>
        <v/>
      </c>
      <c r="G42" t="inlineStr">
        <is>
          <t>New York, United States</t>
        </is>
      </c>
      <c r="H42" t="inlineStr"/>
      <c r="I42" t="inlineStr">
        <is>
          <t>GiveDirectly (GD) aims to reshape international giving – and millions of lives – by providing cash grants directly to the world’s poorest. The Brookings Institution estimates that $70B of cash transfers would be required to eliminate the poverty gap; the aid sector currently spends $135B each year, much of it on evidence\-free interventions. GiveDirectly wants to change that, establishing cash transfers as a benchmark for foreign aid – as the index fund is a benchmark for the financial industry – and in the process accelerating the end of extreme poverty.
 GD has raised over $1B since launching in 2011 and delivered cash to more than 2 million people in 15 different countries. We’ve also supported large\-scale, experimental research that indicates strong recipient impact of our programs. As a result, GD has been celebrated as one of the most innovative non\-profit companies by Fast Company, while the growing cash transfer movement (and GD’s leading role within it) have been featured in the New York Times Magazine, This American Life, Foreign Affairs, and The Economist.
 Our culture is candid, analytical, agile, and non\-hierarchical. Our global team of \~150, and country operations teams of \~650, span 21 different countries and 69 languages. From software engineers to seasoned humanitarian workers, management consultants to public servants, researchers to field operations \-\- it’s an incredible group of people.
 Our values are central and deliberately opinionated. We genuinely center the people we serve in our decision\-making, and strive to build an ambitious, dynamic and high\-performing environment. We strongly encourage you to read through our values carefully, if they reflect how you like to work and energize you, this could be a great fit.
 We work hard to create an environment in which all our team members can thrive, succeed, and grow. We support high ownership, flexibility, take care of each other, have fun, and create professional growth opportunities.
**Location:** 
***This role is fully remote but must be available to meet with East Africa timezone by at least 2 hours a couple of times a week.***
*We are unable to sponsor or take over sponsorship of employment Visas in the U.S. or U.K. at this time.*
**About This Role**
 Technology plays a central role in how GiveDirectly delivers cash—whether that’s identifying recipients in hard\-to\-reach places, sending payments quickly after disasters, or powering the platforms our donors use to give.
 We’re Hiring a Senior Software Engineer To Help Build The Systems Behind This Work. Our Engineering Team Still Operates Like a Startup Within GiveDirectly—lean, Fast\-moving, And High\-autonomy. You’ll Lean Into Product Thinking, Help Shape The Roadmap, And Collaborate Closely Across Disciplines To Solve Real\-world Problems. The Specific Team You’ll Join Is Still Being Finalized—it Could Be
* Our Programs Engineering team (getting cash in the hands of people experiencing extreme poverty),
* Our Fundraising Engineering team (raising more money for recipients), or
* Our International Rapid Response team (getting cash to disaster\-affected communities within 5 days of a crisis—anywhere in the world)
 No matter the team, you’ll play a central role in scaling our impact: getting more money, to more people, more efficiently.
 This is a hands\-on role with real ownership. You’ll help shape architecture, ship production\-ready code, and work side\-by\-side with teammates across product, data, and operations. We’re looking for someone excited to wear multiple hats, move quickly, and define what great engineering looks like in a mission\-driven org
**Level: Senior Software Engineer**
**Travel Requirement:** 
 Must be able to travel \~1\-2 times per year to one of our countries of operation for team retreats or field visits.
**What You’ll Do**
* Design and build scalable, reliable systems that power our core operations—whether that’s donor platforms, systems that deliver payments directly to recipients, or crisis response tools reaching hundreds of thousands of people globally.
* Own end\-to\-end development of new features and services, from architecture through deployment and monitoring.
* Improve our developer workflows by strengthening CI/CD pipelines, reducing manual steps, and increasing test coverage.
* Collaborate with cross\-functional teams (product, ops, data) to understand real\-world needs and ship tools that directly support program delivery in the field.
* Debug and resolve production issues across our stack, with a focus on root cause analysis and long\-term fixes.
* Advocate for sustainable engineering practices, including testing, documentation, and monitoring
* Help shape our tech roadmap with an eye toward scale, maintainability, and recipient experience
**What You’ll Bring**
* Exceptional alignment with GiveDirectly Values and active demonstration of our core competencies: emotional intelligence, problem solving, project management, follow\-through, and fostering inclusivity. We welcome and strongly encourage applications from candidates who have personal or professional experience in the low\-income and/or historically marginalized communities that we serve.
* Language Requirement: English
* 4\+ years of industry experience creating production\-caliber software and systems
* Experience with backend architecture: databases, cloud services, APIs
* Experience building infrastructure to deploy software
* Experience with strongly\-typed, object\-oriented programming such as Java, C\#, Go, etc. and scripting languages such as Python, Ruby, etc.
* High degree of ownership and autonomy \- you proactively advocate for ways to improve systems and constantly leave our codebase in a better state than you found it
* Strong analytical skills and communication \- able to break down complex problems, describe technical trade\-offs, and collaborate with cross\-functional partners (e.g. technical program managers, product managers)
* Bonus: Experience using Python and AWS in a production environment
* Bonus: experience with payments/financial software and/or experience with microservice/serverless architecture
**Compensation**
 At GiveDirectly, we strive to pay our employees generously and equitably. We use an accredited third party salary aggregator to calculate what we believe to be competitive pay based on role, location, and cost of living. We also have a no negotiation policy to ensure we are paying staff equitably across roles. Read more about our compensation philosophy
 **here** 
 .
 Unless otherwise noted, the benefits stipend may be used to cover benefits or taken as additional taxable income.
**United States**
* Base Salary: $157,500
* Bonus at Target Performance: 15% (\~$23,625, with potential for upside. For reference, with the organization’s current performance multiplier, this amount would be $27,641 in 2025\)
* Estimated Total Compensation at Target: $181,125\+
* Annual Benefits Stipend: $21,393
**United Kingdom**
* Base Salary: £108,150
* Bonus at Target Performance: 15% (\~£16,223, with potential for upside. For reference, with the organization’s current performance multiplier, this amount would be £18,981 in 2025\)
* Estimated Total Compensation at Target: £124,373\+
* Annual Benefits Stipend: £2,760
**Kenya**
* Base Salary: $91,500
* Bonus at Target Performance: 15% (\~$13,725, with potential for upside. For reference, with the organization’s current performance multiplier, this amount would be $16,063 in 2025\)
* Estimated Total Compensation at Target: $105,225\+
* Annual Benefits Stipend: $8,453
 This role is fully remote, so if you are not based in the US, UK or Kenya, we will share an estimated salary benchmark for the country you are based in during the hiring process.
**Why work at GiveDirectly?**
**Role**
 At GiveDirectly, we work to ensure that you have everything you need to excel in your role and on your team, including:
* A positive and supportive team with opportunities for advancement
* A demonstrated commitment to helping all staff develop and grow
* A competitive salary, including bonus
* A robust health benefits plan (exact details will vary by country)
* Unlimited PTO (that we encourage staff to take!)
* Desk allowance and flexible work location
**About This Specific Hiring Process**
* Take\-home coding assignment
* Live Coding (60 mins)
* Systems Design (60 mins)
* Project Deep Dive \+ Behavioral (60 mins)
* It’s possible that there will be adjustments to this interview process. Any changes will be communicated to you during the process.
**Working at GiveDirectly**
 GiveDirectly is an Equal Opportunity Employer. All qualified applicants are considered for employment without regard to the person’s race, color, religion, national origin, sex, sexual orientation, age, marital status, veteran status, disability, or any other characteristic protected by applicable law.
*Flagging for US applicants:* 
 We invite you to "Know Your Rights" as an applicant.
**Commitment to Safeguarding**
 As a global organization working with communities to eliminate extreme poverty, GiveDirectly takes the safeguarding of its recipients, staff, and partners seriously. To that end, GiveDirectly is a member of the Misconduct Disclosure Scheme, and will systematically check with previous employers about any abuse or misconduct related matters involving potential new hires. We may also employ other robust pre\-hire screens, including in\-depth reference checks, criminal background checks, and sanctions screens.
 These efforts help us continue to build and maintain trust with the communities we work with, and prevent abuse to our recipients and staff.
 \*\*GD is committed to observing all local, national and international laws that protect people and basic human rights of all. GD is committed to a policy of “zero tolerance when it comes to preventing, reporting, or responding to any form of abuse or exploitation.” and expects anyone who works for GD to uphold the protection and safeguarding of our recipients as a priority.\*\*
**Reasonable Accommodations**
 We are committed to fostering an inclusive and accessible work environment. If you require any accommodations during the application or interview process, or to perform the essential functions of the role, please email us at careers@givedirectly.org with the email subject “Accommodation Needed”. We will work with you to ensure reasonable accommodations are made to support your needs.
**Want to put your best foot forward on your GiveDirectly application?** 
 Take a look at our Candidate Application Prep Guide!</t>
        </is>
      </c>
    </row>
    <row r="43">
      <c r="A43" t="inlineStr">
        <is>
          <t>li-4379277914</t>
        </is>
      </c>
      <c r="B43" t="inlineStr">
        <is>
          <t>Software Engineer II</t>
        </is>
      </c>
      <c r="C43" t="inlineStr">
        <is>
          <t>Microsoft</t>
        </is>
      </c>
      <c r="D43" t="inlineStr">
        <is>
          <t>linkedin</t>
        </is>
      </c>
      <c r="E43">
        <f>HYPERLINK("https://www.linkedin.com/jobs/view/4379277914", "https://www.linkedin.com/jobs/view/4379277914")</f>
        <v/>
      </c>
      <c r="F43">
        <f>HYPERLINK("https://apply.careers.microsoft.com/careers/job/1970393556643099?utm_source=linkedin&amp;domain=microsoft.com&amp;src=LinkedIn&amp;urlHash=QKfH", "https://apply.careers.microsoft.com/careers/job/1970393556643099?utm_source=linkedin&amp;domain=microsoft.com&amp;src=LinkedIn&amp;urlHash=QKfH")</f>
        <v/>
      </c>
      <c r="G43" t="inlineStr"/>
      <c r="H43" t="inlineStr"/>
      <c r="I43" t="inlineStr">
        <is>
          <t>**Overview**
 Security represents the most critical priorities for our customers in a world awash in digital threats, regulatory scrutiny, and estate complexity. Microsoft Security aspires to make the world a safer place for all. We want to reshape security and empower every user, customer, and developer with a security cloud that protects them with end to end, simplified solutions. The Microsoft Security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The Microsoft AI Red Team is an interdisciplinary group of security experts, adversarial ML researchers, and software engineers with the mission of proactively identifying failures in Microsoft’s AI systems before they impact customers. Within the AI Red Team, our Tooling group builds platforms and developer experiences that enable teams across Microsoft to evaluate AI\-powered systems at scale. Our team is the home of PyRIT (https://github.com/Azure/PyRIT), an open\-source framework used for AI risk identification and evaluation. We are expanding this space by building a new platform that enables product teams to run system\-level evaluations of agentic applications and model\-enabled experiences inside normal engineering workflows. We are looking for a Software Engineer II to help build a new system\-level evaluation platform for agentic applications and model\-enabled experiences. These systems increasingly involve multi\-step reasoning, tool and API use, multimodal inputs, and memory. In this role, you will contribute to the design and implementation of core platform capabilities and integration patterns that allow engineering teams to run evaluations in their workflows and pipelines.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Build core platform features that enable repeatable, scalable evaluations of agentic applications and model\-enabled experiences (execution workflows, integration patterns, developer\-facing interfaces).
* Partner with product teams to gather requirements and deliver integrations that work across different system surfaces (chat experiences, APIs, and tool/orchestration layers) with minimal friction.
* Ship high\-quality, reliable code through strong engineering practices (design docs, code reviews, CI, unit/integration testing) to ensure correctness and reproducibility.
* Make results actionable by producing clear, structured outputs and reporting artifacts (summaries, diagnostics, signals) that fit naturally into engineering workflows.
* Serve as a Designated Responsible Individual (DRI) on\-call for your area, monitoring for degradation or downtime, responding to incidents, and driving root\-cause analysis and reliability improvements
**Qualifications**
**Qualifications \- Minimum Requirements:**
* Bachelor's Degree in Computer Science or related technical field AND 2\+ years technical engineering experience with coding in languages including, but not limited to, C, C\+\+, C\#, Java, JavaScript, or Python OR equivalent experience.
* 1\+ years of experience building systems with emphasis on reliability, durability, and operational efficiency, including experience with live site operations, incident response, and performance optimization.
**Qualifications \- Other Requirements**
*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OR equivalent experience.
* 1\+ years of experience designing, building, and operating scalable, highly available cloud services or distributed systems on platforms such as Azure, AWS, GCP, or comparable cloud environments, with production ownership and CI/CD pipeline integration.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4">
      <c r="A44" t="inlineStr">
        <is>
          <t>li-4379421035</t>
        </is>
      </c>
      <c r="B44" t="inlineStr">
        <is>
          <t>Backend Software Engineer / Developer</t>
        </is>
      </c>
      <c r="C44" t="inlineStr">
        <is>
          <t>Bright Vision Technologies</t>
        </is>
      </c>
      <c r="D44" t="inlineStr">
        <is>
          <t>linkedin</t>
        </is>
      </c>
      <c r="E44">
        <f>HYPERLINK("https://www.linkedin.com/jobs/view/4379421035", "https://www.linkedin.com/jobs/view/4379421035")</f>
        <v/>
      </c>
      <c r="F44">
        <f>HYPERLINK("https://www.adzuna.com/details/5647033265?v=2B23E3795C85ABF52F4BAF0F481510C67CA89BBB&amp;r=21370417&amp;ccd=c7c037791415a0ff01e1f6a577a845c5&amp;frd=e83fd91970740e6cec7721fa1b07bf4e&amp;utm_source=linkedin6&amp;utm_medium=organic&amp;partnerb=1&amp;chnlid=1098&amp;title=Backend%20Software%20Engineer%20%2F%20Developer&amp;a=e&amp;urlHash=sMwi", "https://www.adzuna.com/details/5647033265?v=2B23E3795C85ABF52F4BAF0F481510C67CA89BBB&amp;r=21370417&amp;ccd=c7c037791415a0ff01e1f6a577a845c5&amp;frd=e83fd91970740e6cec7721fa1b07bf4e&amp;utm_source=linkedin6&amp;utm_medium=organic&amp;partnerb=1&amp;chnlid=1098&amp;title=Backend%20Software%20Engineer%20%2F%20Developer&amp;a=e&amp;urlHash=sMwi")</f>
        <v/>
      </c>
      <c r="G44" t="inlineStr">
        <is>
          <t>Tampa, FL</t>
        </is>
      </c>
      <c r="H44" t="inlineStr"/>
      <c r="I44" t="inlineStr">
        <is>
          <t>Bright Vision Technologies is a forward\-thinking software development company dedicated to building innovative solutions that help businesses automate and optimize their operations.
 We leverage cutting\-edge technologies to create scalable, secure, and high\-performance backend systems. As we continue to grow, we’re looking for a skilled
 **Backend Software Engineer / Developer**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Backend Software Engineer / Developer
**Job Location:** 
 Bridgewater, New Jersey – 08807
**Onsite/Hybrid:** 
 Remote
**FULL\-TIME ROLE WITH BRIGHT VISION**
**Environment**
**Job Description:**
 Java / Python, Spring Boot, Django / Flask, RESTful APIs, JSON, Microservices Architecture, SQL (PostgreSQL, MySQL), NoSQL (MongoDB), Kafka, Redis, Docker, Kubernetes, AWS/Azure, Git, CI/CD pipelines, Linux, Agile methodologies, Unit Testing (JUnit, PyTest)
**BUT STRICTLY NO C2C/1099/3RD PARTY COMPANIES. ALL OUR ROLES ARE W2 AND NO 3RD PARTY BROKERING PLEASE.**
 For every role, a
 **coding test is required** 
 , so apply only if you are
 **confident and technically strong** 
 .
 We prefer
 **at least 3 to 5 years real time experience** 
 .
 If you are a
 **Backend Software Engineer / Developer** 
 with the above skills and are looking for an
 **H\-1 B sponsorship** 
 this year, please send your resume immediately to
 **Jaya@bvteck.com** 
 .
 We are committed to providing equal employment opportunities and fostering an inclusive work environment. We encourage applications from all qualified individuals regardless of race, ethnicity, religion, gender identity, sexual orientation, age, disability, or any other protected status. If you require accommodations during the recruitment process, please let us know.
**Position offered by “No Fee agency.”**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45">
      <c r="A45" t="inlineStr">
        <is>
          <t>li-4297736955</t>
        </is>
      </c>
      <c r="B45" t="inlineStr">
        <is>
          <t>Senior Software Engineer - Fullstack</t>
        </is>
      </c>
      <c r="C45" t="inlineStr">
        <is>
          <t>Databricks</t>
        </is>
      </c>
      <c r="D45" t="inlineStr">
        <is>
          <t>linkedin</t>
        </is>
      </c>
      <c r="E45">
        <f>HYPERLINK("https://www.linkedin.com/jobs/view/4297736955", "https://www.linkedin.com/jobs/view/4297736955")</f>
        <v/>
      </c>
      <c r="F45">
        <f>HYPERLINK("https://databricks.com/company/careers/open-positions/job?gh_jid=6544403002&amp;gh_src=62a881d62&amp;urlHash=eVRb", "https://databricks.com/company/careers/open-positions/job?gh_jid=6544403002&amp;gh_src=62a881d62&amp;urlHash=eVRb")</f>
        <v/>
      </c>
      <c r="G45" t="inlineStr">
        <is>
          <t>Seattle, WA</t>
        </is>
      </c>
      <c r="H45" t="inlineStr"/>
      <c r="I45" t="inlineStr">
        <is>
          <t>P\-951
 At Databricks, we are passionate about enabling data teams to solve the world's toughest problems — from making the next mode of transportation a reality to accelerating the development of medical breakthroughs. We do this by building and running the world's best Data Intelligence Platform so our customers can use deep data insights to improve their business. Founded by engineers — and customer obsessed — we leap at every opportunity to tackle technical challenges, from designing next\-gen UI/UX for interfacing with data to scaling our services and infrastructure across millions of virtual machines. And we're only getting started.
 As a Full Stack software engineer, you will work with your team and product management to make insights from data simple. We are looking for engineers that are customer obsessed, who can take on the full scope of the product and user experience beyond the technical implementation. You'll set the foundation for how we build robust, scalable and delightful products.
 Below are some example experiences you'll create for our customers to achieve the full project lifecycle from loading data, visualizing results, creating statistical models, and deploying as production artifacts.
* Simple workflows to create, configure, and manage large\-scale compute clusters, networks and data sources.
* Create, deploy, test, and upgrade complex data pipelines with powerful features to visualize data graphs.
* Seamless onboarding and management for all members of an organization to become data\-driven.
* Provide a great SQL\-centric data exploration and dashboarding experience on Databricks
* An interactive environment for collaborative data projects at massive scale with an easy path to production.
**What We Look For**
* 5\+ years of experience with HTML, CSS, and JavaScript.
* Passion for user experience and design and a deep understanding of front\-end architecture.
* Comfortable working towards a multi\-year vision with incremental deliverables.
* Motivated by delivering customer value.
* Experience with modern JavaScript frameworks (e.g., React, Angular, or VueJs/Ember).
* 5\+ years of experience with server\-side web technologies (eg: Node.js, Java, Python, Scala, C\#, C\+\+,Go).
* Good knowledge of SQL.
* Experience with cloud technologies, e.g. AWS, Azure, GCP, Docker, or Kubernetes.
* Experience developing large\-scale distributed systems.
**Pay Range Transparency**
 Databricks is committed to fair and equitable compensation practices. The pay range(s) for this role is listed below and represents the expected salary range for non\-commissionable roles or on\-target earnings for commissionable roles. Actual compensation packages are based on several factors that are unique to each candidate, including but not limited to job\-related skills, depth of experience, relevant certifications and training, and specific work location. Based on the factors above, Databricks anticipates utilizing the full width of the range. The total compensation package for this position may also include eligibility for annual performance bonus, equity, and the benefits listed above. For more information regarding which range your location is in visit our page here.
 Local Pay Range
 $157,700—$213,800 USD
**About Databricks**
 Databricks is the data and AI company. More than 10,000 organizations worldwide — including Comcast, Condé Nast, Grammarly, and over 50% of the Fortune 500 — rely on the Databricks Data Intelligence Platform to unify and democratize data, analytics and AI. Databricks is headquartered in San Francisco, with offices around the globe and was founded by the original creators of Lakehouse, Apache Spark™, Delta Lake and MLflow. To learn more, follow Databricks on Twitter, LinkedIn and Facebook.
**Benefits**
 At Databricks, we strive to provide comprehensive benefits and perks that meet the needs of all of our employees. For specific details on the benefits offered in your region, please visit https://www.mybenefitsnow.com/databricks.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46">
      <c r="A46" t="inlineStr">
        <is>
          <t>li-4379555363</t>
        </is>
      </c>
      <c r="B46" t="inlineStr">
        <is>
          <t>Software Engineer I</t>
        </is>
      </c>
      <c r="C46" t="inlineStr">
        <is>
          <t>Cox Automotive Inc.</t>
        </is>
      </c>
      <c r="D46" t="inlineStr">
        <is>
          <t>linkedin</t>
        </is>
      </c>
      <c r="E46">
        <f>HYPERLINK("https://www.linkedin.com/jobs/view/4379555363", "https://www.linkedin.com/jobs/view/4379555363")</f>
        <v/>
      </c>
      <c r="F46" t="inlineStr"/>
      <c r="G46" t="inlineStr">
        <is>
          <t>Atlanta, GA</t>
        </is>
      </c>
      <c r="H46" t="inlineStr"/>
      <c r="I46" t="inlineStr">
        <is>
          <t>**Job Summary**
 As part of the Cox Automotive family, Central Dispatch is evolving the nation's largest self\-managed auto transportation platform. Our logistics solutions connect shippers with a nationwide network of carriers, enabling vehicles to move efficiently across the country.
 The Software Engineer I applies secure software engineering principles to the design, development, testing, maintenance, and evaluation of software and cloud infrastructure. The role also includes learning to use AI\-assisted development tools to support coding, testing, analysis, and documentation across the SDLC. This position works alongside more experienced engineers to understand business requirements, learn architectural direction, and contribute to building scalable, resilient, secure, and well\-tested systems. It emphasizes foundational skill development, collaboration, responsible use of AI in development workflows, and delivering high\-quality features for the Central Dispatch platform.
**Our Teams**
 Cox Automotive's Central Dispatch teams are based primarily in Atlanta, GA. We have cultivated a group of versatile, hardworking, and creative team members with diverse skill sets who can adapt to the rapid changes in the automotive and technology industries. We are committed to supporting our logistics businesses and building for the future with a best\-in\-class platform.
**Primary Duties And Key Responsibilities**
* Gain familiarity with software engineering concepts, tools, and methodologies relevant to the Central Dispatch logistics platform, including learning how to apply AI\-assisted tools responsibly as part of daily development work.
* Contribute to coding tasks by writing unit and system tests, participating in pair programming, and using AI agents to support code generation, documentation, and troubleshooting while ensuring all output is reviewed for accuracy and security.
* Assist with breaking down business and functional requirements into clear technical tasks and contribute to planning using both manual analysis and AI\-assisted estimation support.
* Identify opportunities to automate manual tasks, including leveraging AI\-enabled tooling to streamline repetitive engineering activities.
* Evaluate and respond to bug submissions using traditional debugging techniques and AI\-guided analysis to identify root causes and propose fixes.
* Support modernization efforts by helping update legacy code, participating in migration planning, and using AI tools to understand older patterns and suggest alternatives.
* Learn and apply secure coding practices and participate in AI\-assisted code analysis to detect vulnerabilities, quality issues, or performance concerns.
* Assist in identifying software, server, or network bottlenecks by gathering diagnostics, running test scenarios, and using AI tools to evaluate potential remediation paths.
* Participate in performance testing and contribute to resolving issues uncovered through analytical and AI\-supported review.
* Document processes, patterns, and best practices and use AI tools appropriately to produce clear and consistent documentation.
* Share observations, improvements, and lessons learned from AI\-assisted workflows to help refine team practices.
* Communicate status, challenges, risks, and dependencies to teammates, managers, product owners, and other stakeholders.
* Assist with special projects or platform improvement initiatives as assigned.
**Required Experience, Knowledge, And Skills**
* Applicants must currently be authorized to work in the United States for any employer without current or future sponsorship. No OPT, CPT, STEM/OPT or visa sponsorship now or in future.
* Bachelor's degree in a related discipline and generally less than 2 years of experience in a related field, or 4 years of experience in a related field with no degree.
* Foundational skills in analytical thinking, requirements analysis, technical troubleshooting, software installation and support, and system or technology integration.
* Basic experience with one or more modern programming languages, cloud platforms, or development frameworks.
* Ability to learn new technologies quickly, follow established design patterns, and contribute to maintainable code.
* Foundational skills in building partnerships, challenging personal limitations, driving innovation, focusing on execution, and striving for excellence.
* Strong communication and teamwork skills with a willingness to take guidance and grow within a collaborative engineering environment.
 USD 74,000\.00 \- 111,000\.00 per year
**Compensation**
 Compensation includes a base salary of $74,000\.00 \- $111,000\.00\.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**Benefits**
 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
 Applicants must currently be authorized to work in the United States for any employer without current or future sponsorship. No OPT, CPT, STEM/OPT or visa sponsorship now or in future.</t>
        </is>
      </c>
    </row>
    <row r="47">
      <c r="A47" t="inlineStr">
        <is>
          <t>li-4379198849</t>
        </is>
      </c>
      <c r="B47" t="inlineStr">
        <is>
          <t>Backend Software Engineer / Developer</t>
        </is>
      </c>
      <c r="C47" t="inlineStr">
        <is>
          <t>Bright Vision Technologies</t>
        </is>
      </c>
      <c r="D47" t="inlineStr">
        <is>
          <t>linkedin</t>
        </is>
      </c>
      <c r="E47">
        <f>HYPERLINK("https://www.linkedin.com/jobs/view/4379198849", "https://www.linkedin.com/jobs/view/4379198849")</f>
        <v/>
      </c>
      <c r="F47" t="inlineStr"/>
      <c r="G47" t="inlineStr">
        <is>
          <t>Atlanta, GA</t>
        </is>
      </c>
      <c r="H47" t="inlineStr"/>
      <c r="I47" t="inlineStr">
        <is>
          <t>Bright Vision Technologies is a forward\-thinking software development company dedicated to building innovative solutions that help businesses automate and optimize their operations.
 We leverage cutting\-edge technologies to create scalable, secure, and high\-performance backend systems. As we continue to grow, we’re looking for a skilled
 **Backend Software Engineer / Developer**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Backend Software Engineer / Developer
**Job Location:** 
 Bridgewater, New Jersey – 08807
**Onsite/Hybrid:** 
 Remote
**FULL\-TIME ROLE WITH BRIGHT VISION**
**Environment**
**Job Description:**
 Java / Python, Spring Boot, Django / Flask, RESTful APIs, JSON, Microservices Architecture, SQL (PostgreSQL, MySQL), NoSQL (MongoDB), Kafka, Redis, Docker, Kubernetes, AWS/Azure, Git, CI/CD pipelines, Linux, Agile methodologies, Unit Testing (JUnit, PyTest)
**BUT STRICTLY NO C2C/1099/3RD PARTY COMPANIES. ALL OUR ROLES ARE W2 AND NO 3RD PARTY BROKERING PLEASE.**
 For every role, a
 **coding test is required** 
 , so apply only if you are
 **confident and technically strong** 
 .
 We prefer
 **at least 3 to 5 years real time experience** 
 .
 If you are a
 **Backend Software Engineer / Developer** 
 with the above skills and are looking for an
 **H\-1 B sponsorship** 
 this year, please send your resume immediately to
 **Jaya@bvteck.com** 
 .
 We are committed to providing equal employment opportunities and fostering an inclusive work environment. We encourage applications from all qualified individuals regardless of race, ethnicity, religion, gender identity, sexual orientation, age, disability, or any other protected status. If you require accommodations during the recruitment process, please let us know.
**Position offered by “No Fee agency.”**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48">
      <c r="A48" t="inlineStr">
        <is>
          <t>li-4380372262</t>
        </is>
      </c>
      <c r="B48" t="inlineStr">
        <is>
          <t>Full Stack Engineer</t>
        </is>
      </c>
      <c r="C48" t="inlineStr">
        <is>
          <t>Mission Staffing</t>
        </is>
      </c>
      <c r="D48" t="inlineStr">
        <is>
          <t>linkedin</t>
        </is>
      </c>
      <c r="E48">
        <f>HYPERLINK("https://www.linkedin.com/jobs/view/4380372262", "https://www.linkedin.com/jobs/view/4380372262")</f>
        <v/>
      </c>
      <c r="F48" t="inlineStr"/>
      <c r="G48" t="inlineStr">
        <is>
          <t>Philadelphia, PA</t>
        </is>
      </c>
      <c r="H48" t="inlineStr"/>
      <c r="I48" t="inlineStr">
        <is>
          <t>**Software Engineer – Full Stack** 
 📍
 **Philadelphia, PA (US)** 
 💼
 **Front Office / Investment Technology** 
 💰
 **Base Salary: $110,000 – $145,000 \+ bonus \&amp; benefits** 
 We’re looking for a
 **Full Stack Software Engineer** 
 to join a front\-office technology team supporting investment and asset management functions. This role sits close to the business and focuses on building scalable, data\-driven platforms and modern web applications used by investment professionals. You’ll work across
 **data pipelines, cloud infrastructure, and user\-facing applications** 
 , partnering closely with product, data, and investment stakeholders.
**What You’ll Be Doing** 
* Build and maintain
 **scalable data pipelines** 
 using Python, Apache Airflow, Docker, AWS, and SQL
* Design and develop
 **modern web applications** 
 using React, Material UI, and related frameworks
* Assemble and manage large, complex datasets to meet both business and technical requirements
* Improve internal systems by
 **automating workflows** 
 , optimizing infrastructure, and increasing scalability
* Develop cloud\-based ETL processes leveraging AWS services (Lambda, Redshift, S3, EC2\)
* Create analytical tools that surface
 **actionable insights** 
 around performance, efficiency, and business metrics
* Collaborate with engineering, product, design, and business stakeholders to solve real\-world problems
* Contribute to DevOps practices including CI/CD pipelines and containerized deployments
- 
**What We’re Looking For** 
* 4\+ years of experience building
 **full stack applications** 
 in a cloud environment
* Strong experience with
 **Python (OOP)** 
 and
 **SQL**
* Hands\-on experience with
 **AWS services** 
 (Lambda, EC2, S3, Redshift, SNS/SQS)
* Experience designing and supporting
 **data pipelines and microservices architectures**
* Proficiency with
 **Docker** 
 , CI/CD tools (e.g., Jenkins), and RESTful APIs
* Front\-end experience with
 **React** 
 (or similar frameworks); familiarity with Angular, JavaScript, HTML/CSS is a plus
* Ability to clearly communicate technical concepts and mentor junior engineers
* Exposure to
 **asset management or financial services** 
 is strongly preferred
**Nice to Have** 
* Experience with platforms such as
 **Aladdin, Bloomberg, or FactSet**
* Knowledge of investment workflows (research, portfolio construction, trading, performance attribution)
* Experience working in front\-office or investment\-adjacent technology teams
**Education** 
* Bachelor’s degree in Computer Science, Computer Engineering, or a related field (or equivalent experience)</t>
        </is>
      </c>
    </row>
    <row r="49">
      <c r="A49" t="inlineStr">
        <is>
          <t>li-4379179945</t>
        </is>
      </c>
      <c r="B49" t="inlineStr">
        <is>
          <t>Senior Software Engineer, Robotic Applications</t>
        </is>
      </c>
      <c r="C49" t="inlineStr">
        <is>
          <t>Atomic Machines</t>
        </is>
      </c>
      <c r="D49" t="inlineStr">
        <is>
          <t>linkedin</t>
        </is>
      </c>
      <c r="E49">
        <f>HYPERLINK("https://www.linkedin.com/jobs/view/4379179945", "https://www.linkedin.com/jobs/view/4379179945")</f>
        <v/>
      </c>
      <c r="F49" t="inlineStr"/>
      <c r="G49" t="inlineStr">
        <is>
          <t>Emeryville, CA</t>
        </is>
      </c>
      <c r="H49" t="inlineStr"/>
      <c r="I49" t="inlineStr">
        <is>
          <t>**About The Role:** 
 As a Senior Software Engineer, Robotic Applications, you will design and build the distributed software system that controls the Matter Compiler. You'll have the chance to work across layers of the stack, abstracting low\-level device interfaces into high\-level automation APIs. One sprint, you might be designing system behavior with a mechanical engineer; the next, you could be bringing up and integrating complex electromechanical systems.
 You'll be joining a fast\-paced, interdisciplinary environment where teams collaborate closely—including modeling and simulation, materials science, process development, electrical engineering, and mechanical engineering—as we bring truly novel technology to life.
 This role is based in either our Santa Clara or Emeryville office and is well\-suited to an engineer with strong fundamentals, curiosity, and a drive to develop systems\-level thinking.
**What You'll Do** 
* Write, operate, and debug software and firmware for complex robotics with hard real\-time constraints.
* Design and operate software that coordinates state, timing, and failure recovery across a distributed network of devices
* Work hands\-on with manufacturing robotics and design software to coordinate a distributed network of devices.
* Work at multiple levels of the software stack—you'll design and implement a networked API and debug it down to the hardware.
**What You'll Need** 
* 5\+ years of industry experience developing software that interfaces with hardware
* Multi\-language programming fluency—ability to code fluently in multiple languages at multiple levels of the stack (our robotics engineers primarily use C\+\+ and Python; knowledge of Go is a bonus)
* Deep and broad understanding of how computers work (our work involves a variety of processors and computing environments at multiple levels of the stack)
* Familiarity with robotics\-adjacent systems (sensors, actuators, timing constraints, physical failure modes)
* Experience designing, building, and shipping complex software systems that control hardware as part of a team
* Experience with version control and working on Linux machines
* A first\-principles mindset — you question assumptions, reframe problems from the ground up, and approach challenges with a foundational understanding rather than relying solely on precedent.
* Bachelor of Science in Computer Science, Computer Engineering, Electrical Engineering, Mechatronics Engineering, Mechanical Engineering, Robotics, or a related field
**Bonus Points For** 
* Experience or interest in heterogeneous, distributed computing architectures
* Experience in abstracting the control of manufacturing machines, material transport systems, and factory\-level orchestration
* Experience with instrumenting software for observability and debugging</t>
        </is>
      </c>
    </row>
    <row r="50">
      <c r="A50" t="inlineStr">
        <is>
          <t>li-4362291248</t>
        </is>
      </c>
      <c r="B50" t="inlineStr">
        <is>
          <t>Full Stack Software Engineer, ChatGPT Partnerships</t>
        </is>
      </c>
      <c r="C50" t="inlineStr">
        <is>
          <t>OpenAI</t>
        </is>
      </c>
      <c r="D50" t="inlineStr">
        <is>
          <t>linkedin</t>
        </is>
      </c>
      <c r="E50">
        <f>HYPERLINK("https://www.linkedin.com/jobs/view/4362291248", "https://www.linkedin.com/jobs/view/4362291248")</f>
        <v/>
      </c>
      <c r="F50" t="inlineStr"/>
      <c r="G50" t="inlineStr">
        <is>
          <t>San Francisco, CA</t>
        </is>
      </c>
      <c r="H50" t="inlineStr"/>
      <c r="I50" t="inlineStr">
        <is>
          <t>**About The Team**
 The ChatGPT team operates at the intersection of research, engineering, product, and design to bring OpenAI’s technology to a global audience.
 Within ChatGPT, the
 **Growth Partnerships** 
 team is dedicated to expanding distribution, unlocking new user acquisition channels, and building high\-leverage integrations that deliver ChatGPT to users where they are. Working closely with external partners and internal platform teams, we design product experiences, APIs, and growth surfaces that scale adoption while upholding trust and safety.
 Our work is multidisciplinary—merging product, engineering, and business impact to transform partnerships into sustainable growth engines for ChatGPT.
**About The Role**
 We are seeking an experienced
 **Full Stack Engineer** 
 to join the ChatGPT Growth Partnerships team and help establish the technical foundation that underpins partner\-led growth. You will work on end\-to\-end product experiences—including frontend applications, backend services, APIs, experimentation, and data—that facilitate seamless integrations, onboarding, activation, and monetization through partners.
 This high\-impact role is ideal for engineers who thrive in fast\-paced, ambiguous settings, can move from concept to launch, make sound product and technical judgments, and deliver quickly while maintaining robust engineering standards.
**Responsibilities**
* Build and own full\-stack product experiences supporting partner integrations, onboarding flows, activation funnels, and growth surfaces.
* Design and develop backend services and APIs for scalable, secure partner experiences.
* Collaborate with product, partnerships, design, data science, and research teams to translate strategy into shipped product.
* Lead experimentation initiatives (A/B tests, metrics, instrumentation) to understand drivers of adoption, retention, and value through partnerships.
* Identify leverage points where small technical innovations can unlock significant growth impact.
* Establish best practices for building extensible, partner\-friendly systems at scale.
* Contribute to a culture of ownership, clarity, inclusiveness, and thoughtful debate within engineering.
 You Might Thrive in This Role If You
* Have delivered full\-stack features on the web that drive user acquisition, activation, or monetization (e.g., onboarding, integrations, dashboards, purchase flows).
* Are comfortable with frontend and backend development, including API and service design, as well as data flows.
* Think with a system\-level perspective and focus on scalability and long\-term robustness.
* Are highly analytical, experienced in experiment design, and able to connect technical work to business outcomes.
* Enjoy navigating ambiguity and structuring new problem areas.
* Possess strong product intuition and prioritize user\- and developer\-friendly experiences.
* Are motivated by impact and inspired to help shape how partnerships fuel ChatGPT’s growth.
**Location:** 
 San Francisco, New York, or Seattle
**Work Type:** 
 Full\-time
 Join us to help grow the ChatGPT partner ecosystem and reach millions of users through thoughtful engineering and product leadership.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t>
        </is>
      </c>
    </row>
    <row r="51">
      <c r="A51" t="inlineStr">
        <is>
          <t>li-4379415426</t>
        </is>
      </c>
      <c r="B51" t="inlineStr">
        <is>
          <t>Software Engineer</t>
        </is>
      </c>
      <c r="C51" t="inlineStr">
        <is>
          <t>CAE</t>
        </is>
      </c>
      <c r="D51" t="inlineStr">
        <is>
          <t>linkedin</t>
        </is>
      </c>
      <c r="E51">
        <f>HYPERLINK("https://www.linkedin.com/jobs/view/4379415426", "https://www.linkedin.com/jobs/view/4379415426")</f>
        <v/>
      </c>
      <c r="F51" t="inlineStr"/>
      <c r="G51" t="inlineStr">
        <is>
          <t>Orlando, FL</t>
        </is>
      </c>
      <c r="H51" t="inlineStr"/>
      <c r="I51" t="inlineStr">
        <is>
          <t>**Summary** 
 CAE USA is seeking a software engineer to build and deploy cutting edge cloud\-based software products for internal Research and Development and/or Department of Defense contracts. This position is a fully on site position with location in Orlando Florida.
**Essential Duties and Responsibilities** 
*Reasonable accommodations may be made to enable individuals with disabilities to perform the essential functions.* 
* Support the development, deployment, and sustainment of technology demonstrators
* Present and conduct technology demonstrations to leadership and potential customers
* Support and participate in all phases of the software development life cycle, including requirements analysis, design, implementation, integration, and test
* Perform as part of an Agile (SAFe) team (scrums, planning, retrospectives)
* May include travel
**Qualifications and Education Requirements** 
* The skillsets required for this role will vary based on what systems you are working on. To be considered, you should have knowledge and experience in 2 or more of the following categories:
* Frontend development (Angular, React, Vue, Typescript, etc.)
* Backend development (C\#, .NET, C\+\+, Python, Node, etc.)
* Data storage and messaging (PostgreSQL, Neo4J, RabbitMq, Kafka, WebSockets, etc.)
* DevOps (Docker, Kubernetes, ArgoCD, OpenShift, Jenkins, Terraform, GitLab Runner, etc.)
* Cloud Systems (Azure, GCP, AWS)
* Bachelor’s degree in engineering, software, or computer science.
* Minimum of 5 years of relevant software engineering experience
* Due to U.S. Government contract requirements, only U.S. citizens are eligible for this role.
**Preferred Skills** 
* Machine Learning and Data Analytics; Virtual Reality; Cloud technologies; 3D Modeling
* Geospatial data processing and visualization (GDAL, PDAL, PostGIS, Geoserver, OpenLayers, Leaflet, Cesium)
* SAFe Certification
* Experience with gaming technologies such as Unity 3D, Unreal Engine
* IAT Level 2 Certification (e.g. Security \+)
**Security Responsibilities** 
 Must comply with all company security and data protection / usage policies and procedures. Personally responsible for proper marking and handling of all information and materials, in any form. Shall not divulge any information, or afford access, to other employees not having a need\-to\-know. Shall not divulge information outside company without management approval. All government and proprietary information will be accessed and stored electronically on company provided resources.
* Incumbent must be eligible for DoD Personal Security Clearance.
**Due to U.S. Government contract requirements, only U.S. citizens are eligible for this role.** 
**Work Environment** 
 This job operates in a professional office environment. This role routinely uses standard office equipment such as computers, phones, photocopiers, filing cabinets and fax machines.
**Physical Demands** 
 The physical demands described here are representative of those that must be met by an employee to successfully perform the essential functions of this job.
* Must be able to perform normal office duties (sitting for long periods at a desk and in technical meetings)
* Must be able to climb stairs on a regular basis
* Must be willing to work overtime
* Must be able to travel CONUS and to international sites
* Must be able to travel via car and airplane
**Other Duties** 
 Please note this job description is not designed to cover or contain a comprehensive listing of activities, duties or responsibilities that are required of the employee for their job. Duties, responsibilities, and activities may change at any time with or without notice.
**CAE USA Inc. is an equal opportunity employer, and all qualified applicants will be considered for employment without regard to any protected characteristic, including disability and protected veteran status, as defined under federal, state, or local laws.** 
**Applicants needing reasonable accommodations should contact their recruiter at any point in the recruitment process. If you need assistance to submit your application because of incompatible assistive technology or a disability, please contact us at hrops@caemilusa.com**</t>
        </is>
      </c>
    </row>
    <row r="52">
      <c r="A52" t="inlineStr">
        <is>
          <t>li-4378833759</t>
        </is>
      </c>
      <c r="B52" t="inlineStr">
        <is>
          <t>Senior Full Stack Engineer - Conversation Intelligence</t>
        </is>
      </c>
      <c r="C52" t="inlineStr">
        <is>
          <t>Cresta</t>
        </is>
      </c>
      <c r="D52" t="inlineStr">
        <is>
          <t>linkedin</t>
        </is>
      </c>
      <c r="E52">
        <f>HYPERLINK("https://www.linkedin.com/jobs/view/4378833759", "https://www.linkedin.com/jobs/view/4378833759")</f>
        <v/>
      </c>
      <c r="F52">
        <f>HYPERLINK("https://job-boards.greenhouse.io/cresta/jobs/5026013008?gh_src=9a5432008us&amp;urlHash=VXmM", "https://job-boards.greenhouse.io/cresta/jobs/5026013008?gh_src=9a5432008us&amp;urlHash=VXmM")</f>
        <v/>
      </c>
      <c r="G52" t="inlineStr"/>
      <c r="H52" t="inlineStr"/>
      <c r="I52" t="inlineStr">
        <is>
          <t>Cresta is on a mission to turn every customer conversation into a competitive advantage by unlocking the true potential of the contact center. Our platform combines the best of AI and human intelligence to help contact centers discover customer insights and behavioral best practices, automate conversations and inefficient processes, and empower every team member to work smarter and faster. Born from the prestigious Stanford AI lab, Cresta's co\-founder and chairman is Sebastian Thrun, the genius behind Google X, Waymo, Udacity, and more. Our leadership also includes CEO, Ping Wu, the co\-founder of Google Contact Center AI and Vertex AI platform, and co\-founder, Tim Shi, an early member of Open AI.
 Join us on this thrilling journey to revolutionize the workforce with AI. The future of work is here, and it's at Cresta.
**About The Role**
 The
 **QM \&amp; Coaching Team** 
 at Cresta is vital for our post\-call intelligence products. Our core mission is to utilize Large Language Models (LLMs) and advanced AI techniques to transform conversations into actionable intelligence, streamlining the process of agent performance review and coaching. We build systems that deeply analyze agent behaviors, delivering structured insights into their performance and pinpointing critical areas for improvement. Through AI\-powered exploration and interactive workflows, our work empowers organizations to leverage data\-driven decisions and enhance the overall customer experience.
 As a
 **Senior Fullstack Engineer** 
 , you’ll play a key role in building and scaling the no\-code platform that powers Cresta’s processing capabilities. This platform empowers non\-technical users to configure conversation workflows, apply automation without writing code. You will work across the stack—from building intuitive UIs to robust backend services—enabling customers to unlock value from conversations quickly and flexibly.
 You’ll partner with designers, product managers and AI/ML teams to turn complex requirements into delightful and performant product experiences. You’ll also help shape the future of our no\-code architecture, ensuring it scales with our product and customer base.
**Responsibilities**
* Design, develop, and maintain end\-to\-end features for Cresta’s no\-code processing platform.
* Build intuitive UI components and visual editors for configuring conversation logic and workflows.
* Architect and implement backend services and APIs to power a dynamic no\-code interface.
* Work closely with ML engineers to expose conversation intelligence in an accessible and configurable way.
* Develop data models and storage layers using Postgres, ClickHouse, and Elasticsearch.
* Identify areas for performance improvements and scalability in both frontend and backend systems.
* Ensure reliability, security, and maintainability across the full technology stack.
* Participate in design discussions, code reviews, and continuous integration processes.
**Qualifications**
* Proven experience as a Senior Fullstack Engineer, with strong frontend and backend contributions to no\-code or low\-code platforms.
* Deep understanding of modern frontend technologies (React, TypeScript, etc.) and design patterns for building complex UIs.
* Backend expertise in Python, Go, or similar languages; experience with RESTful APIs and microservices architecture.
* Strong foundation in database systems and data modeling; hands\-on experience with Postgres, ClickHouse, or Elasticsearch is a plus.
* Experience building platforms or tools for non\-technical users, especially in AI/ML, automation, or workflow spaces.
* Familiarity with managing state, execution logic, or visual programming paradigms is a bonus.
* Strong collaboration and communication skills—able to work effectively across product, design, and engineering teams.
* Passion for building systems that simplify complex problems and empower users.
**Perks \&amp; Benefits**
 We offer a comprehensive and people\-first benefits package to support you at work and in life:
* Comprehensive medical, dental, and vision coverage with plans to fit you and your family
* Flexible PTO to take the time you need, when you need it
* Paid parental leave for all new parents welcoming a new child
* Retirement savings plan to help you plan for the future
* Remote work setup budget to help you create a productive home office
* Monthly wellness and communication stipend to keep you connected and balanced
* In\-office meal program and commuter benefits provided for onsite employees
**Compensation At Cresta**
 Cresta’s approach to compensation is simple: recognize impact, reward excellence, and invest in our people. We offer competitive, location\-based pay that reflects the market and what each individual brings to the table.
 The posted base salary range represents what we expect to pay for this role in a given location. Final offers are shaped by factors like experience, skills, education, and geography. In addition to base pay, total compensation includes equity and a comprehensive benefits package for you and your family.
**OTE Range** 
 : $205,000–$270,000 \+ Offers Equity
 We have noticed a rise in recruiting impersonations across the industry, where scammers attempt to access candidates' personal and financial information through fake interviews and offers. All Cresta recruiting email communications will always come from the @cresta.ai domain. Any outreach claiming to be from Cresta via other sources should be ignored. If you are uncertain whether you have been contacted by an official Cresta employee, reach out to recruiting@cresta.ai</t>
        </is>
      </c>
    </row>
    <row r="53">
      <c r="A53" t="inlineStr">
        <is>
          <t>li-4370437388</t>
        </is>
      </c>
      <c r="B53" t="inlineStr">
        <is>
          <t>Software Engineer III, Google Cloud Networking</t>
        </is>
      </c>
      <c r="C53" t="inlineStr">
        <is>
          <t>Google</t>
        </is>
      </c>
      <c r="D53" t="inlineStr">
        <is>
          <t>linkedin</t>
        </is>
      </c>
      <c r="E53">
        <f>HYPERLINK("https://www.linkedin.com/jobs/view/4370437388", "https://www.linkedin.com/jobs/view/4370437388")</f>
        <v/>
      </c>
      <c r="F53">
        <f>HYPERLINK("https://careers.google.com/jobs/results/85713592698970822-software-engineer-iii/?src=Online/LinkedIn/linkedin_us&amp;utm_source=linkedin&amp;utm_medium=jobposting&amp;utm_campaign=contract&amp;urlHash=EGaL", "https://careers.google.com/jobs/results/85713592698970822-software-engineer-iii/?src=Online/LinkedIn/linkedin_us&amp;utm_source=linkedin&amp;utm_medium=jobposting&amp;utm_campaign=contract&amp;urlHash=EGaL")</f>
        <v/>
      </c>
      <c r="G53" t="inlineStr">
        <is>
          <t>Cambridge, MA</t>
        </is>
      </c>
      <c r="H53" t="inlineStr"/>
      <c r="I53" t="inlineStr">
        <is>
          <t>**Minimum qualifications:**
* Bachelor’s degree or equivalent practical experience.
* 2 years of experience programming in C\+\+, Java or Python.
**Preferred qualifications:**
* Master's degree or PhD in Computer Science or related technical fields.
* 2 years of experience with performance, large scale systems data analysis, visualization tools, or debugging.
* 2 years of experience with data structures or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54">
      <c r="A54" t="inlineStr">
        <is>
          <t>li-4378159877</t>
        </is>
      </c>
      <c r="B54" t="inlineStr">
        <is>
          <t>Software Developer 3</t>
        </is>
      </c>
      <c r="C54" t="inlineStr">
        <is>
          <t>Oracle</t>
        </is>
      </c>
      <c r="D54" t="inlineStr">
        <is>
          <t>linkedin</t>
        </is>
      </c>
      <c r="E54">
        <f>HYPERLINK("https://www.linkedin.com/jobs/view/4378159877", "https://www.linkedin.com/jobs/view/4378159877")</f>
        <v/>
      </c>
      <c r="F54">
        <f>HYPERLINK("https://eeho.fa.us2.oraclecloud.com/hcmUI/CandidateExperience/en/job/328025/?utm_medium=jobboard&amp;utm_source=LinkedIn&amp;urlHash=uwab", "https://eeho.fa.us2.oraclecloud.com/hcmUI/CandidateExperience/en/job/328025/?utm_medium=jobboard&amp;utm_source=LinkedIn&amp;urlHash=uwab")</f>
        <v/>
      </c>
      <c r="G54" t="inlineStr">
        <is>
          <t>Austin, TX</t>
        </is>
      </c>
      <c r="H54" t="inlineStr"/>
      <c r="I54" t="inlineStr">
        <is>
          <t>**Job Description**
 Oracle Cloud Infrastructure (OCI) can provide you the opportunity to build and operate a suite of massive\-scale, integrated cloud services in a broadly distributed, multi\-tenant cloud environment. OCI is committed to providing the best in cloud products that meet the needs of our customers who are tackling some of the world's biggest challenges. OCI AI Infrastructure is at the forefront of building cutting\-edge, ultra\-high\-performance GPU cluster\-based Data Centers designed to support AI/ML/HPC workloads. This is your chance to be part of the AI revolution, creating systems that allow customers to scale from tens to thousands of GPUs without compromising performance.
 As part of the Data Center Delivery Engineering organization at OCI, our team is responsible for building software services and tools to accelerate the process by which OCI grows its compute and network capacity—including critical scaling initiatives like the Stargate Project. The service will address all aspects of the Data Center and its Physical Assets lifecycle, from planning and design, to delivery and, eventually, decommissioning.
 Our goal is to scale up the process to meet high capacity demands from our large and hyperscale customers. As a Senior Software Engineer (IC3\), you will take ownership of designing, developing, and debugging software applications and highly reliable microservices. From a technology perspective, this is a greenfield development environment with a huge amount of autonomy, allowing you to build and innovate freely while integrating with existing systems through well\-established contracts.
**Responsibilities**
* Software Development: Design, implement, and operate scalable, reliable, and performant distributed systems and cloud services.
* End\-to\-End Ownership: Take ownership of specific software components through the entire product life cycle, from ground\-up development to deployment, operation, and maintenance.
* Operational Excellence: Balance speed and quality with iterative and incremental improvements. Instill a culture of proactivity and operational excellence within the engineering team.
* Collaboration \&amp; Integration: Work independently on complex tasks while collaborating closely with your team to integrate smoothly with existing data center workflows and external partner services.
* Technical Contributions: Participate in code reviews, contribute to architectural discussions, and help mentor junior developers.
**Basic Qualifications**
* Bachelor's degree in Computer Science, Engineering, or a related technical field.
* 5\+ years of hands\-on software development experience.
* Proficient in high\-level programming languages such as Java, Python, Go, or C\+\+.
* Experienced with microservice design patterns, service\-to\-service communication protocols, and developing highly reliable services.
* Strong experience in distributed systems with a keen eye for reliability, scalability, and performance.
* Ability to deliver products from the ground up, navigating the full software development lifecycle.
**Preferred Qualifications**
* Prior hands\-on experience developing cloud services and tools on Oracle Cloud, AWS, GCP, or Azure.
* Master's degree in Computer Science.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$79,200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55">
      <c r="A55" t="inlineStr">
        <is>
          <t>li-4380377428</t>
        </is>
      </c>
      <c r="B55" t="inlineStr">
        <is>
          <t>Senior Software Engineer</t>
        </is>
      </c>
      <c r="C55" t="inlineStr">
        <is>
          <t>C2R Ventures</t>
        </is>
      </c>
      <c r="D55" t="inlineStr">
        <is>
          <t>linkedin</t>
        </is>
      </c>
      <c r="E55">
        <f>HYPERLINK("https://www.linkedin.com/jobs/view/4380377428", "https://www.linkedin.com/jobs/view/4380377428")</f>
        <v/>
      </c>
      <c r="F55" t="inlineStr"/>
      <c r="G55" t="inlineStr"/>
      <c r="H55" t="inlineStr"/>
      <c r="I55" t="inlineStr">
        <is>
          <t>Our client, a global, Boston\-based Asset Management firm with more than 150bn AUM, is seeking a Senior Software Engineer to join the firm’s Core Investment Systems team.
 This team is responsible for developing technology solutions supporting investment services and operations. They leverage technology to automate business processes introducing solutions using a combination of custom development and packaged platforms.
 The Core Investment Systems team provides services and capabilities to business users that are essential to the firm’s ability to deliver sustained alpha and meet fiduciary commitment to clients.
 The ideal candidate is a self\-driven, team\-oriented hands\-on engineer who enjoys working on complex problems as part of a team. This role is responsible for designing and implementing software solutions which take complex investment processes and bring them to life.
 Responsibilities include, but are not limited to:
* Engage with business and technology leaders to understand strategy, articulate solution options and evaluate tradeoffs
* Lead adoption of cloud\-native technology designs and solutions
* Deliver high\-quality value\-added enhancements to existing platforms
* Automate the software development, testing and deployment process
* Participate as an engaged member of an agile development team
* Collaborate with other groups including developers, DBAs, network engineers, quality assurance and third\-party vendors / consultants
* Embrace development best practices including continuous delivery, test automation, containerization
* Create and maintain documentation that is thorough, complete, and of a professional caliber
* Support production escalations with urgency
 In order to qualify:
* Degree in Computer Science or related field
* Hands\-on coding experience with Python and/or C\# .Net Core
* Collaboration mindset
* Strong, creative problem\-solving abilities
* Strong background in modern technology including design, data structures, algorithms, and object\-oriented programming, and an understanding and adherence to standard design principles
* Experience with unit testing, isolation frameworks, and behavior/domain driven development
* Technology stack development experience in: AWS Services, S3, Lambda, ALB, Cloudwatch, SNS
* Server\-side development in Python, REST APU
* Web development using Angular, React, or similar modern UI framework
 Nice to have:
* Experience with Infrastructure related services such as Linux and/or Windows
* Experience with Infra as Code framework such as Ansible, Terraform, CloudFormation
* Experience with CI/CD pipelines, with GitLab preferred
* Experience with LLM (Llama), RAG implementation
* Experience in Financial Services</t>
        </is>
      </c>
    </row>
    <row r="56">
      <c r="A56" t="inlineStr">
        <is>
          <t>li-4318546502</t>
        </is>
      </c>
      <c r="B56" t="inlineStr">
        <is>
          <t>Software Engineer, Fullstack</t>
        </is>
      </c>
      <c r="C56" t="inlineStr">
        <is>
          <t>Mercor</t>
        </is>
      </c>
      <c r="D56" t="inlineStr">
        <is>
          <t>linkedin</t>
        </is>
      </c>
      <c r="E56">
        <f>HYPERLINK("https://www.linkedin.com/jobs/view/4318546502", "https://www.linkedin.com/jobs/view/4318546502")</f>
        <v/>
      </c>
      <c r="F56" t="inlineStr"/>
      <c r="G56" t="inlineStr">
        <is>
          <t>San Francisco, CA</t>
        </is>
      </c>
      <c r="H56" t="inlineStr"/>
      <c r="I56" t="inlineStr">
        <is>
          <t>**About Mercor**
 Mercor is at the intersection of labor markets and AI research. We partner with leading AI labs and enterprises to provide the human intelligence essential to AI development.
 Our vast talent network trains frontier AI models in the same way teachers teach students: by sharing knowledge, experience, and context that can't be captured in code alone. Today, more than 30,000 experts in our network collectively earn over $2 million a day.
 Mercor is creating a new category of work where expertise powers AI advancement. Achieving this requires an ambitious, fast\-paced and deeply committed team. You’ll work alongside researchers, operators, and AI companies at the forefront of shaping the systems that are redefining society.
 Mercor is a profitable Series C company valued at $10 billion. We work in\-person five days a week in our new San Francisco headquarters.
**About The Role**
 We're looking for a product\-oriented full\-stack engineer with strong technical fundamentals and exceptional product taste. This role is ideal for someone who enjoys owning user\-facing features end\-to\-end—from idea to production—while deeply understanding the business and marketplace dynamics behind what they're building.
 You'll work on core marketplace surfaces that impact how engineers discover Mercor, apply to opportunities, complete assessments, and ultimately earn income. Success in this role requires good judgment, comfort operating in ambiguity, and the ability to ship high\-quality experiences quickly without over\-engineering.
 This is not a narrowly scoped backend or frontend role. You'll regularly work across:
**Frontend** 
 : React / Next.js, user flows, UX details, performance, and polish
**Backend** 
 : Python and Go services, APIs, data models, and integrations
**Data** 
 : MongoDB and SQL, metrics, funnel analysis, and operational correctness
 At The End Of The Process, You’ll Be Team\-matched To Where You Can Have The Most Impact, On One Of The Following
* Talent platform side – building next\-generation tools that automate recruiting end\-to\-end, intelligently match candidates to roles, and power global hiring with seamless contracts and payments.
* Applied AI/human data side – partnering with top AI researchers from the AI labs like OpenAI, Anthropic, and Google to create post training datasets to improve foundational model capabilities.
**What You’ll Do**
* Own product features end\-to\-end, from scoping and design partnership to implementation, launch, and iteration
* Build and maintain frontend experiences in React / Next.js with strong UX judgment and attention to detail
* Design and implement backend APIs and services in Python and Go that power marketplace workflows
* Model and evolve data using MongoDB and SQL, balancing correctness, flexibility, and performance
* Partner closely with Product and Design to make trade\-offs between speed, quality, and long\-term maintainability
* Develop intuition for marketplace dynamics (supply, demand, incentives, trust, activation, drop\-off) and reflect that in product decisions
* Instrument features, analyze funnels, and iterate based on real user behavior
* Raise the bar for code quality, system design, and product craftsmanship through reviews and collaboration
**What We’re Looking For**
* Product \&amp; Taste
+ Strong product intuition and UX sensibility—you care deeply about how things feel, not just whether they work
+ Ability to reason about user behavior, incentives, and marketplace dynamics
+ Comfort making product decisions when requirements are incomplete or evolving
* Technical
+ Experience building full\-stack web applications in production
+ Strong frontend experience with React / Next.js
+ Backend experience with Python and/or Go, including API design and service ownership
+ Familiarity with MongoDB and relational databases (SQL) and when to use each
+ Track record of shipping features end\-to\-end in fast\-moving environments
* Execution \&amp; Ownership
+ Bias toward action and ownership—you take responsibility for outcomes, not just tasks
+ Ability to balance speed with long\-term quality and know when "good enough" is correct
+ Clear communicator who can align technical decisions with business goals
* Nice to Have
+ Experience working on marketplaces, consumer products, or growth\-oriented platforms
+ Strong intuition for onboarding, activation, and funnel optimization
+ Experience working closely with designers and PMs in highly iterative product cycles
**Why Mercor**
* Impact: Your work powers how the world’s leading AI labs train and test their models.
* Learning: Get early insights into frontier model capabilities months before the market.
* Growth: Work on both infrastructure and research\-adjacent projects with fast paths to ownership.
**Benefits**
* Generous equity grant vested over 4 years
* A $20K relocation bonus (if moving to the Bay Area)
* A $10K housing bonus (if you live within 0\.5 miles of our office)
* A $1K monthly stipend for meals
* Free Equinox membership
* Health insurance
 Compensation Range: $130K \- $500K</t>
        </is>
      </c>
    </row>
    <row r="57">
      <c r="A57" t="inlineStr">
        <is>
          <t>li-4380325734</t>
        </is>
      </c>
      <c r="B57" t="inlineStr">
        <is>
          <t>Software Engineer / Programmer</t>
        </is>
      </c>
      <c r="C57" t="inlineStr">
        <is>
          <t>Signature Science, LLC</t>
        </is>
      </c>
      <c r="D57" t="inlineStr">
        <is>
          <t>linkedin</t>
        </is>
      </c>
      <c r="E57">
        <f>HYPERLINK("https://www.linkedin.com/jobs/view/4380325734", "https://www.linkedin.com/jobs/view/4380325734")</f>
        <v/>
      </c>
      <c r="F57" t="inlineStr"/>
      <c r="G57" t="inlineStr">
        <is>
          <t>Charlottesville, VA</t>
        </is>
      </c>
      <c r="H57" t="inlineStr"/>
      <c r="I57" t="inlineStr">
        <is>
          <t>**Position Purpose**
 The Software Engineer creates applications, configures operating systems, and tests his/her code to verify adherence to established specifications and requirements. Develops, researches, designs, implements, tests, and evaluates software and systems, in conjunction with hardware product development, that enable hardware and instrumentation to perform their applications, applying principles and techniques of computer science, engineering, and mathematical analysis. The Software Engineering supports several projects, and will develop intuitive GUIs and associated applications to enable non\-technical users to control a wide range of scientific systems, from analytical instruments, distributed sensor networks and perform automated analysis of complex datasets to provide actionable information to end users.
**Essential Duties \&amp; Responsibilities**
* Perform development efforts and work with teammates on various projects. To include working with customers to understand requirements, leading technical development, collaborating with designers to translate wireframes into applications, and integrate with back end layers/hardware interfaces.
* Develop intuitive Graphical User Interfaces (GUIs) using Qt /C\+\+.
* Configure applications on Linux variants implemented on x64 based architectures to support custom boards designed for unique applications and markets.
* Test device drivers and tools, to include touchscreen drivers, high\-speed digitizers, and calibration tools.
* Writes programs according to specifications, which may be provided by Senior Software Engineers, Systems Engineers, or other computer scientists.
* Formulates and designs software system, using scientific analysis and mathematical models to predict and measure outcome and consequences of design.
* Converts project specifications, using flowcharts and diagrams, into sequence of detailed instructions and logical steps; and codes language that can be processed by computer, applying knowledge of computer programming techniques and computer languages.
* Confers with IPT lead and customer concerned with program to resolve questions of program intent, data input, output requirements, and inclusion of internal checks and controls.
* Corrects program errors using methods such as modifying program or altering sequence of program steps.
* Identifies and suggests optimizations and features to improve hardware/software capabilities.
* Recreates steps taken by user to locate source of problem and rewrites program to correct errors.
* Analyzes, reviews, and rewrites programs to increase operating efficiency or to adapt program to new requirements.
* Compiles and writes documentation of program development and subsequent revisions.
* Writes manual for users to describe installation and operating procedures.
* Assists users to solve operating problems.
**Required Knowledge, Skills, And Abilities**
* Understanding of the development process and testing cycle including bug tracking and formal code documentation and releases.
* Analytical, diagnostic/debugging/troubleshooting, and problem\-solving skills required for integrating applications, systems, and hardware.
* Strong programming experience with C/C\+\+ and Java.
* Knowledge of Qt framework and development environment.
* Knowledge of Linux kernel and device driver development.
* Experience with database technologies (SQL etc.).
* Experience in Debian\-based Linux, specifically tailoring OS for custom boards.
* Experience with common development and repository tools (i.e. GIT, JIRA, etc.)
* Experience cross compiling of C/C\+\+ code and Java.
* Knowledge of fundamentals of Chemistry, Analytical Chemisty, and Data science.
**Education/Experience**
* BS in Computer Science, Electrical Engineering with programming focus, or equivalent.
* 3 to 5 years of experience.
**Clearance**
* Ability to obtain a U.S. DoD SECRET Security Clearance.
**Supervisory Responsibilities**
 None
**Working Conditions**
* Ability to sit at a computer for long periods of time, travel up to 25% may be necessary.
 Powered by ExactHire: 193536</t>
        </is>
      </c>
    </row>
    <row r="58">
      <c r="A58" t="inlineStr">
        <is>
          <t>li-4348855160</t>
        </is>
      </c>
      <c r="B58" t="inlineStr">
        <is>
          <t>Software Engineer, Reliability</t>
        </is>
      </c>
      <c r="C58" t="inlineStr">
        <is>
          <t>OpenAI</t>
        </is>
      </c>
      <c r="D58" t="inlineStr">
        <is>
          <t>linkedin</t>
        </is>
      </c>
      <c r="E58">
        <f>HYPERLINK("https://www.linkedin.com/jobs/view/4348855160", "https://www.linkedin.com/jobs/view/4348855160")</f>
        <v/>
      </c>
      <c r="F58" t="inlineStr"/>
      <c r="G58" t="inlineStr">
        <is>
          <t>San Francisco, CA</t>
        </is>
      </c>
      <c r="H58" t="inlineStr"/>
      <c r="I58" t="inlineStr">
        <is>
          <t>Join the engineering teams that bring OpenAI’s ideas safely to the world!!
 The Applied Engineering team works across research, engineering, product, and design to bring OpenAI’s technology to consumers and businesses. We seek to learn from deployment and distribute the benefits of AI, while ensuring that this powerful tool is used responsibly and safely. Safety is more important to us than unfettered growth.
**About The Role**
 As OpenAI continues to grow, we are looking for experienced, problem\-solving engineers to ensure our systems scale. Our success depends on our ability to quickly iterate on products while also ensuring that they are performant and reliable. You will work in a deeply iterative, collaborative, fast\-paced environment to bring our technology to millions of users around the world, and ensure it’s delivered with safety and reliability in mind. Successful candidates will play a crucial role in ensuring the reliability, scalability, and performance of our systems as we continue to expand. As a reliability expert, you will be at the forefront of maintaining and enhancing the stability, scalability, and performance of our rapidly evolving infrastructure. You will work closely with cross\-functional teams, including software engineers, product managers, and data scientists, to build and maintain resilient systems that can handle our growing user base and workload.
**In This Role, You Will**
* Design and implement solutions to ensure the scalability of our infrastructure to meet rapidly increasing demands.
* Build and maintain the load, chaos and synthetic testing software leveraged by development teams to make the systems they design and operate more reliable.
* Build and maintain automation tools to streamline repetitive tasks and improve system reliability.
* Build and maintain the platform for CPU/storage, GPU, and network lifecycle management to drive efficiency, accountability and support dynamic optimization of our resources.
* Implement fault\-tolerant and resilient design patterns to minimize service disruptions.
* Develop and maintain service level objectives (SLOs) and service level indicators (SLIs) to measure and ensure system reliability.
* Partner with researchers, engineers, product managers, and designers to bring new features and research capabilities to the world.
* Participate in an on\-call rotation to respond to critical incidents and ensure 24/7 system availability.
**You Might Thrive In This Role If You**
* Have a track record of accelerating engineering reliability by empowering your fellow engineers with excellent tooling and systems.
* Have a humble attitude, an eagerness to help your colleagues, and a desire to do whatever it takes to make the team succeed.
* Own problems end\-to\-end, and are willing to pick up whatever knowledge you're missing to get the job done.
* Enjoy seeking out and addressing bottlenecks and areas for performance improvement in our systems.
* Utilize Infrastructure as Code (IaC) principles to automate infrastructure provisioning and configuration management.
* Are experienced in collaborating with cross\-functional teams to ensure that reliability and scalability are considered in the design and development of new features and services.
**Qualifications**
* Bachelor's degree in Computer Science, Information Technology, or a related field (or equivalent work experience).
* Proven experience as an SWE focused on reliability or a similar role in a fast\-paced, rapidly scaling company.
* Strong proficiency in cloud infrastructure.
* Proficiency in programming languages.
* Experience with containerization technologies and container orchestration platforms like Kubernetes.
* Knowledge of IaC tools such as Terraform or CloudFormation.
* Excellent problem\-solving and troubleshooting skills.
* Strong communication and collaboration skills.
* Experience with observability tools such as DataDog, Prometheus, Grafana and Splunk.
* Experience with microservices architecture and service mesh technologies.
* Knowledge of security best practices in cloud environments.
 This role is exclusively based in our San Francisco HQ. We offer relocation assistance to new employees.
**About OpenAI**
 OpenAI is an AI research and deployment company dedicated to ensuring that general\-purpose artificial intelligence benefits all of humanity. We push the boundaries of the capabilities of AI systems and seek to safely deploy them to the world through our products. AI is an extremely powerful tool that must be created with safety and human needs at its core, and to achieve our mission, we must encompass and value the many different perspectives, voices, and experiences that form the full spectrum of humanity.
 We are an equal opportunity employer, and we do not discriminate on the basis of race, religion, color, national origin, sex, sexual orientation, age, veteran status, disability, genetic information, or other applicable legally protected characteristic.
 For additional information, please see OpenAI’s Affirmative Action and Equal Employment Opportunity Policy Statement.
 Background checks for applicants will be administered in accordance with applicable law, and qualified applicants with arrest or conviction records will be considered for employment consistent with those laws, including the San Francisco Fair Chance Ordinance, the Los Angeles County Fair Chance Ordinance for Employers, and the California Fair Chance Act, for US\-based candidates. For unincorporated Los Angeles County workers: we reasonably believe that criminal history may have a direct, adverse and negative relationship with the following job duties, potentially resulting in the withdrawal of a conditional offer of employment: protect computer hardware entrusted to you from theft, loss or damage; return all computer hardware in your possession (including the data contained therein) upon termination of employment or end of assignment; and maintain the confidentiality of proprietary, confidential, and non\-public information. In addition, job duties require access to secure and protected information technology systems and related data security obligations.
 To notify OpenAI that you believe this job posting is non\-compliant, please submit a report through this form. No response will be provided to inquiries unrelated to job posting compliance.
 We are committed to providing reasonable accommodations to applicants with disabilities, and requests can be made via this link.
 OpenAI Global Applicant Privacy Policy
 At OpenAI, we believe artificial intelligence has the potential to help people solve immense global challenges, and we want the upside of AI to be widely shared. Join us in shaping the future of technology.
 Compensation Range: $230K \- $490K</t>
        </is>
      </c>
    </row>
    <row r="59">
      <c r="A59" t="inlineStr">
        <is>
          <t>li-4362167757</t>
        </is>
      </c>
      <c r="B59" t="inlineStr">
        <is>
          <t>Software Engineer III, Google Cloud AI</t>
        </is>
      </c>
      <c r="C59" t="inlineStr">
        <is>
          <t>Google</t>
        </is>
      </c>
      <c r="D59" t="inlineStr">
        <is>
          <t>linkedin</t>
        </is>
      </c>
      <c r="E59">
        <f>HYPERLINK("https://www.linkedin.com/jobs/view/4362167757", "https://www.linkedin.com/jobs/view/4362167757")</f>
        <v/>
      </c>
      <c r="F59">
        <f>HYPERLINK("https://careers.google.com/jobs/results/98069444273545926-software-engineer-iii/?src=Online/LinkedIn/linkedin_us&amp;utm_source=linkedin&amp;utm_medium=jobposting&amp;utm_campaign=contract&amp;urlHash=Zh2Z", "https://careers.google.com/jobs/results/98069444273545926-software-engineer-iii/?src=Online/LinkedIn/linkedin_us&amp;utm_source=linkedin&amp;utm_medium=jobposting&amp;utm_campaign=contract&amp;urlHash=Zh2Z")</f>
        <v/>
      </c>
      <c r="G59" t="inlineStr">
        <is>
          <t>Sunnyvale, CA</t>
        </is>
      </c>
      <c r="H59" t="inlineStr"/>
      <c r="I59" t="inlineStr">
        <is>
          <t>**Minimum qualifications:**
* Bachelor’s degree or equivalent practical experience.
* 2 years of experience programming in C\+\+, Java or Python.
**Preferred qualifications:**
* Master's degree or PhD in Computer Science or related technical fields.
* 2 years of experience with performance, systems data analysis, visualization tools, or debugging.
* 2 years of experience with data structures or algorithms in either an academic or industry setting.
* Experience developing accessible technologies.
* Proficiency in code and system health, diagnosis and resolution, and software test engineering.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
 The AI and Infrastructure team works on the world’s toughest problems, redefining what’s possible and the possible easy. We empower Google customers by delivering AI and Infrastructure at unparalleled scale, efficiency, reliability and velocity. Our customers include Googlers, Googler Cloud customers, and billions of Google users worldwide. We’re at the center of amazing work at Google by being the “flywheel” that enables our advanced AI models, delivers computing power across global services, and offers platforms that developers use to build services.
 In AI and Infrastructure, we shape the future of hyperscale computing by inventing and creating world\-leading future technology, and drive global impact by contributing to Google infrastructure, from software to hardware (including building Vertex AI for Google Cloud). We work on complex technologies at a global scale with key players in the AI and systems space. Join a team of talented individuals who not only work together to keep data centers operating efficiently but also create a legacy of driving innovation by building some of the most complex systems technologies.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60">
      <c r="A60" t="inlineStr">
        <is>
          <t>li-4254451812</t>
        </is>
      </c>
      <c r="B60" t="inlineStr">
        <is>
          <t>Senior/Lead Backend Engineer</t>
        </is>
      </c>
      <c r="C60" t="inlineStr">
        <is>
          <t>Medal</t>
        </is>
      </c>
      <c r="D60" t="inlineStr">
        <is>
          <t>linkedin</t>
        </is>
      </c>
      <c r="E60">
        <f>HYPERLINK("https://www.linkedin.com/jobs/view/4254451812", "https://www.linkedin.com/jobs/view/4254451812")</f>
        <v/>
      </c>
      <c r="F60">
        <f>HYPERLINK("https://jobs.ashbyhq.com/medal/7041bda9-d6a3-45aa-a189-29aafcd32dab/application?utm_source=LinkedInPaid&amp;urlHash=uBWj", "https://jobs.ashbyhq.com/medal/7041bda9-d6a3-45aa-a189-29aafcd32dab/application?utm_source=LinkedInPaid&amp;urlHash=uBWj")</f>
        <v/>
      </c>
      <c r="G60" t="inlineStr">
        <is>
          <t>New York, NY</t>
        </is>
      </c>
      <c r="H60" t="inlineStr"/>
      <c r="I60" t="inlineStr">
        <is>
          <t>**About Medal**
 Medal is the world’s largest and fastest\-growing platform for gaming clips, where millions of gamers capture, share, and relive their best moments. Every year, our players record billions of clips, each representing a unique, action\-packed highlight. We’re building the next generation of gaming communities — social, monetized, and creator\-powered. Our mission is to design products that make sharing, discovering, and connecting around gaming moments seamless and fun.
 We raised a seed round of $133M from General Catalyst and Khosla to discover the next generation of intelligence.
 The Role
 Medal’s backend powers everything from real\-time in\-app communications and storage of billions of user\-generated clips, to our ML\-based feed and social features. We’re looking for a
 **Senior or Lead Backend Engineer** 
 to help us scale and evolve this infrastructure as we grow.
 In this role, you'll work closely with product, infra, and data teams to architect and build highly scalable, low\-latency systems. You'll help design critical APIs, evolve our backend infrastructure, mentor other engineers, and drive technical decisions that impact millions of users.
 If you love building resilient systems, thinking about architecture at scale, and want to work on a product that blends gaming, content, and community—this role is for you.
 You Will
* Design and develop backend systems and REST APIs that serve millions of users and billions of clips
* Own features end\-to\-end: from design and architecture through implementation and deployment
* Work closely with cross\-functional teams across product, ML, and mobile to build cohesive experiences
* Scale our systems to support growth in users, content volume, and features
* Lead engineering projects, drive architectural decisions, and mentor junior and mid\-level backend engineers
* Help maintain our cloud infrastructure and CI/CD pipelines
* Optimize databases, APIs, and services for performance, scalability, and cost
* Contribute to technical strategy, roadmap, and team\-wide best practices
 You Need
* 5\+ years of backend engineering experience, with significant time in production environments
* Strong proficiency in Java and hands\-on experience building scalable microservices
* Deep understanding of RESTful API design and distributed systems
* Experience with relational databases like MySQL or PostgreSQL (including performance tuning and schema design)
* Experience building systems that handle thousands of requests per second
* Comfort with cloud infrastructure (GCP or AWS preferred), CI/CD, and infrastructure as code
* Strong grasp of system design, architectural patterns, and security best practices
* Strong communication and leadership skills, with the ability to drive cross\-team projects
 Bonus Points
* Experience with Redis, RabbitMQ, or other message brokers and caching systems
* Familiarity with Terraform, Docker, Kubernetes, and modern DevOps practices
* Experience with observability tools and performance monitoring
* Exposure to ElasticSearch, BigQuery, or other data warehouse tools
* Contributions to open\-source projects
* A passion for games and gaming communities
 Our Stack
* Backend: Java, Redis, RabbitMQ, Kubernetes, Terraform
* Cloud: Google Cloud Platform, AWS
* Frontend: Electron, React, Redux
* Native: C\#, C\+\+, Swift, Kotlin
* CI/CD \&amp; Infra: GitHub Actions, CircleCI, Salt, Docker
**Benefits**
* Competitive salary and meaningful equity
* Comprehensive health insurance including dental and vision insurance
* 401k
 Why Join Us
 At Medal, you’ll have the autonomy to make an impact from Day 1\. You’ll join a team that values humility, curiosity, and momentum—and you’ll help shape the future of how gamers share and connect around the moments that matter most.
 Compensation Range: $180K \- $275K</t>
        </is>
      </c>
    </row>
    <row r="61">
      <c r="A61" t="inlineStr">
        <is>
          <t>li-4378181096</t>
        </is>
      </c>
      <c r="B61" t="inlineStr">
        <is>
          <t>Software Developer 3</t>
        </is>
      </c>
      <c r="C61" t="inlineStr">
        <is>
          <t>Oracle</t>
        </is>
      </c>
      <c r="D61" t="inlineStr">
        <is>
          <t>linkedin</t>
        </is>
      </c>
      <c r="E61">
        <f>HYPERLINK("https://www.linkedin.com/jobs/view/4378181096", "https://www.linkedin.com/jobs/view/4378181096")</f>
        <v/>
      </c>
      <c r="F61">
        <f>HYPERLINK("https://eeho.fa.us2.oraclecloud.com/hcmUI/CandidateExperience/en/job/328024/?utm_medium=jobboard&amp;utm_source=LinkedIn&amp;urlHash=T9ZM", "https://eeho.fa.us2.oraclecloud.com/hcmUI/CandidateExperience/en/job/328024/?utm_medium=jobboard&amp;utm_source=LinkedIn&amp;urlHash=T9ZM")</f>
        <v/>
      </c>
      <c r="G61" t="inlineStr"/>
      <c r="H61" t="inlineStr"/>
      <c r="I61" t="inlineStr">
        <is>
          <t>**Job Description**
 Oracle Cloud Infrastructure (OCI) can provide you the opportunity to build and operate a suite of massive\-scale, integrated cloud services in a broadly distributed, multi\-tenant cloud environment. OCI is committed to providing the best in cloud products that meet the needs of our customers who are tackling some of the world's biggest challenges. OCI AI Infrastructure is at the forefront of building cutting\-edge, ultra\-high\-performance GPU cluster\-based Data Centers designed to support AI/ML/HPC workloads. This is your chance to be part of the AI revolution, creating systems that allow customers to scale from tens to thousands of GPUs without compromising performance.
 As part of the Data Center Delivery Engineering organization at OCI, our team is responsible for building software services and tools to accelerate the process by which OCI grows its compute and network capacity—including critical scaling initiatives like the Stargate Project. The service will address all aspects of the Data Center and its Physical Assets lifecycle, from planning and design, to delivery and, eventually, decommissioning.
 Our goal is to scale up the process to meet high capacity demands from our large and hyperscale customers. As a Senior Software Engineer (IC3\), you will take ownership of designing, developing, and debugging software applications and highly reliable microservices. From a technology perspective, this is a greenfield development environment with a huge amount of autonomy, allowing you to build and innovate freely while integrating with existing systems through well\-established contracts.
**Responsibilities**
* Software Development: Design, implement, and operate scalable, reliable, and performant distributed systems and cloud services.
* End\-to\-End Ownership: Take ownership of specific software components through the entire product life cycle, from ground\-up development to deployment, operation, and maintenance.
* Operational Excellence: Balance speed and quality with iterative and incremental improvements. Instill a culture of proactivity and operational excellence within the engineering team.
* Collaboration \&amp; Integration: Work independently on complex tasks while collaborating closely with your team to integrate smoothly with existing data center workflows and external partner services.
* Technical Contributions: Participate in code reviews, contribute to architectural discussions, and help mentor junior developers.
**Basic Qualifications**
* Bachelor's degree in Computer Science, Engineering, or a related technical field.
* 5\+ years of hands\-on software development experience.
* Proficient in high\-level programming languages such as Java, Python, Go, or C\+\+.
* Experienced with microservice design patterns, service\-to\-service communication protocols, and developing highly reliable services.
* Strong experience in distributed systems with a keen eye for reliability, scalability, and performance.
* Ability to deliver products from the ground up, navigating the full software development lifecycle.
**Preferred Qualifications**
* Prior hands\-on experience developing cloud services and tools on Oracle Cloud, AWS, GCP, or Azure.
* Master's degree in Computer Science.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$79,200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62">
      <c r="A62" t="inlineStr">
        <is>
          <t>li-4378172966</t>
        </is>
      </c>
      <c r="B62" t="inlineStr">
        <is>
          <t>Senior Software Engineer, Robotic Applications</t>
        </is>
      </c>
      <c r="C62" t="inlineStr">
        <is>
          <t>Atomic Machines</t>
        </is>
      </c>
      <c r="D62" t="inlineStr">
        <is>
          <t>linkedin</t>
        </is>
      </c>
      <c r="E62">
        <f>HYPERLINK("https://www.linkedin.com/jobs/view/4378172966", "https://www.linkedin.com/jobs/view/4378172966")</f>
        <v/>
      </c>
      <c r="F62" t="inlineStr"/>
      <c r="G62" t="inlineStr">
        <is>
          <t>Emeryville, CA</t>
        </is>
      </c>
      <c r="H62" t="inlineStr"/>
      <c r="I62" t="inlineStr">
        <is>
          <t>Atomic Machines is ushering in a new era of micromanufacturing with its Matter Compiler™ technology. This full\-stack technology enables new classes of micromachines to be designed and built by offering manufacturing processes and a materials library that is inaccessible to semiconductor manufacturing methods. It promises to unlock MEMS manufacturing for the many device classes frustrated by semiconductor methods and to open up entirely new product classes. The Matter Compiler™ technology fully realizes the digital manufacturing dream: bits and raw materials go in, and complete, functional micromachines come out. The Atomic Machines team has also created an exciting first device—one that was only made possible by the existence of the Matter Compiler™ technology—that we will be unveiling to the world soon.
 Our offices are in Emeryville and Santa Clara, California.
**About The Role:** 
 As a Senior Software Engineer, Robotic Applications, you will design and build the distributed software system that controls the Matter Compiler. You'll have the chance to work across layers of the stack, abstracting low\-level device interfaces into high\-level automation APIs. One sprint, you might be designing system behavior with a mechanical engineer; the next, you could be bringing up and integrating complex electromechanical systems.
 You'll be joining a fast\-paced, interdisciplinary environment where teams collaborate closely—including modeling and simulation, materials science, process development, electrical engineering, and mechanical engineering—as we bring truly novel technology to life.
 This role is based in either our Santa Clara or Emeryville office and is well\-suited to an engineer with strong fundamentals, curiosity, and a drive to develop systems\-level thinking.
**What You'll Do** 
* Write, operate, and debug software and firmware for complex robotics with hard real\-time constraints.
* Design and operate software that coordinates state, timing, and failure recovery across a distributed network of devices
* Work hands\-on with manufacturing robotics and design software to coordinate a distributed network of devices.
* Work at multiple levels of the software stack—you'll design and implement a networked API and debug it down to the hardware.
**What You'll Need** 
* 5\+ years of industry experience developing software that interfaces with hardware
* Multi\-language programming fluency—ability to code fluently in multiple languages at multiple levels of the stack (our robotics engineers primarily use C\+\+ and Python; knowledge of Go is a bonus)
* Deep and broad understanding of how computers work (our work involves a variety of processors and computing environments at multiple levels of the stack)
* Familiarity with robotics\-adjacent systems (sensors, actuators, timing constraints, physical failure modes)
* Experience designing, building, and shipping complex software systems that control hardware as part of a team
* Experience with version control and working on Linux machines
* A first\-principles mindset — you question assumptions, reframe problems from the ground up, and approach challenges with a foundational understanding rather than relying solely on precedent.
* Bachelor of Science in Computer Science, Computer Engineering, Electrical Engineering, Mechatronics Engineering, Mechanical Engineering, Robotics, or a related field
**Bonus Points For** 
* Experience or interest in heterogeneous, distributed computing architectures
* Experience in abstracting the control of manufacturing machines, material transport systems, and factory\-level orchestration
* Experience with instrumenting software for observability and debugging</t>
        </is>
      </c>
    </row>
    <row r="63">
      <c r="A63" t="inlineStr">
        <is>
          <t>li-4342205068</t>
        </is>
      </c>
      <c r="B63" t="inlineStr">
        <is>
          <t>Senior .NET Software Developer</t>
        </is>
      </c>
      <c r="C63" t="inlineStr">
        <is>
          <t>U-Haul</t>
        </is>
      </c>
      <c r="D63" t="inlineStr">
        <is>
          <t>linkedin</t>
        </is>
      </c>
      <c r="E63">
        <f>HYPERLINK("https://www.linkedin.com/jobs/view/4342205068", "https://www.linkedin.com/jobs/view/4342205068")</f>
        <v/>
      </c>
      <c r="F63">
        <f>HYPERLINK("https://uhaul.wd1.myworkdayjobs.com/UhaulJobs/job/Phoenix-Arizona/Senior-NET-Software-Developer_R231914/apply?source=LinkedIn&amp;urlHash=wk84", "https://uhaul.wd1.myworkdayjobs.com/UhaulJobs/job/Phoenix-Arizona/Senior-NET-Software-Developer_R231914/apply?source=LinkedIn&amp;urlHash=wk84")</f>
        <v/>
      </c>
      <c r="G63" t="inlineStr">
        <is>
          <t>Phoenix, AZ</t>
        </is>
      </c>
      <c r="H63" t="inlineStr"/>
      <c r="I63" t="inlineStr">
        <is>
          <t>This position is 100% remote, but you must reside in the U.S.
 U\-Haul is searching for a talented Senior Software Developer to join our team. Come join a stable and ever\-expanding IT organization to be part of the quest to elevate us to the next level.
**About The Job**
 The position is with a software development team that develops and maintains a suite of tier one, mission critical enterprise applications and services used by numerous U\-Haul business teams and thousands of U\-Haul field locations. Every member of the team makes important contributions which have a direct and significant impact on U\-Haul’s business operations.
**About You**
 We are looking for a full\-stack software developer who is highly skilled in the ability to apply critical thinking and structured programming fundamentals to real world problems. U\-Haul uses the Microsoft development stack (e.g., C\#, MVC, SQL, Entity Framework, HTML 5, CSS, Blazor, Web API, jQuery, ASP.NET, and T\-SQL), along with non\-Microsoft supporting technologies (like Apache Kafka, SPAs, Reddis, etc.) to solve its business problems. We do this through technologies such as web apps and web APIs, and various types of backend persistence, including SQL.
**The primary roles and responsibilities of this position include the following:**
* Writes code that is easily maintainable, highly reliable and demonstrates knowledge of common programming best practices.
* Becomes the owner, subject matter expert (SME), and technical lead for individual applications, architecture initiatives, high risk/complexity features.
* Starting with higher level business and technical requirements, independently estimates and breaks down the work.
* Interfaces directly with business stakeholders (business units) or members of other development teams for work item scoping and clarification, communication of status, etc.
* Advanced troubleshooting and problem solving, spanning software, systems and databases. Use a wide array of tools and techniques to identify the root cause and implement robust technical solutions.
* Serve as a technical lead: mentor, train and support other software developers, perform design \&amp; code reviews.
* Excellent technical judgement and decision making. Effectively prioritizes and works through problems which are ambiguous, have incomplete specifications and are complex in nature.
* Completes assigned tasks and project work with minimal oversight or direct supervision.
* Respond quickly and effectively to production issues and taking responsibility for seeing those issues through resolution.
**Why Should You Apply?**
* Competitive compensation
* Latest technologies
* Team that emphasizes collaboration
* Positive team culture founded by team self\-organization principles
**Experience/Education/Training**
* 6\+ years of professional software development experience
* Bachelor's degree in computer science or related field
* Must be a U.S. citizen or have proof of U.S. employment authorization for this position.
**About U\-Haul IT Team**
 U\-Haul is heavily investing in transforming our applications and reporting systems to a hybrid cloud architecture model. The company culture is one of high team\-orientation, that loves to dig in and learn new technologies and help teammates be the best they can by constant learning, coaching and process improvement.
**Perks Of Joining The U\-Haul Fleet**
 Get your career moving with a company who empowers team members to the healthiest version of themselves! We provide robust wellness benefits, events, and resources to help team members becomes the happiest and healthiest they can be.
**Here are just some of the programs U\-Haul has available:**
* Full Medical coverage
* Prescription plans
* Dental \&amp; Vision Plans
* Registered Dietitian Program
* Weight Watchers
* Onsite medical clinic for you and your family
* Career stability
* Opportunities for advancement
* Valuable on\-the\-job training
* Tuition reimbursement program
* Free online courses for personal and professional development at U\-Haul University®
* Business and travel insurance
* You Matter Employee Assistance Program
* Paid holidays, vacation, and sick days
* Employee Stock Ownership Plan (ESOP)
* 401(k) Savings Plan
* Life insurance
* Critical Illness/Group Accident
* 24\-hour physician available for kids
* Subsidized gym/ membership
* MetLaw Legal program
* MetLife auto and home insurance
* Mindset App Program
* Discounts on cell phone plans, hotels, and more
* LifeLock identity Theft
* Savvy consumer wellness programs\- from health care tips to financial wellness
* Dave Ramsey’s SmartDollar Program
* U\-Haul Federal Credit Union
* Salary range: $90,000\-$120,000 annually depending on experience</t>
        </is>
      </c>
    </row>
    <row r="64">
      <c r="A64" t="inlineStr">
        <is>
          <t>li-4378172270</t>
        </is>
      </c>
      <c r="B64" t="inlineStr">
        <is>
          <t>Software Developer 3</t>
        </is>
      </c>
      <c r="C64" t="inlineStr">
        <is>
          <t>Oracle</t>
        </is>
      </c>
      <c r="D64" t="inlineStr">
        <is>
          <t>linkedin</t>
        </is>
      </c>
      <c r="E64">
        <f>HYPERLINK("https://www.linkedin.com/jobs/view/4378172270", "https://www.linkedin.com/jobs/view/4378172270")</f>
        <v/>
      </c>
      <c r="F64" t="inlineStr"/>
      <c r="G64" t="inlineStr">
        <is>
          <t>Austin, TX</t>
        </is>
      </c>
      <c r="H64" t="inlineStr"/>
      <c r="I64" t="inlineStr">
        <is>
          <t>**Job Description**
 Design, develop, troubleshoot and debug software programs for databases, applications, tools, networks etc.Oracle Cloud Infrastructure (OCI) can provide you the opportunity to build and operate a suite of massive\-scale, integrated cloud services in a broadly distributed, multi\-tenant cloud environment. OCI is committed to providing the best in cloud products that meet the needs of our customers who are tackling some of the world's biggest challenges. OCI AI Infrastructure is at the forefront of building cutting\-edge, ultra\-high\-performance GPU cluster\-based Data Centers designed to support AI/ML/HPC workloads. This is your chance to be part of the AI revolution, creating systems that allow customers to scale from tens to thousands of GPUs without compromising performance.
 As part of the Data Center Delivery Engineering organization at OCI, our team is responsible for building software services and tools to accelerate the process by which OCI grows its compute and network capacity—including critical scaling initiatives like the Stargate Project. The service will address all aspects of the Data Center and its Physical Assets lifecycle, from planning and design, to delivery and, eventually, decommissioning.
 Our goal is to scale up the process to meet high capacity demands from our large and hyperscale customers. As a Senior Software Engineer (IC3\), you will take ownership of designing, developing, and debugging software applications and highly reliable microservices. From a technology perspective, this is a greenfield development environment with a huge amount of autonomy, allowing you to build and innovate freely while integrating with existing systems through well\-established contracts.
**Responsibilities**
* Software Development: Design, implement, and operate scalable, reliable, and performant distributed systems and cloud services.
* End\-to\-End Ownership: Take ownership of specific software components through the entire product life cycle, from ground\-up development to deployment, operation, and maintenance.
* Operational Excellence: Balance speed and quality with iterative and incremental improvements. Instill a culture of proactivity and operational excellence within the engineering team.
* Collaboration \&amp; Integration: Work independently on complex tasks while collaborating closely with your team to integrate smoothly with existing data center workflows and external partner services.
* Technical Contributions: Participate in code reviews, contribute to architectural discussions, and help mentor junior developers.
**Basic Qualifications**
* Bachelor's degree in Computer Science, Engineering, or a related technical field.
* 5\+ years of hands\-on software development experience.
* Proficient in high\-level programming languages such as Java, Python, Go, or C\+\+.
* Experienced with microservice design patterns, service\-to\-service communication protocols, and developing highly reliable services.
* Strong experience in distributed systems with a keen eye for reliability, scalability, and performance.
* Ability to deliver products from the ground up, navigating the full software development lifecycle.
**Preferred Qualifications**
* Prior hands\-on experience developing cloud services and tools on Oracle Cloud, AWS, GCP, or Azure.
* Master's degree in Computer Science.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$79,200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65">
      <c r="A65" t="inlineStr">
        <is>
          <t>li-4370493507</t>
        </is>
      </c>
      <c r="B65" t="inlineStr">
        <is>
          <t>Software Engineer II - Platform API</t>
        </is>
      </c>
      <c r="C65" t="inlineStr">
        <is>
          <t>The Trade Desk</t>
        </is>
      </c>
      <c r="D65" t="inlineStr">
        <is>
          <t>linkedin</t>
        </is>
      </c>
      <c r="E65">
        <f>HYPERLINK("https://www.linkedin.com/jobs/view/4370493507", "https://www.linkedin.com/jobs/view/4370493507")</f>
        <v/>
      </c>
      <c r="F65">
        <f>HYPERLINK("https://job-boards.greenhouse.io/thetradedesk/jobs/5043167007?gh_src=1c01b2067us&amp;urlHash=A07K", "https://job-boards.greenhouse.io/thetradedesk/jobs/5043167007?gh_src=1c01b2067us&amp;urlHash=A07K")</f>
        <v/>
      </c>
      <c r="G65" t="inlineStr">
        <is>
          <t>Seattle, WA</t>
        </is>
      </c>
      <c r="H65" t="inlineStr"/>
      <c r="I65" t="inlineStr">
        <is>
          <t>**What we do:**
 Our Software Engineers are end\-to\-end owners who have the opportunity to participate in many aspects of designing, building, and delivering data\-focused products for our stakeholders.
 At The Trade Desk, we believe in building the backend infrastructure of our platform with a focus on quality at scale. Whether we are building parts of our client\-facing applications, internal custom solutions for our own team members, or model pipelines for bidding optimizations, we are making sure that we have infrastructure, development, and tools to do it right and efficiently.
 Our system performs every day, 24/7, serving global traffic. We build a distributed system in a highly collaborative environment, utilizing a broad range of technologies. Our backend developers work on finding solutions to algorithmic, optimization, and scale challenges in everything we do.
**What you’ll do:**
 Some of the work that you will be doing to help us deliver on our mission is:
* Design, build, deliver, and own full lifecycle development software from inception to production
* Demonstrate a firm grasp of the entire software development lifecycle
* Drive complex changes involving multiple components
* Deliver quality changes, including automated tests, metrics, and monitoring
* Collaborate with team members to deliver features
* Guide and review changes to product features in line with product roadmaps
* Implement and maintain product features
* Validate changes to ensure high quality product releases
* Work in a distributed system environment
* Understand the business objectives behind the code
* Understand system architecture fundamentals through self\-directed learning
* Lead others through example, mentorship, teaching, and/or participate in hiring activities
 We are a global team with different backgrounds, experiences, and perspectives. To complement this team, you will welcome ideas that are different from your own and be well\-versed in building from common ground to value, seek out, and foster invisible and visible dimensions of diversity.
**Who you are:**
 Our culture is much deeper than just having fun together (though we do that well, too). We take pride in our engineers being trust\-builders, generous givers, scrappy problem solvers, and gritty pursuers of excellence. You do not have to meet all the requirements below, but we believe that people who meet most of them will have a higher likelihood of succeeding in this role:
* You are comfortable working on an agile, distributed team spanning multiple time zones and continents.
* You are able to communicate effectively across both technical and non\-technical audiences.
* You have a solid understanding of computer science and engineering fundamentals.
* You have experiences working with distributed systems.
* You are proficient in one or more of the following programming languages: C\#, Java, C, C\+\+, Python, SQL, or Scala.
* You have some knowledge of software development code editors: Visual Studio, Visual Studio Code, Rider, and version control systems (Git, Perforce).
* You have 4\+ years of software development engineering experience.
* You have a Bachelor’s/Master’s level degree in computer science or relevant engineering\-related field or equivalent experience. Not everyone has the same level of access to opportunities. What is most important to us is what and how you can contribute, which is why our consideration is not limited by the level of education you have.
* You have additional nice\-to\-have experience in the following areas: database engines (Microsoft SQL Server, Postgres, Aerospike, Vertica, Redis), building micro\-services, operating systems and cloud, Kubernetes, Kafka.
 A variety of technical opportunities is one of the best things about working at The Trade Desk as a software engineer, which is why we do not expect you to know every technology we use when you start. What we care about is that you can learn quickly and find solutions to complex problems using the optimum tools for the job. What you know is less important than how well you learn and innovate. We are not seeking engineers who know all the answers; we need engineers who can invent answers no one has thought of yet and find answers to the questions yet to be asked.
**CO, CA, IL, NY, WA, and Washington DC residents only:** 
 In accordance with CO, CA, IL, NY, WA, and Washington DC law, the range provided is The Trade Desk's reasonable estimate of the base compensation for this role. The actual amount may differ based on non\-discriminatory factors such as experience, knowledge, skills, abilities, and location. All employees may be eligible to become The Trade Desk shareholders through eligibility for stock\-based compensation grants, which are awarded to employees based on company and individual performance. The Trade Desk also offers other compensation depending on the role such as variable compensation\-based incentives and commissions. Plus, expected benefits for this role include comprehensive healthcare (medical, dental, and vision) with premiums paid in full for employees and dependents, retirement benefits such as a 401k plan and company match, short and long\-term disability coverage, basic life insurance, well\-being benefits, reimbursement for certain tuition expenses, parental leave, sick time of 1 hour per 30 hours worked, vacation time for full\-time employees up to 120 hours thru the first year and 160 hours thereafter, and around 13 paid holidays per year. Employees can also purchase The Trade Desk stock at a discount through The Trade Desk’s Employee Stock Purchase Plan.
 The Trade Desk also offers a competitive benefits package. Click here to learn more.
**Note:** 
 Interns are not eligible for variable incentive awards such as stock\-based compensation, retirement plan, vacation, tuition reimbursement or parental leave
 At the Trade Desk, Base Salary is one part of our competitive total compensation and benefits package and is determined using a salary range. The base salary range for this role is
 $103,200—$189,200 USD
 As an Equal Opportunity Employer, The Trade Desk is committed to creating an inclusive hiring experience where everyone has the opportunity to thrive.
 Please reach out to us at accommodations@ thetradedesk. com to request an accommodation or discuss any accessibility needs you may require to access our Company Website or navigate any part of the hiring process.
 When you contact us, please include your preferred contact details and specify the nature of your accommodation request or questions. Any information you share will be handled confidentially and will not impact our hiring decisions.</t>
        </is>
      </c>
    </row>
    <row r="66">
      <c r="A66" t="inlineStr">
        <is>
          <t>li-4379707511</t>
        </is>
      </c>
      <c r="B66" t="inlineStr">
        <is>
          <t>Software Engineer II</t>
        </is>
      </c>
      <c r="C66" t="inlineStr">
        <is>
          <t>Microsoft</t>
        </is>
      </c>
      <c r="D66" t="inlineStr">
        <is>
          <t>linkedin</t>
        </is>
      </c>
      <c r="E66">
        <f>HYPERLINK("https://www.linkedin.com/jobs/view/4379707511", "https://www.linkedin.com/jobs/view/4379707511")</f>
        <v/>
      </c>
      <c r="F66" t="inlineStr"/>
      <c r="G66" t="inlineStr">
        <is>
          <t>Redmond, WA</t>
        </is>
      </c>
      <c r="H66" t="inlineStr"/>
      <c r="I66" t="inlineStr">
        <is>
          <t>**Overview**
 Microsoft is a company where innovators come to collaborate, envision what can be, and take their careers to levels they cannot achieve anywhere else. This is a world of more possibilities, more innovation, and more openness in a cloud\-enabled world.
 The Business \&amp; Industry Copilots group is a rapidly growing organization responsible for Microsoft Dynamics 365, Power Apps, Power Automate, Dataverse, AI Builder, Microsoft Industry Solutions, and more. Microsoft is considered one of the leaders in Software as a Service in the realm of business applications, and this organization is at the core of how business applications are designed and delivered.
 We are looking for a Software Engineer II to join our team! This is an exciting time to join our group and work on something highly strategic within Microsoft. Microsoft Dataverse is the platform to securely store an enormous amount of data in a cost\-efficient, scalable, and manageable way. This team builds a suite of microservices to get near real\-time insights over your data.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Design and implement secure, scalable, and resilient cloud services and enterprise data platforms powering mission‑critical Dataverse Runtime workflows.
* Develop features and enhancements for Dataverse Runtime services with reliability, performance, compliance, and accessibility practices.
* Collaborate with other engineers and cross‑functional partners to influence technical direction and deliver end‑to‑end solutions across services and data pipelines.
* Build automation for deployment, monitoring, issue detection, and diagnosis to reduce operational overhead and improve live‑site success.
* Identify and resolve recurring issues or trends; drive resiliency improvements through observability, diagnostics, and recovery strategies.
* Participate in live‑site operations, including alert tuning, production fixes, and preventive engineering to protect customer experience.
* Engage in code reviews, share knowledge, and demonstrate best practices; continually learn and refine engineering processes to meet evolving enterprise needs.
* Contribute to transforming Microsoft Dataverse to enable agentic AI experiences—building runtime capabilities, data contracts, and service patterns that support autonomous workflows, guardrails, and safe orchestration.
 Embody our culture and values.
**Qualifications**
**Required Qualifications:**
* Bachelor's Degree in Computer Science or related technical field AND 2\+ years technical engineering experience with coding in languages including, but not limited to, C, C\+\+, C\#, Java, JavaScript, or Python
+ OR equivalent experience.
* 1\+ year of experience with Azure services, microservices architecture, and CI/CD pipelines.
* 1\+ year of experience with security, compliance, and accessibility standards.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 OR equivalent experience.
* Experience in agentic AI technologies and workflows, including building systems that enable autonomous decision\-making, orchestration, and safe execution of AI\-driven processes within enterprise environments.
* Proficiency in Python for automation, data processing, or integration with cloud services.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7">
      <c r="A67" t="inlineStr">
        <is>
          <t>li-4380303897</t>
        </is>
      </c>
      <c r="B67" t="inlineStr">
        <is>
          <t>Fullstack Software Engineer</t>
        </is>
      </c>
      <c r="C67" t="inlineStr">
        <is>
          <t>Wiraa</t>
        </is>
      </c>
      <c r="D67" t="inlineStr">
        <is>
          <t>linkedin</t>
        </is>
      </c>
      <c r="E67">
        <f>HYPERLINK("https://www.linkedin.com/jobs/view/4380303897", "https://www.linkedin.com/jobs/view/4380303897")</f>
        <v/>
      </c>
      <c r="F67" t="inlineStr"/>
      <c r="G67" t="inlineStr"/>
      <c r="H67" t="inlineStr"/>
      <c r="I67" t="inlineStr">
        <is>
          <t>**About The Company**
 Aeroflow Health is a pioneering organization dedicated to transforming the home medical equipment industry through innovative technology and patient\-centric solutions. Comprising a team of creative and talented associates, Aeroflow has established itself as a leader in the healthcare sector, recognized for rapid growth and excellence. The company is committed to leveraging cutting\-edge delivery platforms, AI\-assisted workflows, and modern engineering practices to enhance patient experiences and operational efficiency. As a member of Inc. 5000’s list of fastest\-growing companies in the United States, Aeroflow continues to expand its impact while fostering a collaborative and inclusive workplace culture. The organization values craftsmanship, experimentation, and high ownership, ensuring that its software solutions deliver meaningful outcomes for patients and internal stakeholders alike.
**About The Role**
 The Fullstack Software Engineer (Special Projects Team) at Aeroflow Health is a remote, full\-time position designed for a technically skilled professional eager to work on high\-impact, greenfield projects. This role involves designing, developing, and maintaining scalable fullstack applications and microservices within a cloud\-native AWS environment. The engineer will utilize modern tools such as React, TypeScript, Node.js, Next.js, and AI\-assisted coding workflows to accelerate development while ensuring high quality and maintainability. The position offers an opportunity to contribute to innovative solutions that directly influence patient care and operational workflows. The engineer will collaborate closely with stakeholders, product teams, and other engineers to translate complex business challenges into pragmatic technical solutions, supporting the company’s mission to improve healthcare delivery through technology.
**Qualifications**
* 3\+ years of fullstack engineering experience
* Proficiency in React, TypeScript, and Node.js
* Experience with Next.js is a plus
* Proven track record of designing and building production\-grade fullstack applications
* Understanding of microservices architecture, especially in serverless AWS environments
* Experience with AWS services such as Lambda, SNS, SQS, DynamoDB, RDS, S3, and CloudFront
* Support and debugging experience in high\-volume production systems
* Familiarity with Git, Jira, and system/network administration
* Experience with infrastructure\-as\-code tools like Pulumi, Terraform, or CloudFormation
* Bachelor’s degree in Computer Science or related field preferred (not mandatory)
* Experience with AI\-assisted coding tools (e.g., Cursor, Claude Code, Codex) in responsible workflows
**Responsibilities**
* Architect, design, and develop scalable fullstack applications and microservices with long\-term maintainability in mind
* Create modular, serverless microservices within a cloud\-native AWS environment
* Utilize AI\-assisted coding tools responsibly to enhance development speed and quality
* Participate in ideation sessions, rapid prototyping, and technical solutioning for ambiguous business problems
* Collaborate with cross\-functional teams including stakeholders, designers, product owners, and engineers to deliver impactful software solutions
* Write clean, well\-documented, and testable code supporting rapid iteration cycles
* Build and maintain unit and integration tests to ensure code quality
* Debug, troubleshoot, and resolve production issues with ownership and accountability
* Implement and optimize CI/CD pipelines to facilitate fast and secure deployments
* Support infrastructure as code using tools like sst.dev, Pulumi, or Terraform
* Monitor, maintain, and optimize applications in high\-volume production environments
* Stay current with emerging tools, AI workflows, and modern engineering practices, sharing best practices across teams
* Contribute to the development of reusable tooling, frameworks, and internal accelerators
* Ensure compliance with relevant laws, regulations, and policies as part of job responsibilities
**Benefits**
* Competitive salary and comprehensive health plans with FSA or HSA options
* Dental and vision insurance coverage
* Optional life insurance
* 401(k) plan with company match
* Parental leave: 12 weeks for birthing parents and 4 weeks for non\-birthing parents
* Additional parental benefits including fertility stipends, free diapers, and breast pump support
* Paid holidays and PTO accrual from day one
* Employee Assistance Programs and wellness initiatives
* Opportunities for professional growth and development in a supportive environment
* Recognition and awards such as Family Forward Certified, Great Place to Work, and others
 Equal Opportunity
 Aeroflow Health is an equal opportunity employer committed to fostering an inclusive workplace environment. We prohibit discrimination and harassment based on race, color, sex, religion, sexual orientation, national origin, disability, genetic information, pregnancy, or any other protected characteristic under federal, state, or local laws. We value diversity and are dedicated to providing equal employment opportunities to all qualified applicants. All employment decisions are made based on merit, qualifications, and business needs. We encourage candidates from diverse backgrounds to apply and join our mission to improve healthcare through innovative technology and dedicated service.</t>
        </is>
      </c>
    </row>
    <row r="68">
      <c r="A68" t="inlineStr">
        <is>
          <t>li-4380374200</t>
        </is>
      </c>
      <c r="B68" t="inlineStr">
        <is>
          <t>Associate Software Engineer (C#, .NET, React)</t>
        </is>
      </c>
      <c r="C68" t="inlineStr">
        <is>
          <t>Fullsteam</t>
        </is>
      </c>
      <c r="D68" t="inlineStr">
        <is>
          <t>linkedin</t>
        </is>
      </c>
      <c r="E68">
        <f>HYPERLINK("https://www.linkedin.com/jobs/view/4380374200", "https://www.linkedin.com/jobs/view/4380374200")</f>
        <v/>
      </c>
      <c r="F68" t="inlineStr"/>
      <c r="G68" t="inlineStr"/>
      <c r="H68" t="inlineStr"/>
      <c r="I68" t="inlineStr">
        <is>
          <t>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
 RICS Software, part of the Fullsteam organization, is a POS and Inventory Control platform for footwear, apparel, and accessory retailers as well as single\-store, multi\-store, and franchises. RICS provides easy to implement, learn, and use Point Of Sale, Inventory Management, and Reporting tools, as well as full\-service on\-boarding and live support 7 days a week. Using the RICS solution empowers retailers to make smarter buying, inventory, and selling decisions. RICS also helps retailers save time, spend less, and sell more. RICS integrates with other systems to enable retailers to grow their businesses, such as e\-Commerce, accounting, open\-to\-buy, and product catalog data (SKU's, images, UPC's, descriptions, etc.). Additionally, RICS offers a downloadable Mobile POS App for off\-site use, and anywhere in\-store.
 The Associate Software Engineer contributes to the design, development, and delivery of high‑quality software solutions that enhance client acquisition, retention, and overall product value. This early‑career role is designed for engineers who are eager to build strong technical fundamentals while working in a collaborative, Agile development environment.
 Working under the guidance of senior engineers, the Associate Software Engineer executes assigned development tasks aligned with Agile, DevOps, and secure coding practices, while continuously developing technical skills and product knowledge.
**Primary Responsibilities** 
* Build a foundational understanding of RICS business processes, product architecture, source code, and key product features to support assigned development tasks.
* Contribute to the design, development, testing, and release of software code under the guidance of senior engineers as part of an Agile team.
* Participate in Agile and SCRUM ceremonies by communicating task status, learnings, risks, and blockers to support prioritization and on‑time delivery.
* Support DevOps practices by assisting with automation, basic troubleshooting, and maintenance of development tools, applications, and environments.
* Assist with implementing and maintaining monitoring or alerting solutions to support system reliability, security, and service‑level expectations.
* Provide effort estimates for assigned development tasks to support accurate planning and delivery.
* Perform root cause analysis for clearly defined production issues using logs, internal tooling, and source code, documenting findings and recommendations.
* Maintain accurate and up‑to‑date records in software development management and tracking tools.
* Collaborate with cross‑functional partners to build product understanding and contribute input on potential product improvements.
* Participate in continuous improvement initiatives related to development best practices, tooling, and product architecture.
* Actively seek feedback, demonstrate accountability, and maintain a growth mindset to accelerate professional and technical development.
**Minimum Qualifications** 
* Bachelor’s degree in Computer Science, Software Engineering, or a related field, or equivalent practical experience.
* 1–2 years of software development experience, including internships, co‑ops, or early‑career roles.
* Experience with C\#, JavaScript/TypeScript, React, Azure Database
* Foundational understanding of object‑oriented programming, APIs, and basic data structures.
* Familiarity with Agile development methodologies and version control systems (e.g., Git).
* Strong problem‑solving skills and effective written and verbal communication skills.
**Preferred Qualifications** 
* Exposure to building web applications using React or similar frameworks.
* Familiarity with RESTful APIs and HTTP fundamentals.
* Introductory experience with .NET / .NET Core, including awareness of async programming concepts.
* Familiarity with package managers (e.g., NuGet, npm).
* Introductory experience with databases (relational or NoSQL), such as CosmosDB.
* Exposure to unit testing frameworks (e.g., xUnit, Jasmine) and basic mocking concepts.
* Experience using tools to inspect or troubleshoot web requests and responses (e.g., browser dev tools, Postman, Fiddler).
 Fullsteam supports an inclusive workplace that values diversity of thought, experience, and background. Fullsteam is an Equal Opportunity/Affirmative Action employer. All qualified applicants will receive consideration for employment without regard to race, religion, color, national origin, ancestry, age, physical or mental disability, sex, sexual orientation, gender identity/expression, pregnancy, veteran status, marital status, creed, status with regard to public assistance, genetic status or any other status protected by federal, state, or local law.</t>
        </is>
      </c>
    </row>
    <row r="69">
      <c r="A69" t="inlineStr">
        <is>
          <t>li-4378178139</t>
        </is>
      </c>
      <c r="B69" t="inlineStr">
        <is>
          <t>Software Developer 3</t>
        </is>
      </c>
      <c r="C69" t="inlineStr">
        <is>
          <t>Oracle</t>
        </is>
      </c>
      <c r="D69" t="inlineStr">
        <is>
          <t>linkedin</t>
        </is>
      </c>
      <c r="E69">
        <f>HYPERLINK("https://www.linkedin.com/jobs/view/4378178139", "https://www.linkedin.com/jobs/view/4378178139")</f>
        <v/>
      </c>
      <c r="F69" t="inlineStr"/>
      <c r="G69" t="inlineStr">
        <is>
          <t>Seattle, WA</t>
        </is>
      </c>
      <c r="H69" t="inlineStr"/>
      <c r="I69" t="inlineStr">
        <is>
          <t>**Job Description**
 Design, develop, troubleshoot and debug software programs for databases, applications, tools, networks etc.Oracle Cloud Infrastructure (OCI) can provide you the opportunity to build and operate a suite of massive\-scale, integrated cloud services in a broadly distributed, multi\-tenant cloud environment. OCI is committed to providing the best in cloud products that meet the needs of our customers who are tackling some of the world's biggest challenges. OCI AI Infrastructure is at the forefront of building cutting\-edge, ultra\-high\-performance GPU cluster\-based Data Centers designed to support AI/ML/HPC workloads. This is your chance to be part of the AI revolution, creating systems that allow customers to scale from tens to thousands of GPUs without compromising performance.
 As part of the Data Center Delivery Engineering organization at OCI, our team is responsible for building software services and tools to accelerate the process by which OCI grows its compute and network capacity—including critical scaling initiatives like the Stargate Project. The service will address all aspects of the Data Center and its Physical Assets lifecycle, from planning and design, to delivery and, eventually, decommissioning.
 Our goal is to scale up the process to meet high capacity demands from our large and hyperscale customers. As a Senior Software Engineer (IC3\), you will take ownership of designing, developing, and debugging software applications and highly reliable microservices. From a technology perspective, this is a greenfield development environment with a huge amount of autonomy, allowing you to build and innovate freely while integrating with existing systems through well\-established contracts.
**Responsibilities**
* Software Development: Design, implement, and operate scalable, reliable, and performant distributed systems and cloud services.
* End\-to\-End Ownership: Take ownership of specific software components through the entire product life cycle, from ground\-up development to deployment, operation, and maintenance.
* Operational Excellence: Balance speed and quality with iterative and incremental improvements. Instill a culture of proactivity and operational excellence within the engineering team.
* Collaboration \&amp; Integration: Work independently on complex tasks while collaborating closely with your team to integrate smoothly with existing data center workflows and external partner services.
* Technical Contributions: Participate in code reviews, contribute to architectural discussions, and help mentor junior developers.
**Basic Qualifications**
* Bachelor's degree in Computer Science, Engineering, or a related technical field.
* 5\+ years of hands\-on software development experience.
* Proficient in high\-level programming languages such as Java, Python, Go, or C\+\+.
* Experienced with microservice design patterns, service\-to\-service communication protocols, and developing highly reliable services.
* Strong experience in distributed systems with a keen eye for reliability, scalability, and performance.
* Ability to deliver products from the ground up, navigating the full software development lifecycle.
**Preferred Qualifications**
* Prior hands\-on experience developing cloud services and tools on Oracle Cloud, AWS, GCP, or Azure.
* Master's degree in Computer Science.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$79,200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70">
      <c r="A70" t="inlineStr">
        <is>
          <t>li-4362225095</t>
        </is>
      </c>
      <c r="B70" t="inlineStr">
        <is>
          <t>Software Engineer III</t>
        </is>
      </c>
      <c r="C70" t="inlineStr">
        <is>
          <t>Walmart</t>
        </is>
      </c>
      <c r="D70" t="inlineStr">
        <is>
          <t>linkedin</t>
        </is>
      </c>
      <c r="E70">
        <f>HYPERLINK("https://www.linkedin.com/jobs/view/4362225095", "https://www.linkedin.com/jobs/view/4362225095")</f>
        <v/>
      </c>
      <c r="F70" t="inlineStr"/>
      <c r="G70" t="inlineStr">
        <is>
          <t>Bentonville, AR</t>
        </is>
      </c>
      <c r="H70" t="inlineStr"/>
      <c r="I70" t="inlineStr">
        <is>
          <t>Position Summary...
 What you'll do...As a Software Engineer III at Walmart, you will lead the design and development of scalable software solutions by collaborating with cross\-functional teams including product management and user experience. You will troubleshoot complex issues, perform root cause analysis, and implement sustainable technical solutions while ensuring quality and security standards. This role involves managing projects from requirements gathering through deployment, supporting continuous integration and delivery, and mentoring junior engineers. Your expertise will drive innovation and operational excellence, contributing to Walmart’s commitment to delivering reliable and efficient technology solutions.
 About the team:
 The Health \&amp; Wellness Pharmacy Order Intake team is dedicated to securely and efficiently processing millions of prescriptions daily for Walmart and Sam’s Club pharmacies. As the initial step in the digital prescription workflow, the team plays a vital role in enhancing patient outcomes and associate productivity. Recognized for five consecutive years in healthcare technology, the team continuously drives innovation and excellence. Members collaborate to develop solutions that ensure compliance with regulatory standards while improving pharmacy operations, impacting millions of patients and associates across the Health \&amp; Wellness Pharmacy sector.
 What you'll do:
* Design and implement core features to the Walmart Pharmacy Ecosystem.
* Build components, libraries and services using .Net/C\#, Entity Framework and WCF.
* Influence and collaborate with engineering leaders, product managers, design leads and the business to develop a unified approach to engineering.
* Understand complex architecture and add any enhancements to the existing solutions.
* Review code developed by other engineers and provide feedback to ensure best practices.
* Communicate effectively, both written and verbal, with technical and non\-technical cross\-functional teams.
 What you'll bring:
* At least 4 years’ experience in software engineering or related area.
* Experience in .Net/C\#, SQL \&amp; NoSQL DB, Docker, Kubernetes
* Experience in building data communication between back\-end systems using Kafka
* Experience with public cloud providers such as Azure, AWS, GCP
* Experience with telemetry and observability frameworks including Prometheus, Grafana, OpenObserve and ELK.
* Experience with unit and performance testing of applications to increase resilience using technologies including Jenkins, MSTest, NUnit and JMeter.
* Understanding of commercial business strategy and goals to solve complex problems with high impact.
* Excellent communication skills and a collaborative mindset.
**About Walmart Global Tech**
 Imagine working in an environment where one line of code can make life easier for hundreds of millions of people. That’s what we do at Walmart Global Tech. We’re a team of software engineers, data scientists, cybersecurity expert's and service professionals within the world’s leading retailer who make an epic impact and are at the forefront of the next retail disruption. People are why we innovate, and people power our innovations. We are people\-led and tech\-empowered. We train our team in the skillsets of the future and bring in experts like you to help us grow. We have roles for those chasing their first opportunity as well as those looking for the opportunity that will define their career. Here, you can kickstart a great career in tech, gain new skills and experience for virtually every industry, or leverage your expertise to innovate at scale, impact millions and reimagine the future of retail.
 Walmart’s culture is a competitive advantage, and it’s fostered by being together. Working together in person allows us to collaborate, align quickly and innovate with greater speed. We use our campuses to create purposeful connections rooted in deepening understanding and investing in the development of our associates.
 Our hubs: Walmart is a global company with offices across the United States and around the world. Our global headquarters is in Bentonville, Arkansas, with primary hubs in the San Francisco Bay area and New York/New Jersey.
 Benefits:
 Beyond our great compensation package, you can receive incentive awards for your performance. Other great perks include 401(k) match, stock purchase plan, paid maternity and parental leave, PTO, multiple health plans, and much more.
 Equal Opportunity Employer:
 Walmart, Inc. is an Equal Opportunity Employer – By Choice. We believe we are best equipped to help our associates, customers and the communities we serve live better when we really know them. That means understanding, respecting and valuing unique styles, experiences, identities, ideas and opinions – while being inclusive of all people.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$90,000\.00 \- $180,000\.00 Additional compensation includes annual or quarterly performance bonuses. Additional compensation for certain positions may also include :
* Stock
 ㅤ
 ㅤ
 ㅤ
 ㅤ
 ‎
**Minimum Qualifications...**
**Outlined below are the required minimum qualifications for this position. If none are listed, there are no minimum qualifications.**
 Option 1: Bachelor's degree in computer science, computer engineering, computer information systems, software engineering, or related area and 2 years’ experience in software engineering or related area.
 Option 2: 4 years’ experience in software engineering or related area.
**Preferred Qualifications...**
**Outlined below are the optional preferred qualifications for this position. If none are listed, there are no preferred qualifications.**
 Master’s degree in Computer Science, Computer Engineering, Computer Information Systems, Software Engineering, or related area,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
 Masters: Computer Science
 Primary Location...
 2608 Se J St, Bentonville, AR 72716\-3724,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71">
      <c r="A71" t="inlineStr">
        <is>
          <t>li-4380330593</t>
        </is>
      </c>
      <c r="B71" t="inlineStr">
        <is>
          <t>Software Engineer II</t>
        </is>
      </c>
      <c r="C71" t="inlineStr">
        <is>
          <t>Microsoft</t>
        </is>
      </c>
      <c r="D71" t="inlineStr">
        <is>
          <t>linkedin</t>
        </is>
      </c>
      <c r="E71">
        <f>HYPERLINK("https://www.linkedin.com/jobs/view/4380330593", "https://www.linkedin.com/jobs/view/4380330593")</f>
        <v/>
      </c>
      <c r="F71">
        <f>HYPERLINK("https://apply.careers.microsoft.com/careers/job/1970393556768527?utm_source=linkedin&amp;domain=microsoft.com&amp;src=LinkedIn&amp;urlHash=pgGF", "https://apply.careers.microsoft.com/careers/job/1970393556768527?utm_source=linkedin&amp;domain=microsoft.com&amp;src=LinkedIn&amp;urlHash=pgGF")</f>
        <v/>
      </c>
      <c r="G71" t="inlineStr"/>
      <c r="H71" t="inlineStr"/>
      <c r="I71" t="inlineStr">
        <is>
          <t>**Overview**
 Are you passionate about building production grade data and software systems, including AI backed services, that operate at cloud scale and uphold the highest standards of reliability, security, and compliance? The Azure Core Fundamentals team is seeking a Software Engineer II to design and implement scalable data pipelines, data services, and AI\-enabled product features that help make Azure the world’s most trusted cloud platform.
 In this role, you’ll work end to end \- from architecture and design, through implementation and deployment \- building solutions where performance, resiliency, and operational excellence are critical. Your work will integrate data access, data pipelines, experimentation, telemetry, and automation to ensure systems remain reliable and compliant in production.
 You will contribute to the deployment and operation of data driven and model assisted features, supporting safe rollout, monitoring, and iteration using flighting, experimentation, and rollback mechanisms. You’ll collaborate closely with engineers, product partners, and domain experts to translate complex requirements into secure, cloud ready data and software solutions, while applying best practices for testing, diagnostics, privacy, and least access security.
 This role is ideal for engineers who enjoy owning data and service infrastructure in production, solving complex systems problems, and continuously improving reliability and supportability at scale. If you thrive in a collaborative, fast\-moving environment and want to have a measurable impact on Azure’s core engineering foundations, we’d love to hear from you. Hybrid and fully remote options are available.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Design, build, and deploy production grade data services, and AI\-assisted features that run at cloud scale with strong reliability, security, and compliance guarantees.
* Own systems end to end, including architecture, implementation, deployment, and monitoring, with a focus on resiliency, performance, and diagnosability.
* Develop and maintain high quality, extensible code, applying best practices for testing, privacy, security, and operational readiness.
* Integrate telemetry, experimentation, automation, and flighting to support safe rollout, monitoring, rollback, and continuous improvement of data driven features.
* Collaborate with engineers, product partners, data and applied scientists, and domain experts to translate requirements into secure, cloud\-ready data and software solutions.
**Qualifications**
 Required Qualifications:
* Master's Degree in Computer Science, Math, Software Engineering, Computer Engineering, or related field AND 1\+ year(s) experience in business analytics, data science, software development, data modeling, or data engineering
+ OR Bachelor's Degree in Computer Science, Math, Software Engineering, Computer Engineering, or related field AND 2\+ years experience in business analytics, data science, software development, data modeling, or data engineering
+ OR equivalent experience.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Math, Software Engineering, Computer Engineering, or related field AND 3\+ years experience in business analytics, data science, software development, data modeling, or data engineering
+ OR Bachelor's Degree in Computer Science, Math, Software Engineering, Computer Engineering, or related field AND 5\+ years experience in business analytics, data science, software development, data modeling, or data engineering
+ OR equivalent experience.
* 1\+ year(s) experience with data governance, data compliance and/or data security.
* Demonstrated experience with production data and software systems, with clear end\-to\-end ownership.
* Strong foundation in software and data engineering concepts, including data pipelines, data access patterns, and reliability considerations in distributed systems.
* Experience supporting data driven or model assisted features in production, including monitoring, experimentation, and iterative improvement.
 \#azurecorejobs
 Data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2">
      <c r="A72" t="inlineStr">
        <is>
          <t>li-4377761316</t>
        </is>
      </c>
      <c r="B72" t="inlineStr">
        <is>
          <t>Java Software Engineer</t>
        </is>
      </c>
      <c r="C72" t="inlineStr">
        <is>
          <t>BeaconFire Inc.</t>
        </is>
      </c>
      <c r="D72" t="inlineStr">
        <is>
          <t>linkedin</t>
        </is>
      </c>
      <c r="E72">
        <f>HYPERLINK("https://www.linkedin.com/jobs/view/4377761316", "https://www.linkedin.com/jobs/view/4377761316")</f>
        <v/>
      </c>
      <c r="F72" t="inlineStr"/>
      <c r="G72" t="inlineStr">
        <is>
          <t>East Windsor, NJ</t>
        </is>
      </c>
      <c r="H72" t="inlineStr"/>
      <c r="I72" t="inlineStr">
        <is>
          <t>**Job Responsibilities:** 
* Develop applications using Java 8/JEE (and higher), Angular 2\+, React.js, SQL, Spring, HTML5, CSS, JavaScript, and TypeScript, among other tools.
* Write scalable, secure, and maintainable code that powers our clients’ platforms.
* Create, deploy, and maintain automated system tests.
* Work with Testers to understand defects and resolve them in a timely manner.
* Support continuous improvement by investigating alternatives and technologies, and presenting these for architectural review.
* Collaborate effectively with other team members to accomplish shared user story and sprint goals.
**Requirement:** 
* Experience in programming languages: Java and JavaScript
* Decent understanding of the software development life cycle
* Basic programming skills using object\-oriented programming (OOP) languages, with in\-depth
* knowledge of common APIs and data structures like Collections, Maps, Lists, Sets, etc.
* Knowledge of relational databases (e.g., SQL Server, Oracle) and basic SQL query language skills
**Preferred Qualifications:** 
* Master’s Degree in Computer Science (CS)
* 0–1 year of practical experience in Java coding
* Experience using Spring, Maven, Angular frameworks, HTML, and CSS
* Knowledge of other contemporary Java technologies (e.g., WebLogic, RabbitMQ, Tomcat)
* Familiarity with JSP, J2EE, and JDBC</t>
        </is>
      </c>
    </row>
    <row r="73">
      <c r="A73" t="inlineStr">
        <is>
          <t>li-4346592722</t>
        </is>
      </c>
      <c r="B73" t="inlineStr">
        <is>
          <t>Senior Software Engineer, Search</t>
        </is>
      </c>
      <c r="C73" t="inlineStr">
        <is>
          <t>Vannevar</t>
        </is>
      </c>
      <c r="D73" t="inlineStr">
        <is>
          <t>linkedin</t>
        </is>
      </c>
      <c r="E73">
        <f>HYPERLINK("https://www.linkedin.com/jobs/view/4346592722", "https://www.linkedin.com/jobs/view/4346592722")</f>
        <v/>
      </c>
      <c r="F73">
        <f>HYPERLINK("https://job-boards.greenhouse.io/vannevarlabs/jobs/4191402007?gh_src=vY84PW&amp;urlHash=nwx6", "https://job-boards.greenhouse.io/vannevarlabs/jobs/4191402007?gh_src=vY84PW&amp;urlHash=nwx6")</f>
        <v/>
      </c>
      <c r="G73" t="inlineStr"/>
      <c r="H73" t="inlineStr"/>
      <c r="I73" t="inlineStr">
        <is>
          <t>**Vannevar is a defense technology company building AI to deter our adversaries.** 
 In the 21st century, conflict moves at algorithmic speed and foresight equals firepower. Our agentic AI is purpose\-built to compete with China—from cross\-Strait conflict to gray zone coercion. Trained on the most mission\-relevant datasets in defense, our technology models adversary behavior, simulates campaigns, and recommends the best course of action to decision makers. Our AI systems are some of the most trusted in the industry and actively used on the front lines of the Indo\-Pacific to keep the peace and save lives.
 Exceptional technology starts with exceptional people. Vannevar is a small agile team combining world\-class engineers with veteran strategists who bring deep expertise in defense and tradecraft. We’re building a company defined by mission impact, user empathy, and disciplined growth. In just three years, we grew from $3M to $80M in ARR, achieved early profitability, and reached unicorn status—proving that disruption doesn’t require an ego, and staying power doesn’t mean standing still.
**About The Role**
 Search is at the heart of Vannevar’s flagship platform and agentic workflows. We are seeking a Senior Software Engineer, with substantial knowledge and passion for search and information retrieval, to drive innovation in this space. In this role, you will work directly with our ML and product teams to advance a state\-of\-the\-art search system that fundamentally drives our users’ ability to surface mission critical information.
 What you'll do
* Design and adapt the technical strategy for search within Vannevar’s products, including how we leverage full\-text search, vector databases, LLMs, NLP, and relevance algorithms
* Improve both search latency and relevance
* Collaborate with product engineers, designers, and mission strategists to translate user needs into data\-informed search innovations
* Research and apply emerging technologies, trends and best practices in the search/information retrieval domain to improve index quality, freshness, and retrieval performance
 What we’re looking for
* You have 7\+ years of experience in backend software development, with 3\+ years in search, information retrieval, or related fields
* You have a passion for architecting, developing and deploying reliable, scalable, and performant systems
* You have expertise in information retrieval, NLP, and machine learning. You have a deep understanding of concepts like indexing, ranking, query parsing, tokenization, and vector search.
* You have hands\-on experience with at least one major search engine (e.g., Elasticsearch, OpenSearch), and familiarity with search evaluation frameworks (e.g., precision, recall, NDCG).
* You have excellent analytical, problem\-solving, leadership, and communication skills.
* U.S. Person status is required as this position will require the ability to access U.S. only data systems.
 What we offer
 Competitive Salary
 The salary range for this position is $150,000 \- $215,000 \+ equity. Within the range, individual pay is determined by experience, relevant education, and/or training.
 Comprehensive Benefits
 We’re proud to offer competitive benefits that support our employees. Some key highlights of our benefits package include:
* Health, dental, and vision insurance
* Remote friendly with WeWork access
* Unlimited PTO, shared downtime during the federal holiday calendar, and company\-wide off time at the end of each year
* 401(k) match
* Lifestyle \&amp; wellbeing stipends
* Salary top\-up during military reserve duty
* Fully paid parental leave
* Child and pet care reimbursement during travel
 Vannevar is an equal opportunity employer, and qualified applicants will receive consideration for employment without regard to race, color, religion, sex, sexual orientation, gender perception or identity, national origin, age, marital status, protected veteran status, or disability status.
 We encourage candidates from all backgrounds to apply, even if you don't feel like you're a perfect fit. If you're passionate about contributing to our mission, we'd love to hear from you!
**IMPORTANT NOTICE
 We are committed to protecting the privacy of all applicants. Official emails from the company will come from an @vannevarlabs.com domain. Under no circumstances will a legitimate representative from our company contact you to request passwords, financial information, or other sensitive personal data. Please be vigilant of potential scams.**</t>
        </is>
      </c>
    </row>
    <row r="74">
      <c r="A74" t="inlineStr">
        <is>
          <t>li-4370433894</t>
        </is>
      </c>
      <c r="B74" t="inlineStr">
        <is>
          <t>Senior Software Engineer, Google Cloud AI</t>
        </is>
      </c>
      <c r="C74" t="inlineStr">
        <is>
          <t>Google</t>
        </is>
      </c>
      <c r="D74" t="inlineStr">
        <is>
          <t>linkedin</t>
        </is>
      </c>
      <c r="E74">
        <f>HYPERLINK("https://www.linkedin.com/jobs/view/4370433894", "https://www.linkedin.com/jobs/view/4370433894")</f>
        <v/>
      </c>
      <c r="F74">
        <f>HYPERLINK("https://careers.google.com/jobs/results/74862905299739334-senior-software-engineer/?src=Online/LinkedIn/linkedin_us&amp;utm_source=linkedin&amp;utm_medium=jobposting&amp;utm_campaign=contract&amp;urlHash=Y9nB", "https://careers.google.com/jobs/results/74862905299739334-senior-software-engineer/?src=Online/LinkedIn/linkedin_us&amp;utm_source=linkedin&amp;utm_medium=jobposting&amp;utm_campaign=contract&amp;urlHash=Y9nB")</f>
        <v/>
      </c>
      <c r="G74" t="inlineStr">
        <is>
          <t>Sunnyvale, CA</t>
        </is>
      </c>
      <c r="H74" t="inlineStr"/>
      <c r="I74" t="inlineStr">
        <is>
          <t>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(statutory, where applicable); 5 days/event (discretionary)
 Maternity Leave (Short\-Term Disability \+ Baby Bonding): 28\-30 weeks
 Baby Bonding Leave: 18 weeks
 Holidays: 13 paid days per year
 Note: By applying to this position you will have an opportunity to share your preferred working location from the following:
 **Sunnyvale, CA, USA; Kirkland, WA, USA** 
 .
 **Minimum qualifications:**
* Bachelor’s degree or equivalent practical experience.
* 5 years of experience programming in C\+\+, Java or Python.
* 3 years of experience testing, maintaining, or launching software products, and 1 year of experience with software design and architecture.
**Preferred qualifications:**
* Master's degree or PhD in Computer Science or related technical field.
* 5 years of experience with data structures/algorithms.
* 1 year of experience in a technical leadership role.
* Experience developing accessible technologies.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With your technical expertise you will manage project priorities, deadlines, and deliverables. You will design, develop, test, deploy, maintain, and enhance software solutions.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force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and test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75">
      <c r="A75" t="inlineStr">
        <is>
          <t>li-4380321668</t>
        </is>
      </c>
      <c r="B75" t="inlineStr">
        <is>
          <t>Senior Software Engineer</t>
        </is>
      </c>
      <c r="C75" t="inlineStr">
        <is>
          <t>Microsoft</t>
        </is>
      </c>
      <c r="D75" t="inlineStr">
        <is>
          <t>linkedin</t>
        </is>
      </c>
      <c r="E75">
        <f>HYPERLINK("https://www.linkedin.com/jobs/view/4380321668", "https://www.linkedin.com/jobs/view/4380321668")</f>
        <v/>
      </c>
      <c r="F75">
        <f>HYPERLINK("https://apply.careers.microsoft.com/careers/job/1970393556813982?utm_source=linkedin&amp;domain=microsoft.com&amp;src=LinkedIn&amp;urlHash=_3x6", "https://apply.careers.microsoft.com/careers/job/1970393556813982?utm_source=linkedin&amp;domain=microsoft.com&amp;src=LinkedIn&amp;urlHash=_3x6")</f>
        <v/>
      </c>
      <c r="G75" t="inlineStr"/>
      <c r="H75" t="inlineStr"/>
      <c r="I75" t="inlineStr">
        <is>
          <t>**Overview**
**Microsoft 365** 
 is the fastest growing cloud services business in Microsoft. M365 brings together cloud versions of our most trusted communications and collaboration products like Exchange, SharePoint, OneDrive and Skype with the desktop suite of Office products in an always up\-to\-date integrated service offering.
**CapSense** 
 is the capacity planning and decisioning platform under the Microsoft 365 Core organization. We are building the foundation to ensure M365 has the right infrastructure, in the right place, at the right time to power Microsoft 365 and Substrate experience—from Exchange and Teams to Copilot and future AI driven workloads.
 We build large scale systems that transform complex demand, supply, lifecycle, and operational signals into
 **actionable plans and automated decisions** 
 that directly influence multi\-billion\-dollar infrastructure investments. Our mission is to build the
 **reliable, intelligent, and scalable capacity planning and allocation platforms** 
 that improve predictability, utilization, and cost efficiency across the fleet.
 We are looking for a
 **Senior Software Engineer** 
 to lead the critical software solutions, with a strong focus on
 **automation, data driven decisioning, and AI assisted planning** 
 . This role combines deep engineering fundamentals with architectural ownership, technical leadership, and a forward\-looking mindset toward applying AI responsibly at hyperscale.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As a Senior Software Engineer in CapSense, you will:
* Own the design and delivery of high impactful services and solutions that automate and scale capacity planning, forecasting, and allocation workflows.
* Lead architecture and technical decision\-making for distributed systems handling high\-volume, high\-critical data used to drive infrastructure planning and investment decisions.
* Innovate AI forward systems using AI assisted insights into planning and operational workflows while maintaining correctness, explainability, and trust. You will have lots of chances to explore and use AI technologies to innovate in the capacity area.
* Drive end\-to\-end engineering excellence including reliability, data quality, observability, and operational readiness for business\-critical services.
* Collaborate closely with product managers, data scientists, and partner engineering teams to translate ambiguous business and capacity problems into well\-defined technical solutions.
* Lead and collaborate within a feature crew, mentoring engineers, and raising the overall engineering bar.
* Influence platform strategy and drive transitions to AI, identify opportunities to reduce manual toil, increase automation, improve predictability across the capacity lifecycle, and transition the capacity planning software solutions with the latest AI technologies.
* Operate with ownership and autonomy, balancing near term delivery with long term platform health and scalability.
**Qualifications**
**Required Qualifications:**
* Bachelor's Degree in Computer Science or related technical field AND 4\+ years technical engineering experience with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 Master's Degree in Computer Science or related technical field AND 6\+ years technical engineering experience with coding in languages including, but not limited to, C, C\+\+, C\#, Java, JavaScript, or Python
+ OR Bachelor's Degree in Computer Science or related technical field AND 8\+ years technical engineering experience with coding in languages including, but not limited to, C, C\+\+, C\#, Java, JavaScript, or Python
+ OR equivalent experience.
* 4\+ years of experience with distributed systems, backend services, and data intensive applications.
* Demonstrated ability to own system architecture, make sound technical trade‑offs, and deliver resilient, maintainable solutions.
* Experience in working with cloud platforms (Azure preferred) and operating services in production.
* Experience in building capacity planning, forecasting, optimization, or decision support systems.
* Background in data platforms, analytics pipelines, or ML/AI enabled systems, including model integration and lifecycle considerations.
* Familiarity with AI assisted engineering patterns, such as using LLMs or predictive models to augment decision making and operational workflows.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6">
      <c r="A76" t="inlineStr">
        <is>
          <t>li-4379276958</t>
        </is>
      </c>
      <c r="B76" t="inlineStr">
        <is>
          <t>Software Engineer II</t>
        </is>
      </c>
      <c r="C76" t="inlineStr">
        <is>
          <t>Microsoft</t>
        </is>
      </c>
      <c r="D76" t="inlineStr">
        <is>
          <t>linkedin</t>
        </is>
      </c>
      <c r="E76">
        <f>HYPERLINK("https://www.linkedin.com/jobs/view/4379276958", "https://www.linkedin.com/jobs/view/4379276958")</f>
        <v/>
      </c>
      <c r="F76">
        <f>HYPERLINK("https://apply.careers.microsoft.com/careers/job/1970393556815539?utm_source=linkedin&amp;domain=microsoft.com&amp;src=LinkedIn&amp;urlHash=fl5H", "https://apply.careers.microsoft.com/careers/job/1970393556815539?utm_source=linkedin&amp;domain=microsoft.com&amp;src=LinkedIn&amp;urlHash=fl5H")</f>
        <v/>
      </c>
      <c r="G76" t="inlineStr">
        <is>
          <t>Redmond, WA</t>
        </is>
      </c>
      <c r="H76" t="inlineStr"/>
      <c r="I76" t="inlineStr">
        <is>
          <t>**Overview**
 Microsoft AI Search Places is the center of excellence for understanding and using location and geospatial knowledge for 1st and 3rd party scenarios. Our location services are used broadly by major Microsoft products such as Bing, Copilot, Ads, Office, Windows, Teams, and we power the Azure Maps APIs offered to 3rd party developers. The Search Places team uses geospatial knowledge and advanced Artificial Intelligence technologies to bring high quality Location Search capabilities for people and businesses around the world
 We are looking for a solid technical individual with rich industry experience and diverse skills ranging from traditional distributed computing to hands\-on expertise in artificial intelligence. This position offers great opportunities to work on challenging problems, build solutions using cutting\-edge technologies and have a direct impact on millions of users worldwide. If you are eager to take on challenges, the Search Places team has an exciting opportunity for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Designs and builds scalable, backend‑focused software services and distributed systems that improve service reliability, performance, security, and efficiency, supporting high‑volume geospatial and location‑based workloads in production.
* Applies engineering techniques and machine learning solutions to solve complex geospatial suggestion and location search problems in production.
* Works on core technology and engineering stack to deliver features to ensure premium service quality internationally.
* Experiments with new technologies such as LLMs to improve quality and efficiency of the system.
* Designs and builds software functionalities to improve service reliability, scalability, performance, security, efficiency, etc.
* Collaborates with partner teams to understand their geospatial services requirements, develop high quality services \&amp; solutions to deliver value to our customers.
**Qualifications**
**Required:**
* Bachelor's Degree in Computer Science or related technical field AND 2\+ years of technical engineering experience with coding in languages C\# \&amp; .NET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 Master's Degree in Computer Science or related technical field AND 2\+ years work experience with coding in languages in C\# \&amp; .NET
+ OR Bachelor's Degree in Computer Science or related technical field AND 3\+ years work experience with coding in languages including C\# \&amp; .NET
+ OR equivalent experience.
* Capable of designing and implementing scalable production quality services and automated solutions to process large scale data
* Solid collaborative and interpersonal communication skills.
* Maps/Geospatial experience.
* Understanding of Azure or other cloud services/functions.
* Leveraging Agentic Productivity Tools for tasks.
* Familiarity with machine learning frameworks and libraries and experience in machine learning and artificial intelligence projects.
 \#MicrosoftAI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7">
      <c r="A77" t="inlineStr">
        <is>
          <t>li-4380334321</t>
        </is>
      </c>
      <c r="B77" t="inlineStr">
        <is>
          <t>Senior Software Developer, Platform Engineering</t>
        </is>
      </c>
      <c r="C77" t="inlineStr">
        <is>
          <t>Redfin</t>
        </is>
      </c>
      <c r="D77" t="inlineStr">
        <is>
          <t>linkedin</t>
        </is>
      </c>
      <c r="E77">
        <f>HYPERLINK("https://www.linkedin.com/jobs/view/4380334321", "https://www.linkedin.com/jobs/view/4380334321")</f>
        <v/>
      </c>
      <c r="F77" t="inlineStr"/>
      <c r="G77" t="inlineStr">
        <is>
          <t>Seattle, WA</t>
        </is>
      </c>
      <c r="H77" t="inlineStr"/>
      <c r="I77" t="inlineStr">
        <is>
          <t>This position is a hybrid role requiring employees to work from our headquarters location in Seattle, WA every Tuesday and Wednesday, and remote all other days.
 Redfin is revolutionizing the $75 billion real estate industry. We use data, beautiful software, and innovative design to put customers first at every step in the home\-buying and selling process. Get ready to dive headfirst into our award\-winning website and mobile apps, solving complex business problems in a highly visible, customer\-centric way. If you value doing impactful work in a collaborative environment, join our team!
 Are you excited to shape the future of how software is built and delivered? Do you champion the end\-to\-end developer experience? Most importantly, do you care deeply about the impact of your work—on your teammates, on our customers, and on the stability and scalability of the systems we build together?
 Join the CICD platforms team to help design, build, and evolve our modern CI/CD platform powered by GitHub Actions, Argo, and Kubernetes. This role is critical to enabling fast, reliable, and scalable software delivery across the organization.
 You will own and improve the end\-to\-end developer experience—from pull request workflows and GitHub governance to automated deployments in Kubernetes—while embedding AI\-powered tooling into DevOps workflows to increase velocity, quality, and reliability.
 This role requires strong communication skills, excellent problem\-solving ability, and a proactive mindset. We’re looking for someone who doesn’t wait for instructions when issues arise—but instead identifies root causes, proposes solutions, and drives improvements forward. You should be a team player who cares deeply about team success, customer impact, and system stability.
****The Role****
* Design, build, and maintain scalable CI/CD workflows using GitHub Actions.
* Manage GitOps\-based deployments using Argo CD into Kubernetes environments.
* Improve system reliability, scalability, and deployment safety across environments.
* Embed AI\-powered tooling into DevOps workflows (CI/CD optimization, PR summarization, automated review assistance, policy validation, incident insights). Lead incident response and root cause analysis for CI/CD and deployment\-related outages.
* Define and enforce GitHub governance best practices (branch protection, reusable workflows, permissions, policy automation).
* Identify bottlenecks in developer workflows and proactively drive improvements.
* Collaborate cross\-functionally with engineering, SRE, and product teams to ensure platform solutions meet real customer needs.
* Mentor engineers and promote best practices around DevOps, GitOps, and cloud\-native systems.
**About You**
* At least 5 years of professional software development experience
* Strong proficiency in at least one backend language (e.g., Java, Python, Go, Node.js, etc).
* BA/BS in computer science, or equivalent work experience
* Experience designing highly available, reliable, and scalable systems.
* Strong experience building CI/CD systems using GitHub Actions or equivalent technologies.
* Hands\-on experience with Argo CD and GitOps\-based deployment models.
* Deep understanding of Kubernetes and cloud\-native architecture.
* Familiarity with infrastructure as code (Terraform, Helm, etc.).
* Experience improving developer workflows and internal platform tooling.
* You have experience using AI code generation tools tools such as GitHub CoPilot, Anthropic Claude Code, Cursor, or similar.
* Exposure to AI/CD tooling integration in engineering workflows is a strong plus.
* Excellent written and verbal communication skills—able to clearly articulate technical trade\-offs and align stakeholders.
* Strong problem\-solving ability with a bias toward action.
* Proactive and self\-driven—identifies issues and drives solutions without waiting for direction.
* Customer\-focused—cares deeply about the product experience and developer productivity.
* Obsessed with stability, reliability, and operational excellence.
* Team\-oriented—prioritizes collective success over individual recognition.
* Comfortable operating in ambiguity and driving clarity.
 Illinois, Maryland, Minnesota, Massachusetts, Colorado, New York City, New Jersey, Jersey City, California, D.C. and Washington candidates only:
 Base Pay Range: $150,800\.00 \- 203,900\.00\.
 The position may also be eligible for an annual bonus, incentives, and other employment\-related benefits including, but not limited to, medical, dental, and vision benefits, 401K retirement plan, and paid time off. More information regarding these benefits and others can be found here. The information regarding compensation and other benefits included in this paragraph is only an estimate and is subject to revision from time to time as the Company, in its sole and exclusive discretion, deems appropriate. The Company may determine during its review of the proposed compensation and benefits provided for this position that the compensation and benefits for such position should be reduced. In no event will the Company reduce the compensation for the position to a level below the applicable jurisdictional minimum wage rate for the position.
**Redfin is an equal opportunity employer committed to an inclusive workforce.**
 An inclusive culture is vital to Redfin's mission of making real estate better for people from all walks of life. We’re proud that Redfin is a place where different points of view and backgrounds are encouraged and respected. We constantly strive to build a company that reflects the world around us, based on our conviction that pursuing and developing talent of all types is the right way for a business to thrive over the long haul.
 Redfin provides equal employment opportunities to all employees and applicants for employment and prohibit discrimination based on race, color, religion, age, sex, national origin, disability status, genetics, protected veteran status, sexual orientation, gender identity or expression, and any other characteristic protected by applicable federal, state or local law. If you need accommodation in the application or recruitment process because of a disability or special need, please contact recruitingteam@redfin.com
 Redfin encourages individuals with criminal record histories to apply for employment and considers such individuals for employment consistent with the requirements of any applicable fair chance acts, including but not limited to the California, San Francisco and Los Angeles County Fair Chance Acts. Philadelphia applicants can access a copy of Philadelphia Fair Criminal Records Screening Standards ordinance poster here.
 Redfin accepts applications on an ongoing basis.</t>
        </is>
      </c>
    </row>
    <row r="78">
      <c r="A78" t="inlineStr">
        <is>
          <t>li-4370587949</t>
        </is>
      </c>
      <c r="B78" t="inlineStr">
        <is>
          <t>Software Engineer 2</t>
        </is>
      </c>
      <c r="C78" t="inlineStr">
        <is>
          <t>Onto Innovation</t>
        </is>
      </c>
      <c r="D78" t="inlineStr">
        <is>
          <t>linkedin</t>
        </is>
      </c>
      <c r="E78">
        <f>HYPERLINK("https://www.linkedin.com/jobs/view/4370587949", "https://www.linkedin.com/jobs/view/4370587949")</f>
        <v/>
      </c>
      <c r="F78" t="inlineStr"/>
      <c r="G78" t="inlineStr">
        <is>
          <t>Tucson, AZ</t>
        </is>
      </c>
      <c r="H78" t="inlineStr"/>
      <c r="I78" t="inlineStr">
        <is>
          <t>Onto Innovation is a leader in process control, combining global scale with an expanded portfolio of leading\-edge technologies that include: 3D metrology spanning the chip from nanometer\-scale transistors to micron\-level die\-interconnects; macro defect inspection of wafers and packages; metal interconnect composition; factory analytics; and lithography for advanced semiconductor packaging. Our breadth of offerings across the entire semiconductor value chain helps our customers solve their most difficult yield, device performance, quality, and reliability issues. Onto Innovation strives to optimize customers’ critical path of progress by making them smarter, faster and more efficient.
**Job Summary \&amp; Responsibilities**
 Onto Innovation's 4D Technology location in Tucson, AZ is currently looking for a motivated software engineer with experience in image processing or robotics. 4D is looking for a software engineer that will come on board and grow their skills while also raising the skill level of their teammates. Our team strives to bring SOLID principles to life. Be a part of a team singularly focused on software craftsmanship. We are open to you joining our team but closed to changing our core values surrounding quality software. The diverse team can step in and substitute at will on projects for one another. Come interface with a fun group of developers who love their job. Help us design the high\-level modules and create a beautiful abstract lower\-level infrastructure at 4D. Become a member of this team delivering internationally recognized, innovative metrology products. Our projects include cutting edge automation, new forms of image acquisition, and revolutionary data processing.
**The Essential Responsibilities Of This Key Position Are**
* Ensuring our focus on software craftsmanship
* Enhancing and maintaining our core metrology applications (C\#, WPF, C/C\+\+)
* Creating \&amp; documenting new data analyses, algorithms, and GUI’s
* Initiates the design, development, execution, and implementation of software\-based technology research projects.
* Investigates the feasibility of innovative concepts, potential inventions, and product offerings.
* Works within the PLC process to plan and deliver advanced research software solutions to the software department.
* Maintains substantial knowledge of state\-of\-the\-art software, image processing, and process principles and theories.
* Contributes to scientific literature, conferences, and patent/trade secret efforts.
**Qualifications**
 Our team needs your enthusiasm and dedication to help us grow. We require a B.S. degree or higher in Engineering, Physics or Computer Science. The following skills and traits are highly desirable:
* Experience with C, C\+\+, C\#, Java, or other object oriented language
* Solid knowledge of object oriented software design
* 2\+ years of practical work experience in engineering
* Capable of working both independently and as part of a team
* Excellent written and oral communication skills.
* Analyzes and distills complex information
* First\-rate software debugging skillset
* Excellent at problem solving
* Works well with a diverse team of engineers
* Background in image processing and associated tools
* Experience with robots and robot programming
 Why Join Onto Innovation?
 At Onto Innovation, we believe your work should matter—and so should your well\-being. That’s why we offer competitive salaries and a comprehensive benefits package designed to support you and your family. From health, dental, and vision coverage to life and disability insurance, PTO, and a 401(k) with employer match, we’ve got you covered. You’ll also enjoy access to our Employee Stock Purchase Program (ESPP), wellness initiatives, and cutting\-edge tools—all within a collaborative, inclusive culture where your contributions are valued and recognized.
**Compensation \&amp; Growth**
* Base Salary Range:
 $66,080\.00 \- $99,120\.00, offered in good faith and based on experience, location, and qualifications.
* Additional Rewards: Annual bonus opportunities and potential long\-term incentives tied to both company and individual success.
**Empowering Every Voice To Shape The Future**
 Onto Innovation is committed to creating a workplace where every qualified candidate has an equal opportunity to succeed. We evaluate applicants based on skills, experience, and potential \- without regard to race, color, religion, gender, sexual orientation, national origin, age, disability, veteran status, or any other characteristic protected by law. We believe diversity of thought and background drives innovation and strengthens our team.
 Important Note on Export Compliance
 For certain positions requiring access to technical data, U.S. export licensing review may be necessary for applicants who are not U.S. Citizens, Permanent Residents, or other protected persons under 8 U.S.C. 1324b(a)(3\).</t>
        </is>
      </c>
    </row>
    <row r="79">
      <c r="A79" t="inlineStr">
        <is>
          <t>li-3986111804</t>
        </is>
      </c>
      <c r="B79" t="inlineStr">
        <is>
          <t>Software Engineer</t>
        </is>
      </c>
      <c r="C79" t="inlineStr">
        <is>
          <t>Epic</t>
        </is>
      </c>
      <c r="D79" t="inlineStr">
        <is>
          <t>linkedin</t>
        </is>
      </c>
      <c r="E79">
        <f>HYPERLINK("https://www.linkedin.com/jobs/view/3986111804", "https://www.linkedin.com/jobs/view/3986111804")</f>
        <v/>
      </c>
      <c r="F79">
        <f>HYPERLINK("https://epic.avature.net/Careers/ApplyFlowCheck?folderId=740&amp;source=LinkedIn&amp;urlHash=fKwC", "https://epic.avature.net/Careers/ApplyFlowCheck?folderId=740&amp;source=LinkedIn&amp;urlHash=fKwC")</f>
        <v/>
      </c>
      <c r="G79" t="inlineStr">
        <is>
          <t>San Jose, CA</t>
        </is>
      </c>
      <c r="H79" t="inlineStr"/>
      <c r="I79" t="inlineStr">
        <is>
          <t>Please note that this position is based on our campus in Madison, WI, and requires relocation to the area. We recruit nationally and provide financial relocation assistance.
**Code that saves lives.**
 As a software developer at Epic, you’ll write software that impacts the lives of 325 million patients around the world. Working in your own office, surrounded by thousands of high\-caliber developers, you’ll use modern development methodologies and employ user\-centered design, analytics, and machine learning tools to drive innovation in healthcare. Using leading\-edge technologies and languages like JS, TS, and C\#, you’ll invent better ways to reduce medical errors, streamline record sharing between hospitals, and provide the quality of care a patient deserves. Learn more about our team at https://careers.epic.com/jobs/softwaredevelopment/.
**Write software for the most innovative health systems on the planet.**
 The top\-ranked health systems in U.S. News and World Report are Epic customers. Our community includes major systems like the Mayo Clinic, Johns Hopkins, Cleveland Clinic, and Kaiser Permanente, as well as leading academic medical centers at the University of Wisconsin, University of Michigan, University of California, University of Texas, The Ohio State University, and many more.
**Live affordably in a city known for its rising tech talent.**
 Epic is located just outside Madison, Wisconsin, the second fastest growing market for tech talent in the United States and home to the state capital and the University of Wisconsin. Madison, a city surrounded by water, has received accolades for being the greenest city in America (NerdWallet), the best city for renters (SmartAsset), the fittest city in America (Fitbit), and the third best metro in the US for young professionals (Forbes Advisor).
**More than just important work** 
 .
 Our uniquely themed campus was designed to heighten your ability to get stuff done in your office, a conference room, or by the fireplace in a comfy chair. All meals are restaurant\-quality but cost only a few dollars, and they’re prepared by a team comprised of kitchen talent from restaurants around the country. And, after five years here, you’ll earn a four\-week sabbatical anywhere in the world. Staff have kayaked in Patagonia, attended a Beyoncé concert in Ireland, built a library in Tanzania, and run a marathon in Antarctica.
 We offer comprehensive benefits to keep you healthy and happy as you grow in your life and career, and your merit\-based compensation will reflect the impact your work has on the company and our customers. You'll also be eligible for annual raises and bonuses, as well as stock grants, which give you an even greater stake in the success of Epic and our customers. Healthcare is global, and building the best ideas from around the world into Epic software is a point of pride. As an Equal Opportunity Employer, we know that inclusive teams design software that supports the delivery of quality care for all patients, so diversity, equity, and inclusion are written into our principles. Please see our full non\-discrimination statement at https://careers.epic.com/EEO.
* Relocation to the Madison, WI area (Reimbursed)
* BS/BA or greater in Computer Science, Mathematics, Software Engineering, Computer Engineering, or a related field
* A history of academic excellence or professional success
* Eligible to work in the United States without visa sponsorship (persons with appropriate qualifications and eligible for TN status under NAFTA may apply)
* COVID\-19 vaccination</t>
        </is>
      </c>
    </row>
    <row r="80">
      <c r="A80" t="inlineStr">
        <is>
          <t>li-4379284502</t>
        </is>
      </c>
      <c r="B80" t="inlineStr">
        <is>
          <t>Software Engineer II</t>
        </is>
      </c>
      <c r="C80" t="inlineStr">
        <is>
          <t>Microsoft AI</t>
        </is>
      </c>
      <c r="D80" t="inlineStr">
        <is>
          <t>linkedin</t>
        </is>
      </c>
      <c r="E80">
        <f>HYPERLINK("https://www.linkedin.com/jobs/view/4379284502", "https://www.linkedin.com/jobs/view/4379284502")</f>
        <v/>
      </c>
      <c r="F80">
        <f>HYPERLINK("https://apply.careers.microsoft.com/careers/job/1970393556815625?utm_source=mai_linkedin&amp;domain=microsoft.com&amp;source=LinkedIn&amp;urlHash=BeZV", "https://apply.careers.microsoft.com/careers/job/1970393556815625?utm_source=mai_linkedin&amp;domain=microsoft.com&amp;source=LinkedIn&amp;urlHash=BeZV")</f>
        <v/>
      </c>
      <c r="G80" t="inlineStr">
        <is>
          <t>Redmond, WA</t>
        </is>
      </c>
      <c r="H80" t="inlineStr"/>
      <c r="I80" t="inlineStr">
        <is>
          <t>**Overview**
 Microsoft AI Search Places is the center of excellence for understanding and using location and geospatial knowledge for 1st and 3rd party scenarios. Our location services are used broadly by major Microsoft products such as Bing, Copilot, Ads, Office, Windows, Teams, and we power the Azure Maps APIs offered to 3rd party developers. The Search Places team uses geospatial knowledge and advanced Artificial Intelligence technologies to bring high quality Location Search capabilities for people and businesses around the world
 We are looking for a solid technical individual with rich industry experience and diverse skills ranging from traditional distributed computing to hands\-on expertise in artificial intelligence. This position offers great opportunities to work on challenging problems, build solutions using cutting\-edge technologies and have a direct impact on millions of users worldwide. If you are eager to take on challenges, the Search Places team has an exciting opportunity for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Designs and builds scalable, backend‑focused software services and distributed systems that improve service reliability, performance, security, and efficiency, supporting high‑volume geospatial and location‑based workloads in production.
* Applies engineering techniques and machine learning solutions to solve complex geospatial suggestion and location search problems in production.
* Works on core technology and engineering stack to deliver features to ensure premium service quality internationally.
* Experiments with new technologies such as LLMs to improve quality and efficiency of the system.
* Designs and builds software functionalities to improve service reliability, scalability, performance, security, efficiency, etc.
* Collaborates with partner teams to understand their geospatial services requirements, develop high quality services \&amp; solutions to deliver value to our customers.
**Qualifications**
**Required:**
* Bachelor's Degree in Computer Science or related technical field AND 2\+ years technical engineering experience with coding in languages, C\+\+ \&amp; C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 Master's Degree in Computer Science or related technical field AND 3\+ years work experience with coding in languages, C\+\+ \&amp; C
+ OR Bachelor's Degree in Computer Science or related technical field AND 5\+ years work experience with coding in languages, C\+\+ \&amp; C
+ OR equivalent experience.
* Capable of designing and implementing scalable production quality services and automated solutions to process large scale data
* Solid collaborative and interpersonal communication skills.
* Maps/Geospatial experience.
* Understanding of Azure or other cloud services/functions.
* Leveraging Agentic Productivity Tools for tasks.
* Familiarity with machine learning frameworks and libraries and experience in machine learning and artificial intelligence projects.
 \#MicrosoftAI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81">
      <c r="A81" t="inlineStr">
        <is>
          <t>li-4380177251</t>
        </is>
      </c>
      <c r="B81" t="inlineStr">
        <is>
          <t>Software Engineer, Infrastructure (Developer Experience)</t>
        </is>
      </c>
      <c r="C81" t="inlineStr">
        <is>
          <t>Benchling</t>
        </is>
      </c>
      <c r="D81" t="inlineStr">
        <is>
          <t>linkedin</t>
        </is>
      </c>
      <c r="E81">
        <f>HYPERLINK("https://www.linkedin.com/jobs/view/4380177251", "https://www.linkedin.com/jobs/view/4380177251")</f>
        <v/>
      </c>
      <c r="F81">
        <f>HYPERLINK("https://jobs.ashbyhq.com/benchling/0cdac0f1-7d79-49e5-aaf6-94ce410062a6/application?utm_source=JobWrapping&amp;urlHash=TEV1", "https://jobs.ashbyhq.com/benchling/0cdac0f1-7d79-49e5-aaf6-94ce410062a6/application?utm_source=JobWrapping&amp;urlHash=TEV1")</f>
        <v/>
      </c>
      <c r="G81" t="inlineStr">
        <is>
          <t>San Francisco, CA</t>
        </is>
      </c>
      <c r="H81" t="inlineStr"/>
      <c r="I81" t="inlineStr">
        <is>
          <t>Biotechnology is rewriting life as we know it, from the medicines we take, to the crops we grow, the materials we wear, and the household goods that we rely on every day. But moving at the new speed of science requires better technology.
 Benchling’s mission is to unlock the power of biotechnology. The world’s most innovative biotech companies use Benchling’s R\&amp;D Cloud to power the development of breakthrough products and accelerate time to milestone and market.
 Come help us bring modern software to modern science.
**Role Overview**
 Developer Experience is a crucial function that empowers our engineers to excel in their craft. As a technical leader in the Platform pillar, you’ll work closely with the Developer Productivity and Release Engineering teams to create tools and frameworks that enhance developer experience, with a focus on the Path to Production. Your success will enable our engineering teams to efficiently deliver high quality products. By understanding the unique challenges developers face and crafting solutions to streamline their workflows, you'll play a key role in driving innovation and fulfilling Benchling’s mission.
**Responsibilities**
* Build and implement tooling for efficient, frictionless development, testing, and packaging for production release.
* Lead the design and development of release tooling that enables code changes to reach production within 10 minutes.
* Iterate on developer experience improvements using qualitative and quantitative feedback.
* Implement feedback loops that integrate quality into software development workflows.
* Champion effective engineering and operational patterns across the Engineering org.
* Collaborate with cross\-functional teams to address challenges in engineering workflows that impact developer happiness and productivity.
* Work closely with product managers, designers, and peers in engineering to make Benchling a delightful place to develop software.
* Help rapidly scale our product and team. As a member of the engineering team, you'll be an integral part of how we mature our tooling, best practices, engineering processes, and hiring.
**Qualifications**
* Have 7\+ years of experience in software engineering.
* Have 5\+ years of experience with containerized applications (Docker, Kubernetes, etc) in production.
* Build software with a product\-first approach. You ship code quickly and care about the real world impact of your code.
* Expertise with at least one web framework, preferably node or python.
* Have strong abilities in problem solving and iterating on feedback.
* Enjoy ownership and building key pieces of product.
* Have empathy for your customers and curiosity about their challenges.
* Are interested in learning more about life science (prior knowledge is not required; desire to learn is a must).
**How We Work**
 We offer a flexible hybrid work arrangement that prioritizes in\-office collaboration. Employees are expected to be on\-site 3 days per week (Monday, Tuesday, and Thursday).
 SALARY RANGE
 Benchling takes a market\-based approach to pay. The candidate's starting pay will be determined based on job\-related skills, experience, qualifications, interview performance, and work location. For this role the base salary range is $195,000 to $265,000\.
 To help you determine which zone applies to your location, please see this resource. If you have questions regarding a specific location's zone designation, please contact a recruiter for additional information.
**Total Compensation Includes The Following**
* Competitive total rewards package
* Broad range of medical, dental, and vision plans for employees and their dependents
* Fertility healthcare and family\-forming benefits
* Four months of fully paid parental leave
* 401(k) \+ Employer Match
* Commuter benefits for in\-office employees and a generous home office set up stipend for remote employees
* Mental health benefits, including therapy and coaching, for employees and their dependents
* Monthly Wellness stipend
* Learning and development stipend
* Generous and flexible vacation
* Company\-wide Winter holiday shutdown
* Sabbaticals for 5\-year and 10\-year anniversaries
 \#BI\-Hybrid
**Benchling welcomes everyone.**
 We believe diversity enriches our team so we hire people with a wide range of identities, backgrounds, and experiences.
 We are an equal opportunity employer. That means we don’t discriminate on the basis of race, religion, color, national origin, gender, sexual orientation, age, marital status, veteran status, or disability status. We also consider for employment qualified applicants with arrest and conviction records, consistent with applicable federal, state and local law, including but not limited to the San Francisco Fair Chance Ordinance.</t>
        </is>
      </c>
    </row>
    <row r="82">
      <c r="A82" t="inlineStr">
        <is>
          <t>li-4370578736</t>
        </is>
      </c>
      <c r="B82" t="inlineStr">
        <is>
          <t>Sr. Full Stack Engineer (Python)</t>
        </is>
      </c>
      <c r="C82" t="inlineStr">
        <is>
          <t>Terakeet</t>
        </is>
      </c>
      <c r="D82" t="inlineStr">
        <is>
          <t>linkedin</t>
        </is>
      </c>
      <c r="E82">
        <f>HYPERLINK("https://www.linkedin.com/jobs/view/4370578736", "https://www.linkedin.com/jobs/view/4370578736")</f>
        <v/>
      </c>
      <c r="F82" t="inlineStr"/>
      <c r="G82" t="inlineStr">
        <is>
          <t>Atlanta, GA</t>
        </is>
      </c>
      <c r="H82" t="inlineStr"/>
      <c r="I82" t="inlineStr">
        <is>
          <t>**Why Terakeet?**
 At Terakeet, we’re comfortable with the uncomfortable. We live in the future of marketing and are revolutionizing how the world’s most valuable brands connect and build trust with their audiences. We are experts who deliver exceptional outcomes. Together, we win.
**What We Do**
 Terakeet controls online reputation and visibility for global brands. We proactively build, protect, and repair brand narratives and perception to drive trust across organic and AI\-powered search using patented technology and decades of expertise.
**Where We Hire**
 We are a remote\-first organization hiring specifically within 60 miles of Chicago, IL., Dallas, TX., Austin, TX., Charlotte, NC., Atlanta, GA., Phoenix, AZ., Minneapolis, MN., and Syracuse, NY to help create opportunities for connectivity and collaboration in\-person as you see fit. Learn more about our hiring hubs on the Careers blog.
**Where You Fit:**
 Terakeet is looking for a Senior Full Stack Software Engineer who is passionate about building intuitive, scalable applications that deliver meaningful impact for global brands. We’re seeking someone who enjoys working across the entire technology stack — from crafting engaging front\-end experiences to building reliable backend services and APIs. The ideal candidate is collaborative, solutions\-oriented, and motivated by solving complex technical challenges while helping drive innovation, quality, and continuous improvement across our platform and engineering practices.
**What We Need:**
 Reasonable accommodations may be made to enable individuals with disabilities to perform the following essential functions:
 As a Senior Full Stack Software Engineer (Python), you will contribute hands\-on across the full application stack, delivering solutions that span front\-end interfaces, backend services, APIs, and data\-oriented workflows. In addition to technical execution, you will provide thought leadership, communicate effectively with stakeholders, and help identify and shape opportunities that improve our platform and engineering practices.
* Designing, building, and maintaining full stack solutions using modern front\-end frameworks and robust backend services.
* Developing backend services and APIs using Python and enterprise\-level frameworks, with an emphasis on scalability, reliability, and maintainability.
* Building and evolving GraphQL APIs, including schema design and resolver implementation.
* Partnering with designers, product managers, and other engineers to deliver intuitive, data\-driven user experiences.
* Designing and implementing clean, performant, and scalable database schemas to support enterprise use cases.
* Producing and maintaining clear technical documentation, including in\-code comments, repository documentation, and architectural diagrams.
* Providing senior\-level technical guidance, clear communication, and collaborative problem\-solving across teams and stakeholders.
* Promoting best practices in code quality, testing, and system design.
 The above description is not designed to cover or contain a comprehensive listing of activities, duties or responsibilities that are required of the employee. Other duties, responsibilities, and activities may change or be assigned at any time with or without notice.
**How We Evaluate:**
**Must\-Have Qualifications**
* 5–8 years of professional full stack software development experience.
* Strong backend development experience using enterprise\-level languages such as Python, Ruby, Java, or C\#, with a strong preference for Python and Django.
* Demonstrated experience with modern JavaScript\-based front\-end frameworks and libraries, with a preference for Vue.js and Nuxt.
* Deep experience designing and implementing GraphQL APIs, from schema definition through resolver logic.
* Strong SQL fluency, including the ability to design enterprise\-grade database schemas that are performant and scalable.
* Proven experience creating and maintaining high\-quality technical documentation.
**Should\-Have Qualifications**
* Experience building complex, data\-heavy user interfaces, including advanced data visualizations, tables, and graphing components.
* Experience optimizing GraphQL and/or REST APIs for high\-concurrency, data\-intensive environments.
* A consistent practice of writing, maintaining, and documenting automated tests, including unit and integration testing (e.g., Pytest, Vitest, Cypress).
**Nice\-to\-Have Qualifications**
* Direct experience with Terakeet’s core technology stack, including Python/Django on the backend and Vue.js/Nuxt on the frontend.
* Hands\-on experience scaling and optimizing PostgreSQL for large, data\-heavy applications with complex data flows.
* Broad database experience, including hand\-written SQL, ORM usage, and a strong understanding of tradeoffs between different data access and data flow strategies.
* Familiarity with data warehouse solutions such as Snowflake or equivalent platforms.
**Pay Transparency**
 The salary range for this role is $112,000 to $169,000\. \*This salary range is based off of the market pay for all of the United States; Terakeet applies a multiplier to this range based upon the specific geographic location of a job candidate\*
**EEO Statement**
 Terakeet provides equal employment opportunity to all individuals regardless of their race, color, creed, religion, gender, age, sexual orientation, national origin, disability, veteran status, or any other characteristic protected by state, federal, or local law.</t>
        </is>
      </c>
    </row>
    <row r="83">
      <c r="A83" t="inlineStr">
        <is>
          <t>li-4289370137</t>
        </is>
      </c>
      <c r="B83" t="inlineStr">
        <is>
          <t>Senior Software Engineer</t>
        </is>
      </c>
      <c r="C83" t="inlineStr">
        <is>
          <t>Carta Healthcare</t>
        </is>
      </c>
      <c r="D83" t="inlineStr">
        <is>
          <t>linkedin</t>
        </is>
      </c>
      <c r="E83">
        <f>HYPERLINK("https://www.linkedin.com/jobs/view/4289370137", "https://www.linkedin.com/jobs/view/4289370137")</f>
        <v/>
      </c>
      <c r="F83">
        <f>HYPERLINK("https://www.carta.healthcare/careers/job/5628216004?gh_jid=5628216004&amp;urlHash=mcn6", "https://www.carta.healthcare/careers/job/5628216004?gh_jid=5628216004&amp;urlHash=mcn6")</f>
        <v/>
      </c>
      <c r="G83" t="inlineStr"/>
      <c r="H83" t="inlineStr"/>
      <c r="I83" t="inlineStr">
        <is>
          <t>**Location:** 
 Remote
**Type:** 
 Full\-time
**About The Role**
 We are seeking a
 **Senior Software Engineer** 
 with strong, production\-level experience in
 **Python** 
 . You will design, develop, and maintain backend applications, services, and systems. This role involves close collaboration with product stakeholders, supporting internal teams, and engaging with customers to deliver well\-structured, well\-documented solutions that align with our mission and product goals.
**Responsibilities**
* Design, implement, and maintain core services, APIs, and data workflows.
* Engage with internal and external stakeholders to understand product needs.
* Leverage product insights to guide architectural decisions.
* Create and maintain diagrams, documentation, and whiteboarding artifacts.
* Maintain and monitor infrastructure using Infrastructure\-as\-Code (IaC) workflows.
* Apply security best practices, ensure comprehensive testing, and implement observability with tools like Datadog.
* Conduct detail\-oriented code reviews focused on correctness, maintainability, and quality.
* Mentor junior engineers and set high standards for code quality and documentation.
**Requirements**
* Proficiency in Python with proven production experience.
* Solid understanding of backend services, APIs, and modern web architecture.
* Familiarity with diagramming/documentation tools such as Lucid.
* Strong communication skills and ability to collaborate with both internal and external stakeholders.
* Track record of delivering high\-quality software in a fast\-paced environment.
* 3\+ years of Software Engineer experience
 Nice to Have
* Experience or interest in Go.
* Exposure to data processing or ML/AI workflows.
* Knowledge of CI/CD pipelines, Docker, and Kubernetes.
 Technologies We Use
* Languages \&amp; Frameworks: Python
* Infrastructure \&amp; Orchestration: Kubernetes, Docker, AWS
* Data Storage: PostgreSQL, AWS S3, AWS NoSQL solutions (e.g., DynamoDB)
* Workflow \&amp; Pipelines: Temporal for workflow and pipeline orchestration
* Observability \&amp; Tooling: Datadog, Lucid
 Why Join Us
* Build industry\-leading products that have a meaningful impact.
* Collaborate with talented, mission\-driven teammates.
* Benefit from a competitive package including excellent healthcare and a 401k.
**Compensation:** 
 $150,000 to $175,000 annually, based on skills, experience, licensure, and certifications.
*All applicants must have legal authorization to work in the United States now and in the future without sponsorship.*
*In compliance with federal law, all persons hired will be required to verify identity and eligibility to work in the United States and to complete the required employment eligibility verification form upon hire. All applicants are required to reside within the continental United States.*
*Carta Healthcare is dedicated to building a diverse and inclusive company because we serve health systems across the country; we’ve seen how our product and impact are strengthened the more we reflect that diversity. In addition, we have found and strongly believe that diverse teams are higher\-performing, and we embrace the varied perspectives that our team members share with each other. As such, we are an Equal Opportunity Employer.*
 \#BI\-Remote</t>
        </is>
      </c>
    </row>
    <row r="84">
      <c r="A84" t="inlineStr">
        <is>
          <t>li-4378507065</t>
        </is>
      </c>
      <c r="B84" t="inlineStr">
        <is>
          <t>Senior Embedded Software Engineer</t>
        </is>
      </c>
      <c r="C84" t="inlineStr">
        <is>
          <t>Belcan</t>
        </is>
      </c>
      <c r="D84" t="inlineStr">
        <is>
          <t>linkedin</t>
        </is>
      </c>
      <c r="E84">
        <f>HYPERLINK("https://www.linkedin.com/jobs/view/4378507065", "https://www.linkedin.com/jobs/view/4378507065")</f>
        <v/>
      </c>
      <c r="F84" t="inlineStr"/>
      <c r="G84" t="inlineStr">
        <is>
          <t>Westminster, CO</t>
        </is>
      </c>
      <c r="H84" t="inlineStr"/>
      <c r="I84" t="inlineStr">
        <is>
          <t>Job Title: Senior Embedded Software Engineer II
 Location: Westminster, CO
 Zip Code: 80021
 Start Date: Right Away
 Job Type: Contract
 Pay Rate: $$69\.72/hr \- $96\.54/hr DoE
 Keywords: \#EmbeddedSoftwareEngineerJobs \#Engineeringjobs;
 \*Must be a U.S. Citizen or Permanent Resident\*
 JOB RESPONSIBILITIES:
 We are seeking an experienced Principal Embedded Software Engineer I with a strong background in developing embedded applications using Linux and Yocto. The ideal candidate will have hands\-on expertise in embedded systems, device drivers, kernel modifications, and boot loaders, with a preference for experience on the Xilinx platform (though experience on other microcontrollers is also acceptable).
 As a software team member, you will be responsible for software designs from concept through production, including product roadmaps, block diagrams, detailed design and coding, analysis, test, qualification, and in\-orbit support. The ideal candidate will have development experience at nearly every level of the software stack, including microcontrollers, low\-level drivers, board support packages (BSP), and user interfaces with an emphasis on applications and data management. Additionally, the ideal candidate will have experience in software testing and high\-reliability qualification, as well as software engineering and software project management practices.
 This position will be supporting our Skylark product line, an antenna system that uses active phased array technology to unlock satellite communications that has traditionally relied on mechanically steered systems. Skylark is designed to work with any existing or upcoming satellite constellation and is scalable to the desired performance or application. Skylark offers several unique differentiators including is its multi\-beam capability which unlocks simultaneous communications with satellites in different orbits.
 The successful candidate will present engineering design review materials to our customers and executive team, as well as participate in proposal\-writing efforts. As such, excellent written and verbal communication skills are required.
 JOB DUTIES AND RESPONSIBILITIES
 \* Develop and port embedded Linux applications, custom device drivers, and libraries.
 \* Configure, modify, and integrate the Linux kernel and embedded boot loaders.
 \* Work extensively with U\-Boot, and Linux kernel configuration.
 \* Maintain and support the Yocto build system in a CI/CD environment.
 \* Package and deploy software images for various hardware platforms.
 \* Create and manage Linux images tailored to specific embedded hardware.
 \* Collaborate with cross\-functional teams to ensure system integration and performance.
 JOB REQUIREMENTS AND MINIMUM QUALIFICATIONS
 \* Bachelor of Science (BS) or Master of Science (MS) degree in Computer Science, Electrical Engineering, or Computer Engineering.
 \* Minimum of 9 years of industry experience in software development.
 \* Experience in hands\-on development and troubleshooting of software systems and hardware (such as motors, power distribution units, etc.).
 \* Programming experience in C or C\+\+.
 \* Strong hands\-on experience with Embedded Linux and Yocto.
 \* Familiarity with software configuration management tools, defect tracking tools, and peer review.
 \* Excellent understanding of multi\-threaded applications and resource management.
 \* Excellent written and verbal communication skills.
 PREFERRED EXPERIENCE
 \* Familiarity with Xilinx platforms or other microcontroller\-based systems.
 \* Experience with boot loaders, kernel\-level development, and CI/CD pipelines.
 \* Proven ability to work independently and manage multiple development tasks.
 Software/Tools Used:
 \* Embedded Linux and Yocto
 \* Programming experience in C or C\+\+.
 \* Yocto build system in a CI/CD environment
 \* U\-Boot, and Linux kernel configuration
 Our overriding goal is to provide quality staffing solutions that help people, organizations, and communities succeed. Belcan is a leading provider of qualified personnel to many of the world's most respected enterprises. We offer excellent opportunities for contract, temporary, temp\-to\-hire, and direct assignments. We are the employer of choice for thousands worldwide. For more information, please visit our website at Belcan.com
 Belcan is an equal opportunity employer. Your application and candidacy will not be considered based on race, color, sex, religion, creed, sexual orientation, gender identity, national origin, disability, genetic information, pregnancy, veteran status or any other characteristic protected by federal, state or local laws.</t>
        </is>
      </c>
    </row>
    <row r="85">
      <c r="A85" t="inlineStr">
        <is>
          <t>li-4380330098</t>
        </is>
      </c>
      <c r="B85" t="inlineStr">
        <is>
          <t>Senior Software Engineer - Full Stack</t>
        </is>
      </c>
      <c r="C85" t="inlineStr">
        <is>
          <t>Microsoft AI</t>
        </is>
      </c>
      <c r="D85" t="inlineStr">
        <is>
          <t>linkedin</t>
        </is>
      </c>
      <c r="E85">
        <f>HYPERLINK("https://www.linkedin.com/jobs/view/4380330098", "https://www.linkedin.com/jobs/view/4380330098")</f>
        <v/>
      </c>
      <c r="F85" t="inlineStr"/>
      <c r="G85" t="inlineStr"/>
      <c r="H85" t="inlineStr"/>
      <c r="I85" t="inlineStr">
        <is>
          <t>**Overview**
 Microsoft Clarity is a large scale user behavior analytics platform used by millions of websites to understand how users interact with their site. We are looking for a Full Stack Senior Engineer to help build and evolve Clarity’s high performance analytics platform, owning data accuracy, coverage, and efficiency while designing systems that operate safely at internet scale.
 In this role, you will develop performance sensitive web and data platforms, build AI forward product experiences, and apply solid engineering fundamentals to deliver reliable, secure, and insight driven capabilities with minimal impact on customer sites. You will work closely with Product Managers, Designers, and Engineers to ship end to end features, influence architecture decisions, and raise the quality bar across the team.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Build and operate scalable, reliable, distributed services on Azure using modern frameworks and event\-driven architectures.
* Apply solid JavaScript expertise to design and maintain efficient, reliable data instrumentation mechanisms that ensure accurate, performant, and privacy\-conscious analytics with minimal impact on customer websites.
* Contribute to analytics data quality by improving the accuracy, coverage, and efficiency of data collection for features you work on, ensuring trustworthy insights while respecting performance and privacy constraints.
* Implement AI‑forward product features and use AI‑assisted engineering tools within the SDLC, applying solid engineering fundamentals to deliver reliable and secure outcomes with appropriate accountability.
* Participate in engineering excellence practices including design discussions, code reviews, testing, and operational readiness, helping improve system resilience with minimal customer impact.
* Collaborate closely with product team to ship end‑to‑end features, contribute to architectural discussions, and uphold a high quality bar.
* Embody our Culture and Values.
**Qualifications**
**Required Qualifications:**
* Bachelor's Degree in Computer Science or related technical field AND 4\+ years technical engineering experience with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or related technical field AND 6\+ years technical engineering experience with coding in languages including, but not limited to, C, C\+\+, C\#, Java, JavaScript, or Python
+ OR Bachelor's Degree in Computer Science or related technical field AND 8\+ years technical engineering experience with coding in languages including, but not limited to, C, C\+\+, C\#, Java, JavaScript, or Python
+ OR equivalent experience.
* 2\+ years experience building scalable services on top of public cloud infrastructure like Azure, AWS, or GCP
* Solid expertise in JavaScript / TypeScript, HTML, CSS and browser internals
* Solid understanding of web performance, accessibility, and cross‑browser compatibility
* Experience with Development \&amp; Debugging with dev environments like Visual Studio or Visual Studio Code
* Familiarity with LLMs and AI ChatBots
* Prompt Engineering, Azure DevOps, GIT
* Solid problem‑solving skills and ability to work independently
* Experience in leading technical projects and supporting architectural decisions with data.
 \#MicrosoftAI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86">
      <c r="A86" t="inlineStr">
        <is>
          <t>li-4374517333</t>
        </is>
      </c>
      <c r="B86" t="inlineStr">
        <is>
          <t>Senior Java Software Engineer</t>
        </is>
      </c>
      <c r="C86" t="inlineStr">
        <is>
          <t>Very</t>
        </is>
      </c>
      <c r="D86" t="inlineStr">
        <is>
          <t>linkedin</t>
        </is>
      </c>
      <c r="E86">
        <f>HYPERLINK("https://www.linkedin.com/jobs/view/4374517333", "https://www.linkedin.com/jobs/view/4374517333")</f>
        <v/>
      </c>
      <c r="F86" t="inlineStr"/>
      <c r="G86" t="inlineStr"/>
      <c r="H86" t="inlineStr"/>
      <c r="I86" t="inlineStr">
        <is>
          <t>**About Very** 
 (Remote – North America)
 Very is a fully distributed technology firm led by expert problem\-solvers who create efficient, scalable solutions that move commercial, industrial, and consumer products from pilot to production in record time.
 We believe that real innovation happens in the grind — working shoulder to shoulder with clients who are building the future. Our team thrives on that energy. When we’re not helping clients deliver business\-critical outcomes, we’re refining our craft and celebrating what it means to do hard things well.
 We’ve built a collaborative, tight\-knit culture that thrives in both remote and in\-person settings. We’ve won numerous workplace awards over the years, including Great Place to Work certification and recognition from Parity.org as a Best Company for Women to Advance.
 Our clients include well\-known brands like Vizio, Peloton, Clear, iHeart Radio, and Fellowes — all determined to leverage connected devices and AI to drive meaningful impact. Our job is simple: help them win.
**About This Role** 
 As a Senior Level Software Engineer, you’ll play a key role in building and maintaining secure, scalable applications that support critical customer and business needs. You’ll work across the stack — from designing backend services to implementing front\-end features while collaborating closely with cross\-functional teams.
 This role is hands\-on: you’ll translate requirements into well\-designed solutions, write production\-ready code, participate in code reviews, and contribute to the overall reliability and performance of our systems. You’ll also help support our applications in production through on\-call rotations and proactive issue resolution.
 This position is ideal for an engineer who enjoys solving real\-world problems, working in modern cloud environments, and contributing to systems end\-to\-end. You’ll have the opportunity to deepen your technical expertise, influence design decisions, and grow within a supportive engineering culture.
 At Very the key distinction between mid, senior and lead roles is the scope and depth of your expertise and responsibility. As a mid you can own and deliver tasks (work packages) with a high level of professionalism and know when to reach out for help. As a senior, you have deep expertise in your area of specialization and can execute independently in your domain while interfacing with other software stacks. As a lead you become a true full stack engineer with the ability to plan, execute and lead a team across the full software stack, while interfacing with non\-software aspects of the project.
 This is not an easy role. You’ll work in complex domains, under real deadlines, and with clients who expect you to bring clarity, confidence, and results. If you find satisfaction in doing hard things well — in solving tough problems, building real systems, and helping others rise to the challenge — you’ll fit right in.
 As a client services organization, travel may be required up to 10% of the time. Some clients may also require periodic assignment to 24/7 support rotation.
 What You’ll Be Working On
 Every engagement at Very is different, but they share one common theme: we build things that matter. From connected hardware and data systems to large\-scale web and AI\-driven platforms, you’ll:
* Capture technical requirements and contribute to high\-level and low\-level design for software solutions using AWS and Azure technologies.
* Write production\-grade Java, Python, and SQL code that meets high standards for maintainability, security, and observability.
* Build and support complex, microservice\-based, event\-driven systems.
* Implement testing strategies and automation across the stack.
* Participate in on\-call rotation and help maintain system health, performance, and reliability.
* Collaborate across engineering, design, and product to deliver high\-quality outcomes.
* Identify and proactively address potential technical or operational risks before they impact customers.
 You’ll operate in a modern, polyglot environment that includes:
* Frontend: React, Vite, Expo, TypeScript, WebSockets, Progressive Web Apps
* Backend: Java, Dropwizard, Node.js, Python, FastAPI, Django
* Cloud: AWS (Lambda, ECS, Fargate, RDS, CloudFront, CloudWatch, SNS, SQS), Azure
* DevOps: Docker, Terraform, Pulimi, GitHub Actions, CI/CD pipelines
* Databases: Postgres, Redis, TimescaleDB, DynamoDB
* Testing: Jest, Cypress, Pytest, and other automated test frameworks
 Outcomes
* Deliver High\-Quality Features: Ship secure, reliable code that meets requirements, adheres to standards, and delivers measurable business value.
* Strengthen System Reliability: Improve observability, performance, and operational excellence across services and components.
* Support Cross\-Functional Delivery: Collaborate effectively with lead engineers, designers, PMs, and client stakeholders.
* Raise the Bar: Contribute to better patterns, tooling, and engineering standards across teams.
* Enhance Customer Success: Proactively identify and resolve technical issues that could impact system behavior or user experience.
**Responsibilities** 
* Implement features across frontend, backend, and cloud components.
* Participate in technical design discussions and contribute to architectural decisions.
* Write clean, scalable, and secure code following Very’s engineering standards.
* Create and maintain automated tests across all layers of the stack.
* Support deployments, CI/CD pipelines, logging, monitoring, and alerting.
* Participate in code reviews, offering constructive feedback that improves overall quality.
* Participate in 24/7 on\-call rotation and assist in diagnosing and resolving production issues.
* Support documentation and knowledge sharing within teams.
**Minimum Qualifications** 
 General Experience
* BS or higher in Computer Science, Software Engineering, or related field
* 8\+ years of professional software development experience
* 4\+ years of experience developing Java based backend applications
* Full software development lifecycle experience, including requirements, design, implementation, testing, deployment, and operations.
* Experience building complex, event\-driven, microservice\-based systems.
* Strong understanding of production\-grade system reliability, observability, and security.
* Experience working in or with government sectors is a strong plus.
* Client\-facing or consulting experience preferred but not required.
 Technical Proficiency
* Deep expertise in Java backend frameworks such as Dropwizard
* Strong expertise in Python backends such as Django
* Fluency with frontend technologies including React, Expo, Vite and TypeScript
* Skilled in relational and non\-relational data modeling and SQL development
* Extensive knowledge in supporting event driven cloud platforms in AWS including security, logging, monitoring, observability and performance at scale
* AWS service knowledge: Lambda, ECS, Fargate, RDS, CloudFront, CloudWatch, SNS, SQS
* Ability to debug and modify CI/CD automation (GitHub Actions) and infrastructure\-as\-code (Terraform or Pulimi)
**Requirements** 
* Must be US\-based.
* US Citizen (required).
* Must be able to pass a Federal Personnel Security clearance (company will facilitate).
**Skills** 
* Client Obsessed: Keeps the client’s success front and center. Measures technical choices by their business impact.
* Clear Communicator: Collaborates effectively with technical and non\-technical stakeholders.
* Quality\-Driven: Holds themselves to high standards for code quality and reliability.
* Ownership Mindset: Takes responsibility for delivering solutions that work in real\-world conditions.
* Problem Solver: Thrive in complexity and find solutions even when requirements are evolving.
**Compensation** 
 Base Compensation: USD $135,000–$145,000 per year, commensurate with experience
**Variable Compensation** 
 Up to 10% in the first year.
**Perks \&amp; Benefits** 
* 401k match
* Comprehensive health, dental, and vision insurance
* $200/mo cell/internet stipend
* $600/yr home office equipment stipend
* Paid parental leave (95th percentile in the U.S.)
* Continuing education stipend ($2,500/yr after one year)
* Loaned MacBook Pro and other necessary equipment
 Why Work for Very
 We do not promise an easy ride — we promise meaningful work.
 We work hard because our clients’ success depends on it, and we take pride in delivering when others can’t. We collaborate closely, move fast, and stay grounded in results. We take joy in the process — in the problem\-solving, the iteration, and the shared wins that come from doing the hard things well.
 If you’re looking for a place where every project matters, where the standards are high, and where you’ll grow by pushing yourself and others — welcome to Very.
**Important** 
* We don't currently provide Visa Sponsorship. Don't apply if you require this.
* This job is remote but if you’re not located in the region or country mentioned in the post’s title, do not continue. Your application won’t be reviewed.
 Interviewing for a new company is a serious time commitment for all parties involved. Please take the time to read this and thoughtfully consider if we would be a good fit for one another. No contractors or agencies. Seriously.
* Note: To qualify for this role, you must reside in the US, be a US Citizen and be able to pass a Federal Personnel Security clearance (company will facilitate).</t>
        </is>
      </c>
    </row>
    <row r="87">
      <c r="A87" t="inlineStr">
        <is>
          <t>li-4352696222</t>
        </is>
      </c>
      <c r="B87" t="inlineStr">
        <is>
          <t>Software Engineer</t>
        </is>
      </c>
      <c r="C87" t="inlineStr">
        <is>
          <t>ICI Services Corporation</t>
        </is>
      </c>
      <c r="D87" t="inlineStr">
        <is>
          <t>linkedin</t>
        </is>
      </c>
      <c r="E87">
        <f>HYPERLINK("https://www.linkedin.com/jobs/view/4352696222", "https://www.linkedin.com/jobs/view/4352696222")</f>
        <v/>
      </c>
      <c r="F87">
        <f>HYPERLINK("https://phg.tbe.taleo.net/phg02/ats/careers/v2/viewRequisition?org=ICISERVC&amp;cws=39&amp;rid=5303&amp;urlHash=nxcV", "https://phg.tbe.taleo.net/phg02/ats/careers/v2/viewRequisition?org=ICISERVC&amp;cws=39&amp;rid=5303&amp;urlHash=nxcV")</f>
        <v/>
      </c>
      <c r="G87" t="inlineStr">
        <is>
          <t>Panama City, FL</t>
        </is>
      </c>
      <c r="H87" t="inlineStr"/>
      <c r="I87" t="inlineStr">
        <is>
          <t>**Software Engineer \- Position Description**
 Join a team that’s shaping the future of Navy support. ICI Services—a 100% employee\-owned company proudly celebrating 26 years of excellence—is seeking
 **Software Engineer** 
 to support our Landing Craft Air Cushion (LCAC) Command, Control, Communication, Computers, Navigation \&amp; Electrical (C4N\&amp;E) Team at Naval Surface Warfare Center Panama City in
 **Panama City, FL**
 At ICI Services, our employee\-owners drive innovation and deliver mission\-focused solutions across the Navy enterprise. Our diverse team of acquisition experts, financial analysts, engineers, logisticians, IT professionals, and technical specialists is united by a commitment to quality, performance, and customer success. Become part of an organization where your expertise matters and your contributions make a difference.
**Security Clearance**
* Applicant must hold or be able to obtain an active Department of Defense (DoD) SECRET personnel security clearance.
**Responsibilities**
 NSWC PCD serves as the SSA and performs software maintenance supporting fielded software baselines along with the required high speed connectors System Integration Laboratory (SIL) software simulators. The SSA uses an agile Development, Security, and Operations (DEVSECOPS) software development methodology to update, patch, and incorporate new requirements and capabilities.
**Experiences**
* 8 years of experience in computer or software engineering on systems similar to the LCAC C4N.
* Experience in designing and implementing real\-time embedded software intensive code solutions.
* Experience in testing and debugging software components, including: testing resulting components, and analyzing runtime profiles to debug errors.
* Experience in integrating software units and components to produce integrated software items consistent with the design.
* Programming languages: proficiency in one or more programming languages, such as C, C\+\+, Java, or Python.
**Education Requirements**
* Bachelor of Science Degree in relevant fields, such as Electrical Engineering, Computer Engineering, Mechanical Engineering, Industrial Engineering, or Marine Engineering.
* Other relevant certifications, such as: Certified Software Development Professional (CSEP) by IEEE, Certified Secure Software Lifecycle Professional (CSSLP), or Certified ScrumMaster (CSM).
**EOE/M/F/ Disability/Vet**
**VEVRAA Federal Contractor**
**\#CJ**
**Benefits**
 ICI Services provides a comprehensive, competitive benefits package.
**Our Benefits**
* Employee Stock Ownership Plan
* 401(k) Plan with Immediately Vesting Match
* Paid Time Off
* Paid Holidays
* Health Insurance
* Dental Insurance
* Vision Plan
* Flexible Spending Accounts (Healthcare, Dependent Care, Transportation, Parking)
* Life Insurance and Accidental Death \&amp; Dismemberment (AD\&amp;D)
* Long Term and Short Term Disability Insurance
* Tuition Reimbursement
* Employee Referral Bonus Program
* Employee Performance Recognition \&amp; Awards (Spot Bonuses)
**Company Overview**
 ICI Services is an Employee\-Owned Business with a proud history of providing Engineering \&amp; Integration, Systems Acquisition, Information Warfare, and In\-Service Sustainment to our government customers. These objectives have been achieved by facilitating strong customer satisfaction and continuous growth. ICI Services’ engineers, analysts, logisticians, technicians and information technology specialists provide integral, quality support to multiple US Navy organizations and the Department of Homeland Security. We are headquartered in Virginia Beach, VA.
**EOE/M/F/Disability/Vet** 
**VEVRAA Federal Contractor**</t>
        </is>
      </c>
    </row>
    <row r="88">
      <c r="A88" t="inlineStr">
        <is>
          <t>li-4348702768</t>
        </is>
      </c>
      <c r="B88" t="inlineStr">
        <is>
          <t>Software Developer 3</t>
        </is>
      </c>
      <c r="C88" t="inlineStr">
        <is>
          <t>Oracle</t>
        </is>
      </c>
      <c r="D88" t="inlineStr">
        <is>
          <t>linkedin</t>
        </is>
      </c>
      <c r="E88">
        <f>HYPERLINK("https://www.linkedin.com/jobs/view/4348702768", "https://www.linkedin.com/jobs/view/4348702768")</f>
        <v/>
      </c>
      <c r="F88">
        <f>HYPERLINK("https://eeho.fa.us2.oraclecloud.com/hcmUI/CandidateExperience/en/job/318364/?utm_medium=jobboard&amp;utm_source=LinkedIn&amp;urlHash=ulLz", "https://eeho.fa.us2.oraclecloud.com/hcmUI/CandidateExperience/en/job/318364/?utm_medium=jobboard&amp;utm_source=LinkedIn&amp;urlHash=ulLz")</f>
        <v/>
      </c>
      <c r="G88" t="inlineStr">
        <is>
          <t>Nashville, TN</t>
        </is>
      </c>
      <c r="H88" t="inlineStr"/>
      <c r="I88" t="inlineStr">
        <is>
          <t>**Job Description**
 The Oracle Cloud Infrastructure (OCI) team can provide you the opportunity to build and operate a suite of massive scale, integrated cloud services in a broadly distributed, multi\-tenant cloud environment. OCI is committed to providing the best in cloud products that meet the needs of our customers who are tackling some of the world’s biggest challenges.
 We offer unique opportunities for smart, hands\-on engineers with the expertise and passion to solve difficult problems in distributed highly available services and virtualized infrastructure. At every level, our engineers have a significant technical and business impact designing and building innovative new systems to power our customer’s business critical applications.
**What is Security Products Group at OCI?**
 OCI Security Products Group is building comprehensive product portfolios to protect customers’ cloud environments with innovative approaches and hyperscale efficiency. Our core security pillars are: customer isolation, data encryption, security controls, visibility. Our vision is to build the most secure cloud environment for our customers to build their applications confidently on top of OCI. We are making strategic decision to heavily invest on detecting system vulnerabilities and threat activities, correlate and analyze problems, then remediate, notify and block attacks from malicious actors against customer cloud environment.
 We offer a rich set of services to help our customer to secure their data, flexible access to their environment, detect the vulnerabilities and treats in their environment, source code, applications and containers, take remediations to protect customers based on the industry best practice such as CVE and CIS. Our solutions will ensure customers confidently build their business in Oracle Cloud.
 https://www.oracle.com/cloud/products.html
**Who are we looking for?**
 We are looking for engineers with distributed systems experience. You should have experience with the design of major features and launching them into production. You’ve operated high\-scale services and understand how to make them more resilient. You work on most projects and tasks independently. You have experience working with services that require data to travel long distances, but have to abide by compliance and regulations.
 The ideal candidate will own the software design and development for major components of Oracle’s Cloud Infrastructure. You should be both a rock\-solid coder and a distributed systems generalist, able to dive deep into any part of the stack and low\-level systems, as well as design broad distributed system interactions. You should value simplicity and scale, work comfortably in a collaborative, agile environment, and be excited to learn.
**Responsibilities**
* Cloud service design for availability, scalability, observability, and testability.
* Implementation, validation and documentation of services and their component micro\-services.
* Stay abreast of emerging technologies, industry best practices, ensuring compliance and driving innovation within the organization.
* Work collaboratively to realize and achieve the technical vision of the team.
* Ability to engage with geographically distributed engineering teams.
* Ensuring compliance to software development standards, processes, and best practices.
**Required Qualifications**
* 4\+ years distributed service engineering experience in a software development environment
* Experience driving feature design reviews, documentation, UX reviews, and working with Product Managers through the entire launch process
* Strong development experience in Java, C\+\+, C\#, or similar OO languages
* Strong knowledge of data structures, algorithms, operating systems, and distributed systems fundamentals
* Good understanding of databases, NoSQL systems, storage and distributed persistence technologies
* Experience building multi\-tenant, virtualized infrastructure a strong plus
**Preferred Qualifications**
* Hands\-on experience developing services on a public cloud platform (e.g., AWS, Azure, Oracle)
* Building continuous integration/deployment pipelines with robust testing and deployment schedules
* Expertise in applying threat modeling or other risk identification techniques to develop security solutions
* Experience and understanding of Cryptograph, DDoS, CVE, CIS, SAST, DAST, or similar security and compliance knowledge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$79,200 \- $178,100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IC3
**About Us**
 Only Oracle brings together the data, infrastructure, applications, and expertise to power everything from industry innovations to life\-saving care. And with AI embedded across our products and services, we help customers turn that promise into a better future for all. Discover your potential at a company leading the way in AI and cloud solutions that impact billions of lives.
 True innovation starts when everyone is empowered to contribute. That’s why we’re committed to growing a workforce that promotes opportunities for all with competitive benefits that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1\-888\-404\-2494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89">
      <c r="A89" t="inlineStr">
        <is>
          <t>li-3986112633</t>
        </is>
      </c>
      <c r="B89" t="inlineStr">
        <is>
          <t>Software Engineer</t>
        </is>
      </c>
      <c r="C89" t="inlineStr">
        <is>
          <t>Epic</t>
        </is>
      </c>
      <c r="D89" t="inlineStr">
        <is>
          <t>linkedin</t>
        </is>
      </c>
      <c r="E89">
        <f>HYPERLINK("https://www.linkedin.com/jobs/view/3986112633", "https://www.linkedin.com/jobs/view/3986112633")</f>
        <v/>
      </c>
      <c r="F89">
        <f>HYPERLINK("https://epic.avature.net/Careers/RegisterMethod?folderId=740&amp;source=LinkedIn&amp;urlHash=L6oX", "https://epic.avature.net/Careers/RegisterMethod?folderId=740&amp;source=LinkedIn&amp;urlHash=L6oX")</f>
        <v/>
      </c>
      <c r="G89" t="inlineStr">
        <is>
          <t>Arlington, VA</t>
        </is>
      </c>
      <c r="H89" t="inlineStr"/>
      <c r="I89" t="inlineStr">
        <is>
          <t>Please note that this position is based on our campus in Madison, WI, and requires relocation to the area. We recruit nationally and provide financial relocation assistance.
**Code that saves lives.**
 As a software developer at Epic, you’ll write software that impacts the lives of 325 million patients around the world. Working in your own office, surrounded by thousands of high\-caliber developers, you’ll use modern development methodologies and employ user\-centered design, analytics, and machine learning tools to drive innovation in healthcare. Using leading\-edge technologies and languages like JS, TS, and C\#, you’ll invent better ways to reduce medical errors, streamline record sharing between hospitals, and provide the quality of care a patient deserves. Learn more about our team at https://careers.epic.com/jobs/softwaredevelopment/.
**Write software for the most innovative health systems on the planet.**
 The top\-ranked health systems in U.S. News and World Report are Epic customers. Our community includes major systems like the Mayo Clinic, Johns Hopkins, Cleveland Clinic, and Kaiser Permanente, as well as leading academic medical centers at the University of Wisconsin, University of Michigan, University of California, University of Texas, The Ohio State University, and many more.
**Live affordably in a city known for its rising tech talent.**
 Epic is located just outside Madison, Wisconsin, the second fastest growing market for tech talent in the United States and home to the state capital and the University of Wisconsin. Madison, a city surrounded by water, has received accolades for being the greenest city in America (NerdWallet), the best city for renters (SmartAsset), the fittest city in America (Fitbit), and the third best metro in the US for young professionals (Forbes Advisor).
**More than just important work** 
 .
 Our uniquely themed campus was designed to heighten your ability to get stuff done in your office, a conference room, or by the fireplace in a comfy chair. All meals are restaurant\-quality but cost only a few dollars, and they’re prepared by a team comprised of kitchen talent from restaurants around the country. And, after five years here, you’ll earn a four\-week sabbatical anywhere in the world. Staff have kayaked in Patagonia, attended a Beyoncé concert in Ireland, built a library in Tanzania, and run a marathon in Antarctica.
 We offer comprehensive benefits to keep you healthy and happy as you grow in your life and career, and your merit\-based compensation will reflect the impact your work has on the company and our customers. You'll also be eligible for annual raises and bonuses, as well as stock grants, which give you an even greater stake in the success of Epic and our customers. Healthcare is global, and building the best ideas from around the world into Epic software is a point of pride. As an Equal Opportunity Employer, we know that inclusive teams design software that supports the delivery of quality care for all patients, so diversity, equity, and inclusion are written into our principles. Please see our full non\-discrimination statement at https://careers.epic.com/EEO.
* Relocation to the Madison, WI area (Reimbursed)
* BS/BA or greater in Computer Science, Mathematics, Software Engineering, Computer Engineering, or a related field
* A history of academic excellence or professional success
* Eligible to work in the United States without visa sponsorship (persons with appropriate qualifications and eligible for TN status under NAFTA may apply)
* COVID\-19 vaccination</t>
        </is>
      </c>
    </row>
    <row r="90">
      <c r="A90" t="inlineStr">
        <is>
          <t>li-4357459350</t>
        </is>
      </c>
      <c r="B90" t="inlineStr">
        <is>
          <t>Full Stack Engineer</t>
        </is>
      </c>
      <c r="C90" t="inlineStr">
        <is>
          <t>Mentor Talent Acquisition</t>
        </is>
      </c>
      <c r="D90" t="inlineStr">
        <is>
          <t>linkedin</t>
        </is>
      </c>
      <c r="E90">
        <f>HYPERLINK("https://www.linkedin.com/jobs/view/4357459350", "https://www.linkedin.com/jobs/view/4357459350")</f>
        <v/>
      </c>
      <c r="F90" t="inlineStr"/>
      <c r="G90" t="inlineStr">
        <is>
          <t>New York, United States</t>
        </is>
      </c>
      <c r="H90" t="inlineStr"/>
      <c r="I90" t="inlineStr">
        <is>
          <t>We're building LLM\-powered tools to shape the future of AI\-native research platforms.
**As an early engineer, you’ll:** 
* **Design and ship frontier products** 
 that rethink how humans interface with research and data;
* Work directly on high\-impact LLM applications and systems;
* Collaborate closely with clients to turn ideas into fast, scalable tools;
* Influence product direction and technical architecture from day one;
* Help define our
 **engineering culture, principles, and pace** 
 .
**About You** 
 You’re a
 **product\-minded, full\-stack engineer** 
 who loves building fast, clean, and impactful tools.
**You likely:** 
* Have
 **shipped full\-stack projects end\-to\-end** 
 (bonus for startup or early\-stage experience);
* Are excited to collaborate with
 **clients and internal teams** 
 to shape product vision;
* Want to build things
 **that feel futuristic but are incredibly useful** 
 ;
* Are highly proficient in
 **Next.js** 
 ,
 **TypeScript \&amp;** 
**PostgreSQL** 
 ;
* Constantly feel like you're
 **not building fast enough** 
 .</t>
        </is>
      </c>
    </row>
    <row r="91">
      <c r="A91" t="inlineStr">
        <is>
          <t>li-4362197417</t>
        </is>
      </c>
      <c r="B91" t="inlineStr">
        <is>
          <t>Senior Software Engineer, GPU Performance</t>
        </is>
      </c>
      <c r="C91" t="inlineStr">
        <is>
          <t>Google</t>
        </is>
      </c>
      <c r="D91" t="inlineStr">
        <is>
          <t>linkedin</t>
        </is>
      </c>
      <c r="E91">
        <f>HYPERLINK("https://www.linkedin.com/jobs/view/4362197417", "https://www.linkedin.com/jobs/view/4362197417")</f>
        <v/>
      </c>
      <c r="F91">
        <f>HYPERLINK("https://careers.google.com/jobs/results/138592287167783622-senior-software-engineer/?src=Online/LinkedIn/linkedin_us&amp;utm_source=linkedin&amp;utm_medium=jobposting&amp;utm_campaign=contract&amp;urlHash=gyfn", "https://careers.google.com/jobs/results/138592287167783622-senior-software-engineer/?src=Online/LinkedIn/linkedin_us&amp;utm_source=linkedin&amp;utm_medium=jobposting&amp;utm_campaign=contract&amp;urlHash=gyfn")</f>
        <v/>
      </c>
      <c r="G91" t="inlineStr">
        <is>
          <t>Sunnyvale, CA</t>
        </is>
      </c>
      <c r="H91" t="inlineStr"/>
      <c r="I91"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Note: By applying to this position you will have an opportunity to share your preferred working location from the following:
 **Sunnyvale, CA, USA; New York, NY, USA; Seattle, WA, USA; Kirkland, WA, USA** 
 .
 **Minimum qualifications:**
* Bachelor’s degree or equivalent practical experience.
* 5 years of experience with software development in one or more programming languages.
* 3 years of experience testing, maintaining, or launching software products, and 1 year of experience with software design and architecture.
* Experience with modern GPU architectures (NVIDIA, AMD, or other AI accelerators), memory hierarchies, and performance bottlenecks.
* Experience low\-level GPU programming (CUDA, Triton, CUTLASS, etc.) and performance engineering techniques.
* Experience with modern LLMs and their deployment on AI accelerators.
**Preferred qualifications:**
* Master's degree or PhD in Computer Science or related technical field.
* 5 years of experience with data structures and algorithms.
* 1 year of experience in a technical leadership role.
* Experience with compiler optimization, code generation, and runtime systems for GPU architectures (OpenXLA, MLIR, Triton, etc.).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While known for pioneering work with TPUs, GPUs are an equally vital and rapidly expanding frontier within Google's machine learning infrastructure. GPUs are indispensable to Google’s ever\-evolving landscape for strategic, pragmatic, and performance\-driven reasons — ensuring top performance for our ML models, adapting to ML workloads, achieving results, and influencing next\-gen GPU architectures via strategic partnerships.
 In recognition of hardware as a strength, Google’s Core ML organization is heavily invested in growing a powerhouse team of GPU experts, and we invite you to be at its vanguard! This is your opportunity to move beyond incremental improvements and architect truly transformative solutions, shaping the future of AI and accelerated computing for Google and the world.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channel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Build optimizations for the latest generation of GPUs that power Google’s most critical products and services, impacting billions of users worldwide.
* Address the most challenging performance bottlenecks through Google’s unparalleled access to the latest generation of GPUs, tooling, and a decade of experience building AI accelerators.
* Drive optimizations across Google’s GPU software stack from ML compiler cost model design to optimizing high performance GPU kernels to cross node model serving configurations.
* Influence the technical direction of the GPU software ecosystem at Google by collaborating with ML, compiler design, and systems architecture teams.
* Influence the deployment of Google’s GPU fleet by working with various product teams across Google.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92">
      <c r="A92" t="inlineStr">
        <is>
          <t>li-4379416058</t>
        </is>
      </c>
      <c r="B92" t="inlineStr">
        <is>
          <t>Senior Software Engineer</t>
        </is>
      </c>
      <c r="C92" t="inlineStr">
        <is>
          <t>Fullsight</t>
        </is>
      </c>
      <c r="D92" t="inlineStr">
        <is>
          <t>linkedin</t>
        </is>
      </c>
      <c r="E92">
        <f>HYPERLINK("https://www.linkedin.com/jobs/view/4379416058", "https://www.linkedin.com/jobs/view/4379416058")</f>
        <v/>
      </c>
      <c r="F92">
        <f>HYPERLINK("https://fullsight.wd12.myworkdayjobs.com/fullsight/job/400-Warrendale-Office/Senior-Software-Engineer_JR100186?source=LinkedIn&amp;urlHash=q5nv", "https://fullsight.wd12.myworkdayjobs.com/fullsight/job/400-Warrendale-Office/Senior-Software-Engineer_JR100186?source=LinkedIn&amp;urlHash=q5nv")</f>
        <v/>
      </c>
      <c r="G92" t="inlineStr">
        <is>
          <t>Warrendale, PA</t>
        </is>
      </c>
      <c r="H92" t="inlineStr"/>
      <c r="I92" t="inlineStr">
        <is>
          <t>SAE Industry Technologies Consortia (ITC), Performance Review Institute (PRI) and SAE International (SAE), deliver shared solutions to industry's common challenges.
 Join us and create a higher standard for a better world.
 Responsible for designing, developing, testing, implementing, and maintaining web\-based applications, such as e\-commerce applications, and integrations. Researches technical problems and suggests improvements for web applications. Analyzes and integrates new web products and technologies with existing web applications to improve the application functionality. Requires understanding of assigned business applications and system infrastructure. Works within development teams to achieve desired user experience and achieve desired business goals.
**Essential Functions**
* Participates in design, development, coding, testing, and debugging new software or significant enhancements to existing software. Includes documentation authoring. Adheres to SAE International development standards, including naming conventions, source code control processes, security protocols and code deployment processes. Manages their assigned tasks on multiple projects. Participates in code reviews
* Assists with project planning by providing estimates, task definitions and progress updates throughout the Software Development Life Cycle (SDLC) within established methodology.
* Interacts with end users on systems support. Performs debugging of production level bugs per the stated SLA. Subject matter expert on assigned applications and domains.
* Teaching and mentoring less experienced team members.
**Minimum Requirements**
* Bachelors degree in Computer Science, Engineering, Information Systems, and related field OR Associates Degree with 6\+ years of expereience
* 6 years of application development using a defined modern framework including but not limited to Angular and Java in a distributed environment
* 3\+ years using big data tools, such as MongoDB, Elastic
* Strong desire to learn and try new approaches
* Strong attention to quality, details, root cause problem solving, and follow\-up
* Strong ownership of overall team deliverables
* Data modeling/schema, data structure and network systems
* Proficient communication skills, both verbal and written
* Support and maintenance, including both internal and external customer interactions
* Experience as a member of a scrum team, able to and willing to fill whatever role the team needs to meet commitments.
* Strong sense of urgency in solving customer concerns
* Strong experience in understanding and use of Engineering best practices, Highly Available systems, appropriate levels of monitoring, logging and alerting.
**Preferred Qualifications**
* 2\+ years Agile Development Methodology
* Strong knowledge of development architectures, frameworks and tools
* Knowledge of one or more cloud platform services, such as AWS
* Enterprise development and or commercial software development experience
**Working Conditions And Physical Requirements**
* 5% Travel
* Ability to work for long periods at a computer/desk
* Standard office environment
**About The Organization**
**SAE Industry Technologies Consortia® (SAE ITC)** 
 enables organizations to define and pilot best practices. SAE ITC industry stakeholders are able to work together to effectively solve common problems, achieve mutual benefit for industry, and create business value.
**The Performance Review Institute® (PRI)** 
 is the world leader in facilitating collaborative supply chain oversight programs, quality management systems approvals, and professional development in industries where safety and quality are shared values.
**SAE International® (SAEI)** 
 is a global organization serving the mobility sector, predominantly in the aerospace, automotive and commercial\-vehicle industries, fostering innovation, and enabling engineering professionals. Since 1905, SAE has harnessed the collective wisdom of engineers around the world to create industry\-enabling standards. Likewise, SAE members have advanced their knowledge and understanding of mobility engineering through our information resources, professional development, and networking.
**Fullsight** 
 is a shared services group working across three affiliate organizations, SAE ITC, SAE International, and Performance Review Institute (PRI), uniformly delivering HR, IT, Legal, Customer Success, Finance, and Procurement services, which enables us to distribute resources across all parts of our businesses.
**EEO CLAUSE**
 Fullsight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t>
        </is>
      </c>
    </row>
    <row r="93">
      <c r="A93" t="inlineStr">
        <is>
          <t>li-4198712346</t>
        </is>
      </c>
      <c r="B93" t="inlineStr">
        <is>
          <t>Senior Software Engineer, Autonomy - Behavior, Planning &amp; Controls</t>
        </is>
      </c>
      <c r="C93" t="inlineStr">
        <is>
          <t>Cyngn</t>
        </is>
      </c>
      <c r="D93" t="inlineStr">
        <is>
          <t>linkedin</t>
        </is>
      </c>
      <c r="E93">
        <f>HYPERLINK("https://www.linkedin.com/jobs/view/4198712346", "https://www.linkedin.com/jobs/view/4198712346")</f>
        <v/>
      </c>
      <c r="F93" t="inlineStr"/>
      <c r="G93" t="inlineStr">
        <is>
          <t>Mountain View, CA</t>
        </is>
      </c>
      <c r="H93" t="inlineStr"/>
      <c r="I93" t="inlineStr">
        <is>
          <t>**About Cyngn**
 Based in Mountain View, CA, Cyngn is a publicly\-traded autonomous technology company. We deploy self\-driving industrial vehicles like forklifts and tuggers to factories, warehouses, and other facilities throughout North America. To build this emergent technology, we are looking for innovative, motivated, and experienced leaders to join us and move this field forward. If you like to build, tinker, and create with a team of trusted and passionate colleagues, then Cyngn is the place for you. Key reasons to join Cyngn:
**We are small and big.**
 With under 100 employees, Cyngn operates with the energy of a startup. On the other hand, we’re publicly traded. This means our employees not only work in close\-knit teams with mentorship from company leaders—they also get access to the liquidity of our publicly\-traded equity.
**We build today and deploy tomorrow.**
 Our autonomous vehicles aren’t just test concepts—they’re deployed to real clients right now. That means your work will have a tangible, visible impact.
**We aren’t robots. We just develop them.**
 We’re a welcoming, diverse team of sharp thinkers and kind humans. Collaboration and trust drive our creative environment. At Cyngn, everyone’s perspective matters—and that’s what powers our innovation.
**About This Role**
 As a Senior Software Engineer, you will play a pivotal role in developing next\-generation autonomous systems, driving innovation in AI\-driven path planning and control for our autonomous vehicles. This position offers a unique opportunity to bridge theory and practice, tackling real\-world challenges in the fast\-evolving field of autonomy. You will be part of a highly focused team, designing and deploying production\-grade software that enables our autonomous vehicles to navigate and operate seamlessly in complex indoor and outdoor environments.
**Responsibilities**
* Design, implement, and optimize motion planning and control algorithms for autonomous vehicles.
* Develop and enhance software infrastructure for vehicle simulation, performance validation, and system diagnostics.
* Architect and refine path\-planning and tracking control algorithms to improve autonomy performance.
* Collaborate with cross\-functional teams to deploy and validate solutions in both simulated and real\-world environments.
* Balance hands\-on development, code reviews, and research to achieve product\-driven milestones in a fast\-paced startup environment.
* Integrate cutting\-edge robotics research into our autonomous driving stack to enhance system capabilities.
**Qualifications**
* MS/PhD in Computer Science, Robotics, or a related technical field, or equivalent practical experience.
* Strong proficiency in C\+\+ and Python with a deep understanding of software development best practices.
* Solid foundation in robotics principles, particularly motion planning and control systems.
* Strong background in vehicle dynamics and experience applying these principles to autonomous systems.
* Knowledge of nonlinear optimization and search\-based planning techniques.
* Familiarity with ROS2 for designing, building, and operating robotic systems.
* Strong mathematical foundation, including geometry, linear algebra, and probability.
* Excellent problem\-solving abilities with a proactive approach in a fast\-paced, collaborative environment.
* Strong communication and cross\-team collaboration skills.
**Bonus Qualifications**
* Experience implementing controllers and planners for real\-time safety\-critical mobile autonomous systems.
* Experience with simulation environments and developing kinematic/dynamic models for autonomous vehicles.
* Exposure to machine learning, deep learning, and physics\-based foundation models.
**Benefits \&amp; Perks**
* Health benefits (Medical, Dental, Vision, HSA and FSA (Health \&amp; Dependent Daycare), Employee Assistance Program, 1:1 Health Concierge)
* Life, Short\-term and long\-term disability insurance (Cyngn funds 100% of premiums)
* Company 401(k)
* Commuter Benefits
* Flexible vacation policy
* Sabbatical leave opportunity after 5 years with the company
* Paid Parental Leave
* Daily lunches for in\-office employees and fully\-stocked kitchen with snacks and beverages
 $180,000 \- $198,000 a year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4">
      <c r="A94" t="inlineStr">
        <is>
          <t>li-4379189931</t>
        </is>
      </c>
      <c r="B94" t="inlineStr">
        <is>
          <t>#Senior PMIC Embedded Software Engineer</t>
        </is>
      </c>
      <c r="C94" t="inlineStr">
        <is>
          <t>Qualcomm</t>
        </is>
      </c>
      <c r="D94" t="inlineStr">
        <is>
          <t>linkedin</t>
        </is>
      </c>
      <c r="E94">
        <f>HYPERLINK("https://www.linkedin.com/jobs/view/4379189931", "https://www.linkedin.com/jobs/view/4379189931")</f>
        <v/>
      </c>
      <c r="F94" t="inlineStr"/>
      <c r="G94" t="inlineStr">
        <is>
          <t>San Diego, CA</t>
        </is>
      </c>
      <c r="H94" t="inlineStr"/>
      <c r="I94" t="inlineStr">
        <is>
          <t>**Company**
 Qualcomm Technologies, Inc.
**Job Area**
 Engineering Group, Engineering Group \&gt; Software Engineering
**General Summary**
* This position is not eligible for Qualcomm immigration sponsorship. \*\*
 As a leading technology innovator, Qualcomm pushes the boundaries of what's possible to enable next\-generation experiences and drives digital transformation to help create a smarter, connected future for all. As a Qualcomm Software Engineer, you will design, develop, create, modify, and validate embedded and cloud edge software, applications, and/or specialized utility programs that launch cutting\-edge, world class products that meet and exceed customer needs. Qualcomm Software Engineers collaborate with systems, hardware, architecture, test engineers, and other teams to design system\-level software solutions and obtain information on performance requirements and interfaces.
 This role is with the Core Platform PMIC Software Development team. Qualcomm is seeking a talented embedded and firmware software engineer to join its Core Platform PMIC software development team. As a member of this team, you’ll play a crucial role in creating cutting\-edge software solutions for
 power regulation, system clocking, ADC, IOs, Battery Management, and user interface components such as camera flash, haptics, backlight, and LEDs across various operating systems. Our work spans platforms such as boot loaders, Windows, UEFI, Linux, Android, and various real\-time operating systems (RTOS) like Zephyr and FreeRTOS.
 As a leading technology innovator, Qualcomm pushes the boundaries of what's possible to enable next\-generation experiences and drives digital transformation to help create a smarter, connected future for all. As a Qualcomm Software Engineer, you will design, develop, create, modify, and validate embedded and cloud edge software, applications, and/or specialized utility programs that launch cutting\-edge, world class products that meet and exceed customer needs. Qualcomm Software Engineers collaborate with systems, hardware, architecture, test engineers, and other teams to design system\-level software solutions and obtain information on performance requirements and interfaces.
**Responsibilities**
**Power Management and IO Development:**
* Collaborate with hardware designers and system architects to gather requirements and define new HW/SW systems.
* Develop software for power management, IO interfaces, USB Type\-C PD, Battery Management, and user interfaces (e.g., camera flash, LEDs, keys, haptics, backlight).
**Kernel Software Development**
* Work closely with kernel software engineers to implement new features and frameworks in UEFI, Windows, and Linux kernels.
**Collaboration**
* Partner with Qualcomm’s ecosystem to develop new products.
* Assist customer engineering teams in launching Qualcomm\-powered products.
**Market Expansion**
* Beyond mobile/smartphone/laptop/desktop markets, contribute to emerging segments such as wearables, automotive, drones, and other IoT areas.
 If you’re passionate about software development, and contributing to innovative technologies, we encourage you to apply and be part of our dynamic team at Qualcomm!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**Preferred Qualifications**
* Master's Degree in Computer Science, Engineering, or related field.
* 5\+ years of Software Engineering or related work experience.
* 3\+ year of work experience with Git, Perforce, or Source Code Management System.
* Proficiency in C/C\+\+ development on mobile devices (e.g., IoT, smartphones).
* New graduates with relevant coursework experience are encouraged to apply.
* Understanding of memory management, timers, interrupt architecture, and threads.
* Prior exposure to Zephyr RTOS is advantageous.
* Experience creating drivers for multi\-core/CPU and multithreaded systems.
* Familiarity with circuit theory, especially analog and digital components.
* Prior exposure to USB Type\-C PD and battery management software is advantageous.
* Experience with Windows DMF/WDF/WDM Software Architecture is a plus.
* Familiarity with Qualcomm products is beneficial.
**Principal Duties And Responsibilities**
* Applies Software knowledge and experience to design, develop, create, modify, and validate embedded and cloud edge software, applications, and/or specialized utility programs.
* Analyzes user needs and software requirements to design and customize software for optimal operational efficiency
* Designs and implements software modules for products and systems.
* Participates in the design, coding for large features, unit testing, significant debugging fixes, and integration efforts to ensure projects are completed to specifications and schedules.
* Performs code reviews and regression tests as well as triages and fixes issues to ensure the quality of code.
* Collaborates with others inside project team to accomplish project objectives.
* Writes technical documentation for Software projects.
**Level Of Responsibility**
* Works under supervision.
* Decision\-making may affect work beyond immediate work group.
* Requires verbal and written communication skills to convey information. May require basic negotiation, influence, tact, etc.
* Tasks do not have defined steps; planning, problem\-solving, and prioritization must occur to complete the tasks effectively.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$111,300\.00 \- $166,900\.00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95">
      <c r="A95" t="inlineStr">
        <is>
          <t>li-4379996302</t>
        </is>
      </c>
      <c r="B95" t="inlineStr">
        <is>
          <t>Software Engineer, Senior</t>
        </is>
      </c>
      <c r="C95" t="inlineStr">
        <is>
          <t>FlightSafety International</t>
        </is>
      </c>
      <c r="D95" t="inlineStr">
        <is>
          <t>linkedin</t>
        </is>
      </c>
      <c r="E95">
        <f>HYPERLINK("https://www.linkedin.com/jobs/view/4379996302", "https://www.linkedin.com/jobs/view/4379996302")</f>
        <v/>
      </c>
      <c r="F95" t="inlineStr"/>
      <c r="G95" t="inlineStr"/>
      <c r="H95" t="inlineStr"/>
      <c r="I95" t="inlineStr">
        <is>
          <t>**About FlightSafety International**
 FlightSafety International is the world’s premier professional aviation training company and supplier of flight simulators, visual systems and displays to commercial, government and military organizations. The company provides training for pilots, technicians and other aviation professionals from 167 countries and independent territories. FlightSafety operates the world’s largest fleet of advanced full\-flight simulators and award\-winning maintenance training at Learning Centers and training locations in the United States, Canada, France and the United Kingdom.
**Purpose of Position**
 Provides the necessary hands\-on software expertise to clear MACARs, simulator write\-ups, perform modifications and upgrades, and other software related configuration efforts for all sites in the assigned region. Resides in one of the predesignated regional locations. Performs without assistance; recognized as a resource to others: able to translate complex nuances to others; able to improve processes; focus on broad issues. Trains other Teammates as required
**Tasks And Responsibilities**
 The following duties are essential to the successful and satisfactory performance of this job. Other duties may be assigned.
 Reviews simulator engineering specifications, malfunction documents, Auto flight system test requirements, Auto flight related test data, and aircraft wiring diagrams and schematics, plus all additional Autoflight related aircraft specific data.
 Designs and implements Auto flight simulation software and integrates the software with that of the other engineering disciplines such as flight, engines, systems, navigation, and visual systems.
 Integrates Auto flight software with control loading and motion software and hardware.
 Develop complete Auto flight system test program and prepare Auto flight system customer test plans.
 Prepares customer test guide for the Auto flight system per specifications.
 Performs standardized checkout procedures.
 Understand and develop full Flight Director and Autopilot models and control laws.
 Transforms engineering flow diagrams into high order computer language and working Auto flight system models.
 Conducts Auto flight system tests under supervision of an experienced Auto flight engineer.
 Use pictures\-to\-code tools to develop software models.
 Directs all aspects of Auto flight tests under the supervision of Lead Engineer or Group Leader.
 Work with other engineering departments to ensure the AutoFlight simulation meets all test requirements.
 Participates in on\-site qualification process of simulator
 Interface with customers to complete Auto flight system testing and correct any discrepancies in Auto flight system simulation.
 Presents periodic informational reviews to the functional and project management.
 Works with other engineering departments, Program Managers and other to smoothly and efficiently effect an integrated total simulation.
 Works with customers to complete Auto flight system testing and correct any discrepancies in Auto flight system simulation.
 Perform general software troubleshooting and debugging.
 Perform simulator upgrades, modification, and or changes.
 Evaluate and clear MACAR's
 Provide software configuration control and generate backups for the Host, IOS, DCLS, DMS, AIC Miscellaneous Systems and others as required.
 Evaluate hardware MACAR's and write ups and fix or repair as possible.
 Insure FVS receives copies of all MACAR's and provide insight and evaluations concerning those associated problems and write ups.
 Prepare and administer software classes and training for technicians at all regional sites.
 Coordinate hardware and software repairs, fixes, modification, updates, and changes with the Field Engineering Group as required.
 Perform software engineering and configuration management to ensure continuity between: the training center and the customer, FVS and manufacturer.
 Travel, shift work, and special work hours may be required to accomplish some of the above tasks.
 Exhibit and practice professional and courteous behavior while interacting with both internal and external customers.
 Interact within a cooperative environment through beneficial behavior, commitment to common goals, contribution to problem solving, communication of ideas and suggestions, and encouragement to other employees and departments.
 Accountable for the control and distribution of documents and/or equipment subject to export control restrictions and the security of FSI materials, projects and business information regarding the methods and techniques used in the production and usage of FSI products.
 Accountable for the accuracy and completeness of assigned tasks.
 Able to adhere to a work schedule including prompt and regular attendance.
 Ability to work in a constant state of alertness and safe manner.
**Minimum Education**
 Bachelor’s degree in engineering and minimum of six years related experience preferably in simulation; or equivalent combination of education and experience.
**Minimum Experience**
* Bachelor’s degree in engineering and minimum of six years related experience preferably in simulation; or equivalent combination of education and experience.
* Knowledge and expertise for this level usually results from internal progressive experience.
* However, selection for this position is based on the demonstrated ability of the person to successfully fulfill the requirements listed.
**Knowledge, Skills, Abilities**
* Languages: FORTRAN and C required. Assembler, C, C\+\+ recommended.
* Operating Systems: Microsoft, UNIX required; OS32 recommended.
* Microsoft Office: Word, Excel and PowerPoint.
* Fluency in English, through both verbal and written communications; Able to read, analyze, and interpret general business documents, technical procedures, or governmental regulations; Able to write reports, business correspondence, and procedure manuals;
* Able to effectively present information and respond to questions from groups of managers, clients and customers.
* Able to apply advanced mathematical concepts such as exponents, logarithms, quadratic equations, and permutations; Able to apply mathematical operations to such tasks as frequency distribution, determination of test reliability and validity, analysis of variance, correlation techniques, sampling theory, and factor analysis.
* Able to define problems, collect data, establish facts, and draw valid conclusions; Able to interpret an extensive variety of technical instructions in mathematical or diagram form and deal with several abstract and concrete variables.
* Valid Drivers License, where applicable.
**Physical Demands and Work Environment**
 The physical demands and work environment described here are representative of those that must be met and/or encountered by an employee to successfully perform the essential functions of this job. Reasonable accommodations may be made to enable individuals with disabilities to perform the essential functions. While performing the duties of this Job, the employee is regularly required to talk or hear. The employee is frequently required to stand; walk; use hands to finger, handle, or feel and reach with hands and arms. The employee is occasionally required to sit; climb or balance and stoop, kneel, crouch, or crawl. The employee must occasionally lift and/or move up to 10 pounds. Specific vision abilities required by this job include close vision, distance vision, color vision, peripheral vision and depth perception. While performing the duties of this job, the employee is occasionally exposed to moving mechanical parts. The noise level in the work environment is usually moderate.
 FlightSafety is an Equal Opportunity Employer/Vet/Disabled. All qualified applicants will receive consideration for employment without regard to race, color, religion, sex, sexual orientation, gender identity, national origin, or disability.
 Any offer of employment is contingent upon successful completion of required compliance reviews, including verification that the candidate is not prohibited from employment under U.S. economic sanctions programs administered by the U.S. Department of the Treasury’s Office of Foreign Assets Control (OFAC).
 This position may require access to export\-controlled technology or services subject to the International Traffic in Arms Regulations (ITAR) and/or the Export Administration Regulations (EAR). Employment consideration and any offer of employment are contingent upon the applicant’s ability to comply with these requirements, including qualifying as a “U.S. Person” under applicable regulations or otherwise eligible for export authorization within a timeframe consistent with business needs. A “U.S. Person” includes U.S. citizens, lawful permanent residents (holders of approved and unexpired green cards), and certain refugees or asylees with protected status under U.S. law.
 This position may also require eligibility to obtain and maintain a U.S. Government security clearance for the duration of employment.
**Cybersecurity Notice:** 
 All official recruiting communication from FlightSafety International will come from an
 **@flightsafety.com** 
 email address. FlightSafety International will never ask for personal or financial information through social media or third\-party email providers.</t>
        </is>
      </c>
    </row>
    <row r="96">
      <c r="A96" t="inlineStr">
        <is>
          <t>li-4342943711</t>
        </is>
      </c>
      <c r="B96" t="inlineStr">
        <is>
          <t>Senior Software Engineer</t>
        </is>
      </c>
      <c r="C96" t="inlineStr">
        <is>
          <t>WeInfuse</t>
        </is>
      </c>
      <c r="D96" t="inlineStr">
        <is>
          <t>linkedin</t>
        </is>
      </c>
      <c r="E96">
        <f>HYPERLINK("https://www.linkedin.com/jobs/view/4342943711", "https://www.linkedin.com/jobs/view/4342943711")</f>
        <v/>
      </c>
      <c r="F96" t="inlineStr"/>
      <c r="G96" t="inlineStr">
        <is>
          <t>Austin, Texas Metropolitan Area</t>
        </is>
      </c>
      <c r="H96" t="inlineStr"/>
      <c r="I96" t="inlineStr">
        <is>
          <t>We’re not rockstars or ninjas, just a team of developers working to make life a little easier for doctors and their patients. Our platform, built on a Ruby on Rails API with AngularJS and React front\-end, helps our client’s practices manage appointments, track drug inventory, send reminders, and handle insurance claims. We deploy on AWS and are continuing to scale.
 We hire people we can trust. As soon as you hit merge, your code is headed to production (and ringing a gong in our Austin office) and you're given a wide berth to solve problems and improve our engineering team. Come join a 25\-person engineering organization spread across four tight knit feature teams where you can make a direct impact.
**Our Stack** 
* React/ES6 Front\-end
* Ruby on Rails API
* MySQL
* AWS
* Docker
**What You'll Do** 
* Write and deploy code
* Create tests
* Help spread good code practices
* Work with product on stories
* Improve our processes
* Attend daily stand\-ups
* Stay curious and enjoy learning new things
**Desired Skills/Experience** 
* 6\-15\+ years Ruby, Python, Java, Javascript or other language
* Strong problem\-solving skills
* Must be authorized to work in the United States
**What You'll Get** 
* Competitive salary
* Opportunity for growth and advancement (we've doubled in size over the past year!)
* Paid company holidays and PTO
* Comprehensive medical, dental, and vision insurance plans
* STD, LTD, and basic Life Insurance completely free to you
* Cell phone reimbursement
* 401(k)
* Virtual and in\-person team events
 Salary: $130,000\-$170,000 a year depending on experience.
***Please note:***
*candidates applying for this position must reside within 1\-hour driving distance of our Austin, TX office.* 
*For US\-Based Roles: We are not offering new sponsorships opportunities at this time for persons requiring employment visas, such as an H\-1B; authorization to work in the U.S. is a precondition of employment.* 
*Any unsolicited resumes/candidate profiles submitted through our website or to personal email accounts of WeInfuse team members are considered the property of WeInfuse and are not subject to payment of agency fees* 
 .
 About WeInfuse
 Come join our growing company. We are an established healthcare SaaS company with offices in Dallas and Austin.
 Founded in 2016, WeInfuse is an infusion center software and consulting organization. Our founders and their team have developed the first and only end\-to\-end software solution for infusion centers that has gained significant traction in the market. In addition to providing the industry’s leading SaaS solution, WeInfuse provides infusion center start\-up, optimization and pharmaceutical manufacturer consulting services.</t>
        </is>
      </c>
    </row>
    <row r="97">
      <c r="A97" t="inlineStr">
        <is>
          <t>li-4378173802</t>
        </is>
      </c>
      <c r="B97" t="inlineStr">
        <is>
          <t>React Software Engineer [32939]</t>
        </is>
      </c>
      <c r="C97" t="inlineStr">
        <is>
          <t>Stealth Startup</t>
        </is>
      </c>
      <c r="D97" t="inlineStr">
        <is>
          <t>linkedin</t>
        </is>
      </c>
      <c r="E97">
        <f>HYPERLINK("https://www.linkedin.com/jobs/view/4378173802", "https://www.linkedin.com/jobs/view/4378173802")</f>
        <v/>
      </c>
      <c r="F97" t="inlineStr"/>
      <c r="G97" t="inlineStr"/>
      <c r="H97" t="inlineStr"/>
      <c r="I97" t="inlineStr">
        <is>
          <t>**About:** 
 The company is a spreadsheet\-powered automation platform that uses advanced AI to streamline document workflows. Our main and most lucrative workflow lets teams pull documents from Google Drive, email, and other sources, extract structured data into spreadsheets, and send it to any connected system through our broad set of integrations. We focus on optimizing the user experience by making the setup as frictionless as possible and automating many steps of the workflow.
 We are a small, talented team of self\-starters located in the SoHo area of NYC. Each of us is highly motivated and energized by the complex challenges we tackle daily. Working side\-by\-side in one office, we all contribute to decisions at every level.
 Our user base is growing fast and we’re in the process of scaling our operation accordingly. We’ve already proven product\-market fit and are now building the systems and processes for the next phase, so anyone who joins now will have a direct, visible impact on how we grow.
 We hire generalist engineers with a broad set of technical skills who are highly cross\-functional and eager to solve a wide range of engineering challenges. Our ideal candidate has a strong sense of ownership and enjoys building projects from design doc to production. We value people who take pride in their work and show an aptitude for learning quickly, cherishing opportunities to dive into entirely new territory. Familiarity with our specific tech stack isn’t required; if you’ve demonstrated the ability to solve complex technical problems in the past, we know you’ll ramp up fast here.
**What You’ll Do** 
* Design and build new user\-facing features end\-to\-end.
* Optimize and extend our document\-ingestion and data\-extraction pipelines for performance, reliability, and scale.
* Build and maintain integrations with third\-party systems.
* Instrument, monitor, and debug production services to keep latency low and uptime high.
* Collaborate closely with product, design, and support to scope work, incorporate feedback, and iterate quickly.
* Contribute to code reviews, testing, and documentation to maintain a high bar for quality and security.
* Help shape our engineering processes and tooling as we grow (CI/CD, release automation, developer environments).
**What You Won’t Do** 
* Stay on the same project for years
* Sit through layers of meetings and approvals to make a simple change.
* Navigate office politics or multiple management layers just to get a decision.
**Requirements** 
* Ability to pick up on new concepts quickly.
* Degree in a STEM field or 2\+ years of full\-time experience as a software engineer.
* Solid understanding of data structures and algorithms.
**Tech Stack** 
* React with TypeScript
* GraphQL
* Node, Postgres, and Redis
* Kubernetes, GCP
 Compensation Range: $100k – $200k, based on experience and qualification.</t>
        </is>
      </c>
    </row>
    <row r="98">
      <c r="A98" t="inlineStr">
        <is>
          <t>li-4362158606</t>
        </is>
      </c>
      <c r="B98" t="inlineStr">
        <is>
          <t>Software Engineer III, AI/ML GenAI, Google Cloud Business Platforms</t>
        </is>
      </c>
      <c r="C98" t="inlineStr">
        <is>
          <t>Google</t>
        </is>
      </c>
      <c r="D98" t="inlineStr">
        <is>
          <t>linkedin</t>
        </is>
      </c>
      <c r="E98">
        <f>HYPERLINK("https://www.linkedin.com/jobs/view/4362158606", "https://www.linkedin.com/jobs/view/4362158606")</f>
        <v/>
      </c>
      <c r="F98" t="inlineStr"/>
      <c r="G98" t="inlineStr">
        <is>
          <t>Mountain View, CA</t>
        </is>
      </c>
      <c r="H98" t="inlineStr"/>
      <c r="I98" t="inlineStr">
        <is>
          <t>**Minimum qualifications:**
* Bachelor’s degree or equivalent practical experience.
* 2 years of experience programming in Python or C\+\+.
* 1 year of experience with ML infrastructure (e.g., model deployment, model evaluation, optimization, data processing, debugging).
* Experience with core GenAI concepts (LLM, Multi\-Modal, Large Vision Models) and experience with text, image, video, or audio generation.
**Preferred qualifications:**
* Master's degree or PhD in Computer Science or related technical fields.
* 2 years of experience with data structures or algorithms.
* Experience developing accessible technologies.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Collaborate with peers and stakeholders through design and code reviews to ensure best practices amongst available technologies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 Implement GenAI solutions, utilize ML infrastructure, and contribute to data preparation, optimization, and performance enhancements.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99">
      <c r="A99" t="inlineStr">
        <is>
          <t>li-4362644885</t>
        </is>
      </c>
      <c r="B99" t="inlineStr">
        <is>
          <t>Senior Software Engineer, GPU Performance</t>
        </is>
      </c>
      <c r="C99" t="inlineStr">
        <is>
          <t>Google</t>
        </is>
      </c>
      <c r="D99" t="inlineStr">
        <is>
          <t>linkedin</t>
        </is>
      </c>
      <c r="E99">
        <f>HYPERLINK("https://www.linkedin.com/jobs/view/4362644885", "https://www.linkedin.com/jobs/view/4362644885")</f>
        <v/>
      </c>
      <c r="F99">
        <f>HYPERLINK("https://careers.google.com/jobs/results/138592287167783622-senior-software-engineer/?src=Online/LinkedIn/linkedin_us&amp;utm_source=linkedin&amp;utm_medium=jobposting&amp;utm_campaign=contract&amp;urlHash=gyfn", "https://careers.google.com/jobs/results/138592287167783622-senior-software-engineer/?src=Online/LinkedIn/linkedin_us&amp;utm_source=linkedin&amp;utm_medium=jobposting&amp;utm_campaign=contract&amp;urlHash=gyfn")</f>
        <v/>
      </c>
      <c r="G99" t="inlineStr">
        <is>
          <t>Seattle, WA</t>
        </is>
      </c>
      <c r="H99" t="inlineStr"/>
      <c r="I99"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Note: By applying to this position you will have an opportunity to share your preferred working location from the following:
 **Sunnyvale, CA, USA; New York, NY, USA; Seattle, WA, USA; Kirkland, WA, USA** 
 .
 **Minimum qualifications:**
* Bachelor’s degree or equivalent practical experience.
* 5 years of experience with software development in one or more programming languages.
* 3 years of experience testing, maintaining, or launching software products, and 1 year of experience with software design and architecture.
* Experience with modern GPU architectures (NVIDIA, AMD, or other AI accelerators), memory hierarchies, and performance bottlenecks.
* Experience low\-level GPU programming (CUDA, Triton, CUTLASS, etc.) and performance engineering techniques.
* Experience with modern LLMs and their deployment on AI accelerators.
**Preferred qualifications:**
* Master's degree or PhD in Computer Science or related technical field.
* 5 years of experience with data structures and algorithms.
* 1 year of experience in a technical leadership role.
* Experience with compiler optimization, code generation, and runtime systems for GPU architectures (OpenXLA, MLIR, Triton, etc.).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While known for pioneering work with TPUs, GPUs are an equally vital and rapidly expanding frontier within Google's machine learning infrastructure. GPUs are indispensable to Google’s ever\-evolving landscape for strategic, pragmatic, and performance\-driven reasons — ensuring top performance for our ML models, adapting to ML workloads, achieving results, and influencing next\-gen GPU architectures via strategic partnerships.
 In recognition of hardware as a strength, Google’s Core ML organization is heavily invested in growing a powerhouse team of GPU experts, and we invite you to be at its vanguard! This is your opportunity to move beyond incremental improvements and architect truly transformative solutions, shaping the future of AI and accelerated computing for Google and the world.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channel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Build optimizations for the latest generation of GPUs that power Google’s most critical products and services, impacting billions of users worldwide.
* Address the most challenging performance bottlenecks through Google’s unparalleled access to the latest generation of GPUs, tooling, and a decade of experience building AI accelerators.
* Drive optimizations across Google’s GPU software stack from ML compiler cost model design to optimizing high performance GPU kernels to cross node model serving configurations.
* Influence the technical direction of the GPU software ecosystem at Google by collaborating with ML, compiler design, and systems architecture teams.
* Influence the deployment of Google’s GPU fleet by working with various product teams across Google.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00">
      <c r="A100" t="inlineStr">
        <is>
          <t>li-4370607407</t>
        </is>
      </c>
      <c r="B100" t="inlineStr">
        <is>
          <t>Senior Software Engineer, Simulation ML Infrastructure</t>
        </is>
      </c>
      <c r="C100" t="inlineStr">
        <is>
          <t>Waymo</t>
        </is>
      </c>
      <c r="D100" t="inlineStr">
        <is>
          <t>linkedin</t>
        </is>
      </c>
      <c r="E100">
        <f>HYPERLINK("https://www.linkedin.com/jobs/view/4370607407", "https://www.linkedin.com/jobs/view/4370607407")</f>
        <v/>
      </c>
      <c r="F100">
        <f>HYPERLINK("https://careers.withwaymo.com/jobs?gh_jid=7429718&amp;gh_src=e2a2625d1us&amp;urlHash=hOGJ", "https://careers.withwaymo.com/jobs?gh_jid=7429718&amp;gh_src=e2a2625d1us&amp;urlHash=hOGJ")</f>
        <v/>
      </c>
      <c r="G100" t="inlineStr">
        <is>
          <t>San Francisco, CA</t>
        </is>
      </c>
      <c r="H100" t="inlineStr"/>
      <c r="I100"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The Simulation ML Infrastructure team builds scalable AI/ML infrastructure to accelerate the Simulator team in sustainably innovating and building state of the art simulations of realistic environments for the testing and training of the Waymo Driver. To increase the fidelity and steerability of the simulations, we employ large foundation models trained on massive datasets to model the real world, including but not limited to, realistic agents (vehicles, pedestrians, cyclists, motorcyclists etc.), roads, traffic control systems, and weather etc.
 We seek an experienced senior IC to lead the development of advanced AI/ML infrastructure for multi\-billion parameter foundation models in ML accelerator\-friendly simulations. Your expertise in massive model scaling, ML accelerators, and large\-scale distributed systems will be required for designing and scaling our systems.
 This role reports to an Engineering Manager.
**You Will**
* Be part of a world\-class, high\-performing research engineering team to advance the state of the art of ultra realistic multi\-agent simulations using foundation models.
* Collaborate closely with the core Waymo Realism Modeling team in London and Waymo Oxford to use large foundation models to improve sim realism.
* Work at the intersection of data engineering, model development, and simulations, and drive architectural decisions. Own large, complex systems, driving architectures and designs that meet technical and business objectives.
* Design and scale large distributed systems covering the ML lifecycle, supporting planet\-scale dataset generation, model training, and evaluation.
* Collaborate cross\-functionally to derive performance and system\-level requirements for large ML systems. Translate product/business goals into measurable technical deliverables, ensuring system component alignment.
**We Prefer**
* 5\+ years of professional software engineering experience, with at least 3 years in machine learning infrastructure such as developing, designing, scaling, training, deploying, and optimizing large\-scale machine learning systems from data to model.
* Solid experience in the development and optimization of machine learning infrastructure tools like DeepSpeed, PyTorch, TensorFlow, Ray, or similar frameworks.
* Strong understanding of state\-of\-the\-art machine learning models and algorithms such as autoregressive transformers and familiarity scaling large models across ML accelerator profiling tools to uncover performance bottlenecks.
* Strong leadership skills with experience driving ambiguous problems end\-to\-end, with a willingness and independence to pick up whatever knowledge to get the job done. Passionate about building infrastructure, libraries, tools, and pipelines for engineers and scientists.
* Excellent communication skills, both verbal and written, with the ability to translate complex technical concepts for a broad audience.
* Practical familiarity in Autonomous Driving, Simulations, and ML accelerators is a plus.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$204,000—$259,000 USD</t>
        </is>
      </c>
    </row>
    <row r="101">
      <c r="A101" t="inlineStr">
        <is>
          <t>li-4194392816</t>
        </is>
      </c>
      <c r="B101" t="inlineStr">
        <is>
          <t>Software Engineer, Systems ML - Compilers</t>
        </is>
      </c>
      <c r="C101" t="inlineStr">
        <is>
          <t>Meta</t>
        </is>
      </c>
      <c r="D101" t="inlineStr">
        <is>
          <t>linkedin</t>
        </is>
      </c>
      <c r="E101">
        <f>HYPERLINK("https://www.linkedin.com/jobs/view/4194392816", "https://www.linkedin.com/jobs/view/4194392816")</f>
        <v/>
      </c>
      <c r="F101" t="inlineStr"/>
      <c r="G101" t="inlineStr">
        <is>
          <t>Redmond, WA</t>
        </is>
      </c>
      <c r="H101" t="inlineStr"/>
      <c r="I101" t="inlineStr">
        <is>
          <t>We are seeking a software engineer to support the development of the compiler tool\-chain for state\-of\-the\-art deep learning hardware components optimized for AR/VR systems. You will be part of our efforts to architect, design and implement a clean slate compiler for this activity and will be part of a team that includes compiler, machine learning algorithms and software, firmware and ASIC experts. You will contribute to a full stack development effort compiling PyTorch models down to binaries for custom hardware accelerator blocks.
 Software Engineer, Systems ML \- Compilers Responsibilities:
* Analyze and design effective compiler passes and optimizations. Implement and/or enhance code generation targeting machine learning accelerators
* Work with algorithm research teams to map ML graphs to hardware implementations, model data\-flows, create cost\-benefit analysis and estimate silicon power and performance
* Contribute to the development of machine\-learning libraries, intermediate representations, export formats, and analysis tools
* Conduct design and code reviews. Evaluate code performance, debug, diagnose and drive resolution of compiler and cross\-disciplinary system issues
* Analyze and improve the efficiency, scalability, and stability of our toolchains
* Interface with other compiler\-focused teams to evaluate and incorporate their innovations and vice versa
 Minimum Qualifications:
* Bachelor's degree in Computer Science, Computer Engineering, relevant technical field, or equivalent practical experience
* 2\+ years experience developing compilers, runtime, or similar code optimization software
* Experience in software design and programming experience in Python and/or C/C\+\+ for development, debugging, testing and performance analysis
* Experience in AI framework development or accelerating models on hardware architectures
 Preferred Qualifications:
* Experience working and communicating cross functionally in a team environment.
* Experience with machine\-code generation or compiler back\-ends.
* Experience working on and contributing to an active compiler toolchain codebase, such as LLVM, MLIR, GCC, MSVC, Glow.
* Experience in deep learning algorithms and techniques, e.g., convolutional neural networks, recurrent networks, etc.
* Experience of developing in a mainstream machine\-learning framework, e.g. PyTorch, MLIR, Tensorflow or Caffe.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$74\.04/hour to $217,000/year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02">
      <c r="A102" t="inlineStr">
        <is>
          <t>li-3986114494</t>
        </is>
      </c>
      <c r="B102" t="inlineStr">
        <is>
          <t>Software Engineer</t>
        </is>
      </c>
      <c r="C102" t="inlineStr">
        <is>
          <t>Epic</t>
        </is>
      </c>
      <c r="D102" t="inlineStr">
        <is>
          <t>linkedin</t>
        </is>
      </c>
      <c r="E102">
        <f>HYPERLINK("https://www.linkedin.com/jobs/view/3986114494", "https://www.linkedin.com/jobs/view/3986114494")</f>
        <v/>
      </c>
      <c r="F102" t="inlineStr"/>
      <c r="G102" t="inlineStr">
        <is>
          <t>Trenton, NJ</t>
        </is>
      </c>
      <c r="H102" t="inlineStr"/>
      <c r="I102" t="inlineStr">
        <is>
          <t>Please note that this position is based on our campus in Madison, WI, and requires relocation to the area. We recruit nationally and provide financial relocation assistance.
**Code that saves lives.**
 As a software developer at Epic, you’ll write software that impacts the lives of 325 million patients around the world. Working in your own office, surrounded by thousands of high\-caliber developers, you’ll use modern development methodologies and employ user\-centered design, analytics, and machine learning tools to drive innovation in healthcare. Using leading\-edge technologies and languages like JS, TS, and C\#, you’ll invent better ways to reduce medical errors, streamline record sharing between hospitals, and provide the quality of care a patient deserves. Learn more about our team at https://careers.epic.com/jobs/softwaredevelopment/.
**Write software for the most innovative health systems on the planet.**
 The top\-ranked health systems in U.S. News and World Report are Epic customers. Our community includes major systems like the Mayo Clinic, Johns Hopkins, Cleveland Clinic, and Kaiser Permanente, as well as leading academic medical centers at the University of Wisconsin, University of Michigan, University of California, University of Texas, The Ohio State University, and many more.
**Live affordably in a city known for its rising tech talent.**
 Epic is located just outside Madison, Wisconsin, the second fastest growing market for tech talent in the United States and home to the state capital and the University of Wisconsin. Madison, a city surrounded by water, has received accolades for being the greenest city in America (NerdWallet), the best city for renters (SmartAsset), the fittest city in America (Fitbit), and the third best metro in the US for young professionals (Forbes Advisor).
**More than just important work** 
 .
 Our uniquely themed campus was designed to heighten your ability to get stuff done in your office, a conference room, or by the fireplace in a comfy chair. All meals are restaurant\-quality but cost only a few dollars, and they’re prepared by a team comprised of kitchen talent from restaurants around the country. And, after five years here, you’ll earn a four\-week sabbatical anywhere in the world. Staff have kayaked in Patagonia, attended a Beyoncé concert in Ireland, built a library in Tanzania, and run a marathon in Antarctica.
 We offer comprehensive benefits to keep you healthy and happy as you grow in your life and career, and your merit\-based compensation will reflect the impact your work has on the company and our customers. You'll also be eligible for annual raises and bonuses, as well as stock grants, which give you an even greater stake in the success of Epic and our customers. Healthcare is global, and building the best ideas from around the world into Epic software is a point of pride. As an Equal Opportunity Employer, we know that inclusive teams design software that supports the delivery of quality care for all patients, so diversity, equity, and inclusion are written into our principles. Please see our full non\-discrimination statement at https://careers.epic.com/EEO.
* Relocation to the Madison, WI area (Reimbursed)
* BS/BA or greater in Computer Science, Mathematics, Software Engineering, Computer Engineering, or a related field
* A history of academic excellence or professional success
* Eligible to work in the United States without visa sponsorship (persons with appropriate qualifications and eligible for TN status under NAFTA may apply)
* COVID\-19 vaccination</t>
        </is>
      </c>
    </row>
    <row r="103">
      <c r="A103" t="inlineStr">
        <is>
          <t>li-4369358445</t>
        </is>
      </c>
      <c r="B103" t="inlineStr">
        <is>
          <t>C Software Developer (Emerging Career)</t>
        </is>
      </c>
      <c r="C103" t="inlineStr">
        <is>
          <t>SAS</t>
        </is>
      </c>
      <c r="D103" t="inlineStr">
        <is>
          <t>linkedin</t>
        </is>
      </c>
      <c r="E103">
        <f>HYPERLINK("https://www.linkedin.com/jobs/view/4369358445", "https://www.linkedin.com/jobs/view/4369358445")</f>
        <v/>
      </c>
      <c r="F103">
        <f>HYPERLINK("https://careers-sas.icims.com/jobs/41267/c-software-developer-(emerging-career)/job?hub=9&amp;in_iframe=1&amp;urlHash=kzha", "https://careers-sas.icims.com/jobs/41267/c-software-developer-(emerging-career)/job?hub=9&amp;in_iframe=1&amp;urlHash=kzha")</f>
        <v/>
      </c>
      <c r="G103" t="inlineStr">
        <is>
          <t>Cary, NC</t>
        </is>
      </c>
      <c r="H103" t="inlineStr"/>
      <c r="I103" t="inlineStr">
        <is>
          <t>**C Software Developer (Emerging Career)\- Hybrid, Cary, North Carolina**
 We’re a leader in data and AI. Through our software and services, we inspire customers around the world to transform data into intelligence \- and questions into answers.
 If you're looking for a dynamic, fulfilling career with flexibility and a world\-class employee experience, you'll find it here. We're recognized around the world for our inclusive, meaningful culture and innovative technologies by organizations like Fast Company, Forbes, Newsweek and more.
**About The Job**
 The Data Access team is looking for a C Software Developer (Emerging Career) who'll work on standardizing and simplifying data source connectivity on the Viya platform for SAS solutions. Our team works heavily with third\-party databases, requiring us to stay up to date on industry standards, use latest technology, and be creative with our implementations.
**As a C Software Developer (Emerging Careers), You Will**
* Design and develop high\-quality, testable, and scalable software solutions.
* Collaborate with cross\-functional teams across R\&amp;D and product management to ensure timely and successful delivery.
* Participate in project scoping, scheduling, and progress tracking; proactively identifying, reporting, and resolving blockers.
* Ensure code quality and reliability through comprehensive testing (unit, integration, regression), automation, and ownership across the software lifecycle.
* Contribute to technical documentation and provide support to internal and external users through clear APIs, examples, and collaboration with technical writers.
* Embrace continuous improvement and innovation in tools, processes, and code quality.
* Ensure all applicable security policies and processes are followed to support the organization’s secure software development goals.
* Work independently on well\-scoped problems while collaborating closely with senior engineers
* Embrace curiosity, passion, authenticity and accountability. These are our values and influence everything we do.
**Required Qualifications**
* Bachelor’s degree in computer science or related quantitative field.
* Minimum 2 years of experience in software development.
* Experience working with programming languages such as Python, Java, Go, Rust or C/C\+\+.
* Demonstrated proficiency in C.
* Experience utilizing SQL to query, analyze, and manipulate data across relational databases (e.g., PostgreSQL, MySQL, SQL Server) .
* Strong understanding of concepts related to data structures, and programming practices.
* Clear understanding of the product development life cycle and project management.
* Strong ability to communicate effectively and collaborate with all levels of staff.
* Ability to thrive in a dynamic environment and change direction quickly.
* Equivalent combination of related education, training and experience may be considered in place of the above qualifications.
**Additional Competencies, Knowledge And Skills**
* Communication: Excellent communication skills with ability to explain complex technical concepts to both technical and non\-technical audiences
* Technology Savvy: Stay current with emerging security threats, vulnerabilities, and industry best practices, applying this knowledge to strengthen our platforms
* Collaboration: Ability to work independently as part of a team while mentoring younger team members
* Experience with Kubernetes and Docker.
* Experience working with Git.
* Basic understanding of Linux.
* Knowledge of cloud technologies and experience in AWS, Azure, or GCP.
* Experience with SAS products, solutions, and programming language.
**World\-class Benefits**
 Highlights include...
* Comprehensive medical, prescription, dental and vision plans.
* Medical plan options include:
+ PPO with low annual deductible and copays.
+ HDHP combined with a health savings account with a contribution from SAS (no access to on\-site health care center).
* Onsite Health Care Center (HQ) that’s free to employees and family members enrolled in the PPO plan. There's a pharmacy too! Not local to HQ? The pharmacy will ship prescriptions for no additional charge!
* An industry\-leading 401k plan.
* Tuition Assistance Program and programs and resources to support your development
* Generous time away including vacation time, a variety of paid holidays, and our much\-loved U.S. Winter Wellness Break between December 25 and January 1\.
* Volunteer Time Off, parental leave and unlimited paid sick days.
* Generous childcare benefits for all full\-time employees.
**You are welcome here.**
 At SAS, it’s not about fitting into our culture – it’s about adding to it. We believe our people make the difference. Our inclusive workforce brings together unique talents and inspires teams to create amazing software that reflects the diversity of our users and customers.
**Additional Information**
 To qualify, applicants must be legally authorized to work in the United States, and should not require, now or in the future, sponsorship for employment visa status. SAS is an equal opportunity employer. All qualified applicants are considered for employment without regard to any characteristic protected by law. Read more: Know Your Rights .
 Resumes may be considered in the order they are received. SAS employees performing certain job functions may require access to technology or software subject to export or import regulations. To comply with these regulations, SAS may obtain nationality or citizenship information from applicants for employment. SAS collects this information solely for trade law compliance purposes and does not use it to discriminate unfairly in the hiring process.
 SAS only sends emails from verified “sas.com” email addresses and never asks for sensitive, personal information or money. If you have any doubts about the authenticity of any type of communication from, or on behalf of SAS, please contact Recruitingsupport@sas.com.
 Let's stay in touch! Join our Talent Community to stay up to date on company news, job updates and more .
 \#SAS</t>
        </is>
      </c>
    </row>
    <row r="104">
      <c r="A104" t="inlineStr">
        <is>
          <t>li-4380381492</t>
        </is>
      </c>
      <c r="B104" t="inlineStr">
        <is>
          <t>Software Engineer</t>
        </is>
      </c>
      <c r="C104" t="inlineStr">
        <is>
          <t>TalentAlly</t>
        </is>
      </c>
      <c r="D104" t="inlineStr">
        <is>
          <t>linkedin</t>
        </is>
      </c>
      <c r="E104">
        <f>HYPERLINK("https://www.linkedin.com/jobs/view/4380381492", "https://www.linkedin.com/jobs/view/4380381492")</f>
        <v/>
      </c>
      <c r="F104" t="inlineStr"/>
      <c r="G104" t="inlineStr">
        <is>
          <t>Staten Island, NY</t>
        </is>
      </c>
      <c r="H104" t="inlineStr"/>
      <c r="I104" t="inlineStr">
        <is>
          <t>**Own Every Moment at NetApp** 
 At NetApp, your ideas power innovation. We lead in intelligent data infrastructure\-delivering unified storage, integrated data services, and solutions that help organizations unlock the full potential of their data, from AI to multicloud.
 Ready to innovate and contribute to our path to $10B? Here, you'll collaborate with passionate teams, tackle real\-world challenges, and see your impact in how customers transform and grow. If you're ready to bring curiosity, creativity, and drive to every moment, NetApp is where your journey begins.
 Job Summary
 Are you passionate about building the future of hybrid cloud data management? NetApp is developing a portfolio of data\-centric platforms and services to help organizations unlock the true power of their data.
 Our Keystone team is at the forefront of this transformation, delivering innovative, subscription\-based, pay\-as\-you\-go solutions that give customers a seamless data management experience, whether on\-premises or in the cloud. We are building the engine that powers this flexible consumption model, and we're looking for a technical visionary to help us solve the next generation of challenges in distributed systems, cloud services, and data analytics.
 Job Responsibilities
 As a Staff Software Engineer in the Keystone organization, you will be a technical leader and a force multiplier for our engineering teams. You will go beyond leading projects; you will set the technical vision for critical components of our platform. You will be responsible for designing elegant, scalable, and resilient solutions to our most complex architectural challenges.
 This role requires a blend of deep technical expertise, a strategic mindset, and the ability to influence and mentor engineers across the organization. If you thrive on solving ambiguous problems, driving technical excellence, and building systems that operate at a massive scale, this is the role for you.
 What you'll do:
 \* Architect and build the core business engine that automates the entire subscription lifecycle, from product catalog creation and dynamic pricing to managing customer renewals.
 \* Design, build, and operate robust data pipelines (ETL/ELT) to collect and process subscription, usage, and metering data from disparate sources.
 \* Architect the data ecosystem, including data models, data warehousing, and data lake strategies, to serve as the single source of truth for all analytics and reporting.
 \* Write high\-quality, high\-performance code, primarily in Go and Python, to build and evolve our RESTful services and data pipelines.
 \* Act as a technical leader and visionary, influencing the long\-term strategy for Keystone's commercial and data platforms.
 \* Mentor and cultivate the growth of senior and junior engineers, fostering a culture of technical excellence and innovation.
 \* Collaborate with product, business, and engineering leaders across NetApp to deliver cohesive, industry\-leading solutions.
 \* Drive operational excellence by ensuring our services are seamlessly integrated into CI/CD pipelines and are built for world\-class reliability, performance, and security.
 Job Requirements
 \* 10\+ years of professional software development experience, with a proven track record of delivering high\-quality software.
 \* Experience acting as a mentor, tech lead, or a key technical influencer on an engineering team.
 \* Demonstrated expertise in leading the architectural design (design patterns, reliability, scaling) of new and existing complex systems.
 \* Deep, hands\-on proficiency in modern programming languages like Go and/or Python.
 \* Extensive experience designing, implementing, and consuming RESTful APIs.
 \* Proven experience with relational (e.g., PostgreSQL) and NoSQL databases, and a deep understanding of when to use each.
 \* Hands\-on experience with containerization and orchestration technologies such as Docker and Kubernetes.
 \* Experience with modern frontend frameworks (e.g., React.js) and an understanding of full\-stack architecture.
 \* Experience building and maintaining CI/CD pipelines using tools like Git, Jenkins, or GitLab CI.
 \* Deep knowledge of data warehousing concepts, streaming technologies (like Kafka), and data modeling for analytics.
 \* Experience with major public cloud providers (AWS, Azure, GCP).
 \* A Bachelor of Science degree in Computer Science, Engineering, or a related field; or equivalent, relevant experience.
 Compensation:
 The target salary range for this position is 187,000 \- 278,300 USD. The salary offered will be determined by the candidate's location, qualifications, experience, and education and may be outside of this range. The range is based on 'On Target Earnings' (OTE) representing the total potential earnings, which is the sum of the base salary and potential commission earned when performance targets are achieved. Final compensation packages are competitive and in line with industry standards, reflecting a variety of factors, and include a comprehensive benefits package. This may cover Health Insurance, Life Insurance, Retirement or Pension Plans, Paid Time Off, various Leave options, employee stock purchase plan, and/or restricted stocks (RSU's). These offerings are subject to regional variations and governed by local laws, regulations, and company policies. We will provide detailed information about the specific benefits for your region during the recruitment process.
 At NetApp, we embrace a hybrid working environment designed to strengthen connection, collaboration, and culture for all employees. This means that most roles will have some level of in\-office and/or in\-person expectations, which will be shared during the recruitment process.
**Equal Opportunity Employer:** 
 NetApp is firmly committed to Equal Employment Opportunity (EEO) and to compliance with all federal, state and local laws that prohibit employment discrimination based on age, race, color, gender, sexual orientation, gender identity, national origin, religion, disability or genetic information, pregnancy, protected veteran status, and any other protected classification.
**Why You'll Thrive at NetApp** 
 At NetApp, you won't wait for the perfect moment\-you'll make it. The early planning, the extra thought, the bold idea that turns good into great: That's how our people operate and how we continue to push the boundaries of data infrastructure.
 NetApp is the trusted partner for organizations transforming data into opportunity. As the only enterprise\-grade storage service natively embedded in Google Cloud, AWS, and Microsoft Azure, we empower customers to run everything from traditional workloads to enterprise AI with unmatched performance, resilience, and security.
**Our culture** 
 We celebrate mold breakers, bold thinkers, and problem solvers. We reward initiative, impact, and ownership. We provide flexibility so you can balance professional ambition with your personal life. Here, differences are not just welcomed\-they drive everything we do.
 If you're ready to innovate, rise to the challenge, and own every moment \- make your next move your best one. Apply now.
 PDN\-a13385c4\-91f8\-4708\-83e7\-6b854ab16c26</t>
        </is>
      </c>
    </row>
    <row r="105">
      <c r="A105" t="inlineStr">
        <is>
          <t>li-4380136545</t>
        </is>
      </c>
      <c r="B105" t="inlineStr">
        <is>
          <t>Staff Software Engineer - Online Storage</t>
        </is>
      </c>
      <c r="C105" t="inlineStr">
        <is>
          <t>Plaid</t>
        </is>
      </c>
      <c r="D105" t="inlineStr">
        <is>
          <t>linkedin</t>
        </is>
      </c>
      <c r="E105">
        <f>HYPERLINK("https://www.linkedin.com/jobs/view/4380136545", "https://www.linkedin.com/jobs/view/4380136545")</f>
        <v/>
      </c>
      <c r="F105" t="inlineStr"/>
      <c r="G105" t="inlineStr">
        <is>
          <t>Seattle, WA</t>
        </is>
      </c>
      <c r="H105" t="inlineStr"/>
      <c r="I10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
 The Online Storage team is growing! We build the storage layer backing Plaid’s Core Data Models used by all of engineering. The goal is to evolve Plaid’s storage systems to be more reliable, scalable, performant, and efficient.
 As an engineer on the storage team, you will have the opportunity to influence the strategy of the team and design, deploy, and scale the online storage platform at Plaid. You will build services and tools to improve operation automations. You will optimize query performance and infrastructure cost. You will wield terraform and cloud resources with confidence and certainty. You will partner with our stakeholder teams to understand their current storage and future storage requirements. You will improve the user experience that partner teams have interacting with the storage platform.
**Responsibilities**
* Build and scale systems to support large datasets and high\-throughput workloads with strong performance and reliability guarantees
* Design and evolve resilient, distributed storage systems that operate reliably
* Navigate ambiguity and drive clarity across complex storage and infrastructure challenges
* Diagnose and resolve deeply technical issues within storage engines, including analyzing internal behavior and, when necessary, diving into source code
* Lead careful, reliability\-focused migrations that minimize risk and ensure seamless transitions for dependent systems
* Build foundational storage capabilities that significantly reduce friction for product engineers, enabling teams to move faster and more confidently
**Qualifications**
* Strong software engineering experience with deep focus on backend and/or platform systems
* Deep expertise in storage technologies
* Experience deploying and orchestrating databases at scale
* Strong background in database performance optimization, preferably with SQL databases
* Experience designing and evolving storage platforms
* Infrastructure experience with tools such as Terraform and AWS
* Hands\-on experience with databases such as TiDB, MySQL, or MongoDB
* Experience building internal tooling and automation to improve reliability and developer efficiency
**Nice to Have**
* Demonstrated curiosity about evolving storage technologies and performance optimization techniques
* Production experience with Go and TypeScript
* Experience applying security best practices in storage or infrastructure systems
 $186,576 \- $330,000 a year
 The target base salary for this position ranges from $202,800/year to $330,000/year in Zone 1 and $186,576/year to $303,600/year in Zone 2 . The target base salary will vary based on the job's location.
**Our Geographic Zones Are As Follows**
 Zone 1 \- New York City and San Francisco Bay Area
 Zone 2 \- Los Angeles, Seattle, Washington D.C.
 Zone 3 \- Austin, Boston, Denver, Houston, Portland, Sacramento, San Diego
 Zone 4 \- Raleigh\-Durham and all other US cities
 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
 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
 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\[email protected] .
 Please review our Candidate Privacy Notice here .</t>
        </is>
      </c>
    </row>
    <row r="106">
      <c r="A106" t="inlineStr">
        <is>
          <t>li-4326392749</t>
        </is>
      </c>
      <c r="B106" t="inlineStr">
        <is>
          <t>Senior Software Engineer - Data Engineering</t>
        </is>
      </c>
      <c r="C106" t="inlineStr">
        <is>
          <t>Abnormal AI</t>
        </is>
      </c>
      <c r="D106" t="inlineStr">
        <is>
          <t>linkedin</t>
        </is>
      </c>
      <c r="E106">
        <f>HYPERLINK("https://www.linkedin.com/jobs/view/4326392749", "https://www.linkedin.com/jobs/view/4326392749")</f>
        <v/>
      </c>
      <c r="F106">
        <f>HYPERLINK("https://abnormal.ai/careers/jobs/7548462003?gh_jid=7548462003&amp;gh_src=ff6e8ad03us&amp;urlHash=osA3", "https://abnormal.ai/careers/jobs/7548462003?gh_jid=7548462003&amp;gh_src=ff6e8ad03us&amp;urlHash=osA3")</f>
        <v/>
      </c>
      <c r="G106" t="inlineStr"/>
      <c r="H106" t="inlineStr"/>
      <c r="I106" t="inlineStr">
        <is>
          <t>**About The Role**
 Abnormal AI is investing strongly in building and supporting our world\-class data pipelines that power our AI\-native security platform at massive scale. As the founding member of our Data Engineering function, you will establish the technical and operational foundation for data excellence across the company. Your work will enable Abnormal to continue its steep growth trajectory while delivering enterprise\-grade reliability and performance.
 You’ll own the end\-to\-end reliability of the business\-critical data pipelines that fuel our AI models, everything from detection analytics to behavioral baselining systems to the data infrastructure backing our threat intelligence capabilities. As we expand globally and onboard increasingly large enterprises, you’ll architect systems that scale gracefully while maintaining 99\.9% availability.
 This is a high\-visibility, cross\-functional role. Your work will directly accelerate Data Science innovation, improve product quality for customers, and inform GTM and financial decisions across the organization. You will serve as the connective tissue between our Data Platform team and our Data Guild’s analytical expertise.
**What You Will Do**
* Own mission\-critical pipeline reliability: Take end\-to\-end ownership of our production data pipelines processing billions of messages weekly, ensuring 99\.9% uptime for revenue\-critical pipelines that directly enable sales and customer\-facing AI products
* Build self\-healing pipelines: Design and implement automated monitoring, testing, and recovery systems for data pipelines that eliminate manual intervention and reduce MTTR from hours to minutes
* Accelerate development velocity: Deploy CI/CD pipelines and self\-service platforms that reduce deployment time from 3\-5 days to under 2 hours, enabling Data Scientists to safely deploy models without engineering bottlenecks
* Architect for scale: Optimize data pipelines handling exponential annual growth, implementing cost\-effective solutions that support regional expansion and compliance requirements (GDPR, FedRAMP, SOC2\)
* Bridge technical and business domains: Partner with Sales, Finance, and Product teams to ensure data infrastructure aligns with business needs, making critical trade\-off decisions when pipelines impact revenue
* Establish data engineering excellence: Define best practices for dbt, Airflow, Spark usage, PII anonymization, and cross\-divisional data sharing while mentoring embedded Data Guild team members on these.
* Enable AI and accessible data consumption: Design and maintain an accessible semantic layer that provides consistent, trustworthy definitions and abstractions, making it easy for stakeholders to consume data and incorporate AI\-driven insights into their workflows.
**Must Haves**
* 6\+ years of software engineering experience in backend, distributed systems, or data\-focused roles.
* Proven experience designing and running large\-scale, production\-grade data pipelines.
* Proficiency in our stack: Python, Spark/PySpark, Airflow, SQL, dbt, Databricks, Snowflake, AWS.
* Proven track record of driving pipeline reliability to 99%\+ uptime, including SLAs, observability tooling, and automated recovery patterns.
* Strong systems\-thinking skills with the ability to debug complex distributed systems, optimize for performance and cost, and make architectural decisions balancing short\-term needs with long\-term scalability.
* Demonstrated ownership mindset and ability to drive projects from conception to production independently, including on\-call responsibilities for critical systems.
* Experience collaborating with Data Science, Analytics, Product, Finance, Marketing, and Sales, along with the ability to communicate technical decisions clearly to non\-technical stakeholders and executives.
* Bachelor’s degree in Computer Science, Applied Sciences, Information Systems or other related quantitative fields.
**Nice to Have**
* Experience building or operating AI/ML data pipelines, including data readiness for training and evaluation.
* Background in high\-growth environments where data volume doubles annually, requiring frequent re\-architecture and optimization.
* Experience with compliance frameworks such as GDPR, SOC2, FedRAMP, plus familiarity with PII handling and anonymization.
* Knowledge of multi\-region data architectures, cellular/multi\-tenant systems, or related large\-scale distributed design patterns.
* Background in cybersecurity, threat detection, or email security.
* Experience building internal developer tools for data scientists and analysts.
* Track record of mentorship, tech leadership, and driving cross\-functional initiatives.
* Advanced degree in Computer Science or related fields.
**Why This Role Matters**
 This is a founding role where you'll establish data engineering excellence at Abnormal and build the foundation that powers our next phase of growth. You'll have the autonomy to make critical technical decisions, the visibility to see your direct impact on business outcomes, and the potential opportunity to build a team and platform from the ground up. As we scale to protect more of the world's largest enterprises, your work will ensure our data pipeline infrastructure matches the world\-class standard of our security products.
 At Abnormal AI, certain roles are eligible for a bonus, restricted stock units (RSUs), and benefits. Individual compensation packages are based on factors unique to each candidate, including their skills, experience, qualifications and other job\-related reasons.
 Base salary range:
 $176,000—$207,000 USD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t>
        </is>
      </c>
    </row>
    <row r="107">
      <c r="A107" t="inlineStr">
        <is>
          <t>li-4380174738</t>
        </is>
      </c>
      <c r="B107" t="inlineStr">
        <is>
          <t>Software Engineer - manual and automated testing</t>
        </is>
      </c>
      <c r="C107" t="inlineStr">
        <is>
          <t>Lensa</t>
        </is>
      </c>
      <c r="D107" t="inlineStr">
        <is>
          <t>linkedin</t>
        </is>
      </c>
      <c r="E107">
        <f>HYPERLINK("https://www.linkedin.com/jobs/view/4380174738", "https://www.linkedin.com/jobs/view/4380174738")</f>
        <v/>
      </c>
      <c r="F107">
        <f>HYPERLINK("https://lensa.com/cgw/b21dfa2ab44a453f9ecf88f3ae0fe4f2tjo1?jpsi=directemployers&amp;publisher_preference=easier_apply&amp;utm_campaign=Computer%20Occupations&amp;utm_medium=slot&amp;utm_source=linkedin&amp;utm_term=jse&amp;urlHash=gmQf", "https://lensa.com/cgw/b21dfa2ab44a453f9ecf88f3ae0fe4f2tjo1?jpsi=directemployers&amp;publisher_preference=easier_apply&amp;utm_campaign=Computer%20Occupations&amp;utm_medium=slot&amp;utm_source=linkedin&amp;utm_term=jse&amp;urlHash=gmQf")</f>
        <v/>
      </c>
      <c r="G107" t="inlineStr">
        <is>
          <t>Strongsville, OH</t>
        </is>
      </c>
      <c r="H107" t="inlineStr"/>
      <c r="I107"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PNC. Clicking "Apply Now" or "Read more" on Lensa redirects you to the job board/employer site. Any information collected there is subject to their terms and privacy notice.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Software Engineer within PNC's Retail Technology organization, you will be based in Strongsville, OH.
 Looking for a Software Engineer with Manual and automated testing experience.
 Must have experience with creating all automated scripts.
 Experience with automated UI \&amp; API testing in Java.
 Experience with regression testing.
 Complete documentation after testing is put together.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Develops, tests and implements software solutions.
* Designs software solutions to address business needs.
* Writes code, tests and deploys software.
* Prepares technical and procedural documentation required for software.
* Maintains and debugs software.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API Testing, Application Development, Automated Testing, Business Management, Customer Solutions, Design, Group Problem Solving, Manual Testing, Process Improvements, Regression Testing, Release Management, Software Solutions, User Experience (UX) Design
**Competencies**
 Application Design, Architecture, Application Development Tools, Application Maintenance, Application Testing, Packaged Application Integration, System Development Life Cycle, Technical Troubleshooting, Technical Writing/Documentation
**Work Experience**
 Roles at this level typically require a university / college degree, with 2\+ years of relevant professional experience. In lieu of a degree, a comparable combination of education, job specific certification(s), and experience (including military service) may be considered.
**Education**
 Bachelors
**Certifications**
 No Required Certification(s)
**Licenses**
 No Required License(s)
**Pay Transparency**
 Base Salary: $45,000\.00 – $137,800\.00
 Salaries may vary based on geographic location, market data and on individual skills, experience, and education. This role is incentive eligible with the payment based upon company, business and/or individual performance.
**Application Window**
 Generally, this opening is expected to be posted for two business days from 02/25/2026, although it may be longer with business discretion.
**Benefits**
 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purchase plans; dependent care reimbursement account; back\-up child/elder care; adoption, surrogacy, and doula reimbursement; educational assistance, including select programs fully paid; a robust wellness program with financial incentives.
 In addition, PNC generally provides the following paid time off, depending on your eligibility: maternity and/or parental leave; up to 11 paid holidays each year; 9 occasional absence days each year, unless otherwise required by law; between 15 to 25 vacation days each year, depending on career level; and years of service.
 To learn more about these and other programs, including benefits for full time and part\-time employees, visit pncthrive.com .
**Disability Accommodations Statement**
 If an accommodation is required to participate in the application process, please contact us via email at AccommodationRequest@pnc.com . Please include “accommodation request” in the subject line title and be sure to include your name, the job ID, and your preferred method of contact in the body of the email. Emails not related to accommodation requests will not receive responses. Applicants may also call 877\-968\-7762 and say "Workday" for accommodation assistance. All information provided will be kept confidential and will be used only to the extent required to provide needed reasonable accommodations.
 At PNC we foster an inclusive and accessible workplace. We provide reasonable accommodations to employment applicants and qualified individuals with a disability who need an accommodation to perform the essential functions of their positions.
**Equal Employment Opportunity (EEO)**
 PNC provides equal employment opportunity to qualified persons regardless of race, color, sex, religion, national origin, age, sexual orientation, gender identity, disability, veteran status, or other categories protected by law.
 This position is subject to the requirements of Section 19 of the Federal Deposit Insurance Act (FDIA) and, for any registered role, the Secure and Fair Enforcement for Mortgage Licensing Act of 2008 (SAFE Act) and/or the Financial Industry Regulatory Authority (FINRA), which prohibit the hiring of individuals with certain criminal history.
**California Residents**
 Refer to the California Consumer Privacy Act Privacy Notice (https://content.pncmc.com/live/pnc/aboutus/HR/Onboarding/PNC\_CCPA\_Privacy\_Disclosure\_Employee.pdf) to gain understanding of how PNC may use or disclose your personal information in our hiring practices.
 If you have questions about this posting, please contact support@lensa.com</t>
        </is>
      </c>
    </row>
    <row r="108">
      <c r="A108" t="inlineStr">
        <is>
          <t>li-4380166145</t>
        </is>
      </c>
      <c r="B108" t="inlineStr">
        <is>
          <t>Software Engineer ll (New College Grad 2026)</t>
        </is>
      </c>
      <c r="C108" t="inlineStr">
        <is>
          <t>Lensa</t>
        </is>
      </c>
      <c r="D108" t="inlineStr">
        <is>
          <t>linkedin</t>
        </is>
      </c>
      <c r="E108">
        <f>HYPERLINK("https://www.linkedin.com/jobs/view/4380166145", "https://www.linkedin.com/jobs/view/4380166145")</f>
        <v/>
      </c>
      <c r="F108" t="inlineStr"/>
      <c r="G108" t="inlineStr">
        <is>
          <t>San Jose, CA</t>
        </is>
      </c>
      <c r="H108" t="inlineStr"/>
      <c r="I108"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Cadence Design Systems. Clicking "Apply Now" or "Read more" on Lensa redirects you to the job board/employer site. Any information collected there is subject to their terms and privacy notice.
 At Cadence, we hire and develop leaders and innovators who want to make an impact on the world of technology.
 The Palladium System Software team is responsible for providing runtime support to Palladium. This includes initializing the emulator with compiler generated database, design and implementation of runtime features are major activity of the team. Runtime Performance improvement is one of the major focus area.
 As a Software Engineer you will help in design, implementation and testing of runtime software for the platform in future. In addition you will be responsible to address customer issues in current systems.
**Education And Experience Requirements**
* New College Grad with Bachelor or Masters in Computer Science or Engineering or Electrical and Electronics Engineering
* At least 2 years of relevant experience is needed.
* Should be versatile in C\+\+, python or perl, data structure, algorithms
* Linux operating system drivers and kernel programming
* Electronics circuit design experience is a plus but optional
* Firmware experience is a plus but optional
 The annual salary range for California is $101,500 to $188,500\. You may also be eligible to receive incentive compensation: bonus, equity, and benefits. Sales positions generally offer a competitive On Target Earnings (OTE) incentive compensation structure. Please note that the salary range is a guideline and compensation may vary based on factors such as qualifications, skill level, competencies and work location. Our benefits programs include: paid vacation and paid holidays, 401(k) plan with employer match, employee stock purchase plan, a variety of medical, dental and vision plan options, and more.
 We’re doing work that matters. Help us solve what others can’t.
 Additional Jobs (https://cadence.wd1\.myworkdayjobs.com/addl\_jobs)
**Equal Employment Opportunity Policy**
 Cadence is committed to equal employment opportunity throughout all levels of the organization.
* Read the policy(opens in a new tab) (https://www.cadence.com/content/dam/cadence\-www/global/en\_US/documents/company/careers/equal\-employment\-opportunity\-policy.pdf)
 We welcome your interest in the company and want to make sure our job site is accessible to all. If you experience difficulty using this site or to request a reasonable accommodation, please contact staffing@cadence.com.
**Privacy Policy**
 Job Applicant If you are a job seeker creating a profile using our careers website, please see the privacy policy(opens in a new tab) (https://www.cadence.com/en\_US/home/privacy/privacy\-policy.html) .
 E\-Verify Cadence participates in the
 E\-Verify program in certain U.S. locations as required by law. Download More Information on E\-Verify (64K) (https://www.cadence.com/content/dam/cadence\-www/global/en\_US/documents/company/careers/e\-verify\-participation\-poster.pdf)
 Cadence plays a critical role in creating the technologies that modern life depends on. We are a global electronic design automation company, providing software, hardware, and intellectual property to design advanced semiconductor chips that enable our customers create revolutionary products and experiences.
 Thanks to the outstanding caliber of the Cadence team and the empowering culture that we have cultivated for over 25 years, Cadence continues to be recognized by Fortune Magazine as one of the 100 Best Companies to Work For.   Our shared passion for solving the world’s toughest technical challenges, our dedication to pushing the limits of the industry, and our drive to do meaningful work differentiates the people of Cadence.
 Cadence is proud to be an equal opportunity employer. All qualified applicants will receive consideration for employment without regard to race, color, sex, age, national origin, religion, sexual orientation, gender identity, status as a veteran, basis of disability, or any other protected class.
 Cadence is committed to creating a diverse environment and is proud to be an equal opportunity employer. All qualified applicants will receive consideration for employment without regard to race, color, sex, age, national origin, religion, sexual orientation, gender identity, status as a veteran, basis of disability, or any other protected class.
 If you have questions about this posting, please contact support@lensa.com</t>
        </is>
      </c>
    </row>
    <row r="109">
      <c r="A109" t="inlineStr">
        <is>
          <t>li-4362179119</t>
        </is>
      </c>
      <c r="B109" t="inlineStr">
        <is>
          <t>Senior Software Engineer, Infrastructure, Google Cloud NetInfra</t>
        </is>
      </c>
      <c r="C109" t="inlineStr">
        <is>
          <t>Google</t>
        </is>
      </c>
      <c r="D109" t="inlineStr">
        <is>
          <t>linkedin</t>
        </is>
      </c>
      <c r="E109">
        <f>HYPERLINK("https://www.linkedin.com/jobs/view/4362179119", "https://www.linkedin.com/jobs/view/4362179119")</f>
        <v/>
      </c>
      <c r="F109">
        <f>HYPERLINK("https://careers.google.com/jobs/results/128153817442067142-senior-software-engineer/?src=Online/LinkedIn/linkedin_us&amp;utm_source=linkedin&amp;utm_medium=jobposting&amp;utm_campaign=contract&amp;urlHash=OU7a", "https://careers.google.com/jobs/results/128153817442067142-senior-software-engineer/?src=Online/LinkedIn/linkedin_us&amp;utm_source=linkedin&amp;utm_medium=jobposting&amp;utm_campaign=contract&amp;urlHash=OU7a")</f>
        <v/>
      </c>
      <c r="G109" t="inlineStr">
        <is>
          <t>Sunnyvale, CA</t>
        </is>
      </c>
      <c r="H109" t="inlineStr"/>
      <c r="I109" t="inlineStr">
        <is>
          <t>Note: By applying to this position you will have an opportunity to share your preferred working location from the following:
 **Sunnyvale, CA, USA; Madison, WI, USA** 
 .
 **Minimum qualifications:**
* Bachelor’s degree or equivalent practical experience.
* 5 years of experience with software development in C\+\+, C, or Python.
* 3 years of experience testing, maintaining, or launching software products, and 1 year of experience with software design and architecture.
* 3 years of experience developing large\-scale infrastructure, distributed systems or networks, or experience with compute technologies, storage or hardware architecture.
**Preferred qualifications:**
* Master's degree or PhD in Computer Science or related technical field.
* 5 years of experience with data structures/algorithms.
* 1 year of experience in a technical leadership role.
* Experience developing accessible technologies.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Behind everything our users see online is the architecture built by the Technical Infrastructure team to keep it running. From developing and maintaining our data centers to building the next generation of Google platforms, we make Google's product portfolio possible. We're proud to be our engineers' engineers and love voiding warranties by taking things apart so we can rebuild them. We keep our networks up and running, ensuring our users have the best and fastest experience possible.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force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and test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10">
      <c r="A110" t="inlineStr">
        <is>
          <t>li-4379198002</t>
        </is>
      </c>
      <c r="B110" t="inlineStr">
        <is>
          <t>Software Engineer III, AI/ML, Google Cloud Storage</t>
        </is>
      </c>
      <c r="C110" t="inlineStr">
        <is>
          <t>Google</t>
        </is>
      </c>
      <c r="D110" t="inlineStr">
        <is>
          <t>linkedin</t>
        </is>
      </c>
      <c r="E110">
        <f>HYPERLINK("https://www.linkedin.com/jobs/view/4379198002", "https://www.linkedin.com/jobs/view/4379198002")</f>
        <v/>
      </c>
      <c r="F110">
        <f>HYPERLINK("https://careers.google.com/jobs/results/104226380958311110-software-engineer-iii/?src=Online/LinkedIn/linkedin_us&amp;utm_source=linkedin&amp;utm_medium=jobposting&amp;utm_campaign=contract&amp;urlHash=6Zrm", "https://careers.google.com/jobs/results/104226380958311110-software-engineer-iii/?src=Online/LinkedIn/linkedin_us&amp;utm_source=linkedin&amp;utm_medium=jobposting&amp;utm_campaign=contract&amp;urlHash=6Zrm")</f>
        <v/>
      </c>
      <c r="G110" t="inlineStr">
        <is>
          <t>Seattle, WA</t>
        </is>
      </c>
      <c r="H110" t="inlineStr"/>
      <c r="I110"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**Minimum qualifications:**
* Bachelor’s degree or equivalent practical experience.
* 2 years of experience with software development in one or more programming languages such as C\+\+, Golang, Java, or 1 year of experience with an advanced degree.
* Experience with large\-scale distributed infrastructure systems.
* Experience with AI/ML systems in a customer facing production environment.
* Experience in Generative AI (e.g., large language models, multi\-modal, model training and evaluation).
**Preferred qualifications:**
* Master's degree or PhD in Computer Science or related technical fields.
* 2 years of experience with developing large\-scale infrastructure, distributed systems or networks, or experience with compute technologies or cloud storage.
* Experience in Google technologies and platforms.
* Experience building high\-volume data pipelines and resolving complex system scalability bottlenecks.
* Ability to troubleshoot and mitigate production incidents under strict service level agreements (SLAs) to minimize customer impact.
* Passionate about enterprise products, with a focus on growing our Cloud offerings in the space.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Google Cloud Storage (GCS) builds a planet\-scale distributed storage system that manages exabytes of data for global enterprises, startups, and Google's core services (like Drive, Gmail, and YouTube).
 As a Software Engineer on the Storage Intelligence Agents team, you will drive the GCS Autonomous Storage Management charter by building Agentic AI solutions. Collaborating closely with Product Managers and Technical Leads, you will design and build the core architecture of AI products that efficiently manage billions of cloud objects, ensuring a seamless, highly accurate, and reliable experience for cloud operators.
 Google Cloud accelerates every organization’s ability to digitally transform its business and industry. We deliver enterprise\-grade solutions that leverage Google’s technology, and tools that help developers build more sustainably. Customers in more than 200 countries and territories turn to Google Cloud as their trusted partner to enable growth and solve their most critical business problems.
 The US base salary range for this full\-time position is $141,000\-$202,000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Write product or system development code.
* Collaborate with peers and stakeholders through design and code reviews to ensure best practices amongst available technologies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 Design and build intelligent Storage AI Agents that automate customer storage management tasks, automatically tag data to assist AI researchers, and drive ongoing GenAI accuracy and security improvements.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11">
      <c r="A111" t="inlineStr">
        <is>
          <t>li-4266361023</t>
        </is>
      </c>
      <c r="B111" t="inlineStr">
        <is>
          <t>Staff Software Engineer - GenAI</t>
        </is>
      </c>
      <c r="C111" t="inlineStr">
        <is>
          <t>Oscilar</t>
        </is>
      </c>
      <c r="D111" t="inlineStr">
        <is>
          <t>linkedin</t>
        </is>
      </c>
      <c r="E111">
        <f>HYPERLINK("https://www.linkedin.com/jobs/view/4266361023", "https://www.linkedin.com/jobs/view/4266361023")</f>
        <v/>
      </c>
      <c r="F111">
        <f>HYPERLINK("https://jobs.ashbyhq.com/oscilar/7985e0ac-bcf8-4417-98e1-82c2b2a466c9?utm_source=8PNPqvOGX9&amp;urlHash=BpWj", "https://jobs.ashbyhq.com/oscilar/7985e0ac-bcf8-4417-98e1-82c2b2a466c9?utm_source=8PNPqvOGX9&amp;urlHash=BpWj")</f>
        <v/>
      </c>
      <c r="G111" t="inlineStr"/>
      <c r="H111" t="inlineStr"/>
      <c r="I111" t="inlineStr">
        <is>
          <t>**Shape the future of trust in the age of AI**
 At Oscilar, we're building the most advanced AI Risk Decisioning™ Platform. Banks, fintechs, and digitally native organizations rely on us to manage their fraud, credit, and compliance risk with the power of AI. If you're passionate about solving complex problems and making the internet safer for everyone, this is your place.
**Why Join Us**
* Mission\-driven teams: Work alongside industry veterans from Meta, Uber, Citi, and Confluent, all united by a shared goal to make the digital world safer.
* Ownership and impact: We believe in extreme ownership. You'll be empowered to take responsibility, move fast, and make decisions that drive our mission forward.
* Innovate at the cutting edge: Your work will shape how modern finance detects fraud and manages risk.
**Job Description**
 Oscilar is seeking a highly experienced Staff Software Engineer \- Generative AI to join our backend team. In this role, you will design, build, and maintain AI\-powered services that form the core infrastructure of our SaaS platform. You will work closely with cross\-functional teams, integrating cutting\-edge generative AI models into scalable, low\-latency backend systems that cater to our global enterprise clients. Your contributions will directly impact the performance, reliability, and innovation of our platform.
**Responsibilities**
* Design and implement scalable backend services that leverage generative AI models to deliver high\-performance, low\-latency solutions.
* Collaborate with product, frontend, and QA teams to define technical requirements and ensure seamless integration of AI models with other platform components.
* Optimize AI models and backend services for maximum performance, scalability, and maintainability in a distributed environment.
* Identify and resolve bottlenecks related to AI processing and system performance, ensuring efficient resource utilization and system stability.
* Implement best practices for deploying, monitoring, and maintaining AI models in production, including CI/CD pipelines and model versioning.
* Proactively monitor the health and performance of AI\-driven backend services, applying strategies to mitigate potential issues and ensure high availability.
**Requirements**
* Bachelor’s or master’s degree in computer science, Software Engineering, or a related field.
* 7\+ years of backend software development experience, with 3\+ years focusing on AI/ML, including hands\-on experience with generative AI models (e.g., GPT, LLMs).
* Strong expertise in Python or Java and AWS technologies, with deep knowledge of building and operating low\-latency, high\-scale services in distributed environments.
* Proven experience deploying and optimizing AI/ML models in production environments using containerization (Docker, Kubernetes) and cloud platforms (AWS, GCP).
* Familiarity with microservices architecture, RESTful APIs, and security best practices in AI services.
* Experience with distributed data systems such as Kafka, ClickHouse, or similar technologies to manage large\-scale AI workloads.
* Strong understanding of CI/CD tools (e.g., Jenkins, Git, Maven, Gradle) and agile development methodologies, with a focus on automating model deployment.
* Excellent problem\-solving abilities, with a focus on AI model performance optimization, scalability, and system architecture.
**Benefits**
* Compensation: Competitive salary and equity packages, including a 401k
* Flexibility: Remote\-first culture — work from anywhere
* Health: 100% Employer covered comprehensive health, dental, and vision insurance with a top tier plan for you and your dependents (US)
* Balance: Unlimited PTO policy
* Technical: AI First company; both Co\-Founders are engineers at heart; and over 50% of the company is Engineering and Product
* Culture: Family\-Friendly environment; Regular team events and offsites
* Development: Unparalleled learning and professional development opportunities
* Impact: Making the internet safer by protecting online transactions</t>
        </is>
      </c>
    </row>
    <row r="112">
      <c r="A112" t="inlineStr">
        <is>
          <t>li-4380364369</t>
        </is>
      </c>
      <c r="B112" t="inlineStr">
        <is>
          <t>Senior Software Engineer - Design Simulation</t>
        </is>
      </c>
      <c r="C112" t="inlineStr">
        <is>
          <t>Symbotic</t>
        </is>
      </c>
      <c r="D112" t="inlineStr">
        <is>
          <t>linkedin</t>
        </is>
      </c>
      <c r="E112">
        <f>HYPERLINK("https://www.linkedin.com/jobs/view/4380364369", "https://www.linkedin.com/jobs/view/4380364369")</f>
        <v/>
      </c>
      <c r="F112" t="inlineStr"/>
      <c r="G112" t="inlineStr">
        <is>
          <t>Wilmington, MA</t>
        </is>
      </c>
      <c r="H112" t="inlineStr"/>
      <c r="I112" t="inlineStr">
        <is>
          <t>**Who We Are**
 With its A.I.\-powered robotic technology platform, Symbotic is changing the way consumer goods move through the supply chain. Intelligent software orchestrates advanced robots in a high\-density, end\-to\-end system – reinventing warehouse automation for increased efficiency, speed and flexibility.
**What We Need**
 As a Senior Software Engineer, you will play a key role in the development of simulation systems and tools responsible for supporting the design, development, qualification, and deployment of large scale integrated robotic systems for our customers. We are looking for a versatile and intellectually curious Senior Software Engineer who thrives at the intersection of simulation engineering and data science. This role is ideal for someone who can architect and build simulation systems, while also transforming real\-world production data into meaningful experiments, generating synthetic datasets, and automating the analysis pipeline to extract actionable insights.
 You’ll be part of a cross\-functional team that blends software engineering, system design, and data science to drive strategic decisions and optimize complex systems.
**What You Will Do**
* Develop faster than real\-time and optimized simulation tools and environments for driving key design decisions for new systems and products.
* Take responsibility for creating simulations transforming production data, generating synthetic data when needed, experiment creation through analysis and developing tools to automate this workflow end\-to\-end.
* Analyze and evaluate existing simulation tools and drive improvements that enable faster, more scalable, efficient, and low\-cost solutions for use across the Symbotic development teams.
* Lead the design and implementation of a hierarchy of simulation capabilities to support the development and analysis of both component and integrated systems\-level digital twins.
* Take responsibility for all aspects of the simulation tools used throughout the organization including individual robots, perception, controls, fleet\-level operations, routing, and system\-wide simulations used during testing and design of new features.
* Drive project scoping and requirement specification providing senior leadership with deep technical insight needed to create long\-term technical roadmaps.
* Amplify impact through other team members by serving as a technical mentor to guide the team toward innovative solutions and increased productivity.
**What You Will Need**
* A master’s degree in computer science, Computer Engineering, or related discipline provides the academic foundation for success.
* Minimum of 6 years of software engineering skills with deep technical expertise including simulation environments and optimization solutions.
* Solid foundation in computer science fundamentals{{:}} algorithms, data structures, object\-oriented design.
* Experience with data transformation, ETL pipelines, and data wrangling using tools like Pandas, NumPy, or SQL.
* Familiarity with the current state\-of\-the\-art and ability to draw upon a wealth of technical experience to drive difficult and impactful technological design decisions.
* Direct experience with data science workflows{{:}} experimentation, statistical analysis, and visualization.
* Ability to understand and architect a modern hierarchical simulation system for a complex Software system with varying levels of fidelity for a variety of applications.
* Plus{{:}} Experience with ML and cloud computing models and tools for training in simulation.
* Excellent verbal and written communication skills to effectively represent the derived results and technical concepts to leadership team.
* Ability to work independently and collaboratively in a fast\-paced, iterative environment.
**Our environment**
* Up to 10% of travel may be required. Employees must have a valid driver’s license and the ability to drive and/or fly to client and other customer locations.
* The employee is responsible for owning a credit card and managing expenses personally to be reimbursed on a bi\-weekly basis.
 \# JT1
**About Symbotic**
 Symbotic is an automation technology leader reimagining the supply chain with its end\-to\-end, AI\-powered robotic and software platform. Symbotic reinvents the warehouse as a strategic asset for the world’s largest retail, wholesale, and food \&amp; beverage companies. Applying next\-gen technology, high\-density storage and machine learning to solve today's complex distribution challenges, Symbotic enables companies to move goods with unmatched speed, agility, accuracy and efficiency. As the backbone of commerce the Symbotic platform transforms the flow of goods and the economics of supply chain for its customers. For more information, visit www.symbotic.com.
 We are a community of innovators, collaborators and pioneers who embrace our differences, because we know unique perspectives make us stronger and smarter. Every perspective matters. We depend on the collective voices of our employees, customers and community to help guide us as we build a better place to work – for you and the world. That’s why we’re proud to be an equal opportunity employer.
 We do not discriminate based on race, color, ethnicity, ancestry, religion, sex, national origin, sexual orientation, age, citizenship status, marital status, disability, gender identity, gender expression, veteran status, or genetic information.
 The base range for this position in the posted location is $124,848\.00 \- $204,600\.00 however, base pay offered may vary depending on job\-related knowledge, skills, and experience. The compensation package includes medical, dental, vision, disability, 401K, PTO and/or other benefits.</t>
        </is>
      </c>
    </row>
    <row r="113">
      <c r="A113" t="inlineStr">
        <is>
          <t>li-4380348918</t>
        </is>
      </c>
      <c r="B113" t="inlineStr">
        <is>
          <t>VP, UI Software Engineering Lead</t>
        </is>
      </c>
      <c r="C113" t="inlineStr">
        <is>
          <t>TD Securities</t>
        </is>
      </c>
      <c r="D113" t="inlineStr">
        <is>
          <t>linkedin</t>
        </is>
      </c>
      <c r="E113">
        <f>HYPERLINK("https://www.linkedin.com/jobs/view/4380348918", "https://www.linkedin.com/jobs/view/4380348918")</f>
        <v/>
      </c>
      <c r="F113" t="inlineStr"/>
      <c r="G113" t="inlineStr">
        <is>
          <t>New York, NY</t>
        </is>
      </c>
      <c r="H113" t="inlineStr"/>
      <c r="I113" t="inlineStr">
        <is>
          <t>**Work Location** 
 :
 New York, New York, United States of America
**Hours**
 40
**Line Of Business**
 Technology Solutions
**Pay Detail**
 140000 \- 225000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**Job Description**
**Preferred Qualifications**
 Are you passionate about innovative, industry\-leading technology solutions? Are you excited about learning, growing professionally, and working with people who are best at what they do? If so, we invite you to join an organization as passionate as you are about delivering best\-in\-class technology solutions that drive our businesses forward.
 TD Securities is the wholesale banking arm of TD Bank Financial Group, one of Canada’s largest financial institutions and a global leader in on\-line financial services. TD Securities provides a wide range of capital market products and services to corporate, government and institutional clients in five key business areas: Investment Banking, Debt Capital Markets, Foreign Exchange, Institutional Equities and Private Equity.
 The Product Control and Finance Technology Engineering Team is looking to add a self\-starting, high\-performing
 **Angular engineer to help us design and implement next\-generation calculations, analytics and business process automation platform.**
 This role is an excellent opportunity to drive the strategic evolution P\&amp;L and other critical financial metrics solutions through investments in evolving technologies and partnerships across the bank with senior executive stakeholders.
**About This Role**
 We are seeking a highly motivated self\-starter with broad experience in UI/UX engineering of web\-based solutions. The individual will be involved in all facets of the product and software development and will actively contribute to the strategy and vision. The prospective individual is hands\-on, broadly experienced engineer who enjoys working with different levels of individuals and takes great pride in leading other engineers in executing the envisioned strategy. The individual is excited to tackle highly complex solutions through innovative implementations which yield highly flexible, performant, portable and re\-usable systems.
**Job Requirements**
**Technical Skills**
* Undergraduate Degree in Computer Science, Engineering, or a related technical discipline
* 7\-12\+ years of professional Angular or ReactJS development experience, with strong knowledge of HTML, CSS and JavaScript/Typescript.
* Deep hands\-on expertise in object\-oriented design, memory management, and concurrency,
* Strong understanding of and ample experience in responsive UI, event management and SPA architecture.
* Understanding of and track record of test\-driven development paradigm and focus on testing automation.
* Strong understanding of data structures, algorithms and common design patterns.
* Knowledge of SQL and experience in working with database management platforms.
* Comfortable working within Git‑based workflows, CI/CD pipelines, and modern build systems
* Great verbal and written communication skills and a great multi\-tasking capability.
**Business Skills**
* Experience in financial industry is preferred, and knowledge of common financial concepts is a plus.
* Ability to communicate technical concepts clearly and collaborate effectively with cross functional partners, while maintaining primary ownership of hands\-on development work‑functional partners, while maintaining primary ownership of hands‑on development work
**Additional Information**
**Join in on what others in TD Technology Solutions are doing:**
* Champion quality, innovation, teamwork, and service excellence
* Continuously learn, share knowledge, and mentor others
* Communicate effectively with both technical and non\-technical partners
* Build strong, trust\-based relationships across business and technology teams
* Share a commitment to productivity, operational efficiency, and engineering excellence
 The Software Engineer III leads the creation of comprehensive end\-to\-end detailed solutions for projects and platforms with overall accountability for the technical design and delivery of a specific technical solution based on requirements from stakeholders.
 Develops and maintains technical solutions, ensuring adherence to engineering and architectural design principles while meeting business requirements. Provides technical expertise with a focus on efficiency, reliability, scalability, and security; includes planning, evaluating, recommending, designing, operationalizing, and supporting solutions in compliance with enterprise and industry standards.
 Ultimately, providing expert advice and lead in system / application administration, installation, configuration / provisioning, platform planning and design, integration and release / deployment management.
**Depth \&amp; Scope**
* Expert knowledge of the business, the broader organization, technical environment, processes, procedures, tools and other relevant technology areas (e.g. Architecture, Infrastructure, Security etc.) from a design / support / solutions perspective
* Primary subject matter expert in multiple areas and consults with clients/or project teams with respect to all aspects of research, analysis, design, hardware / software support
* Expert knowledge of specific domain or range of engineering frameworks, technology, tools, processes and procedures, as well as organization issues
* Works independently and/or autonomously as a senior/ lead on a diverse range of tasks / operational support of solutions
**Education \&amp; Experience**
* Undergraduate degree, Post Graduate degree or Technical Certificate
* Strong academic background (e.g., computer science, engineering)
* Graduate degree nice to have
* 5\-7 years relevant experience
**Customer Accountabilities**
* Executes on Engineering strategy as it relates to the introduction of tools and the automation of build, test, release and configures activities across Application, Platform and Infrastructure
* Leads the creation of solution options and ultimately a comprehensive end\-to\-end solution and coordinate relevant stakeholders, as required to support development initiatives; following a "build it, break it, fix it mentality".
* Is responsible for developing and documenting detailed solution design and act as an application SME through the design and development lifecycle ensuring alignment with Architecture
* Is accountable for complex applications/systems development, programming /coding
* Develops functional, technical and user interface designs for an application / system that meets the defined requirements (business, enterprise architecture direction, system performance and development standards)
* Consults on development of requirements and specifications and apply functional knowledge of business functions to design optimal software / systems
* Reviews technical deliverables throughout detailed design and development phase to ensure quality adherence and identify gaps or redesign requirements as needed
* Identifies, recommends, sources, negotiates and implements improvements/ solutions (buy/build/reuse) to enhance customer experience, availability, and/or reduce cost in support of client needs
* Works with Technology partners to define metrics and performance goals for the application
* Identifies and addresses application and data issues and cross\-capability and cross\-release issues that affect application integrity
* Researches/analyzes business requirements to evaluate and recommend optimal solutions within business technology architecture; collects environment requirements for infrastructure implementation by analyzing the current system environment, using technical tools and utilities
* Works with Architects to ensure that environment modifications interact appropriately, data conversion impacts are considered, and other areas of impact are addressed and meet performance requirements of the project
* Contributes to the advancement of the TD engineering practice through strong collaboration, research, analytic, and problem\-solving skills
**Shareholder Accountabilities**
* Adheres to enterprise frameworks or methodologies that relate to software engineering activities
* Ensures respective programs/ policies/practices are well managed, meets business needs, complies with internal and external requirements, and aligns with business priorities
* Collaboratively engages with relevant stakeholders at all levels, both internal and external, to shift from finding defects to proactively preventing defects
* Actively seeks and supports continuous improvement and automation opportunities within the engineering practice
* Conducts meaningful analysis at the functional or enterprise level using results to draw conclusions, make recommendations, assess the effectiveness of programs/ policies/ practices
* Identify opportunities to minimize cost, provide recommendations and/or deliver corresponding strategic solutions to support cost effectiveness and to enhance stakeholder experience
* Conducts code reviews to ensure adherence to quality, standards compliance, reusability and ease of maintenance, Operational Readiness Reviews, and supporting gating and review sign\-offs for solution design
* Monitors service, productivity and assesses efficiency levels within own function and implement continuous process / performance improvements where opportunities exists
* Leads / facilitates and/or implements actions / remediation plans to address performance / risk /governance issues
* Actively manages relationships within and across various business lines, corporate and/or control functions and ensures alignment with enterprise and/or regulatory requirements
* Protects the interests of the organization – identifies and manage risks, and escalates non\-standard, high risk activities as necessary
* Keeps abreast of emerging issues, trends, and evolving regulatory requirements and assesses potential impacts
* Maintains a culture of risk management and control, supported by effective processes in alignment with risk appetite
**Employee/Team Accountabilities**
* Participates fully as a member of the team, supports a positive work environment that promotes service to the business, quality, innovation and teamwork and ensures timely communication of issues/ points of interest
* Provides thought leadership and/ or industry knowledge for quality engineering best practices and participates in knowledge transfer within the team and business unit
* Keeps current on emerging trends/ developments and grows knowledge of the business, related tools and techniques
* Participates in personal performance management and development activities, including cross training within own team
* Keeps others informed and up\-to\-date about the status / progress of projects and / or all relevant or useful information related to day\-to\-day activities
* Actively mentors and enables team members by sharing knowledge and leveraging engineering best practices
* Supports the team by providing guidance and proactively identifying and resolving issues
* Leads, motivates and develops relationships with internal and external business partners / stakeholders to develop productive working relationships
* Contributes to a fair, positive and equitable environment that supports a diverse workforce
* Acts as a brand ambassador for your business area/function and the bank, both internally and/or externally
**Physical Requirements**
 Never: 0%; Occasional: 1\-33%; Frequent: 34\-66%; Continuous: 67\-100%
* Domestic Travel – Occasional
* International Travel – Never
* Performing sedentary work – Continuous
* Performing multiple tasks – Continuous
* Operating standard office equipment \- Continuous
* Responding quickly to sounds – Occasional
* Sitting – Continuous
* Standing – Occasional
* Walking – Occasional
* Moving safely in confined spaces – Occasional
* Lifting/Carrying (under 25 lbs.) – Occasional
* Lifting/Carrying (over 25 lbs.) – Never
* Squatting – Occasional
* Bending – Occasional
* Kneeling – Never
* Crawling – Never
* Climbing – Never
* Reaching overhead – Never
* Reaching forward – Occasional
* Pushing – Never
* Pulling – Never
* Twisting – Never
* Concentrating for long periods of time – Continuous
* Applying common sense to deal with problems involving standardized situations – Continuous
* Reading, writing and comprehending instructions – Continuous
* Adding, subtracting, multiplying and dividing – Continuous
 The above statements are intended to describe the general nature and level of work being performed by people assigned to this job. They are not intended to be an exhaustive list of all responsibilities, duties and skills required. The listed or specified responsibilities \&amp; duties are considered essential functions for ADA purposes.
**Who We Are**
 TD Securities offers a wide range of capital markets products and services to corporate, government, and institutional clients who choose us for our innovation, execution, and experience. With more than 6,500 professionals operating out of 40 cities across the globe, we strive to make every interaction, product and experience remarkably human and refreshingly simple. Our services include underwriting and distributing new issues, providing trusted advice and industry\-leading insight, extending access to global markets, and delivering integrated transaction banking solutions. In 2023, we acquired Cowen Inc., offering our clients access to a premier U.S. equities business and highly\-diverse equity research franchise, while growing our strong, diversified investment bank.
 Together, we are reimagining what banking can be for our clients, colleagues and communities.
**Our Total Rewards Package**
 Our Total Rewards package reflects the investments we make in our colleagues to help them and their families achieve their financial, physical and mental well\-being goals. Total Rewards at TD includes base salary and variable compensation/incentive awards (e.g., eligibility for cash and/or equity incentive awards, generally through participation in an incentive plan) and several other key plans such as health and well\-being benefits, savings and retirement programs, paid time off (including Vacation PTO, Flex PTO, and Holiday PTO), banking benefits and discounts, career development, and reward and recognition. Learn more
**Additional Information**
 We’re delighted that you’re considering building a career with TD. Through regular development conversations, training programs, and a competitive benefits plan, we’re committed to providing the support our colleagues need to thrive both at work and at home.
**Colleague Development**
 If you’re interested in a specific career path or are looking to build certain skills, we want to help you succeed. You’ll have regular career, development, and performance conversations with your manager, as well as access to an online learning platform and a variety of mentoring programs to help you unlock future opportunities.
 If you’re passionate about helping clients and building deep, lasting relationships, TD offers diverse career paths where you can grow your expertise and make a meaningful impact.
 We're committed to your success and foster a respectful workplace where diverse perspectives are valued, everyone has fair opportunities to grow, and you can unlock your full potential to achieve your career goals. Here at TD, we hire and develop the best.
**Training \&amp; Onboarding**
 We will provide training and onboarding sessions to ensure that you’ve got everything you need to succeed in your new role.
**Interview Process**
 We’ll reach out to candidates of interest to schedule an interview. We do our best to communicate outcomes to all applicants by email or phone call.
**Accommodation**
 TD Bank is an equal opportunity employer. All qualified applicants will receive consideration for employment without regard to race, color, religion, sex, sexual orientation, gender identity, national origin, age, disability, status as a protected veteran or any other characteristic protected under applicable federal, state, or local law.
 If you are an applicant with a disability and need accommodations to complete the application process, please email TD Bank US Workplace Accommodations Program at USWAPTDO@td.com. Include your full name, best way to reach you and the accommodation needed to assist you with the applicant process.</t>
        </is>
      </c>
    </row>
    <row r="114">
      <c r="A114" t="inlineStr">
        <is>
          <t>li-4361798159</t>
        </is>
      </c>
      <c r="B114" t="inlineStr">
        <is>
          <t>Senior Software Engineer, Infrastructure</t>
        </is>
      </c>
      <c r="C114" t="inlineStr">
        <is>
          <t>Camunda</t>
        </is>
      </c>
      <c r="D114" t="inlineStr">
        <is>
          <t>linkedin</t>
        </is>
      </c>
      <c r="E114">
        <f>HYPERLINK("https://www.linkedin.com/jobs/view/4361798159", "https://www.linkedin.com/jobs/view/4361798159")</f>
        <v/>
      </c>
      <c r="F114" t="inlineStr"/>
      <c r="G114" t="inlineStr">
        <is>
          <t>New York, NY</t>
        </is>
      </c>
      <c r="H114" t="inlineStr"/>
      <c r="I114" t="inlineStr">
        <is>
          <t>***Join us for our upcoming webinar, How to Be a Leader, Not Just a Manager. A** 
 practical session with a powerhouse panel on leading modern, remote teams.*
***Register here***
***!***
 Camunda is the
 **leader in enterprise agentic automation, orchestrating complex business processes** 
 , including high\-value knowledge work, across agents, people, and systems. By creating production\-ready, enterprise\-grade agents with built\-in governance, Camunda uniquely delivers trusted AI agents for business\-critical processes.
 **Over 700 leading innovators like Atlassian, ING, and Vodafone, rely on Camunda** 
 to slash time\-to\-value from months to days, boost operational efficiency, and elevate customer experiences. Camunda was named a
 ***Visionary***
 in the inaugural
 **2025 Gartner® Magic Quadrant™** 
 for Business Orchestration and Automation Technologies (BOAT).
**As a fully remote, global company, we’re rewriting the rules of modern business.** 
 Named GP Bullhound’s 2024 Top 100 Next Unicorn list, certified as a
 **Great Place to Work** 
 , and recognized by Flexa for true flexibility, we’re growing fast and looking for top talent to join our team. If you’re excited to do meaningful work and make real impact, keep reading,
 **this role could be the one you’ve been waiting for.**
**About The Role**
* Define, implement, and document end\-to\-end reference blueprint architectures of recommended Camuna 8 self\-managed setups for various cloud providers (AWS, GCP, Azure), complexities (single/multi\-region setups), and installation methods (Helm chart in Kubernetes/OpenShift; Docker Compose, JAR in virtual machines) to make it easier for the Camunda customers to get Camunda 8 running.
* Foster internal usage of the Camunda 8 self\-managed solutions, creating internal feedback loops through dogfooding and usage
* Create Infrastructure as Code libraries for the Camunda customers to quickly set up their cloud resources (e.g., Terraform modules, Crossplane compositions, scripts, etc.) in the cloud provider of their choice.
* Create productivity tools to help Camunda customers debug their cloud infrastructure issues.
*Curious about the kind of challenges you'll work on at Camunda? Watch this quick* 
*30\-minute talk* 
*from our engineers to learn more about the new Camunda Exporter and how we’re solving complex problems at scale*
**What You’ll Be Doing**
* Shape integrated C8SM infrastructure solutions based on product vision, customer feedback, and community input.
* Provide feedback and contribute to the other teams (e.g., Helm chart team) to improve the quality of the customer\-facing solutions.
* Craft clean, modular, extensible, and maintainable solutions and code for cloud setups, adhering to best practices and standards.
* Share expertise internally through discussions, workshops, and presentations, fostering team growth.
**What You Bring**
* Ability and/or willingness to use our product
* 5\+ years in Infrastructure/DevOps/SRE/Cloud Engineering, architecting production\-grade cloud\-native Kubernetes environments, including multi\-region deployments for high availability and disaster recovery.
* Proficient in at least one programming language and skilled in Infrastructure as Code tools.
* Experience in technical writing, documenting complex systems and processes to technical and non\-technical audiences.
* Demonstrates strong technical empathy, collaborating seamlessly with technical support and consulting our customers’ setups in evaluation or troubleshooting sessions.
* Self\-driven and autonomous, you thrive without daily supervision \- critical for our remote\-only team \- you communicate async clearly and effectively.
**Nice\-to\-haves**
* Proven experience running Java applications in production, with a solid understanding of performance, monitoring, and troubleshooting.
* Background as a Technical Solutions Architect (or equivalent), with experience designing and implementing scalable, reliable solutions with state of the art practices.
* Experience conducting evaluation or troubleshooting sessions with customers' unfamiliar or unknown setups.
***This role is an existing vacancy***
 \#USEAST
**Compensation**
**What We Have to Offer:**
 We offer competitive, fair, and transparent compensation. Salary ranges are location\-based, with Standard and Major markets (global tech hubs) reflecting local competition.
**The Annual Total Target Cash** 
 (base salary \+ 100% variable target, where applicable) shown below spans from the minimum in a Standard market to the maximum in a Major market. Final offers depend on
 **skills** 
 ,
 **experience** 
 , and
 **location** 
 , and we typically hire in the first half of the range to allow room for growth:
* United States: $143,800\.00 to $231,900\.00
* United Kingdom: £90,300\.00 to £148,500\.00
* Singapore: S$178,600\.00 to S$267,900\.00
* Canada: C$152,700 to C$251,200
 If you’re based elsewhere, you’ll be hired via
 **Remote.com** 
 (our global employer partner), and your Talent Acquisition Partner will provide a personalized
 **Total Rewards Calculator** 
 after your first interview.
**Equity:** 
 We also offer equity (where applicable) through our
 **Virtual Stock Option Plan (VSOP)** 
 .
**Benefits \&amp; Perks**
 We invest in your wellbeing, growth, and ability to connect, along with perks that support you no matter where you’re based. Our benefits are globally designed and locally delivered where applicable.
* Remote \&amp; Flexible: Work from anywhere with the setup that suits you, home office budget, co\-working space support, and flexible time off to recharge when you need it.
* In Person Connection: We invest in meaningful face time through our Annual Kickoff (Vienna in 2025, Madrid in 2026!), team offsites, and Camundi Connection Budgets, including contributing to meetups while travelling,, and local gatherings with fellow Camundi.
* Health \&amp; Wellbeing: Access locally tailored healthcare, Modern Health for global mental wellbeing, and our Live Well Lifestyle Spending Account (LSA), a flexible, global benefit that puts you in control of your whole life, not just work, from: staying active, to caring for family, exploring personal passions, meaningful experiences, and investing in your financial wellbeing. The Live Well program launches in 2026 and scales to €1,000 annually from 2027\.
* Financial Security: Retirement and pension plans (often with company contributions), plus life and disability insurance where relevant.
* Professional Growth: Up to $/€/£1,000 per year for self\-driven learning: courses, certifications, books, you decide!
* More of what we offer globally \&amp; in your country can be found here.
*”Everyone is welcome at Camunda”* 
 —
 *it’s a celebrated component of our culture. We strive to create an inclusive environment that empowers our people. At Camunda, we honour diverse cultures and backgrounds and are proud to be an equal opportunity employer. All qualified applicants will receive consideration without regard to gender, race, ethnicity, religion, belief, sexual orientation, age, disability or any other protected characteristics under applicable law. We are looking forward to your application!*
***Come join us and be part of Camunda’s incredible journey: Make an impact at a pivotal moment in our story!***
*AI Disclaimer: Camunda may use AI tools to aid the screening of applications.*</t>
        </is>
      </c>
    </row>
    <row r="115">
      <c r="A115" t="inlineStr">
        <is>
          <t>li-4369163763</t>
        </is>
      </c>
      <c r="B115" t="inlineStr">
        <is>
          <t>Lead Software Engineer</t>
        </is>
      </c>
      <c r="C115" t="inlineStr">
        <is>
          <t>PANTHERx Rare Pharmacy</t>
        </is>
      </c>
      <c r="D115" t="inlineStr">
        <is>
          <t>linkedin</t>
        </is>
      </c>
      <c r="E115">
        <f>HYPERLINK("https://www.linkedin.com/jobs/view/4369163763", "https://www.linkedin.com/jobs/view/4369163763")</f>
        <v/>
      </c>
      <c r="F115">
        <f>HYPERLINK("https://workforcenow.adp.com/mascsr/default/mdf/recruitment/recruitment.html?cid=42f1973b-8a01-4b27-bfff-f6f28e03c8ef&amp;ccId=19000101_000001&amp;lang=en_US&amp;jobId=559108&amp;source=LI&amp;urlHash=DP-V", "https://workforcenow.adp.com/mascsr/default/mdf/recruitment/recruitment.html?cid=42f1973b-8a01-4b27-bfff-f6f28e03c8ef&amp;ccId=19000101_000001&amp;lang=en_US&amp;jobId=559108&amp;source=LI&amp;urlHash=DP-V")</f>
        <v/>
      </c>
      <c r="G115" t="inlineStr">
        <is>
          <t>Pittsburgh, PA</t>
        </is>
      </c>
      <c r="H115" t="inlineStr"/>
      <c r="I115" t="inlineStr">
        <is>
          <t>**7,000 Diseases \- 500 Treatments \- 1 Rare Pharmacy**
 PANTHERx is the nation’s largest rare disease pharmacy, and we put the patient experience at the top of everything that we do.
 If you are looking for a career in the healthcare field that embraces authentic dedication to patient care, you don’t need to look beyond PANTHERx. In every line of service, in every position and area of expertise, PANTHERx associates are driven to provide the highest quality outcomes for our patients.
 We are seeking team members who:
 Are inspired and compassionate problem solvers;
 Produce high quality work;
 Thrive in the excitement of the ever\-challenging environment of modern medicine; and
 Are committed to achieving superior health outcomes for people living with rare and devastating diseases.
 At PANTHERx, we know our employees are the driving force in what we do. We cultivate talent and encourage growth within PANTHERx so that our associates can continue to explore their interests and expand their careers. Guided by our mission to provide uncompromising quality every day, we continue our strategic growth to further reach those affected by rare diseases.
**Join the PANTHERx team, and define your own RxARE future in healthcare!**
**Location:** 
 Pittsburgh, PA; Hybrid
**Job Classification:** 
 Exempt
**Job Status:** 
 Full time
**Reports to** 
 : Manager, Software Development
**Purpose**
 The Lead Software Engineer is responsible for guiding technical strategy and execution across software development projects. This role focuses on leading technical direction, mentoring engineers, and applying advanced software engineering principles to deliver efficient, scalable, and secure solutions to Panther's Applications.
**Responsibilities**
* Executes development of complex software systems with a focus on scalability, performance, and security.
* Develops high\-quality, maintainable code and conducts thorough code reviews to uphold best practices and standards.
* Collaborates with internal and external stakeholders to define technical requirements and align on project delivery, estimations and timelines.
* Mentors and coaches’ other software engineers.
* Embraces development methodologies like Agile, tools like AI, and frameworks like Scrum/Waterfall.
* Conducts effective code reviews of others.
* Diagnoses and resolves technical issues to ensure system stability and reliability.
* Stays informed on emerging technologies and industry trends to drive innovation and competitive advantage.
* Contributes to strategic planning and technical decision\-making for software initiatives.
* Maintains comprehensive documentation for software solutions and architecture.
* Establishes and enforces best practices for architecture and frameworks aligned with product strategy.
**Required Qualifications**
* Bachelor’s or Master’s degree in Computer Science, Engineering, or related field.
* Minimum of eight (8\) years of software development experience, including significant experience designing and building complex systems.
* Proficiency in multiple programming languages ( C\#,SQL, React, WinForms) and frameworks (Azure, ADO, Git, Microservices, Event Hubs, Entity Framework, REST APIs).
* Relational database (RDBMS) technology such as: Microsoft SQL Server, MySQL or PostgreSQL with a solid understanding of SQL
* Extensive experience with cloud platforms (Azure DevOps) and microservices architecture.
* Strong understanding of Agile methodologies, Scrum framework and version control systems (e.g., Git).
* Excellent problem\-solving skills and ability to thrive in a fast\-paced environment.
* Strong leadership and communication skills, with proven success in cross\-functional collaboration.
* Ability to investigate and resolve non\-routine technical challenges.
* Exceptional interpersonal skills; comfortable working alone, and embraces working with a team.
**Preferred Qualifications**
* Minimum of three (3\) of mobile application development.
* Experience with Capacitor or other cross\-platform mobile frameworks (e.g., React Native, Flutter, or .NET MAUI).
* Shipping multiple applications to Google Play Store and Apple Store.
* A love for human\-centered design in application UI/UX.
**Work Environment**
 This job works in a professional home office and office environment. This role routinely uses standard office equipment such as computers, phones, photocopiers, filing cabinets and fax machines.
**Physical** 
**Demands**
 While performing the duties of this job, the employee is regularly required to see, talk or hear. The employee frequently is required to stand; walk; use hands and fingers, handle or feel; reach with hands and arms and must be able to view a computer screen for extended periods of time. Reasonable accommodations may be made to enable individuals with disabilities to perform the essential function of the job.
**Benefits**
 Hybrid, remote and flexible on\-site work schedules are available, based on the position. PANTHERx Rare Pharmacy also affords an excellent benefit package, including but not limited to medical, dental, vision, health savings and flexible spending accounts, 401K with employer matching, employer\-paid life insurance and short/long term disability coverage, and an Employee Assistance Program! Generous paid time off is also available to all full\-time employees, as well as limited paid time off for part\-time employees. Of course we offer paid holidays too!
**Equal Opportunity**
 PANTHERx Rare Pharmacy is an equal opportunity employer, and does not discriminate in recruiting, hiring, promotions or any term or condition of employment based on race, age, religion, gender, ethnicity, sexual orientation, gender identity, disability, protected veteran's status, or any other characteristic protected by federal, state or local laws.</t>
        </is>
      </c>
    </row>
    <row r="116">
      <c r="A116" t="inlineStr">
        <is>
          <t>li-3986111767</t>
        </is>
      </c>
      <c r="B116" t="inlineStr">
        <is>
          <t>Software Engineer</t>
        </is>
      </c>
      <c r="C116" t="inlineStr">
        <is>
          <t>Epic</t>
        </is>
      </c>
      <c r="D116" t="inlineStr">
        <is>
          <t>linkedin</t>
        </is>
      </c>
      <c r="E116">
        <f>HYPERLINK("https://www.linkedin.com/jobs/view/3986111767", "https://www.linkedin.com/jobs/view/3986111767")</f>
        <v/>
      </c>
      <c r="F116" t="inlineStr"/>
      <c r="G116" t="inlineStr">
        <is>
          <t>Tuscaloosa, AL</t>
        </is>
      </c>
      <c r="H116" t="inlineStr"/>
      <c r="I116" t="inlineStr">
        <is>
          <t>Please note that this position is based on our campus in Madison, WI, and requires relocation to the area. We recruit nationally and provide financial relocation assistance.
**Code that saves lives.**
 As a software developer at Epic, you’ll write software that impacts the lives of 325 million patients around the world. Working in your own office, surrounded by thousands of high\-caliber developers, you’ll use modern development methodologies and employ user\-centered design, analytics, and machine learning tools to drive innovation in healthcare. Using leading\-edge technologies and languages like JS, TS, and C\#, you’ll invent better ways to reduce medical errors, streamline record sharing between hospitals, and provide the quality of care a patient deserves. Learn more about our team at https://careers.epic.com/jobs/softwaredevelopment/.
**Write software for the most innovative health systems on the planet.**
 The top\-ranked health systems in U.S. News and World Report are Epic customers. Our community includes major systems like the Mayo Clinic, Johns Hopkins, Cleveland Clinic, and Kaiser Permanente, as well as leading academic medical centers at the University of Wisconsin, University of Michigan, University of California, University of Texas, The Ohio State University, and many more.
**Live affordably in a city known for its rising tech talent.**
 Epic is located just outside Madison, Wisconsin, the second fastest growing market for tech talent in the United States and home to the state capital and the University of Wisconsin. Madison, a city surrounded by water, has received accolades for being the greenest city in America (NerdWallet), the best city for renters (SmartAsset), the fittest city in America (Fitbit), and the third best metro in the US for young professionals (Forbes Advisor).
**More than just important work** 
 .
 Our uniquely themed campus was designed to heighten your ability to get stuff done in your office, a conference room, or by the fireplace in a comfy chair. All meals are restaurant\-quality but cost only a few dollars, and they’re prepared by a team comprised of kitchen talent from restaurants around the country. And, after five years here, you’ll earn a four\-week sabbatical anywhere in the world. Staff have kayaked in Patagonia, attended a Beyoncé concert in Ireland, built a library in Tanzania, and run a marathon in Antarctica.
 We offer comprehensive benefits to keep you healthy and happy as you grow in your life and career, and your merit\-based compensation will reflect the impact your work has on the company and our customers. You'll also be eligible for annual raises and bonuses, as well as stock grants, which give you an even greater stake in the success of Epic and our customers. Healthcare is global, and building the best ideas from around the world into Epic software is a point of pride. As an Equal Opportunity Employer, we know that inclusive teams design software that supports the delivery of quality care for all patients, so diversity, equity, and inclusion are written into our principles. Please see our full non\-discrimination statement at https://careers.epic.com/EEO.
* Relocation to the Madison, WI area (Reimbursed)
* BS/BA or greater in Computer Science, Mathematics, Software Engineering, Computer Engineering, or a related field
* A history of academic excellence or professional success
* Eligible to work in the United States without visa sponsorship (persons with appropriate qualifications and eligible for TN status under NAFTA may apply)
* COVID\-19 vaccination</t>
        </is>
      </c>
    </row>
    <row r="117">
      <c r="A117" t="inlineStr">
        <is>
          <t>li-4361929069</t>
        </is>
      </c>
      <c r="B117" t="inlineStr">
        <is>
          <t>Software Engineering Manager, Information Security Engineering</t>
        </is>
      </c>
      <c r="C117" t="inlineStr">
        <is>
          <t>Google</t>
        </is>
      </c>
      <c r="D117" t="inlineStr">
        <is>
          <t>linkedin</t>
        </is>
      </c>
      <c r="E117">
        <f>HYPERLINK("https://www.linkedin.com/jobs/view/4361929069", "https://www.linkedin.com/jobs/view/4361929069")</f>
        <v/>
      </c>
      <c r="F117">
        <f>HYPERLINK("https://careers.google.com/jobs/results/83849267520643782-software-engineering-manager/?src=Online/LinkedIn/linkedin_us&amp;utm_source=linkedin&amp;utm_medium=jobposting&amp;utm_campaign=contract&amp;urlHash=jEez", "https://careers.google.com/jobs/results/83849267520643782-software-engineering-manager/?src=Online/LinkedIn/linkedin_us&amp;utm_source=linkedin&amp;utm_medium=jobposting&amp;utm_campaign=contract&amp;urlHash=jEez")</f>
        <v/>
      </c>
      <c r="G117" t="inlineStr">
        <is>
          <t>Seattle, WA</t>
        </is>
      </c>
      <c r="H117" t="inlineStr"/>
      <c r="I117" t="inlineStr">
        <is>
          <t>In accordance with Washington state law, we are highlighting our comprehensive benefits package, which is available to all eligible US based employees. Benefits for this role include:
* Health, dental, vision, life, disability insurance
* Retirement Benefits: 401(k) with company match
* Paid Time Off: 20 days of vacation per year, accruing at a rate of 6\.15 hours per pay period for the first five years of employment
* Sick Time: 40 hours/year (statutory, where applicable); 5 days/event (discretionary)
* Maternity Leave (Short\-Term Disability \+ Baby Bonding): 28\-30 weeks
* Baby Bonding Leave: 18 weeks
* Holidays: 13 paid days per year
**Minimum qualifications:**
* Bachelor's degree or equivalent practical experience.
* 8 years of experience programming in C\+\+, Java, or Go.
* 3 years of experience building software for data privacy or security (e.g., identity and access management).
* 3 years of experience in a technical leadership role.
* 2 years of experience in a people management or team leadership role.
**Preferred qualifications:**
* Master's degree or PhD in Computer Science, or a related technical field.
* 3 years of experience working in a complex, matrixed organization.
* Experience in supply chain security issues, vulnerability management, software composition analysis, or related fields.
**About The Job**
 Like Google's own ambitions, the work of a Software Engineer goes beyond just Search. Software Engineering Managers have not only the technical expertise to take on and provide technical leadership to major projects, but also manage a team of Engineers. You not only optimize your own code but make sure Engineers are able to optimize theirs. As a Software Engineering Manager you manage your project goals, contribute to product strategy and help develop your team. Teams work all across the company, in areas such as information retrieval, artificial intelligence, natural language processing, distributed computing, large\-scale system design, networking, security, data compression, user interface design; the list goes on and is growing every day. Operating with scale and speed, our exceptional software engineers are just getting started \-\- and as a manager, you guide the way.
 With technical and leadership expertise, you manage engineers across multiple teams and locations, a large product budget and oversee the deployment of large\-scale projects across multiple sites internationally.
 As a Software Engineering Manager in Information Security Engineering, you will contribute to company\-wide programs securing Google against software supply chain threats.
 In this role, you will have the opportunity for wide influence within Google and across the industry. You will solve open\-ended problems. You will identify the most critical security risks and the right approach to addressing them. You will help the team prioritize in a complex landscape with many problems across different ecosystems. You will build processes and tools that not only reduce risk, but also keep developers happy and productive.
 The US base salary range for this full\-time position is $197,000\-$291,000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Manage an established team of five software engineers and security engineers. Be responsible for their coaching, work management, career development and other people management responsibilities.
* Define and execute the team's outlook and roadmap for securing Google's third\-party dependencies.
* Grow technical talent to develop technically innovative solutions to secure our Open Source Software (OSS) dependencies.
* Build strong partnerships and collaboration roadmaps with partner teams in Google's software supply chain Integrity program, as well as with industry and academia.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18">
      <c r="A118" t="inlineStr">
        <is>
          <t>li-4380328604</t>
        </is>
      </c>
      <c r="B118" t="inlineStr">
        <is>
          <t>Senior Software Engineer</t>
        </is>
      </c>
      <c r="C118" t="inlineStr">
        <is>
          <t>Microsoft</t>
        </is>
      </c>
      <c r="D118" t="inlineStr">
        <is>
          <t>linkedin</t>
        </is>
      </c>
      <c r="E118">
        <f>HYPERLINK("https://www.linkedin.com/jobs/view/4380328604", "https://www.linkedin.com/jobs/view/4380328604")</f>
        <v/>
      </c>
      <c r="F118" t="inlineStr"/>
      <c r="G118" t="inlineStr">
        <is>
          <t>Redmond, WA</t>
        </is>
      </c>
      <c r="H118" t="inlineStr"/>
      <c r="I118" t="inlineStr">
        <is>
          <t>**Overview**
 Are you passionate about building intelligent, scalable systems that power next\-generation AI experiences? The
 **Microsoft Copilot Studio** 
 team within the
 **Business Industry Copilot (BIC) organization** 
 is at the forefront of enabling makers and developers to build, publish, and manage copilots that extend across Microsoft 365 and beyond. We are looking for a strong Senior Software Engineer to join our team and lead the design and development of core capabilities in the Control Plane as part of the Publish, Sharing \&amp; Channels areas of the product.
 As a
 **Senior Software Engineer** 
 , you will play a pivotal role in shaping the architecture and execution of mission\-critical services that enable seamless copilot lifecycle management, secure sharing, and multichannel publishing. You’ll work closely with product, design, and partner teams across Microsoft to deliver high\-impact features that empower users and scale across millions of tenants.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Lead architecture, design, and implementation of scalable, reliable, and secure services in the Copilot Studio Control Plane.
* Drive technical strategy and execution for publish, sharing, and channel integration experiences.
* Collaborate with cross\-functional teams to define and deliver end\-to\-end scenarios that span Azure, M365, and Power Platform ecosystems.
* Mentor and guide engineers across the team, fostering a culture of technical excellence, inclusion, and continuous learning.
* Partner with PMs and leadership to align engineering investments with product vision and customer needs.
* Champion engineering best practices, including CI/CD, observability, and operational excellence.
* Partner with Data Science and AI experts to transform what it means to build AI\-first SaaS.
**Qualifications**
**Required Qualifications:**
* Bachelor's Degree in Computer Science or related technical field AND 4\+ years technical engineering experience with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
* Experience with Power Platform, M365 extensibility, and conversational AI systems.
* Understanding of identity, access control, and secure service design.
* Communication and collaboration skills, with the ability to influence across teams and disciplines.
* 4\+ years experience in service development, successfully shipping software across multiple releases in a SaaS environment.
* Track record of technical leadership and delivering complex projects at scale.
* Proficiency in C\#, .NET, or equivalent languages and frameworks.
* Experience with Azure or other cloud platforms.
 \#BICJOBS
 \#MCSJobs
 \#CopilotStudio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19">
      <c r="A119" t="inlineStr">
        <is>
          <t>li-4380330594</t>
        </is>
      </c>
      <c r="B119" t="inlineStr">
        <is>
          <t>Software Engineer Manager - Azure Storage</t>
        </is>
      </c>
      <c r="C119" t="inlineStr">
        <is>
          <t>Microsoft</t>
        </is>
      </c>
      <c r="D119" t="inlineStr">
        <is>
          <t>linkedin</t>
        </is>
      </c>
      <c r="E119">
        <f>HYPERLINK("https://www.linkedin.com/jobs/view/4380330594", "https://www.linkedin.com/jobs/view/4380330594")</f>
        <v/>
      </c>
      <c r="F119">
        <f>HYPERLINK("https://apply.careers.microsoft.com/careers/job/1970393556813867?utm_source=linkedin&amp;domain=microsoft.com&amp;src=LinkedIn&amp;urlHash=63dG", "https://apply.careers.microsoft.com/careers/job/1970393556813867?utm_source=linkedin&amp;domain=microsoft.com&amp;src=LinkedIn&amp;urlHash=63dG")</f>
        <v/>
      </c>
      <c r="G119" t="inlineStr"/>
      <c r="H119" t="inlineStr"/>
      <c r="I119" t="inlineStr">
        <is>
          <t>**Overview**
 Azure Storage is at the core of Azure, providing over 100 exabytes (100 million terabytes) of raw capacity distributed over 3000\+ storage clusters in 200\+ datacenters across 70 regions worldwide. Azure Storage provides the persistent storage layer in the cloud, powering millions of Azure virtual machines, holding centuries of video, billions of photos, and exabytes of data powering the latest breakthroughs in AI.
 As a Principal Engineering Manager \- Azure Storage, you will work closely with our Data Scientists, Software Engineers, Program Managers and DevOps Engineers to understand the business requirements. You will design and build a system to manage the capacity Azure Storage over its diverse SKU types, customer traffic patterns, account dimensions, regions and requirements, while optimizing the use of resources. You will also collaborate with other partners and stakeholders to ensure that the dependencies are identified and built, observability is implemented, and tooling \&amp; automation are made available to support Operations.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Help define the architecture and specifications of the system that can manage resource usage in a dynamic environment.
* Design and build the system components, interfaces, protocols, data models, security and scalability aspects of the system.
* Build tests, simulator and operationalize the rollout of the system to allow for upgrade from existing system and from one version to the next.
* Ensure a high level of utilization of storage resources to minimize the cost of goods and services (COGS) and maximize profitability.
* Communicate and document the system architecture \&amp; design clearly and effectively to the development team and other stakeholders.
* Respond to changing business requirements by generating new ideas and control laws, rapidly pivoting development and incorporating process changes.
* You will participate in DevOps to provide operational support and to identify pain points \&amp; improvements in tooling and automation.
**Qualifications**
 Required Qualifications:
* Bachelor's Degree in Computer Science or related technical field AND 6\+ years technical engineering experience with coding in languages including, but not limited to, C, C\+\+, C\#, Java, JavaScript, or Python
+ OR equivalent experience.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or related technical field AND 8\+ years technical engineering experience with coding in languages including, but not limited to, C, C\+\+, C\#, Java, JavaScript, or Python
+ OR Bachelor's Degree in Computer Science or related technical field AND 12\+ years technical engineering experience with coding in languages including, but not limited to, C, C\+\+, C\#, Java, JavaScript, or Python
+ OR equivalent experience.
* 4\+ years people management experience.
* 3\+ years of experience in system architecture
* 3\+ years of experience in working with decision/optimization systems in areas such as strategy games, logistics/supply chain, simulation, control systems, etc.
* 2\+ years of experience in DevOps.
 \#azurecorejobs
 Software Engineering M5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20">
      <c r="A120" t="inlineStr">
        <is>
          <t>li-4379160785</t>
        </is>
      </c>
      <c r="B120" t="inlineStr">
        <is>
          <t>Senior Lead Software Engineer - Area Tech Partner</t>
        </is>
      </c>
      <c r="C120" t="inlineStr">
        <is>
          <t>hackajob</t>
        </is>
      </c>
      <c r="D120" t="inlineStr">
        <is>
          <t>linkedin</t>
        </is>
      </c>
      <c r="E120">
        <f>HYPERLINK("https://www.linkedin.com/jobs/view/4379160785", "https://www.linkedin.com/jobs/view/4379160785")</f>
        <v/>
      </c>
      <c r="F120" t="inlineStr"/>
      <c r="G120" t="inlineStr">
        <is>
          <t>New York, NY</t>
        </is>
      </c>
      <c r="H120" t="inlineStr"/>
      <c r="I120" t="inlineStr">
        <is>
          <t>***hackajob** 
 is collaborating with
 **J.P. Morgan** 
 to connect them with exceptional tech professionals for this role.*
**Job Description**
 Be an integral part of an agile team that's constantly pushing the envelope to enhance, build, and deliver top\-notch technology products.
 As a Senior Lead Software Engineer \- Area Tech Partner at JPMorganChase within the Consumer Branded Credit Card Technology team, you are an integral part of an agile team that works to enhance, build, and deliver trusted market\-leading technology products in a secure, stable, and scalable way. Drive significant business impact through your capabilities and contributions, and apply deep technical expertise and problem\-solving methodologies to tackle a diverse array of challenges that span multiple technologies and applications.
**Job Responsibilities**
* Provide overall direction, oversight, and coaching for a team of entry\-level to mid\-level software engineers that work on basic to moderately complex tasks
* Gain experience delivering system design, application development, testing, and operational stability.
* Lead in creating a repeatable and extensible playbook to support launch and refresh scenarios for Card Business
* Ensures successful collaboration across teams and stakeholders. Including applications of varying tech stack and maturity level.
* Identifies and mitigates issues to execute a book of work while escalating issues as necessary
* Showcase prior experience with influencing across functions and teams and delivering value at scale
* Provides input to cross team leadership regarding execution approach, and technical considerations to improve operational efficiencies and functionality for the team
* Apply strong Test and automation principles.
**Required Qualifications, Capabilities, And Skills**
* Formal training or certification on software engineering concepts and 5\+ years applied experience
* Hands\-on practical experience delivering system design, application development, testing, and operational stability
* Advanced in one or more programming language(s) including Java, Springboot, Microservices, REST APIs, AWS etc.
* Advanced knowledge of software applications and technical processes with considerable in\-depth knowledge in one or more technical disciplines (e.g., cloud, artificial intelligence, machine learning, mobile, etc.)
* Experience at the code level, including driving game day strategy and release playbook.
* Ability to guide and coach teams on approach to achieve goals aligned against a set of strategic initiatives
* Ability to tackle design and functionality problems independently with little to no oversight
* Practical cloud native experience
* Experience in Computer Science, Computer Engineering, Mathematics, or a related technical field
**Preferred qualifications, capabilities, and skills**
* Mainframe or legacy tech stack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t>
        </is>
      </c>
    </row>
    <row r="121">
      <c r="A121" t="inlineStr">
        <is>
          <t>li-4328689658</t>
        </is>
      </c>
      <c r="B121" t="inlineStr">
        <is>
          <t>Cloud Software Engineer</t>
        </is>
      </c>
      <c r="C121" t="inlineStr">
        <is>
          <t>Peraton</t>
        </is>
      </c>
      <c r="D121" t="inlineStr">
        <is>
          <t>linkedin</t>
        </is>
      </c>
      <c r="E121">
        <f>HYPERLINK("https://www.linkedin.com/jobs/view/4328689658", "https://www.linkedin.com/jobs/view/4328689658")</f>
        <v/>
      </c>
      <c r="F121" t="inlineStr"/>
      <c r="G121" t="inlineStr">
        <is>
          <t>Annapolis Junction, MD</t>
        </is>
      </c>
      <c r="H121" t="inlineStr"/>
      <c r="I121" t="inlineStr">
        <is>
          <t>**About Peraton**
 Peraton is a next\-generation national security company that drives missions of consequence spanning the globe and extending to the farthest reaches of the galaxy. As the world's leading mission capability integrator and transformative enterprise IT provider, we deliver trusted, highly differentiated solutions and technologies to protect our nation and allies. Peraton operates at the critical nexus between traditional and nontraditional threats across all domains: land, sea, space, air, and cyberspace. The company serves as a valued partner to essential government agencies and supports every branch of the U.S. armed forces. Each day, our employees solve the most daunting challenges that our customers face. Visit peraton.com to learn how we're keeping people around the world safe and secure.
**Program Overview**
 Provides IC data management support to modernize mega data repositories, dataflow management, data provenance and compliance validation, and streaming solutions.
**About The Role**
**Cloud Software Engineer**
**Location:** 
 Annapolis Junction, MD
 Peraton is looking for a talented
 **Cloud Software Engineer** 
 to join our mission\-driven
 **Cyber Missions team** 
 . In this role, you'll work on impactful, real\-world challenges\-designing and delivering cloud solutions that prioritize performance, resilience, and cost efficiency in high\-stakes environments.
 As a Cloud Software Engineer, you'll take ownership of projects across the full software lifecycle, from requirements analysis and design through development, integration, testing, and ongoing enhancement. You'll work with a high degree of independence while collaborating closely with a skilled technical team, and you'll have the opportunity to mentor and guide junior engineers as they grow.
**What You'll Do**
* Design, develop, and maintain cloud\-based software solutions from concept to deployment
* Analyze requirements and translate them into scalable, secure designs
* Balance cost, capability, availability, and resilience in cloud architectures
* Troubleshoot, diagnose, and resolve complex technical issues
* Review and generate technical designs to ensure accuracy and completeness
* Help plan projects by defining tasks, timelines, and technical approaches
* Provide technical guidance and mentorship to junior team members
**Why Join Peraton**
* Work on meaningful cyber missions with real national impact
* Be trusted to operate at a high level of autonomy and technical influence
* Collaborate with experienced engineers in a supportive, growth\-oriented environment
* Tackle challenging problems using modern cloud technologies
 This role is ideal for engineers who enjoy solving complex problems, influencing technical direction, and making a measurable impact through their work.
**Qualifications**
****Required Qualifications:****
* Bachelor's degree in Computer Science or a related technical field (degree may substitute for 2 years of experience); Master's degree may substitute for 4 years of experience
* 5\+ years of relevant software engineering experience
* 4\+ years of experience developing software in high\-level languages such as Java, C, or C\+\+
* Hands\-on experience with open\-source, distributed NoSQL technologies (e.g., HBase, Accumulo, Bigtable)
* 3\+ years of experience developing software on UNIX/Linux (Red Hat) platforms
* 3\+ years of experience with software integration and testing, including creating and executing test plans and scripts
* Strong technical writing skills, with experience producing software documentation
* Active TS/SCI clearance with current polygraph (required)
****Preferred Certifications (Nice to Have)****
* AWS Certified Developer \- Associate
* AWS DevOps Engineer \- Professional
* Certified Kubernetes Application Developer (CKAD)
* Elastic Certified Engineer
**SCA / Union / Intern Rate or Range**
**Details**
 Target Salary Range: $135,000 \- $216,000\. This represents the typical salary range for this position. Salary is determined by various factors, including but not limited to, the scope and responsibilities of the position, the individual's experience, education, knowledge, skills, and competencies, as well as geographic location and business and contract considerations. Depending on the position, employees may be eligible for overtime, shift differential, and a discretionary bonus in addition to base pay.
 Benefits Statement: Peraton offers eligible employees a variety of benefits including medical, dental, vision, life, health savings account, short/long term disability, EAP, parental leave, 401(k), paid time off (PTO) for vacation, and company paid holidays. A full listing of available benefits can be viewed at https://www.careers.peraton.com/benefits.
 Application Duration Statement: The application period for the job is estimated to be 30 days from the job posting date. However, this timeline may be shortened or extended depending on business needs and the availability of qualified candidates.
**EEO:** 
 Equal opportunity employer, including disability and protected veterans, or other characteristics protected by law.</t>
        </is>
      </c>
    </row>
    <row r="122">
      <c r="A122" t="inlineStr">
        <is>
          <t>li-4208839613</t>
        </is>
      </c>
      <c r="B122" t="inlineStr">
        <is>
          <t>Software Engineer</t>
        </is>
      </c>
      <c r="C122" t="inlineStr">
        <is>
          <t>MANTECH</t>
        </is>
      </c>
      <c r="D122" t="inlineStr">
        <is>
          <t>linkedin</t>
        </is>
      </c>
      <c r="E122">
        <f>HYPERLINK("https://www.linkedin.com/jobs/view/4208839613", "https://www.linkedin.com/jobs/view/4208839613")</f>
        <v/>
      </c>
      <c r="F122">
        <f>HYPERLINK("https://click.appcast.io/t/77sQdn3ZxPVx_fio1cpBdL5ylY2VarMz-uLAb3l1qygbh93ol0N71MlRSL6MUGqX?source=LinkedIn&amp;urlHash=tRu6", "https://click.appcast.io/t/77sQdn3ZxPVx_fio1cpBdL5ylY2VarMz-uLAb3l1qygbh93ol0N71MlRSL6MUGqX?source=LinkedIn&amp;urlHash=tRu6")</f>
        <v/>
      </c>
      <c r="G122" t="inlineStr">
        <is>
          <t>Crane, IN</t>
        </is>
      </c>
      <c r="H122" t="inlineStr"/>
      <c r="I122" t="inlineStr">
        <is>
          <t>ManTech seeks a motivated, career and customer\-oriented
 **Software Engineer II** 
 to join our team in
 **Crane, Indiana.** 
 This position is onsite.
 As a core member, you will assist in the research \&amp; design, engineering, integration, testing, training, logistics, laboratory research, field engineering, and acquisition and operations analysis in support of a variety of Navy and Marine Corps programs and projects with a focus on defensive cyber technologies, mission assurance, and resilience capabilities for the tactical network environment. Your effort will go towards dramatically increasing the warfighter’s effectiveness. If you enjoy working on a highly collaborative and dynamic team and want to make a difference for the warfighter, then we would love to have you on our team!
**Responsibilities Include But Are Not Limited To**
* Design and implement high\-performance software features using languages like C, C\+\+, or Go
* Lead small to medium\-sized projects, driving them from concept to completion with precision
* Mentor junior engineers, sharing your expertise to elevate team performance
* Champion agile methodologies and DevSecOps practices to deliver secure, efficient software
* Optimize development and deployment processes using container technologies like Docker, or similar
**Minimum Qualifications**
* BA/BS degree, or, High School Diploma and 6 years of additional relevant experience, or, Associates Degree and 4 years of additional relevant experience may be substituted in lieu of Bachelors degree
* 5\+ years of professional software development experience
* Proficiency in languages such as C, C\+\+, Go, or equivalent
* Strong knowledge of agile development and DevSecOps practices
* Experience with container technologies like Docker or similar platforms
**Desired Qualifications**
* Master’s degree in Computer Science, Engineering, or a related field
* Experience with container orchestration tools. (e.g., Kubernetes, Docker Swarm, or Podman)
* Proven ability to lead projects or guide teams in a technical capacity
* Advanced problem\-solving skills with a focus on efficiency and scalability
* Strong interpersonal skills to collaborate effectively across diverse teams
**Clearance Requirements**
* Must have a current and active Secret Clearance
**Physical Requirements**
* Must be able to balance, bend, carry, crouch, stretch and kneel.
* Must be able to push, pull, and reach.
* Must be able to work in high noise areas.
* Must be able to lift 50lbs and small parts.
* Must be able to work with computers and CRTs, and type on a computer keyboard</t>
        </is>
      </c>
    </row>
    <row r="123">
      <c r="A123" t="inlineStr">
        <is>
          <t>li-4370868118</t>
        </is>
      </c>
      <c r="B123" t="inlineStr">
        <is>
          <t>Staff Software Engineer, Managed AI - AI Platform</t>
        </is>
      </c>
      <c r="C123" t="inlineStr">
        <is>
          <t>Crusoe</t>
        </is>
      </c>
      <c r="D123" t="inlineStr">
        <is>
          <t>linkedin</t>
        </is>
      </c>
      <c r="E123">
        <f>HYPERLINK("https://www.linkedin.com/jobs/view/4370868118", "https://www.linkedin.com/jobs/view/4370868118")</f>
        <v/>
      </c>
      <c r="F123" t="inlineStr"/>
      <c r="G123" t="inlineStr">
        <is>
          <t>San Francisco, CA</t>
        </is>
      </c>
      <c r="H123" t="inlineStr"/>
      <c r="I123" t="inlineStr">
        <is>
          <t>Crusoe's mission is to accelerate the abundance of energy and intelligence. We’re crafting the engine that powers a world where people can create ambitiously with AI — without sacrificing scale, speed, or sustainability.
 Be a part of the AI revolution with sustainable technology at Crusoe. Here, you'll drive meaningful innovation, make a tangible impact, and join a team that’s setting the pace for responsible, transformative cloud infrastructure.
**About This Role:**
 The Crusoe Cloud Managed AI team seeks an ambitious and experienced Staff Software Engineer to join their team. You'll have a pivotal role in shaping the architecture and scalability of our next\-generation managed AI services. You will lead the design and implementation of core systems for our AI offerings, including resilient fault\-tolerant queues, model catalogs, and scheduling mechanisms optimized for cost and performance.
 This role offers the opportunity to build and scale critical infrastructure capable of handling millions of API requests per second across thousands of customers.
 The team is working on building the next chapter of products to accelerate the process of adding intelligence into software.
 This is an on\-site role based in San Francisco, CA, or Sunnyvale, CA, requiring in\-office presence.
**What You’ll Be Working On:**
**Design and Development:**
* Lead the design and implementation of core AI services, including:
* Resilient fault\-tolerant queues for efficient task distribution.
* Model catalogs for managing and versioning AI models.
* Scheduling mechanisms optimized for cost and performance.
**Scalability and Reliability:**
* Deep understanding of Kubernetes or other distributed cluster orchestration systems.
* Architect and scale infrastructure to handle millions of API requests per second.
* Implement robust monitoring and alerting to ensure system health and 24/7 availability.
**Collaboration and Innovation:**
* Collaborate closely with product management, business strategy, and other engineering teams to define the AI platform roadmap.
* Influence the long\-term vision and architectural decisions of the platform.
* Contribute to open\-source AI frameworks and actively participate in the AI community.
* Prototype and rapidly iterate on emerging technologies and new features.
**What You’ll Bring to the Team:**
* Strong Engineering Fundamentals: Advanced degree in Computer Science/Engineering
* 8\-10\+ years of industry experience with demonstrated history of consistent success leading a varied portfolio of initiatives across your function
* Experience with distributed systems, cloud services (compute, storage, networking, database), and delivering early\-stage projects quickly.
* AI/ML Expertise: Experience with Generative AI (LLMs, Multimodal) and familiar with AI infrastructure (training, inference, ETL pipelines).
* Software Engineering: Proficient with container runtimes (e.g., Kubernetes), microservices, REST APIs, gRPC, and the full software development lifecycle including CI/CD.
**Preferred Qualifications:**
* Proficiency in Golang, Python or Rust for production services.
* Contributions to open\-source AI projects (e.g., VLLM).
* Experience with performance optimizations on GPU systems and inference frameworks.
**Personal Attributes:**
* Proactive, collaborative, and capable of working autonomously.
* Excellent communication and interpersonal skills.
* Passion for building cutting\-edge AI products and solving complex technical problems
**Benefits:**
* Industry competitive pay
* Restricted Stock Units in a fast growing, well\-funded technology company
* Health insurance package options that include HDHP and PPO, vision, and dental for you and your dependents
* Employer contributions to HSA accounts
* Paid Parental Leave
* Paid life insurance, short\-term and long\-term disability
* Teladoc
* 401(k) with a 100% match up to 4% of salary
* Generous paid time off and holiday schedule
* Cell phone reimbursement
* Tuition reimbursement
* Subscription to the Calm app
* MetLife Legal
* Company paid commuter benefit; $300/month
**Compensation Range**
 Compensation will be paid in the range of up to $208,725 \- $253,000 \+ Bonus. Restricted Stock Units are included in all offers. Compensation to be determined by the applicants knowledge, education, and abilities, as well as internal equity and alignment with market data.
 Crusoe is an Equal Opportunity Employer. Employment decisions are made without regard to race, color, religion, disability, genetic information, pregnancy, citizenship, marital status, sex/gender, sexual preference/ orientation, gender identity, age, veteran status, national origin, or any other status protected by law or regulation.</t>
        </is>
      </c>
    </row>
    <row r="124">
      <c r="A124" t="inlineStr">
        <is>
          <t>li-4375966347</t>
        </is>
      </c>
      <c r="B124" t="inlineStr">
        <is>
          <t>Senior Software Engineer</t>
        </is>
      </c>
      <c r="C124" t="inlineStr">
        <is>
          <t>CACI International Inc</t>
        </is>
      </c>
      <c r="D124" t="inlineStr">
        <is>
          <t>linkedin</t>
        </is>
      </c>
      <c r="E124">
        <f>HYPERLINK("https://www.linkedin.com/jobs/view/4375966347", "https://www.linkedin.com/jobs/view/4375966347")</f>
        <v/>
      </c>
      <c r="F124">
        <f>HYPERLINK("https://searchcareers.caci.com/careers/job/1443149139232?domain=caci.com&amp;urlHash=AZPO", "https://searchcareers.caci.com/careers/job/1443149139232?domain=caci.com&amp;urlHash=AZPO")</f>
        <v/>
      </c>
      <c r="G124" t="inlineStr">
        <is>
          <t>Fort Meade, MD</t>
        </is>
      </c>
      <c r="H124" t="inlineStr"/>
      <c r="I124" t="inlineStr">
        <is>
          <t>Job Title: Senior Software Engineer
 Job Category: Engineering
 Time Type: Full time
 Minimum Clearance Required to Start: TS/SCI with Polygraph
 Employee Type: Regular
 Percentage of Travel Required: Up to 10%
 Type of Travel: Local
 \* \* \*
**The Opportunity**
 CACI is seeking a well\-rounded Senior Software Engineer to provide customer support and infrastructure services with rapid response capabilities in support of Signals Intelligence (SIGINT) and Cyber Solutions mission objectives. The ideal candidate will have extensive end\-to\-end software engineering experience across embedded and system layers, coupled with strong troubleshooting skills and the ability to integrate and support complex hardware/software systems.
**Responsibilities**
* Provide timely, mission\-critical software development and support to government customers in SIGINT and cyber operations.
* Design, develop, test, and deploy software across embedded and general\-purpose systems (Windows and Linux variants).
* Collaborate with cross\-functional teams to support hardware interfaces and firmware integration.
* Perform debugging, documentation, and analysis of software and hardware issues.
* Support field integration, system testing, and deployments (limited travel possible).
* Contribute to configuration management, continuous integration, and lifecycle software support.
**Qualifications**
*Required:*
* Active TS/SCI with Polygraph clearance.
* Bachelor’s degree (or higher) in Computer Science, Software Engineering, Electrical Engineering, or related STEM field (or equivalent experience).
* 15\+ years of professional software engineering experience supporting complex systems (or more for senior/lead roles).
* Proficiency in Java/Swing, Spring Tools Suite (STS), Eclipse, VS Code, and Maven.
* Experience with Java Fire (legacy Java JFire) development/support.
* Embedded software development and deployment on Windows and Linux (Rocky, CentOS, Ubuntu, OpenWRT).
* Familiarity with RabbitMQ, software debugging tools, and hardware interfaces (JTAG, I2C, SPI, UART, Ethernet).
* Configuration management with GitLab CI/CD (continuous integration).
* Jira and Confluence for ticket and documentation management.
**Desired**
* Front\-end experience with React and JavaScript/HTML.
* Basic RF and GPS systems knowledge.
* Understanding of embedded Linux boot process (bootloaders, initramfs, kernel boot), systemd, and time sync tools (chrony/NTP).
* Troubleshooting of PCB and electrical interconnections.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$114,600\-$252,100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25">
      <c r="A125" t="inlineStr">
        <is>
          <t>li-4379269933</t>
        </is>
      </c>
      <c r="B125" t="inlineStr">
        <is>
          <t>Senior Software Engineer - CTJ - POLY</t>
        </is>
      </c>
      <c r="C125" t="inlineStr">
        <is>
          <t>Microsoft</t>
        </is>
      </c>
      <c r="D125" t="inlineStr">
        <is>
          <t>linkedin</t>
        </is>
      </c>
      <c r="E125">
        <f>HYPERLINK("https://www.linkedin.com/jobs/view/4379269933", "https://www.linkedin.com/jobs/view/4379269933")</f>
        <v/>
      </c>
      <c r="F125">
        <f>HYPERLINK("https://apply.careers.microsoft.com/careers/job/1970393556643478?utm_source=linkedin&amp;domain=microsoft.com&amp;src=LinkedIn&amp;urlHash=IH7L", "https://apply.careers.microsoft.com/careers/job/1970393556643478?utm_source=linkedin&amp;domain=microsoft.com&amp;src=LinkedIn&amp;urlHash=IH7L")</f>
        <v/>
      </c>
      <c r="G125" t="inlineStr">
        <is>
          <t>Reston, VA</t>
        </is>
      </c>
      <c r="H125" t="inlineStr"/>
      <c r="I125" t="inlineStr">
        <is>
          <t>**Overview**
 Microsoft has an exciting opportunity for a
 **Senior Software Engineer** 
 to join The Identity team for the Azure Government Secret and Top\-Secret Clouds. The position will provide you exposure and growth opportunity. Do you want to be at the center of Cloud Computing and work on services that touch every facet of Azure? Do you have the passion to work on products that make Azure “The Developer’s Cloud” \- the place that every developer thinks first when they build their mission cloud application? Joining The Identity team will give you your chance.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You will be involved with the Design, development and the delivering of user\-friendly, state\-of\-the\-art Azure services to provide world\-class user experiences on Azure. Work together with the team to ensure service quality, availability, and reliability. Participate in live\-site and customer support to ensure customers using our services have a great experience. Engineers should expect to participate in a regularly scheduled on\-call rotation.
**Coding**
* Reviews the code of a product to assure it meets the team's and Microsoft's quality standards, is reliable and accurate, and is appropriate for the scale of the product/solution area. Applies feedback to current and future iterations. Participates in code reviews to ensure coding standards are followed. Considers diagnosability, reliability, and maintainability when reviewing code, and understands when code is ready to be shared or delivered. Applies and screens for coding patterns and best practices in reviews, and provides feedback on code to drive adherence to best practices.
* Leads by example within the team by producing extensible and maintainable. Optimizes, debugs, refactors, and reuses code to improve performance and maintainability, effectiveness, and return on investment (ROI). Applies metrics to drive the quality and stability of code, as well as appropriate coding patterns and best practices. Applies debugging tools and examines logs, telemetry, and other methods to verify assumptions through writing and developing code proactively before issues occur and reactively as issues occur for products. Conducts retrospective debugging of solutions to identify root causes of problems. responsibility description
**Design**
* Independently creates a clear and articulated plan for testing and assuring quality of solutions, and defines success for outcomes of tests (e.g., unit tests). Identifies needs for a broad versus selected approach in testing mechanisms and makes informed decisions to implement the most effective tests. Drives efforts to add new tests, remove antiquated tests, and aggregate tests to improve the test suite. Improves recommendations to the team and augments test cases to ensure that solutions have good test coverage. Drives efforts to continually integrate automation features when planning for testing.
* Leads discussions for the architecture of products/solutions and creates proposals for architecture by testing design hypotheses and helping to refine code plans. Provides reactions, proposed solutions, and inputs to architects. Partially owns solutions for architecting of solutions, with minimal technical oversight. Develops design documents for designs or User Stories, and determines the technology that will be leveraged and how it will interact. Shares learnings and identified solutions from investigations with the team and owns for some design decisions. Assures system architecture meets security and compliance requirements and expectations.
* Drives identification of dependencies and the development of design documents for a product, application, service or platform. Identifies other teams and technologies that will be leveraged, how they will interact, and when one's own system may provide support to others. Determines back\-end dependencies associated with product, application, service, or platform functionality for the solution/product area. Understands up and downstream effects of solutions and work provided to ensure appropriate security and performance, drives reliability in the solutions, and optimizes dependency chains and retrieves across teams. Drives identification of areas of dependency and overlap with other teams or team members and drives coordination. Communicates across teams and resolves conflicts between teams. responsibility description
**Engineering Excellence**
* Drives efforts to ensure the correct processes are followed to achieve a high degree of security, privacy, safety, and accessibility. Creates and assures the presence of visible evidence (e.g., audit trail) to demonstrate compliance for products. Develops and maintains a deep understanding of the implications of onboarding new technologies following expectations of compliance at Microsoft. Demonstrates and maintains an up\-to\-date understanding of both global and local regulations for technologies and system applications to ensure regulations are followed and met.
**What Success Looks Like In This Role**
* Services you build and maintain exceed reliability targets
* Team capabilities grow through your knowledge sharing and mentorship
* You contribute meaningfully to both operational stability and strategic development projects
* Partners across Microsoft seek your input because you bring valuable perspective
* Embody our culture and values.
**Qualifications**
**Required/Minimum Qualifications:**
* Bachelor's Degree in Computer Science or related technical field AND 4\+ years technical engineering experience with coding in languages including, but not limited to, C, C\+\+, C\#, Java, JavaScript, or Python OR equivalent experience.
**Other Requirements**
 Security Clearance Requirements: Candidates must be able to meet Microsoft, customer and/or government security screening requirements are required for this role. These requirements include, but are not limited to the following specialized security screenings:
* The successful candidate must have an active U.S. Government Top Secret Clearance with access to Sensitive Compartmented Information (SCI) based on a Single Scope Background Investigation (SSBI) with Polygraph. Ability to meet Microsoft, customer and/or government security screening requirements are required pre\-offer and post\-hire for this role. Failure to maintain or obtain the appropriate U.S. Government clearance and/or customer screening requirements may result in employment action up to and including termination.
* Clearance Verification: This position requires successful verification of the stated security clearance to meet federal government customer requirements. You will be asked to provide clearance verification information prior to an offer of employment.
* Microsoft Cloud Background Check: This position will be required to pass the Microsoft Cloud background check upon hire/transfer and every two years thereafter.
**Preferred/Additional Qualifications**
* Master's Degree in Computer Science or related technical field AND 6\+ years technical engineering experience with coding in languages including, but not limited to, C, C\+\+, C\#, Java, JavaScript, or Python OR Bachelor's Degree in Computer Science or related technical field AND 8\+ years technical engineering experience with coding in languages including, but not limited to, C, C\+\+, C\#, Java, JavaScript, or Python OR equivalent experience.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26">
      <c r="A126" t="inlineStr">
        <is>
          <t>li-4378886357</t>
        </is>
      </c>
      <c r="B126" t="inlineStr">
        <is>
          <t>Manufacturing Controls Software Engineer</t>
        </is>
      </c>
      <c r="C126" t="inlineStr">
        <is>
          <t>Pave Talent</t>
        </is>
      </c>
      <c r="D126" t="inlineStr">
        <is>
          <t>linkedin</t>
        </is>
      </c>
      <c r="E126">
        <f>HYPERLINK("https://www.linkedin.com/jobs/view/4378886357", "https://www.linkedin.com/jobs/view/4378886357")</f>
        <v/>
      </c>
      <c r="F126" t="inlineStr"/>
      <c r="G126" t="inlineStr">
        <is>
          <t>Henderson, NV</t>
        </is>
      </c>
      <c r="H126" t="inlineStr"/>
      <c r="I126" t="inlineStr">
        <is>
          <t>Pave Talent is hiring on behalf of our client, an established vertically integrated battery manufacturer in Henderson, NV. This 201\-500 employee company operates state\-of\-the\-art facilities producing lithium\-ion and LiFePO4 cells and battery packs. Known for innovation\-driven, safety\-first, and collaborative engineering culture backed by private equity investment.
 As Manufacturing Controls/Software Engineer, you'll design and implement automation systems that directly impact production efficiency and product quality. You'll troubleshoot PLC systems, program Kuka robots, develop HMI interfaces, and build data collection systems that drive measurable manufacturing improvements. Your work ensures reliable power solutions reach customers in medical, military, robotics, and industrial markets where failure is not an option.
**Your Impact:** 
* Design and implement PLC control systems for automated manufacturing processes focused on efficiency and quality improvements
* Program and troubleshoot Kuka robots on automated assembly lines to minimize downtime and optimize cycle times
* Develop intuitive HMI interfaces and SCADA configurations that empower operators and improve response times
* Lead continuous improvement projects using production data and Pareto analysis to solve recurring manufacturing challenges
* Collaborate with production, quality, and maintenance teams to integrate control systems across manufacturing operations
* Assist in developing internal MES architecture to enhance production visibility and traceability
* Provide hands\-on technical support and training to manufacturing personnel on control systems
* Ensure all automation systems meet safety and regulatory standards for battery manufacturing
**Required Qualifications:** 
* Bachelor's degree in Electrical Engineering, Software Engineering, Computer Engineering, or related technical field
* 3\+ years hands\-on experience in controls engineering within a manufacturing environment
* Strong PLC programming skills in Ladder Logic, Structured Text, or Function Block Diagram
* Experience developing HMI interfaces and working with SCADA systems
* Knowledge of industrial communication protocols (EtherNet/IP, Modbus, Profinet, or similar)
* Proven troubleshooting abilities in fast\-paced production environments
* Authorization to work in the US without sponsorship
**Preferred Qualifications:** 
* Kuka robot programming experience (KRL language)
* Familiarity with Allen\-Bradley or Siemens PLC platforms
* Experience in regulated manufacturing (automotive, medical device, aerospace, or similar)
* Background in MES development or integration projects
**What You'll Receive:** 
 Market competitive compensation with performance bonus structure. Comprehensive benefits from Day 1\. Join a growing company with private equity backing and clear expansion trajectory.
 Work on cutting\-edge battery technology supporting critical applications in medical devices, defense systems, and renewable energy. Henderson, NV location offers lower cost of living with access to outdoor recreation and proximity to Las Vegas amenities.
 This engineering team values innovation and welcomes fresh perspectives on automation challenges. You'll have autonomy to implement solutions while collaborating with experienced manufacturing professionals.</t>
        </is>
      </c>
    </row>
    <row r="127">
      <c r="A127" t="inlineStr">
        <is>
          <t>li-4380326636</t>
        </is>
      </c>
      <c r="B127" t="inlineStr">
        <is>
          <t>Senior Software Engineer - OneDrive &amp; SharePoint</t>
        </is>
      </c>
      <c r="C127" t="inlineStr">
        <is>
          <t>Microsoft</t>
        </is>
      </c>
      <c r="D127" t="inlineStr">
        <is>
          <t>linkedin</t>
        </is>
      </c>
      <c r="E127">
        <f>HYPERLINK("https://www.linkedin.com/jobs/view/4380326636", "https://www.linkedin.com/jobs/view/4380326636")</f>
        <v/>
      </c>
      <c r="F127" t="inlineStr"/>
      <c r="G127" t="inlineStr">
        <is>
          <t>Redmond, WA</t>
        </is>
      </c>
      <c r="H127" t="inlineStr"/>
      <c r="I127" t="inlineStr">
        <is>
          <t>**Overview**
 OneDrive and SharePoint are rapidly growing services at the center of Microsoft's cloud, reaching almost every part of the company, like Windows and Office. You would be a part of a team that can fundamentally change the way that millions of people use their devices and interact with the most important content in their lives.
 You'll design and deliver systems that enable partners and ISVs to migrate from other cloud providers, improve core systems performance and efficiencies, and ensure zero customer impact throughout the change management cycle. You will deliver systems to meet our business continuity planning goals, provide telemetry for optimizing the service and drive our response time for detecting and resolving service issues down.
 We are looking for a smart, agile, and intellectually curious
 **Senior Software Engineer** 
 who love creating and building things that delight and protect our customers. You will be working with a team of amazing engineers, PMs, and designers, and work closely with other teams across Microsoft to deliver large scale, distributed architectures, and features to meet OneDrive and SharePoint's core infrastructure needs.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Collaborates with appropriate stakeholders to determine user requirements for a scenario.
* Drives identification of dependencies and the development of design documents for a product, application, service, or platform.
* Creates, implements, optimizes, debugs, refactors, and reuses code to establish and improve performance and maintainability, effectiveness, and return on investment (ROI).
* Leverages subject\-matter expertise of product features and partners with appropriate stakeholders (e.g., project managers) to drive a workgroup's project plans, release plans, and work items.
* Acts as a Designated Responsible Individual (DRI) and guides other engineers by developing and following the playbook, working on call to monitor system/product/service for degradation, downtime, or interruptions, alerting stakeholders about status and initiates actions to restore system/product/service for simple and complex problems when appropriate.
* Proactively seeks new knowledge and adapts to new trends, technical solutions, and patterns that will improve the availability, reliability, efficiency, observability, and performance of products while also driving consistency in monitoring and operations at scale.
 Embody our culture and values.
**Qualifications**
**Required Qualifications:**
* Bachelor's Degree in Computer Science or related technical field AND 4\+ years technical engineering experience with coding in languages including, but not limited to, C, C\+\+, C\#, Java, JavaScript, or Python
+ OR equivalent experience.
* 5\+ years experience with large scale distributed systems and AI.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or related technical field AND 6\+ years technical engineering experience with coding in languages including, but not limited to, C, C\+\+, C\#, Java, JavaScript, or Python
+ OR Bachelor's Degree in Computer Science or related technical field AND 8\+ years technical engineering experience with coding in languages including, but not limited to, C, C\+\+, C\#, Java, JavaScript, or Python
+ OR equivalent experience.
* Familiar with secure software design concepts.
* Proven track record of delivering projects that include multiple components.
* Ability and eagerness to work across and partner with multiple engineering teams to achieve business goals.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28">
      <c r="A128" t="inlineStr">
        <is>
          <t>li-4340613388</t>
        </is>
      </c>
      <c r="B128" t="inlineStr">
        <is>
          <t>Software Engineer Graduate (Monetization Data) - 2026 Start (BS/MS)</t>
        </is>
      </c>
      <c r="C128" t="inlineStr">
        <is>
          <t>TikTok</t>
        </is>
      </c>
      <c r="D128" t="inlineStr">
        <is>
          <t>linkedin</t>
        </is>
      </c>
      <c r="E128">
        <f>HYPERLINK("https://www.linkedin.com/jobs/view/4340613388", "https://www.linkedin.com/jobs/view/4340613388")</f>
        <v/>
      </c>
      <c r="F128">
        <f>HYPERLINK("https://lifeattiktok.com/search/7532013244916435207?spread=5MWH5CQ&amp;urlHash=bkFb", "https://lifeattiktok.com/search/7532013244916435207?spread=5MWH5CQ&amp;urlHash=bkFb")</f>
        <v/>
      </c>
      <c r="G128" t="inlineStr">
        <is>
          <t>San Jose, CA</t>
        </is>
      </c>
      <c r="H128" t="inlineStr"/>
      <c r="I128" t="inlineStr">
        <is>
          <t>**Responsibilities**
 职位描述
 TikTok's immersive experience, global presence, and high engagement makes it the ideal marketing destination for business, big and small, to showcase their unique brand identity, connect with their consumers, and build strong lasting relationships over time. The Ads Data Team builds and manages the petabyte scale data infrastructure, batch/realtime pipelines and services to support Tiktok's global Ads business. We are committed to building a robust data foundation and scalable data applications, unblocking the full potential of advertising data to optimize advertiser experience, boost business growth, empower strategy execution.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We will prioritize candidates who are able to commit to these start dates. Please state your availability and graduation date clearly in your resume.
 Applications will be reviewed on a rolling basis. We encourage you to apply early.
 Candidates can apply for a maximum of TWO positions and will be considered for jobs in the order you applied for. The application limit is applicable to TikTok and its affiliates' jobs globally.
**Key Responsibilities**
* Work closely with Product Managers, Data Scientists/Analysts, and Software/Machine Learning Engineers and other stakeholders to understand data requirements and deliver data solutions that meet business needs.
* Evaluate, implement and maintain data infrastructure tools and technologies to support efficient data processing, storage and query.
* Design, build and optimize scalable data pipelines to ingest, process and transform large volumes of data.
* Design and implement robust data models and visualization to support complex analytical queries and reporting requirements.
* Ensure the data integrity, accuracy and consistency of data by implementing data quality checks, validation processes and monitoring mechanisms.
* Continously optimize data pipelines, queries and processes to improve performance, reduce latency and enhance scalability.
* Provide rapid response to SLA oncall support to business critical data pipelines.
* Create and maintain good documentation for data assets and promote best practices for data governance within the data user community.
**Qualifications**
 Minimum Qualifications:
* Bachelor's degree in Computer Science, Engineering, or a related field.
* Strong knowledge of SQL and experience working with relational and non\-relational databases.
* Proficiency in programming languages such as Python, Java, Go etc.
* Solid understanding of data modeling and data warehousing concepts, data integration and ETL/ELT techniques.
* Effective communication skills and ability to collaborate effectively with cross\-functional teams.
* Excellent problem\-solving skills, attention to detail, and ability to thrive in a fast\-paced environment.
 Preferred Qualifications
* Experience with big data technologies(e.g. Apache Hadoop, Spark, Kafka, Flink) and working with terabyte to petabyte scale data.
* Experience with cloud data warehouses(eg. Snowflake, Databricks, BigQuery) and modern business intelligence/data stack.
* Experience with data governance, data privacy and compliance.
* Experience in the advertising, e\-commerce or gaming industry.
 Job Information
**【For Pay Transparency】Compensation Description (Annually)**
 The base salary range for this position in the selected city is $122574 \- $187200 annually.
 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
 Benefits may vary depending on the nature of employment and the country work location. Employees have day one access to medical, dental, and vision insurance, a 401(k) savings plan with company match, paid parental leave, short\-term and long\-term disability coverage, life insurance, wellbeing benefits, among others. Employees also receive 10 paid holidays per year, 10 paid sick days per year and 17 days of Paid Personal Time (prorated upon hire with increasing accruals by tenure).
 The Company reserves the right to modify or change these benefits programs at any time, with or without notice.
**For Los Angeles County (unincorporated) Candidates**
 Qualified applicants with arrest or conviction records will be considered for employment in accordance with all federal, state, and local laws including the Los Angeles County Fair Chance Ordinance for Employers and the California Fair Chance Act. Our company believes that criminal history may have a direct, adverse and negative relationship on the following job duties, potentially resulting in the withdrawal of the conditional offer of employment:
* Interacting and occasionally having unsupervised contact with internal/external clients and/or colleagues;
* Appropriately handling and managing confidential information including proprietary and trade secret information and access to information technology systems; and
* Exercising sound judgment.
**About TikTok**
 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
 Why Join Us
 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
 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
 Diversity \&amp; Inclusion
 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
 TikTok Accommodation
 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t>
        </is>
      </c>
    </row>
    <row r="129">
      <c r="A129" t="inlineStr">
        <is>
          <t>li-4379280818</t>
        </is>
      </c>
      <c r="B129" t="inlineStr">
        <is>
          <t>Principal Software Engineer, CoreAI</t>
        </is>
      </c>
      <c r="C129" t="inlineStr">
        <is>
          <t>Microsoft</t>
        </is>
      </c>
      <c r="D129" t="inlineStr">
        <is>
          <t>linkedin</t>
        </is>
      </c>
      <c r="E129">
        <f>HYPERLINK("https://www.linkedin.com/jobs/view/4379280818", "https://www.linkedin.com/jobs/view/4379280818")</f>
        <v/>
      </c>
      <c r="F129">
        <f>HYPERLINK("https://apply.careers.microsoft.com/careers/job/1970393556768606?utm_source=linkedin&amp;domain=microsoft.com&amp;src=LinkedIn&amp;urlHash=V9ka", "https://apply.careers.microsoft.com/careers/job/1970393556768606?utm_source=linkedin&amp;domain=microsoft.com&amp;src=LinkedIn&amp;urlHash=V9ka")</f>
        <v/>
      </c>
      <c r="G129" t="inlineStr">
        <is>
          <t>Redmond, WA</t>
        </is>
      </c>
      <c r="H129" t="inlineStr"/>
      <c r="I129" t="inlineStr">
        <is>
          <t>**Overview**
 The GenAI Infrastructure and Solutions team is building large\-scale GenAI training infrastructure, LLM\-based solutions and tools. We provide the infrastructure for teams in CoreAI and other Microsoft Groups to fine\-tune LLMs and serve agentic workload for their own scenarios.
 As a Principal Software Engineer, you will work on the infrastructure and tools to support large scale model fine\-tuning, evaluation, and inference.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As a team member of our team, you will participate in developing innovative solutions across AI Platform. Responsibilities include the following.
* Lead the collaboration with engineers and researchers to build and optimize training infrastructure and tools for LLMs, SLMs, multimodal, and code\-specific models.
* Design, build and improve services with high scalability and reliability.
* Design and implement the services to serve the prod traffic and fulfill the security and privacy requirements.
* Lead the efforts to deliver and improve engineering systems and practices to ensure service quality in complex cloud environments.
* Contribute to the deployment and monitoring of services in production environments.
**Qualifications**
 Required Qualifications:
* Bachelor's Degree in Computer Science or related technical field and 8\+ years technical engineering experience with coding in languages including, but not limited to, C, C\+\+, C\#, Java, JavaScript, Python or equivalent experience.
**Preferred/Additional Qualifications**
* 6\+ years designing, developing, and shipping high quality software.
* 3\+ years of experience with distributed systems and cloud\-based infrastructure.
* 2\+ years of experience with containerization tools (e.g., Docker, Kubernetes).
* 2\+ years of experience with DevOps practices (CI/CD, automated testing, deployment, etc.).
* Passionate and self\-motivated. Strong ability in self\-learning, entering new domain, managing through uncertainty in an innovative team environment.
* Familiarity with virtualization technology.
* Familiarity with production ML systems and concepts like model serving, caching, batching, and monitoring.
 Software Engineering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30">
      <c r="A130" t="inlineStr">
        <is>
          <t>li-4370803871</t>
        </is>
      </c>
      <c r="B130" t="inlineStr">
        <is>
          <t>Staff Software Engineer, Ads ML Inference Infrastructure</t>
        </is>
      </c>
      <c r="C130" t="inlineStr">
        <is>
          <t>Pinterest</t>
        </is>
      </c>
      <c r="D130" t="inlineStr">
        <is>
          <t>linkedin</t>
        </is>
      </c>
      <c r="E130">
        <f>HYPERLINK("https://www.linkedin.com/jobs/view/4370803871", "https://www.linkedin.com/jobs/view/4370803871")</f>
        <v/>
      </c>
      <c r="F130" t="inlineStr"/>
      <c r="G130" t="inlineStr">
        <is>
          <t>Palo Alto, CA</t>
        </is>
      </c>
      <c r="H130" t="inlineStr"/>
      <c r="I130" t="inlineStr">
        <is>
          <t>**About Pinterest**
 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
 Discover a career where you ignite innovation for millions, transform passion into growth opportunities, celebrate each other’s unique experiences and embrace the flexibility to do your best work. Creating a career you love? It’s Possible.
**Staff Software Engineer, Ads ML Inference Infrastructure**
 The Ads ML Inference Infra team owns the online inference and feature serving systems that power real\-time model scoring and delivery for all Ads models at Pinterest. The team is looking for a staff engineer with strong hands\-on experience in large\-scale ML inference systems, as well as capabilities in solving ambiguous technical problems and driving strategic, cross\-functional efforts.
**What You’ll Do**
* Lead and drive efforts to build next\-generation model inference and feature serving systems that power up to 100x larger models and directly uplevel Pinterest’s monetization business.
* Design and optimize low\-latency, high\-throughput inference pipelines to meet strict SLOs while improving performance, efficiency, and cost.
* Partner with Ads ML and product teams to productionize new model architectures (including LLMs and multi\-stage ranking models) and scale them reliably to global traffic.
* Evolve the online feature platform (feature computation, caching, and retrieval) to improve coverage, freshness, and consistency for Ads models.
* Evaluate and integrate new technologies (e.g., GPU acceleration, model compression, Triton, vLLM, Dynamo) to advance our inference stack.
* Build strong partnerships with other infra and ML teams to improve end\-to\-end reliability, observability, and developer velocity for Ads ML.
* Mentor and coach other engineers, guiding them through technical decisions, system design, and career development.
**What We’re Looking For**
* BS (or higher) degree in Computer Science or a related field.
* \~8\+ years of relevant industry experience designing and operating large\-scale, production ML or distributed infra systems.
* Deep knowledge of at least one programming language (Java, C\+\+, Python).
* Deep experience with distributed systems or recommendation / ads serving infrastructure (e.g., request routing, online storage, caching, feature serving, APIs).
* Hands\-on experience with at least one deep learning framework (PyTorch or TensorFlow) and bringing models from offline experimentation to production.
* \[Preferred] Experience with model / hardware accelerator libraries (e.g., CUDA, quantization, distillation, low\-precision inference).
* \[Preferred] Experience with inference optimization and serving frameworks such as Triton, vLLM, or Dynamo.
* Proven track record of leading complex projects, setting technical direction, and collaborating across functions and orgs; experience mentoring and coaching other engineers.
**In\-Office Requirement Statement**
* We let the type of work you do guide the collaboration style. That means we're not always working in an office, but we continue to gather for key moments of collaboration and connection.
* This role will need to be in the office for in\-person collaboration 1\-2 times per week and therefore needs to be in a commutable distance from one of the following offices Palo Alto, CA; San Francisco, CA; Seattle, WA.
**Relocation Statement:**
* This position is not eligible for relocation assistance. Visit our PinFlex page to learn more about our working model.
 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expertise.
*Information regarding the culture at Pinterest and benefits available for this position can be found here.*
 US based applicants only
 $208,454—$364,795 USD
**Our Commitment To Inclusion**
 Pinterest is an equal opportunity employer and makes employment decisions on the basis of merit. We want to have the best qualified people in every job. All qualified applicants will receive consideration for employment without regard to race, color, ancestry, national origin, religion or religious creed, sex (including pregnancy, childbirth, or related medical conditions), sexual orientation, gender, gender identity, gender expression, age, marital status, status as a protected veteran, physical or mental disability, medical condition, genetic information or characteristics (or those of a family member) or any other consideration made unlawful by applicable federal, state or local laws. We also consider qualified applicants regardless of criminal histories, consistent with legal requirements. If you require a medical or religious accommodation during the job application process, please complete this form for support.</t>
        </is>
      </c>
    </row>
    <row r="131">
      <c r="A131" t="inlineStr">
        <is>
          <t>li-4380332052</t>
        </is>
      </c>
      <c r="B131" t="inlineStr">
        <is>
          <t>Senior Software Engineer - Embedded Network</t>
        </is>
      </c>
      <c r="C131" t="inlineStr">
        <is>
          <t>Viasat</t>
        </is>
      </c>
      <c r="D131" t="inlineStr">
        <is>
          <t>linkedin</t>
        </is>
      </c>
      <c r="E131">
        <f>HYPERLINK("https://www.linkedin.com/jobs/view/4380332052", "https://www.linkedin.com/jobs/view/4380332052")</f>
        <v/>
      </c>
      <c r="F131">
        <f>HYPERLINK("https://careers.viasat.com/jobs/5550?lang=en-us&amp;iis=Job+Board&amp;iisn=LinkedIn&amp;source=LinkedIn&amp;urlHash=b6N_", "https://careers.viasat.com/jobs/5550?lang=en-us&amp;iis=Job+Board&amp;iisn=LinkedIn&amp;source=LinkedIn&amp;urlHash=b6N_")</f>
        <v/>
      </c>
      <c r="G131" t="inlineStr">
        <is>
          <t>Carlsbad, CA</t>
        </is>
      </c>
      <c r="H131" t="inlineStr"/>
      <c r="I131" t="inlineStr">
        <is>
          <t>**About Us**
 One team. Global challenges. Infinite opportunities. At Viasat, we’re on a mission to deliver connections with the capacity to change the world. For more than 35 years, Viasat has helped shape how consumers, businesses, governments and militaries around the globe communicate. We’re looking for people who think big, act fearlessly, and create an inclusive environment that drives positive impact to join our team.
**What You'll Do**
 The Viasat Government \- Secure Network Systems (SNS) team is an interconnected series of small teams that allows for immediate visibility within the group, but maintains the resources support of a large company to solve technology needs. We also support security and cybersecurity needs across the company, in which physical products, tools, and initiatives can have impacts across world\-wide usage.
 You will join a software development team that designs, re\-factors, and maintains code for existing and upcoming features across one or more product lines while meeting a stringent set of standards for security design and testing. As updated standards are released they are deployed across a variety of products and must take into account a variety of competing constraints.
 Members will be expected to work as part of a team that works with and helps clarify requirements while continuously supporting development, integration, automation, and test of the final product through certification.
**The day\-to\-day**
* Cybersecurity software \&amp; systems engineering
* Be a part of an agile multidisciplinary development team
* Embedded systems software engineering
* Design, develop and integrate high speed scalable network software (protocols, device drivers, data plane)
**What You'll Need**
* 10\+ years' experience using C/C\+\+ in embedded environments
* 10\+ years' experience with network software design and development
* 7\+ years' experience with Linux OS use, ideally for an embedded environment
* Proven experience with Linux network stack and writing Linux kernel modules
* Demonstrated experience with networking protocols (e.g.TCP/IP, IPSec, MACsec, TLS, etc.)
* Object\-oriented software development experience
* Agile Scrum development experience
* Ability to plan, track and report on progress
* CI/CD software
* Bachelor's Degree or higher in Computer Science, Computer Engineering or equivalent experience
* US Government position. US Citizenship required
* Active DoD Secret Clearance
* Ability to travel up to 10%
**What Will Help You On The Job**
* Experience with DPDK, network applications/services and acceleration
* Experience with Xilinx environment (Vivado, Petalinux)
* Familiarity with to bare metal embedded device drivers
* Experience with microprocessors and embedded processors (NIOS, ARM, RISC\-V, etc.)
* Experience with multiple threads and real\-time developmen
* Experience with RESTConf interface design and implementation
* Experience with Emulation Environments
* Experience with Python
* Familiarity with to standalone embedded applications
* Experience participating in multi\-disciplinary teams
**Salary range**
 $161,000\.00 \- $255,000\.00 / annually. For specific work locations within San Jose, the San Francisco Bay area and New York City metropolitan area, the base pay range for this role is $200,500\.00\- $300,500\.00/ annually
 At Viasat, we consider many factors when it comes to compensation, including the scope of the position as well as your background and experience. Base pay may vary depending on job\-related knowledge, skills, and experience. Additional cash or stock incentives may be provided as part of the compensation package, in addition to a range of medical, financial, and/or other benefits, dependent on the position offered. Learn more about Viasat’s comprehensive benefit offerings that are focused on your holistic health and wellness at https://careers.viasat.com/benefits.
**EEO Statement**
 Viasat is proud to be an equal opportunity employer, seeking to create a welcoming and diverse environment. All qualified applicants will receive consideration for employment without regard to race, color, religion, gender, gender identity or expression, sexual orientation, national origin, ancestry, physical or mental disability, medical condition, marital status, genetics, age, or veteran status or any other applicable legally protected status or characteristic. If you would like to request an accommodation on the basis of disability for completing this on\-line application, please click here.</t>
        </is>
      </c>
    </row>
    <row r="132">
      <c r="A132" t="inlineStr">
        <is>
          <t>li-4380325214</t>
        </is>
      </c>
      <c r="B132" t="inlineStr">
        <is>
          <t>Senior Software Engineer - Embedded Network</t>
        </is>
      </c>
      <c r="C132" t="inlineStr">
        <is>
          <t>Viasat</t>
        </is>
      </c>
      <c r="D132" t="inlineStr">
        <is>
          <t>linkedin</t>
        </is>
      </c>
      <c r="E132">
        <f>HYPERLINK("https://www.linkedin.com/jobs/view/4380325214", "https://www.linkedin.com/jobs/view/4380325214")</f>
        <v/>
      </c>
      <c r="F132">
        <f>HYPERLINK("https://careers.viasat.com/jobs/5550?lang=en-us&amp;iis=Job+Board&amp;iisn=LinkedIn&amp;source=LinkedIn&amp;urlHash=b6N_", "https://careers.viasat.com/jobs/5550?lang=en-us&amp;iis=Job+Board&amp;iisn=LinkedIn&amp;source=LinkedIn&amp;urlHash=b6N_")</f>
        <v/>
      </c>
      <c r="G132" t="inlineStr">
        <is>
          <t>Carlsbad, CA</t>
        </is>
      </c>
      <c r="H132" t="inlineStr"/>
      <c r="I132" t="inlineStr">
        <is>
          <t>**About Us**
 One team. Global challenges. Infinite opportunities. At Viasat, we’re on a mission to deliver connections with the capacity to change the world. For more than 35 years, Viasat has helped shape how consumers, businesses, governments and militaries around the globe communicate. We’re looking for people who think big, act fearlessly, and create an inclusive environment that drives positive impact to join our team.
**What You'll Do**
 The Viasat Government \- Secure Network Systems (SNS) team is an interconnected series of small teams that allows for immediate visibility within the group, but maintains the resources support of a large company to solve technology needs. We also support security and cybersecurity needs across the company, in which physical products, tools, and initiatives can have impacts across world\-wide usage.
 You will join a software development team that designs, re\-factors, and maintains code for existing and upcoming features across one or more product lines while meeting a stringent set of standards for security design and testing. As updated standards are released they are deployed across a variety of products and must take into account a variety of competing constraints.
 Members will be expected to work as part of a team that works with and helps clarify requirements while continuously supporting development, integration, automation, and test of the final product through certification.
**The day\-to\-day**
* Cybersecurity software \&amp; systems engineering
* Be a part of an agile multidisciplinary development team
* Embedded systems software engineering
* Design, develop and integrate high speed scalable network software (protocols, device drivers, data plane)
**What You'll Need**
* 10\+ years' experience using C/C\+\+ in embedded environments
* 10\+ years' experience with network software design and development
* 7\+ years' experience with Linux OS use, ideally for an embedded environment
* Proven experience with Linux network stack and writing Linux kernel modules
* Demonstrated experience with networking protocols (e.g.TCP/IP, IPSec, MACsec, TLS, etc.)
* Object\-oriented software development experience
* Agile Scrum development experience
* Ability to plan, track and report on progress
* CI/CD software
* Bachelor's Degree or higher in Computer Science, Computer Engineering or equivalent experience
* US Government position. US Citizenship required
* Active DoD Secret Clearance
* Ability to travel up to 10%
**What Will Help You On The Job**
* Experience with DPDK, network applications/services and acceleration
* Experience with Xilinx environment (Vivado, Petalinux)
* Familiarity with to bare metal embedded device drivers
* Experience with microprocessors and embedded processors (NIOS, ARM, RISC\-V, etc.)
* Experience with multiple threads and real\-time developmen
* Experience with RESTConf interface design and implementation
* Experience with Emulation Environments
* Experience with Python
* Familiarity with to standalone embedded applications
* Experience participating in multi\-disciplinary teams
**Salary range**
 $161,000\.00 \- $255,000\.00 / annually. For specific work locations within San Jose, the San Francisco Bay area and New York City metropolitan area, the base pay range for this role is $200,500\.00\- $300,500\.00/ annually
 At Viasat, we consider many factors when it comes to compensation, including the scope of the position as well as your background and experience. Base pay may vary depending on job\-related knowledge, skills, and experience. Additional cash or stock incentives may be provided as part of the compensation package, in addition to a range of medical, financial, and/or other benefits, dependent on the position offered. Learn more about Viasat’s comprehensive benefit offerings that are focused on your holistic health and wellness at https://careers.viasat.com/benefits.
**EEO Statement**
 Viasat is proud to be an equal opportunity employer, seeking to create a welcoming and diverse environment. All qualified applicants will receive consideration for employment without regard to race, color, religion, gender, gender identity or expression, sexual orientation, national origin, ancestry, physical or mental disability, medical condition, marital status, genetics, age, or veteran status or any other applicable legally protected status or characteristic. If you would like to request an accommodation on the basis of disability for completing this on\-line application, please click here.</t>
        </is>
      </c>
    </row>
    <row r="133">
      <c r="A133" t="inlineStr">
        <is>
          <t>li-4379140047</t>
        </is>
      </c>
      <c r="B133" t="inlineStr">
        <is>
          <t>Backend Engineer</t>
        </is>
      </c>
      <c r="C133" t="inlineStr">
        <is>
          <t>Jobs via Dice</t>
        </is>
      </c>
      <c r="D133" t="inlineStr">
        <is>
          <t>linkedin</t>
        </is>
      </c>
      <c r="E133">
        <f>HYPERLINK("https://www.linkedin.com/jobs/view/4379140047", "https://www.linkedin.com/jobs/view/4379140047")</f>
        <v/>
      </c>
      <c r="F133">
        <f>HYPERLINK("https://click.appcast.io/t/mh4HNO-CUghZMVla7Trc46I7q2O7XHTcaYfVYM0SfO8=&amp;urlHash=ir64", "https://click.appcast.io/t/mh4HNO-CUghZMVla7Trc46I7q2O7XHTcaYfVYM0SfO8=&amp;urlHash=ir64")</f>
        <v/>
      </c>
      <c r="G133" t="inlineStr">
        <is>
          <t>New York, NY</t>
        </is>
      </c>
      <c r="H133" t="inlineStr"/>
      <c r="I133" t="inlineStr">
        <is>
          <t>Dice is the leading career destination for tech experts at every stage of their careers. Our client, TalentzPro, is seeking the following. Apply via Dice today!
**Title:** 
 Backend Engineer
**Location:** 
 New York City, NY(Hybrid)
**Duration:** 
 Long Term Contract
**Job Summary**
 A leading company in the crypto space is looking for a Backend Engineer to join the Engineering team. This is an incredibly exciting opportunity where you ll focus on building and improving consumer and business APIs and the many microservices powering web and mobile applications. You will design and build services with three core principles in mind: maintainability, performance, and security.
 If you are excited about high\-availability requirements, scalability challenges, automated workflows, infrastructure orchestration, queueing systems, APIs, and protocols like GraphQL and gRPC, this is the place for you.
**Essential Duties And Responsibilities**
* Building the most powerful, easy\-to\-use financial platform in the world. Delivering new features and enhancements to the platform. Working closely with the Frontend and Mobile Engineeringteams to integrate frontend UI. Collaborating with product managers, designers, engineers, and other project stakeholders throughout the software development life cycle (planning, design, implementation, deployment, and support). Helping the team stay up to date with the tech stack ecosystem. Writing high\-quality code with performance and scalability in mind.
**Required Qualifications And Skills**
* BS or advanced degree in Computer Science or equivalent. Extensive hands\-on coding experience, with deep knowledge of the idioms and nuances of multiple programming languages and their ecosystems. Primary languages include JavaScript (Node.js) and Golang. Strong understanding of relational (preferably PostgreSQL) and/or non\-relational databases (e.g., Redis). Strong understanding of web semantics. Knowledge of revision control systems. Basic knowledge of standard development pipelines, including build and automation tools. Excellent communication skills and the ability to work effectively in cross\-functional teams, with a positive attitude. Fluent written and spoken English skills.
**Bonus if you have:**
* Experience developing APIs for other products. Experience developing software that interacts with message queues (e.g., Kafka, NSQ, Pulsar, or RabbitMQ).
**Experience Integrating APIs From Other Service Providers.**
 Proven record of working within performance budgets.
 Fluency in cryptocurrencies or other digital assets, as they are core to the business.
 Community talks, certifications, and/or blog posts on your interests and research.
 Open\-source project contributions of any kind, such as tools developed to solve specific problems or fixing issues in existing projects.</t>
        </is>
      </c>
    </row>
    <row r="134">
      <c r="A134" t="inlineStr">
        <is>
          <t>li-4363310621</t>
        </is>
      </c>
      <c r="B134" t="inlineStr">
        <is>
          <t>Staff Software Engineer, AI/ML GenAI, Google Cloud AI</t>
        </is>
      </c>
      <c r="C134" t="inlineStr">
        <is>
          <t>Google</t>
        </is>
      </c>
      <c r="D134" t="inlineStr">
        <is>
          <t>linkedin</t>
        </is>
      </c>
      <c r="E134">
        <f>HYPERLINK("https://www.linkedin.com/jobs/view/4363310621", "https://www.linkedin.com/jobs/view/4363310621")</f>
        <v/>
      </c>
      <c r="F134" t="inlineStr"/>
      <c r="G134" t="inlineStr">
        <is>
          <t>Sunnyvale, CA</t>
        </is>
      </c>
      <c r="H134" t="inlineStr"/>
      <c r="I134" t="inlineStr">
        <is>
          <t>**Minimum qualifications:**
* Bachelor’s degree or equivalent practical experience.
* 8 years of experience in software development.
* 5 years of experience leading ML design and optimizing ML infrastructure (e.g., model deployment, model evaluation, data processing, debugging, fine tuning).
* 5 years of experience testing, and launching software products.
* 3 years of experience with software design and architecture.
* 2 years of experience with state of the art GenAI techniques (e.g., LLMs, Multi\-Modal, Large Vision Models) or with GenAI\-related concepts (language modeling, computer vision).
**Preferred qualifications:**
* Master’s degree or PhD in Engineering, Computer Science, or a related technical field.
* 8 years of experience with data structures/algorithms.
* 3 years of experience in a technical leadership role leading project teams and setting technical direction.
* 3 years of experience working in a complex, matrixed organization involving cross\-functional, or cross\-business projects.
**About The Job**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Google Cloud AI Research team addresses AI challenges motivated by Google Cloud’s mission of bringing AI to tech, healthcare, finance, retail and many other industries. We work on a range of unique problems focused on research topics that maximize scientific and real\-world impact, aiming to push the state\-of\-the\-art in AI and share findings with the broader research community. We also collaborate with product teams to bring innovations to real\-world impact that benefits our customers.
 The US base salary range for this full\-time position is $197,000\-$291,000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Design, develop, test, deploy, maintain, and enhance large scale software solutions.
* Provide technical leadership on high\-impact projects. Manage project priorities, deadlines, and deliverables.
* Facilitate alignment and clarity across teams on goals, outcomes, and timelines. Influence and coach a distributed team of engineers.
* Lead the design of GenAI solutions, optimize ML infrastructure, and guide the development of data preparation and model optimization strategies.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135">
      <c r="A135" t="inlineStr">
        <is>
          <t>li-4361807630</t>
        </is>
      </c>
      <c r="B135" t="inlineStr">
        <is>
          <t>Senior Front End Software Engineer - Contract</t>
        </is>
      </c>
      <c r="C135" t="inlineStr">
        <is>
          <t>Stronghold Investment Management</t>
        </is>
      </c>
      <c r="D135" t="inlineStr">
        <is>
          <t>linkedin</t>
        </is>
      </c>
      <c r="E135">
        <f>HYPERLINK("https://www.linkedin.com/jobs/view/4361807630", "https://www.linkedin.com/jobs/view/4361807630")</f>
        <v/>
      </c>
      <c r="F135">
        <f>HYPERLINK("https://grnh.se/nj91ibmj7us?source=LinkedIn&amp;urlHash=BdnA", "https://grnh.se/nj91ibmj7us?source=LinkedIn&amp;urlHash=BdnA")</f>
        <v/>
      </c>
      <c r="G135" t="inlineStr">
        <is>
          <t>Dallas, TX</t>
        </is>
      </c>
      <c r="H135" t="inlineStr"/>
      <c r="I135" t="inlineStr">
        <is>
          <t>**About Us**
 Stronghold Investment Management ("Stronghold," "SIM," or "the Firm") is a technology\-driven, vertically integrated investment manager focused on real\-assets and related private markets. Stronghold seeks to deliver best\-in\-class risk\-adjusted returns through an investment framework that features comparatively rapid transaction velocity, deep technical expertise, creative financial structuring, and objective and algorithmic decision making.
 Stronghold was founded by Ryan Turner in 2016 and has deployed over $1\.6 billion in capital across 10\+ investment vehicles.
 Ultimately, Stronghold intends to apply its technology\-intensive investment approach to a variety of specialist real assets verticals, including:
* Oil \&amp; Gas
* Renewables
* Specialty Real Estate (commercial, datacenters, marinas)
* Telecommunications and Technology Infrastructure
* Billboards and Fixtures
* Mining \&amp; other commodities
* Utilities
* Secondaries
 We're building a modern, data\-driven technology platform from the ground up and are looking for a
 **Senior Front End Software Engineer** 
 who wants
 *real ownership* 
 ,
 *real impact* 
 , and
 *the chance to shape a product,* 
 not just tickets. This role is based in
 **Dallas, TX** 
 , working alongside a small, driven team tackling complex problems with clean, scalable solutions.
 You'll be hands\-on building intuitive, high\-performance interfaces using JavaScript, TypeScript, and React, with meaningful influence over frontend architecture and user experience. Experience in Fintech, Financial Services, or Real Assets (Oil \&amp; Gas, Real Estate, etc.) is a plus, but curiosity and execution matter more than domain pedigree.
**Key Responsibilities**
* Build and evolve production\-grade frontend applications using JavaScript, TypeScript, and React.
* Own frontend features end\-to\-end—from early design discussions to production release.
* Partner closely with backend engineers and UX/UI designers to deliver fast, intuitive, and reliable user experiences.
* Turn product ideas and wireframes into elegant, maintainable code that scales.
* Integrate frontend applications with APIs, services, and data pipelines.
* Influence frontend architecture, tooling, and best practices as the platform grows.
* Stay on top of modern frontend trends and introduce improvements that actually move the needle.
* Experience with geospatial data, spatial modeling, or data visualization is a strong plus.
**Qualifications**
* 5\+ years of experience building modern frontend applications.
* Deep hands\-on experience with JavaScript, TypeScript, and React.
* Strong product mindset—you care about why you're building something, not just how.
* Comfortable operating in ambiguity and moving fast without sacrificing quality.
* Sharp problem\-solving skills and a bias toward action.
* High standards for performance, usability, and clean code.
* Collaborative, low\-ego teammate who communicates clearly with both technical and non\-technical partners.
* Strong sense of ownership, accountability, and ethical responsibility.
**Why work with Stronghold?**
 At Stronghold, we strive to create a workplace that is not only rewarding but also satisfying. We believe our employees are the driving force behind our success, and we are committed to providing them with an environment where they can thrive and reach their full potential. When you choose to work with us, you'll be joining a team of highly talented professionals who are passionate about what they do and dedicated to bringing technology expertise to our domain. We value innovation, collaboration, and a commitment to excellence, and we provide our employees with the resources and support they need to succeed. If you're looking for ownership, impact, and the opportunity to grow alongside a high\-performing team, we invite you to apply today!
**Equal Opportunity Employer**
 Stronghold Investment Management is an equal opportunity employer. We believe in creating a diverse and inclusive workforce, where individuals of all backgrounds, experiences, and perspectives can thrive. We are committed to providing equal employment opportunities to all employees and applicants for employment without regard to race, color, religion, sex, national origin, age, disability, sexual orientation, gender identity or expression, marital status, genetic information, or any other characteristic protected by applicable laws. We encourage applicants from underrepresented groups to apply and embrace the unique contributions they can bring to our organization.</t>
        </is>
      </c>
    </row>
    <row r="136">
      <c r="A136" t="inlineStr">
        <is>
          <t>li-4380120028</t>
        </is>
      </c>
      <c r="B136" t="inlineStr">
        <is>
          <t>RF Silicon Software Engineer (Starlink)</t>
        </is>
      </c>
      <c r="C136" t="inlineStr">
        <is>
          <t>SpaceX</t>
        </is>
      </c>
      <c r="D136" t="inlineStr">
        <is>
          <t>linkedin</t>
        </is>
      </c>
      <c r="E136">
        <f>HYPERLINK("https://www.linkedin.com/jobs/view/4380120028", "https://www.linkedin.com/jobs/view/4380120028")</f>
        <v/>
      </c>
      <c r="F136">
        <f>HYPERLINK("https://boards.greenhouse.io/spacex/jobs/8439627002?gh_jid=8439627002&amp;gh_src=3c0864192&amp;urlHash=zesx", "https://boards.greenhouse.io/spacex/jobs/8439627002?gh_jid=8439627002&amp;gh_src=3c0864192&amp;urlHash=zesx")</f>
        <v/>
      </c>
      <c r="G136" t="inlineStr">
        <is>
          <t>Redmond, WA</t>
        </is>
      </c>
      <c r="H136" t="inlineStr"/>
      <c r="I136" t="inlineStr">
        <is>
          <t>SpaceX was founded under the belief that a future where humanity is out exploring the stars is fundamentally more exciting than one where we are not. Today SpaceX is actively developing the technologies to make this possible, with the ultimate goal of enabling human life on Mars.
**RF SILICON SOFTWARE ENGINEER (STARLINK)**
 At SpaceX we’re leveraging our experience in building rockets and spacecraft to deploy Starlink, the world’s most advanced broadband internet system. Starlink is the world’s largest satellite constellation and is providing fast, reliable connectivity to millions of users worldwide. We design, build, test, and operate all parts of the system – thousands of satellites, consumer receivers that allow users to connect within minutes of unboxing, and the software that brings it all together. We’ve only begun to scratch the surface of Starlink’s potential global impact and are looking for best\-in\-class engineers to help maximize Starlink’s utility for communities and businesses around the globe.
 SpaceX is looking for engineers with backgrounds in electrical engineering and software development to bring new silicon to life. The ideal candidate will have real\-world experience in multiple areas that span the hardware/software boundary: RF measurements, automation software, hardware development, and embedded firmware. You will be part of a multidisciplinary team focused on solving challenging problems related to the silicon used in all terrestrial/space\-based elements of a high\-performance wireless digital communication system. You will join a team with “extreme ownership” of the silicon life\-cycle, from system requirements, to chip design, to characterization, to production ramp\-up, to on\-orbit telemetry monitoring.
**Responsibilities**
 As an engineer on the RFIC team, you will solve challenging problems related to all aspects of the RF silicon that we design in\-house. Much of the measurement system software and hardware that you create will be first\-generation, supporting RF/RFIC designs well into the future.
* Design and build unique and technically\-challenging automated measurement systems in ways that off\-the\-shelf equipment may not be capable of capturing. Often this involves creating both new hardware and software designs.
* Bring up new silicon, often being the first engineer to power on chips for the very first time
* Develop tools and reusable libraries for instrument control, data collection and analysis of the radio subsystems
* Deeply understand measurement data to gain insight into both component and system performance
* Create fully\-validated reference designs (both hardware and software drivers) for new silicon, and support integration into downstream areas such as phased\-array panel bring\-up, production, and flight software
**Basic Qualifications**
* Bachelor’s degree in computer science, computer engineering, electrical engineering or physics
* 1\+ years of experience in software development in a high level language like C\#, Python, or C\+\+
**Preferred Skills And Experience**
* MS or PhD in computer science, computer engineering, electrical engineering or physics
* Strong communication skills and ability to work well within a fast\-paced team
* Hands\-on experience with radio\-related test equipment such as spectrum analyzers, vector signal analyzers, vector signal generators, and network analyzers
* Experience with serial digital communication protocols such as SPI, I2C, JTAG, RFFE, software/hardware solutions to exercise these, and hands\-on experience troubleshooting with oscilloscopes and logic analyzers
* Experience with Python, MATLAB or JMP for data analysis
* Experience with microcontrollers, FPGAs, and/or basic digital signal processing concepts
* Strong troubleshooting and debugging skills (both software and hardware)
* Experience designing, fabricating, and assembling quick\-turn PCBs
* Experience with data management, analysis, and presentation techniques
* Knowledge of statistical concepts and techniques
* Experience developing multi\-threaded applications and systems
* Experience with both Windows and Linux system usage/administration
**Additional Requirements**
* Willing to work extended hours and weekends as needed to meet critical milestones
**Pay Range**
**COMPENSATION AND BENEFITS:**
 RF Silicon Software Engineer/Level I: $122,500 \- $145,000/per year
 RF Silicon Software Engineer/Level II: $140,000 \- $170,000/per year
 Your actual level and base salary will be determined on a case\-by\-case basis and may vary based on the following considerations: job\-related knowledge and skills, education, and experience.
 Base salary is just one part of your total rewards package at SpaceX. You may also be eligible for long\-term incentives, in the form of company stock, stock options, or long\-term cash awards, as well as potential discretionary bonuses and the ability to purchase additional stock at a discount through an Employee Stock Purchase Plan. You will also receive access to comprehensive medical, vision, and dental coverage, access to a 401(k) retirement plan, short and long\-term disability insurance, life insurance, paid parental leave, and various other discounts and perks. You may also accrue 3 weeks of paid vacation and will be eligible for 10 or more paid holidays per year. Exempt employees are eligible for 5 days of sick leave per year.
**Itar Requirements**
* To conform to U.S. Government export regulations, applicant must be a (i) U.S. citizen or national, (ii) U.S. lawful, permanent resident (aka green card holder), (iii) Refugee under 8 U.S.C.
* 1157, or (iv) Asylee under 8 U.S.C.
* 1158, or be eligible to obtain the required authorizations from the U.S. Department of State. Learn more about the ITAR here.
 SpaceX is an Equal Opportunity Employer; employment with SpaceX is governed on the basis of merit, competence and qualifications and will not be influenced in any manner by race, color, religion, gender, national origin/ethnicity, veteran status, disability status, age, sexual orientation, gender identity, marital status, mental or physical disability or any other legally protected status.
 Applicants wishing to view a copy of SpaceX’s Affirmative Action Plan for veterans and individuals with disabilities, or applicants requiring reasonable accommodation to the application/interview process should reach out to EEOCompliance@spacex.com
 *.*</t>
        </is>
      </c>
    </row>
    <row r="137">
      <c r="A137" t="inlineStr">
        <is>
          <t>li-4361769469</t>
        </is>
      </c>
      <c r="B137" t="inlineStr">
        <is>
          <t>Senior Software Engineer, Forward Deployed</t>
        </is>
      </c>
      <c r="C137" t="inlineStr">
        <is>
          <t>Invisible Technologies</t>
        </is>
      </c>
      <c r="D137" t="inlineStr">
        <is>
          <t>linkedin</t>
        </is>
      </c>
      <c r="E137">
        <f>HYPERLINK("https://www.linkedin.com/jobs/view/4361769469", "https://www.linkedin.com/jobs/view/4361769469")</f>
        <v/>
      </c>
      <c r="F137">
        <f>HYPERLINK("https://job-boards.eu.greenhouse.io/invisibletech/jobs/4776875101?gh_src=4551efb2teu&amp;urlHash=K3fI", "https://job-boards.eu.greenhouse.io/invisibletech/jobs/4776875101?gh_src=4551efb2teu&amp;urlHash=K3fI")</f>
        <v/>
      </c>
      <c r="G137" t="inlineStr">
        <is>
          <t>New York, United States</t>
        </is>
      </c>
      <c r="H137" t="inlineStr"/>
      <c r="I137" t="inlineStr">
        <is>
          <t>**About Invisible**
 Invisible Technologies makes AI work. Our end\-to\-end AI platform structures messy data, automates digital workflows, deploys agentic solutions, measures outcomes, and integrates human expertise where it matters most.
 Our platform cleans, labels, and structures company data so it is ready for AI. It adapts models to each business and adds human expertise when needed, the same approach we have used to improve models for more than 80% of the world’s top AI companies, including Microsoft, AWS, and Cohere.
 Our successes span industries, from supply chain automation for Swiss Gear to AI\-enabled naval simulations with SAIC, and validating NBA draft picks for the Charlotte Hornets.
 Profitable for more than half a decade, Invisible reached $134M in revenue and ranked as the number two fastest growing AI company on the 2024 Inc. 5000\. In September 2025, we raised $100M in growth capital to accelerate our mission of making AI actually work in the enterprise and to advance our platform technology.
**About The Role**
 As a Senior Software Engineer, Forward Deployed Engineer (FDE) you'll work directly with clients and our internal delivery teams to build and deploy AI\-powered solutions that transform how work gets done. You’ll own projects end\-to\-end: scoping ambiguous problems, prototyping AI workflows, and deploying scalable systems on top of our products — all while interfacing with technical and non\-technical stakeholders.
 This is a hybrid role: equal parts AI engineer, software builder, and technical consultant. It's perfect for someone who wants to be hands\-on with models and close to the impact they generate.
 You will need to be based in the Greater NYC area and be willing to work from the Manhattan office 3\-4 days a week.
**What You’ll Do**
* Collaborate with delivery leaders to scope technical solutions to operational problems
* Identify workflow optimizations through deep engagement with customer problems and work to build into a stable and scalable solution
* Design and implement AI\-powered workflows using LLMs, embedding models, retrieval systems, and automation tools
* Translate messy real\-world constraints (e.g., inconsistent data, latency requirements) into elegant engineering solutions
* Iterate quickly based on real\-time feedback from operators and clients
* Build reusable tooling and infrastructure that accelerates future deployments
**What We Need**
* 7\+ years of software engineering experience, including significant time spent building data, ML, or backend systems
* Python \&amp; ML/LLM Frameworks: Deep proficiency in Python with hands\-on experience using Hugging Face, LangChain, OpenAI, Pinecone, and related ecosystems
* Deployment \&amp; Infrastructure: Skilled in full\-stack and API\-based deployment patterns, including Docker, FastAPI, Kubernetes, and cloud environments (GCP, AWS)
* Platform Orchestration: Experienced with workflow orchestration libraries, pub/sub systems (Kafka), and schema governance
* Data Management: Expertise in data governance and operations, including Unity Catalog and policy management, cluster/job orchestration, data contracts and quality enforcement, Delta/ETL pipelines, and replay processes
* Strong product and distributed systems skills — you understand business needs and how to translate them into technical architecture
* Experience building usable systems from messy data and ambiguous requirements
* Excellent communication and client\-facing skills; you’ve led conversations with technical and non\-technical stakeholders alike
* Proven experience owning projects from scoping through deployment in ambiguous, high\-stakes environments
* Be willing to be on\-call for our customers when situations arise
* Strong engineering background demonstrated by a Bachelor’s degree in Data Science, Computer Science and related fields OR equivalent professional experience
**What’s In It For You**
 Invisible is committed to fair and competitive pay, ensuring that compensation reflects both market conditions and the value each team member brings. Our salary structure accounts for regional differences in cost of living while maintaining internal equity.
 For this position, the annual salary ranges by location are:
 Salary Range
 $180,000 \- $264,000 USD
 You can find more information about our geographic pay tiers here. During the interview process, your Invisible Talent Acquisition Partner will confirm which tier applies to your location. For candidates outside the U.S., compensation is adjusted to reflect local market conditions and cost of living.
 Bonuses and equity are included in offers above entry level. Final compensation is determined by a combination of factors, including location, job\-related experience, skills, knowledge, internal pay equity, and overall market conditions. Because of this, every offer is unique. Additional details on total compensation and benefits will be discussed during the hiring process
**What It's Like To Work At Invisible**
 At Invisible, we’re not just redefining work—we’re reinventing it. We operate at the intersection of advanced AI and human ingenuity, pushing the boundaries of what’s possible to unlock productivity and scale. Ownership is at the core of everything we do. Here, you won’t just execute tasks—you’ll build, innovate, and shape the future alongside world\-class clients pushing the boundaries of AI.
 We expect bold ideas, relentless drive, and the ability to turn ambiguity into opportunity. The pace is fast, the challenges are big, and the growth is unmatched. We’re not for everyone, and we’re okay with that. If you’re looking for predictable routines, this isn’t the place for you. But if you’re driven to create, thrive in dynamic environments, and want a front\-row seat to the AI revolution, you’ll fit right in.
**Country Hiring Guidelines**
*Invisible is a hybrid organization with offices and team members located around the world. While some roles may offer remote flexibility, most positions involve in\-office collaboration and are tied to specific locations. Any location\-based requirements or hybrid expectations will be communicated by our Talent Acquisition team during the recruiting process.
**AI Interviewing Guidelines**
*Our hiring team thoughtfully uses AI to support an efficient, engaging, and inclusive interview process. Since AI can also be a helpful tool for candidates, we've outlined expectations for using it ethically throughout your interview journey.* 
*Click here to learn more about how we use AI and our guidelines for candidates.**
**Accessibility Statement**
*We’re committed to providing reasonable accommodations for individuals with disabilities. If you need assistance or accommodation due to a disability, please contact our Talent Acquisition team during the recruitment process at* 
*accommodation@invisible.email* 
*.*
**Equal Opportunity Statement**
*We’re an equal opportunity employer. All qualified applicants will receive consideration for employment without regard to race, color, religion, sex, national origin, disability, or veteran status, or any other basis protected by law.*
*Due to a high volume of candidates, Invisible may use automated decision\-maker technologies to filter candidates based on response to our application questions and other provided information. Our use of automated decision\-making enables us to be efficient by providing a manageable list of possible candidates that meet our mandatory hiring criteria. If you object to our use of automated decision\-making please contact 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2026-03-03T16:58:17Z</dcterms:created>
  <dcterms:modified xsi:type="dcterms:W3CDTF">2026-03-03T16:58:17Z</dcterms:modified>
</cp:coreProperties>
</file>