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sheetData>
    <row r="1">
      <c r="A1" t="inlineStr">
        <is>
          <t>job id</t>
        </is>
      </c>
      <c r="B1" t="inlineStr">
        <is>
          <t>title</t>
        </is>
      </c>
      <c r="C1" t="inlineStr">
        <is>
          <t>company</t>
        </is>
      </c>
      <c r="D1" t="inlineStr">
        <is>
          <t>site</t>
        </is>
      </c>
      <c r="E1" t="inlineStr">
        <is>
          <t>job_url</t>
        </is>
      </c>
      <c r="F1" t="inlineStr">
        <is>
          <t>job_url_direct</t>
        </is>
      </c>
      <c r="G1" t="inlineStr">
        <is>
          <t>location</t>
        </is>
      </c>
      <c r="H1" t="inlineStr">
        <is>
          <t>date posted</t>
        </is>
      </c>
      <c r="I1" t="inlineStr">
        <is>
          <t>description</t>
        </is>
      </c>
    </row>
    <row r="2">
      <c r="A2" t="inlineStr">
        <is>
          <t>in-72392eb86356ff02</t>
        </is>
      </c>
      <c r="B2" t="inlineStr">
        <is>
          <t>YOUTH SAILING PROGRAM MANAGER / INSTRUCTOR</t>
        </is>
      </c>
      <c r="C2" t="inlineStr">
        <is>
          <t>Sail, Power, and Steam Museum</t>
        </is>
      </c>
      <c r="D2" t="inlineStr">
        <is>
          <t>indeed</t>
        </is>
      </c>
      <c r="E2">
        <f>HYPERLINK("https://www.indeed.com/viewjob?jk=72392eb86356ff02", "https://www.indeed.com/viewjob?jk=72392eb86356ff02")</f>
        <v/>
      </c>
      <c r="F2">
        <f>HYPERLINK("http://www.indeed.com/job/youth-sailing-program-manager-instructor-72392eb86356ff02", "http://www.indeed.com/job/youth-sailing-program-manager-instructor-72392eb86356ff02")</f>
        <v/>
      </c>
      <c r="G2" t="inlineStr">
        <is>
          <t>Rockland, ME, US</t>
        </is>
      </c>
      <c r="H2" s="1" t="n">
        <v>46084</v>
      </c>
      <c r="I2" t="inlineStr">
        <is>
          <t>Rockland's Midcoast Sailing Center’s Sail Kids For Free (SKFF) program seeks an experienced, enthusiastic leader to manage youth sailing activities and instruction through the Sail Kids For Free (SKFF) program.
Responsibilities: Supervise instructors, coordinate daily lessons, maintain equipment, and ensure a safe, fun learning environment.
Please visit www.midcoastsailingcenter.org for a full job description.
**Qualifications:** Strong sailing background, experience working with youth, safety‑focused mindset, and excellent communication skills and interested in fun.
**Seasonal Position**  Competitive Pay
Apply to **Capt. Jim Sharp, sailpowersteammuseum@gmail.com**
Work Location: In person</t>
        </is>
      </c>
    </row>
    <row r="3">
      <c r="A3" t="inlineStr">
        <is>
          <t>in-365969f8fe771129</t>
        </is>
      </c>
      <c r="B3" t="inlineStr">
        <is>
          <t>ETRM Platform Product Owner</t>
        </is>
      </c>
      <c r="C3" t="inlineStr">
        <is>
          <t>InCommodities</t>
        </is>
      </c>
      <c r="D3" t="inlineStr">
        <is>
          <t>indeed</t>
        </is>
      </c>
      <c r="E3">
        <f>HYPERLINK("https://www.indeed.com/viewjob?jk=365969f8fe771129", "https://www.indeed.com/viewjob?jk=365969f8fe771129")</f>
        <v/>
      </c>
      <c r="F3">
        <f>HYPERLINK("https://incommodities.com/etrm-platform-product-owner-north-america", "https://incommodities.com/etrm-platform-product-owner-north-america")</f>
        <v/>
      </c>
      <c r="G3" t="inlineStr">
        <is>
          <t>Austin, TX, US</t>
        </is>
      </c>
      <c r="H3" s="1" t="n">
        <v>46084</v>
      </c>
      <c r="I3" t="inlineStr">
        <is>
          <t>**ETRM Platform Product Owner (Power, Gas, \&amp; Renewables)**
**Rethink how energy trading platforms are built, owned, and evolved.**
At InCommodities US, we’re building a modern EnergyTech platform to support trading across power and gas. We started as a tech\-driven trading business focusing on algorithmic trading of financial power products, including virtuals, FTRs and futures and have expanded our footprint into physical power and financial gas as well, still focused on standard products. Our presence covers all ISOs as well as major exchanges. Now we are looking to expand into the world of assets, including renewables and physical gas, to fully leverage on those tech and trading capabilities. As we scale trading activities, our ETRM platform is mission\-critical. That’s where you come in.
We have identified that we need a new ETRM to support our ambitions, and we’re looking for a Senior ETRM Platform Product Owner to take full ownership of our ETRM as a product including integrations to the surrounding eco\-system – from selection and implementation to long\-term operation and evolution. This is not a project coordination role. You’ll be the accountable owner, making clear decisions, setting boundaries, and ensuring the platform supports the business without creating platform debt.
**What you’ll do**
* You own the ETRM platform strategy and target operating model across trading, operations, risk, and finance
* You lead the ETRM selection process with a platform\-first mindset, focusing on APIs, data models, and integration maturity – not demo theatre
* You drive vendor and system integrator engagement, including structured demos and technical proof\-of\-capability
* You define and enforce clear system\-of\-record principles – what data lives where, and why
* You own scope boundaries and backlog decisions: what belongs in the ETRM, external services, or third\-party tools
* You partner closely with architecture and engineering to define integration contracts, identifiers, reconciliation patterns, and observability standards
* You lead scenario\-based UAT, defect triage, and go\-live readiness
* You ensure strong controls are built in from day one: permissions, auditability, segregation of duties, and operational resilience
* You own the platform post go\-live, including change governance, release cadence, adoption, and data quality
**Your Team**
You’ll work at the intersection of trading, market operations, risk, finance, and technology. You won’t do this alone – but you will be the one accountable for outcomes. Expect close collaboration with solution architects, engineers, traders, and external vendors, in a flat organization where clear decision\-making matters.
**What you bring**
* You have 7\+ years of experience with energy trading systems or ETRMs, with true ownership responsibility
* You bring hands\-on experience supporting natural gas trading and physical workflows end to end
* You understand gas scheduling and logistics concepts such as nominations, actualizations, imbalances, storage, and capacity constraints
* You’ve made – and defended – clear boundary decisions between ETRM, external services, and third\-party tools
* You’re comfortable leading cross\-functional delivery from requirements to go\-live
* You’re technically literate and able to evaluate APIs, data models, integration patterns, and configuration vs. customization trade\-offs
* You challenge assumptions, push for evidence, and make solid decisions under uncertainty
* You are well versed in scripting and automation (Python, PowerShell, Bash) to eliminate operational toil
* You still write infrastructure code daily and are comfortable debugging Terraform, fixing pipelines, troubleshooting Kubernetes clusters
* You have been the "go\-to person" for critical production issues, not just the escalation point
* You have a proven track record leading datacenter\-to\-cloud migrations or hybrid infrastructure transitions
**How you work**
* You value evidence over opinions and expect vendors to prove capabilities
* You’re pragmatic and focused on shipping value without creating long\-term platform debt
* You communicate clearly across technical and business stakeholders
* You take ownership and follow decisions through
**What you can expect from us:**
You can expect a role with real influence, high expectations, and the freedom to shape how a critical trading platform is built and run. We offer a competitive compensation package, a flat and trust\-based organization, and the chance to rethink how ETRM platforms support modern energy trading – not just today, but long term.
If you’re ready to own a platform that truly matters, we’d like to hear from you.
Benefits:
* Flexible working hours and hybrid work schedule
* Medical, Dental, Vision, STD, LTD, Life insurance, all with employer contributions
* 401k with employer matching
* Parental leave including paid and unpaid options
* Generous PTO policy and paid holidays
* Monthly Door Dash allowance and snacks and drinks at the office
* Optional cellphone reimbursement
**About InCommodities – North America** 
We’re InCommodities North America – and we’re building the full energy trading value chain across US power and gas.
We’ve been trading power in US markets since 2020\. Now we’re scaling up – expanding into gas, growing our local teams, and opening new offices across the US.
What sets us apart is our EnergyTech edge. We combine deep market expertise with advanced technology, quantitative models, and a data\-driven mindset to trade smarter, faster, and at scale. That’s how we move energy where it’s needed, 24/7/365 – and why we attract ambitious people who want to rethink the future of energy trading.
Our culture is simple: entrepreneurial, flat, and hands\-on. You’ll get autonomy and trust from day one – and the responsibility to make an impact. We value initiative over titles, thrive in change, and back each other in building one of the most ambitious energy trading companies in North America \- with the strength of a global platform behind us.
**Our culture**
At InCommodities, we win as a team. You’ll work alongside bold, honest, and ambitious people who challenge each other to grow – and get better every day.
Autonomy is real here, and it comes with trust. You’re expected to take ownership and make decisions that move InCommodities forward. Not by asking for permission, but by working with the right people to get it right. You’ve got freedom – and a strong team to back you up.
We care about personal and cultural fit. Not because we expect everyone to be the same, but because we’re building a place where people genuinely enjoy working – and want to stick around.
Expect a casual vibe. We keep a flat hierarchy, no dress code, and no corporate red tape to slow you down. Just trust, teamwork, and a healthy dose of fun along the way. And yes, we like to hang out outside office hours as well.
Job Types: Full\-time, Permanent
Pay: From $160,000\.00 per year
Benefits:
* 401(k)
* 401(k) matching
* Dental insurance
* Flexible schedule
* Health insurance
* Health savings account
* Life insurance
* Paid time off
* Parental leave
* Retirement plan
* Vision insurance
Work Location: Hybrid remote in Austin, TX 78701</t>
        </is>
      </c>
    </row>
    <row r="4">
      <c r="A4" t="inlineStr">
        <is>
          <t>in-d23e37b193ea1693</t>
        </is>
      </c>
      <c r="B4" t="inlineStr">
        <is>
          <t>Suspension Program Manager Team Lead</t>
        </is>
      </c>
      <c r="C4" t="inlineStr">
        <is>
          <t>DN Automotive INC</t>
        </is>
      </c>
      <c r="D4" t="inlineStr">
        <is>
          <t>indeed</t>
        </is>
      </c>
      <c r="E4">
        <f>HYPERLINK("https://www.indeed.com/viewjob?jk=d23e37b193ea1693", "https://www.indeed.com/viewjob?jk=d23e37b193ea1693")</f>
        <v/>
      </c>
      <c r="F4">
        <f>HYPERLINK("http://www.indeed.com/job/suspension-program-manager-team-lead-d23e37b193ea1693", "http://www.indeed.com/job/suspension-program-manager-team-lead-d23e37b193ea1693")</f>
        <v/>
      </c>
      <c r="G4" t="inlineStr">
        <is>
          <t>Troy, MI, US</t>
        </is>
      </c>
      <c r="H4" s="1" t="n">
        <v>46084</v>
      </c>
      <c r="I4" t="inlineStr">
        <is>
          <t>**Job Overview**  
We are seeking a dynamic and strategic Suspension Program Manager Team Lead to spearhead the development, execution, and oversight of suspension system programs across our organization. This role is pivotal in driving continuous improvement initiatives, managing complex projects, and leading cross\-functional teams to deliver innovative suspension solutions that enhance safety, performance, and reliability. As a leader in program management, you will utilize your expertise in process optimization, risk mitigation, and stakeholder engagement to ensure successful project outcomes aligned with organizational goals. This position offers an exciting opportunity to influence the future of suspension technology through proactive leadership and comprehensive program development.
**Responsibilities**
* Lead and manage the suspension product Program Management Team in a working manager role.
* Support both direct customer work and the development of the suspension program management team.
* Establish a strong working relationship with the OEM and Tier 1 customer leads.
* Oversee all aspects of customer programs such as development, timing, APQP activity, cost management \&amp; production launch.
* Communicate all program information efficently with other DN operation groups. Provide all strategic direction and support to the global management team.
* Provide technical guidance to DN engineering teams to align development activities with customer requirements.
* Lead design work for new opportunities and source packages.
* Organize and prepare lead technical reviews and deliver to the customer.
* Champion effective change management (CN, EWO, etc.,) and provide clear direction to all DN operation groups.
* Assist in the development of new business opportunities.
* Oversee design related quality and warranty issues after launch.
* Travel as required to support key customer gateaways such as PSO/PPAP or launch support.
**Requirements**
* Proven experience supervising teams within a program or project management environment with demonstrated leadership skills in technical or engineering settings.
* 10\+years of experience in rubber\-to\-metal NVH products
* Microsoft Office (Excel, Word, Outlook, and Project)
Pay: $150,000\.00 \- $175,000\.00 per year
Benefits:
* 401(k)
* 401(k) matching
* Dental insurance
* Flexible schedule
* Flexible spending account
* Health insurance
* Life insurance
* Paid time off
* Parental leave
* Tuition reimbursement
* Vision insurance
Work Location: Hybrid remote in Troy, MI 48083</t>
        </is>
      </c>
    </row>
    <row r="5">
      <c r="A5" t="inlineStr">
        <is>
          <t>in-07a419b83372cb65</t>
        </is>
      </c>
      <c r="B5" t="inlineStr">
        <is>
          <t>Program Manager Facility Design, Data Centers - Remote (U.S.)</t>
        </is>
      </c>
      <c r="C5" t="inlineStr">
        <is>
          <t>AECOM</t>
        </is>
      </c>
      <c r="D5" t="inlineStr">
        <is>
          <t>indeed</t>
        </is>
      </c>
      <c r="E5">
        <f>HYPERLINK("https://www.indeed.com/viewjob?jk=07a419b83372cb65", "https://www.indeed.com/viewjob?jk=07a419b83372cb65")</f>
        <v/>
      </c>
      <c r="F5">
        <f>HYPERLINK("https://jobs.smartrecruiters.com/AECOM2/744000112462070-program-manager-facility-design-data-centers-remote-u-s-", "https://jobs.smartrecruiters.com/AECOM2/744000112462070-program-manager-facility-design-data-centers-remote-u-s-")</f>
        <v/>
      </c>
      <c r="G5" t="inlineStr">
        <is>
          <t>Los Angeles, CA, US</t>
        </is>
      </c>
      <c r="H5" s="1" t="n">
        <v>46084</v>
      </c>
      <c r="I5" t="inlineStr">
        <is>
          <t>**Company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**AECOM** is seeking an **Program Manager** specializing in **Hyper\-scale Data Centers.** This position is a remote opportunity and can be based out of any of AECOM's U.S. offices.
*This position offers the flexibility of a remote work schedule and can be based from a variety of locations in the US were AECOM has an office.*
***Although the position is primarily remote periodic travel may be required for client meetings, key project milestones, onsite collaboration sessions, or other business‑critical activities. Travel is expected to be occasional and scheduled in advance.***
**AECOM** is a leader in the global data center consulting industry with robust teams in the Americas, Europe, Africa, Asia, and Australia. In this role, you will have the opportunity to work with our teams around the world on high\-profile, fast\-paced data center projects for global clients. This is a hands\-on, client\-facing role with an opportunity for upward career mobility.
**About the Role:**
We are seeking an experienced Program Manager to play a critical leadership role within the AECOM US Data Center Practice. Candidate will be responsible for driving business performance, leading major proposal efforts, managing strategic client programs, and ensuring successful execution of high\-value design projects.
This role operates at the intersection of business development, client management, and project delivery, ensuring that client pursuits are competitive, programs are executed efficiently, and financial and operational objectives are achieved.
The Program Manager will partner closely with executive leadership, design directors, client account managers, and discipline leaders to support revenue growth, client satisfaction, and operational excellence across hyperscale and colocation data center programs.
This position is ideal for a highly organized, business\-minded leader with deep experience in managing complex A/E/C programs and supporting major proposal pursuits.  
**Key Responsibilities:**
* Provide program\-level leadership across multiple concurrent data center design projects
* Monitor program performance including schedule, budget, staffing, and risk
* Identify and resolve program\-level constraints impacting delivery
* Ensure consistency of execution across multiple projects and clients
* Support Design Managers and Project Managers in maintaining successful delivery
* Support business development and proposal writing for new pursuits.
* Lead preparation of major technical and commercial proposals, including:
	+ Go / No\-Go coordination
	+ Proposal schedules and deliverable management
	+ Fee strategy coordination
	+ Staffing plans and resource alignment
	+ Executive review coordination
	+ Interview preparation and coaching
	+ Coordinate closely with Client Account Managers, and Technical Leaders
	+ Improve proposal processes, templates, and win strategies
	+ Support capture planning for strategic pursuits
	+ Serve as a key point of contact for strategic clients
* Participate in client meetings, presentations, and program reviews
* Support Client Account Managers in maintaining strong client relationships
* Help identify new opportunities within existing client programs
* Assist in managing client expectations and overall client experience
* + Travel as needed for project\-related activities such as client meetings and site visits.
**Qualifications** **Required Qualifications:**
* Bachelor’s degree in Architecture, Engineering, Construction Management, or related field plus eight (8\) years of relevant experience, or demonstrated equivalency of experience and/or education.
* Minimum 5\+ years managing complex programs or major projects
* Experience supporting or leading proposal efforts
* Strong understanding of A/E/C project delivery process
* Excellent communication and leadership skills
* Strong business and financial acumen
* Ability to manage multiple concurrent priorities
**Preferred Qualifications:**
* 10 plus years of relevant experience.
* Direct experience supporting data center projects
* Experience working with hyperscale or colocation clients
* Experience managing large multi\-disciplinary design teams
* Experience with Design\-Bid\-Build and Design\-Build delivery models
* PMP certification preferred
* Professional licensure (Architect, Engineer) is a plus but not required
* US Citizenship
**Additional Information**  
* Relocation is not available for this role.
* Sponsorship is not available for this role.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As an Equal Opportunity Employer, we believe in your potential and are here to help you achieve it. All your information will be kept confidential according to EEO guidelines.</t>
        </is>
      </c>
    </row>
    <row r="6">
      <c r="A6" t="inlineStr">
        <is>
          <t>in-2ffd3c9cf2ef895c</t>
        </is>
      </c>
      <c r="B6" t="inlineStr">
        <is>
          <t>Program Manager Facility Design, Data Centers - Remote (U.S.)</t>
        </is>
      </c>
      <c r="C6" t="inlineStr">
        <is>
          <t>AECOM</t>
        </is>
      </c>
      <c r="D6" t="inlineStr">
        <is>
          <t>indeed</t>
        </is>
      </c>
      <c r="E6">
        <f>HYPERLINK("https://www.indeed.com/viewjob?jk=2ffd3c9cf2ef895c", "https://www.indeed.com/viewjob?jk=2ffd3c9cf2ef895c")</f>
        <v/>
      </c>
      <c r="F6">
        <f>HYPERLINK("https://jobs.smartrecruiters.com/AECOM2/744000112461826-program-manager-facility-design-data-centers-remote-u-s-", "https://jobs.smartrecruiters.com/AECOM2/744000112461826-program-manager-facility-design-data-centers-remote-u-s-")</f>
        <v/>
      </c>
      <c r="G6" t="inlineStr">
        <is>
          <t>Chicago, IL, US</t>
        </is>
      </c>
      <c r="H6" s="1" t="n">
        <v>46084</v>
      </c>
      <c r="I6" t="inlineStr">
        <is>
          <t>**Company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**AECOM** is seeking an **Program Manager** specializing in **Hyper\-scale Data Centers.** This position is a remote opportunity and can be based out of any of AECOM's U.S. offices.
*This position offers the flexibility of a remote work schedule and can be based from a variety of locations in the US were AECOM has an office.*
***Although the position is primarily remote periodic travel may be required for client meetings, key project milestones, onsite collaboration sessions, or other business‑critical activities. Travel is expected to be occasional and scheduled in advance.***
**AECOM** is a leader in the global data center consulting industry with robust teams in the Americas, Europe, Africa, Asia, and Australia. In this role, you will have the opportunity to work with our teams around the world on high\-profile, fast\-paced data center projects for global clients. This is a hands\-on, client\-facing role with an opportunity for upward career mobility.
**About the Role:**
We are seeking an experienced Program Manager to play a critical leadership role within the AECOM US Data Center Practice. Candidate will be responsible for driving business performance, leading major proposal efforts, managing strategic client programs, and ensuring successful execution of high\-value design projects.
This role operates at the intersection of business development, client management, and project delivery, ensuring that client pursuits are competitive, programs are executed efficiently, and financial and operational objectives are achieved.
The Program Manager will partner closely with executive leadership, design directors, client account managers, and discipline leaders to support revenue growth, client satisfaction, and operational excellence across hyperscale and colocation data center programs.
This position is ideal for a highly organized, business\-minded leader with deep experience in managing complex A/E/C programs and supporting major proposal pursuits.  
**Key Responsibilities:**
* Provide program\-level leadership across multiple concurrent data center design projects
* Monitor program performance including schedule, budget, staffing, and risk
* Identify and resolve program\-level constraints impacting delivery
* Ensure consistency of execution across multiple projects and clients
* Support Design Managers and Project Managers in maintaining successful delivery
* Support business development and proposal writing for new pursuits.
* Lead preparation of major technical and commercial proposals, including:
	+ Go / No\-Go coordination
	+ Proposal schedules and deliverable management
	+ Fee strategy coordination
	+ Staffing plans and resource alignment
	+ Executive review coordination
	+ Interview preparation and coaching
	+ Coordinate closely with Client Account Managers, and Technical Leaders
	+ Improve proposal processes, templates, and win strategies
	+ Support capture planning for strategic pursuits
	+ Serve as a key point of contact for strategic clients
* Participate in client meetings, presentations, and program reviews
* Support Client Account Managers in maintaining strong client relationships
* Help identify new opportunities within existing client programs
* Assist in managing client expectations and overall client experience
* + Travel as needed for project\-related activities such as client meetings and site visits.
**Qualifications** **Required Qualifications:**
* Bachelor’s degree in Architecture, Engineering, Construction Management, or related field plus eight (8\) years of relevant experience, or demonstrated equivalency of experience and/or education.
* Minimum 5\+ years managing complex programs or major projects
* Experience supporting or leading proposal efforts
* Strong understanding of A/E/C project delivery process
* Excellent communication and leadership skills
* Strong business and financial acumen
* Ability to manage multiple concurrent priorities
**Preferred Qualifications:**
* 10 plus years of relevant experience.
* Direct experience supporting data center projects
* Experience working with hyperscale or colocation clients
* Experience managing large multi\-disciplinary design teams
* Experience with Design\-Bid\-Build and Design\-Build delivery models
* PMP certification preferred
* Professional licensure (Architect, Engineer) is a plus but not required
* US Citizenship
**Additional Information**  
* Relocation is not available for this role.
* Sponsorship is not available for this role.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As an Equal Opportunity Employer, we believe in your potential and are here to help you achieve it. All your information will be kept confidential according to EEO guidelines.</t>
        </is>
      </c>
    </row>
    <row r="7">
      <c r="A7" t="inlineStr">
        <is>
          <t>in-cb12ebd979c23a22</t>
        </is>
      </c>
      <c r="B7" t="inlineStr">
        <is>
          <t>Adult Day Care Program Manager</t>
        </is>
      </c>
      <c r="C7" t="inlineStr">
        <is>
          <t>Dragonfly Support Services</t>
        </is>
      </c>
      <c r="D7" t="inlineStr">
        <is>
          <t>indeed</t>
        </is>
      </c>
      <c r="E7">
        <f>HYPERLINK("https://www.indeed.com/viewjob?jk=cb12ebd979c23a22", "https://www.indeed.com/viewjob?jk=cb12ebd979c23a22")</f>
        <v/>
      </c>
      <c r="F7">
        <f>HYPERLINK("http://www.indeed.com/job/adult-day-care-program-manager-cb12ebd979c23a22", "http://www.indeed.com/job/adult-day-care-program-manager-cb12ebd979c23a22")</f>
        <v/>
      </c>
      <c r="G7" t="inlineStr">
        <is>
          <t>Brighton, CO, US</t>
        </is>
      </c>
      <c r="H7" s="1" t="n">
        <v>46084</v>
      </c>
      <c r="I7" t="inlineStr">
        <is>
          <t>Adult Day program manager. Will be overseeing the Day Program Staff working closely with individuals with disabilities. Making a calendar that provides program\-approved activities that promote community inclusion. The program encourages persons receiving services with disabilities to become vital parts of society. It also, encourage individual to make decisions as to what activities they want to participate in and open the doors to explore different activities. We help to advocate for individual choice\-making and empowering individuals to make informed decisions about their own life experiences. Promote healthy interactions in the community with community members.
Duties/Responsibilities
* Ensure that Individuals get out into the community by taking them to
activities of their choice and helping the client obtain their goals
* Work side\-by\-side with clients
* Make the calendar of appropriate community activities and keeping routes actively consistent.
* Responsible for the staff that would be 1 to 4 individuals per staff during the program
* Adhere to safety requirements for clients
* Maintain accountability of every individual that's in your care
* Advocate for clients’ needs
* Good communication and interpersonal skills
* Excellent organizational and problem\-solving ability
* Ability to adhere to regulations and standards
* Keep records and documentation and prepare appropriate reports
* Team player
Minimum Provider Qualifications
* Must have a High School Diploma or GED
* Must be 21 years or older
* Experience preferred working with individuals with disabilities or willingness to be trained.
* 1 year Managing experience
* Must be able to pass a background check
* Must be able to pass a drug test
* Must have a valid driver's license, insurance, and reliable transportation.
Pay: $28\.00 \- $35\.00 per hour
Benefits:
* Flexible schedule
* Professional development assistance
Schedule:
* Day shift
* Monday to Friday
Experience:
* Caregiving: 1 year (Preferred)
Shift availability:
* Day Shift (Required)
Work Location: In person</t>
        </is>
      </c>
    </row>
    <row r="8">
      <c r="A8" t="inlineStr">
        <is>
          <t>in-faf7f9fe8e073788</t>
        </is>
      </c>
      <c r="B8" t="inlineStr">
        <is>
          <t>Program Manager</t>
        </is>
      </c>
      <c r="C8" t="inlineStr">
        <is>
          <t>TX RX Systems, Inc.</t>
        </is>
      </c>
      <c r="D8" t="inlineStr">
        <is>
          <t>indeed</t>
        </is>
      </c>
      <c r="E8">
        <f>HYPERLINK("https://www.indeed.com/viewjob?jk=faf7f9fe8e073788", "https://www.indeed.com/viewjob?jk=faf7f9fe8e073788")</f>
        <v/>
      </c>
      <c r="F8">
        <f>HYPERLINK("http://www.indeed.com/job/program-manager-faf7f9fe8e073788", "http://www.indeed.com/job/program-manager-faf7f9fe8e073788")</f>
        <v/>
      </c>
      <c r="G8" t="inlineStr">
        <is>
          <t>Angola, NY, US</t>
        </is>
      </c>
      <c r="H8" s="1" t="n">
        <v>46084</v>
      </c>
      <c r="I8" t="inlineStr">
        <is>
          <t>**PURPOSE OF POSITION**
Work with our Key Account Manager to provide out key customer with quotes on technical products and systems, answering questions about the offerings, and working closely with other sales, engineering, and operations associates within the company to identify the optimal solution for the customer. Assisting the management team in identifying and driving business growth opportunities within the market and the product portfolio.
**Specific Responsibilities:**
**1\. Order Entry \&amp; Order Management**
* Process customer purchase orders accurately and in a timely manner.
* Review orders for completeness, accuracy, pricing, and special requirements.
* Track order status and ensure timely updates to customers and internal teams.
* Coordinate with planning, production, and logistics on order execution.
**2\. Customer Service \&amp; Support**
* Serve as a first point‑of‑contact for customer inquiries, basic troubleshooting, and service questions.
* Support customers with RMA requests, return instructions, shipping labels, and status updates.
* Escalate complex issues to Sr. Key Account Manager or other SME teams as needed.
**3\. Quote \&amp; Project Support**
* Support custom project quotes by collecting requirements, documentation, and internal feedback.
* Prepare documentation packages from Apps Engineering for the customer.
* Assist in preparing custom quotes, gathering pricing, lead times, and product information.
* Maintain quote logs and ensure timely follow‑up with customers.
**4\. Reporting \&amp; Analytics**
* Prepare monthly account reports as assigned (order status, backlog, revenue tracking, etc.).
* Maintain internal tracking tools.
* Assist with PowerPoint decks or meeting materials for account reviews.
**5\. Communication \&amp; Coordination**
* Assist internal and external meetings, including reviews and project syncs.
* Communicate updates to customers and internal stakeholders.
* Document meeting notes, action items, and next steps.
**6\. Administrative \&amp; CRM Tasks**
* Maintain customer account information in CRM / ERP systems.
* Update forecasts, contact lists, opportunity stages, and activity logs.
* Ensure data accuracy and compliance with internal processes.
**7\. Logistics \&amp; Shipping Coordination**
* Track shipments and provide detailed delivery updates to customers.
**8\. Internal Collaboration**
* Work closely with sales, planning, quality, engineering, production, and finance teams.
* Support internal escalations or expedite requests when necessary
**MINIMUM COMPETENCIES REQUIRED**
Associates degree or equivalent experience preferred. Computer skills and Experience with CRMs and lead generation software tools is a plus. Excellent communication, negotiation, and leadership skills, along with prior experience in customer service and/or business development are highly desirable. Experience in a manufacturing facility and familiarity with using an ERP system and technicial knowledge of our product a plus. Proficient with Microsoft Office products.
Job Type: Full\-time
Pay: $70,000\.00 \- $80,000\.00 per year
Benefits:
* 401(k)
* 401(k) matching
* Dental insurance
* Health insurance
* Life insurance
* Paid time off
* Tuition reimbursement
* Vision insurance
Experience:
* Customer service: 2 years (Preferred)
Work Location: In person</t>
        </is>
      </c>
    </row>
    <row r="9">
      <c r="A9" t="inlineStr">
        <is>
          <t>in-d714672752d58961</t>
        </is>
      </c>
      <c r="B9" t="inlineStr">
        <is>
          <t>Youth Sports Program Manager</t>
        </is>
      </c>
      <c r="C9" t="inlineStr">
        <is>
          <t>Playpen Sports Academy</t>
        </is>
      </c>
      <c r="D9" t="inlineStr">
        <is>
          <t>indeed</t>
        </is>
      </c>
      <c r="E9">
        <f>HYPERLINK("https://www.indeed.com/viewjob?jk=d714672752d58961", "https://www.indeed.com/viewjob?jk=d714672752d58961")</f>
        <v/>
      </c>
      <c r="F9">
        <f>HYPERLINK("http://www.indeed.com/job/youth-sports-program-manager-d714672752d58961", "http://www.indeed.com/job/youth-sports-program-manager-d714672752d58961")</f>
        <v/>
      </c>
      <c r="G9" t="inlineStr">
        <is>
          <t>Lafayette, IN, US</t>
        </is>
      </c>
      <c r="H9" s="1" t="n">
        <v>46084</v>
      </c>
      <c r="I9" t="inlineStr">
        <is>
          <t>**Youth Sports Manager (Part\-Time, Seasonal \| On\-Site Leadership)**
Playpen Sports Academy is hiring a Site Manager to lead one of our local youth sports locations. This is a hands\-on leadership role responsible for overseeing coaching staff, ensuring program quality, and maintaining strong communication with families.
**Company Overview:** Playpen Sports Academy is a youth sports company with a mission to disrupt the youth sports industry by promoting increased access for families of all income levels, encouraging participation from young athletes of all skill levels, fostering play\-based learning, and prioritizing holistic development over competition. With a remarkable growth trajectory, Playpen has expanded from 8 locations to operating in 47 cities across Wisconsin, Illinois, and Indiana within just 4 years. Our core classes are focused on ages 2\-6 across a wide variety of sports, however we are now expanding with some programs being offered for kids up to the age of 14\.
**What You’ll Do**
* Oversee and lead all on\-site program operations during scheduled classes
* Supervise and support coaches to ensure high\-quality instruction
* Maintain proper staffing coverage and address call\-offs
* Manage weekly schedules and roster organization
* Ensure safety, professionalism, and curriculum consistency
* Communicate with families and respond to questions or concerns
* Monitor equipment and maintain organized site standards
* Support retention and local enrollment efforts
**Schedule**
* Part\-time, seasonal (year\-round opportunities available in select locations).
* **Must have availability: Sat 8:30am\-12pm \&amp; Mon 4:45pm\-7:15pm**
* Estimate 5\-7 hours a week (based on enrollment)
* Contract Length: April 2026 \- October 2026
**Qualifications**
* Strong leadership and communication skills
* Reliable and organized
* Comfortable managing both people and operations
* Confident problem\-solver in a fast\-paced environment
**Preferred (not required):**
* Sports or athletic background
* Coaching experience
* Experience working with children
* Team leadership or management experience
**Pay**
* Starting at $23/hour (includes class \+ admin hours)
* Bi\-weekly pay
* Bonus and growth opportunities available
**Why Join Us:**
* **Flexibility:** We value work\-life balance, offering remote work opportunities, flexible hours, and a high level of autonomy.
* **Growth and Learning Opportunities (Personal/Professional):** We are looking for someone to grow with us over the next couple of years as we continue to expand our reach throughout the Midwest and eventually the entire US.
* **Purpose\-driven Work:** Committed to shaping the future of accessible and inclusive youth sports opportunities and making a positive impact on young athletes and their families.
* **Strong Company Culture:** Collaborative and team\-based, where every person plays a key role in our success.
We are currently hiring for multiple roles across Wisconsin, Illinois, and Indiana. If you are open to working in nearby communities, please indicate your preferred locations in your application.
Job Types: Part\-time, Contract, Seasonal
Pay: $23\.00 \- $25\.00 per hour
Benefits:
* Employee discount
* Flexible schedule
* On\-the\-job training
* Paid training
Application Question(s):
* Are you available to work consistently during the posted class times and dates?
* Briefly describe any experience you have as a manager, leading a team, coaching, or supervising others.
* What experience do you have working with children (sports, camps, schools, etc.)?
Work Location: In person</t>
        </is>
      </c>
    </row>
    <row r="10">
      <c r="A10" t="inlineStr">
        <is>
          <t>in-1fc281c3099343f4</t>
        </is>
      </c>
      <c r="B10" t="inlineStr">
        <is>
          <t>Associate Product Manager - Lighting Systems (Indoor &amp; Landscape)</t>
        </is>
      </c>
      <c r="C10" t="inlineStr">
        <is>
          <t>Coleto Brands</t>
        </is>
      </c>
      <c r="D10" t="inlineStr">
        <is>
          <t>indeed</t>
        </is>
      </c>
      <c r="E10">
        <f>HYPERLINK("https://www.indeed.com/viewjob?jk=1fc281c3099343f4", "https://www.indeed.com/viewjob?jk=1fc281c3099343f4")</f>
        <v/>
      </c>
      <c r="F10">
        <f>HYPERLINK("https://jobs.smartrecruiters.com/ColetoBrands1/3743990011941325-associate-product-manager-lighting-systems-indoor-landscape-", "https://jobs.smartrecruiters.com/ColetoBrands1/3743990011941325-associate-product-manager-lighting-systems-indoor-landscape-")</f>
        <v/>
      </c>
      <c r="G10" t="inlineStr">
        <is>
          <t>Solon, OH, US</t>
        </is>
      </c>
      <c r="H10" s="1" t="n">
        <v>46084</v>
      </c>
      <c r="I10" t="inlineStr">
        <is>
          <t>**Company Description**  
Coleto Brands is a dynamic collective of brands united by a commitment to enhancing spaces through design and functionality. Headlined by its flagship brands, Kichler and Progress Lighting, Coleto Brands provides residential lighting fixtures across key categories, including interior and exterior decorative lighting, bath/vanity, architectural systems and downlights, ceiling fans and landscape. Visit www.coletobrands.com.
 **Job Description**  
Coleto Brands, parent Company of Progress Lighting and Kichler, is seeking to fill a hybrid **Associate Product Manager – Lighting Systems (Indoor \&amp; Landscape)** near our **Solon, Ohio location** (candidates must live a commutable distance). The ideal candidate loves the **why** behind the sales figures, the **how** that drives our technical specs and the **who** that uses and installs our products. If you are dedicated to getting your job done on time and according to plan, we want you to apply!
To be successful in this role, you will be the "right hand" to our Senior Product Manager for Landscape Lighting, helping to manage the full product lifecycle—from competitive benchmarking and price analysis to coordinating launches with marketing and supply chain teams.
 **Duties and Responsibilities:**
**Market, Competitive and Customer Intelligence:** Conduct regular "teardowns" and benchmarking of competitor lighting products. Track pricing trends, feature sets, and consumer reviews to identify gaps in our current assortment. Survey and work closely with our contractor base to identify new product needs.
**Data Analysis \&amp; Reporting:** Own the weekly performance dashboard. You’ll analyze sales velocity, margin health, and return rates to provide actionable insights for both the indoor and landscape portfolios.
**Product Development Support:** Assist in defining product requirements (PRDs). For landscape lighting, this includes technical specs like wattage, lumens, and smart\-home integration; for indoor, it focuses on aesthetics, ease of installation, and light quality.
**Lifecycle Management:** Manage the "system of record" for all products (PLM/PIM). Ensure that SKU data, installation manuals, spec sheets and catalogs are 100% accurate.
**Cross\-Functional Liaison:** Work closely with Engineering, Quality Assurance, and Marketing to ensure product launches stay on schedule.
 **Skills and Experience:**
**Analytical Mindset:** You are proficient in Excel (pivot tables and VLOOKUPs are your best friends) and can turn a messy spreadsheet into a clear recommendation.
**Technical Curiosity:** You don’t need to be an electrician, but you should be eager to learn about lumens, color temperatures (2700K vs. 5000K), and the difference between AC and DC low\-voltage systems.
**Hands On:** Willingness and ability to install products for demos, trade shows, field testing and customer training. Get your hands dirty working alongside our contractors to better understand their needs.
**Detail Obsession:** In lighting, a 1\-inch difference in a stem or a slight shift in finish can make or break a product. You notice the small things.
**Communication:** Ability to distill complex technical data into simple "selling points" for the sales team.
**Education:** Bachelor’s degree in business, Engineering, Marketing, or a related field. 1–3 years of experience in product coordination or retail analytics is a plus.
**Travel requirements:** approximate 10% domestic travel
 *Applicants must be authorized to work for any employer in the U.S. We are unable to sponsor or take over sponsorship of an employment Visa at this time**.*
 **Additional Information** *We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
*Coleto Brands LLC, its divisions, subsidiaries and affiliates (collectively “Coleto Brands” or the “Company”) is an equal opportunity employer and we want to have the best available persons in every job. The Company makes employment decisions only based on merit. It is the Company’s policy to prohibit discrimination in any employment opportunity (including but not limited to recruitment, employment, promotion, salary increases, benefits, termination and all other terms and conditions of employment) based on race, color, sex, sexual orientation, gender, gender identity, gender expression, genetic information, pregnancy, religious creed, national origin, ancestry, age, physical/mental disability, medical condition, marital/domestic partner status, military and veteran status, height, weight or any other such characteristic protected by federal, state or local law. The Company is committed to complying with all applicable laws providing equal employment opportunities. This commitment applies to all persons involved in the operations of the Company regardless of where the employee is located and prohibits unlawful discrimination by any employee of the Company.*
*Coleto Brands is an E\-Verify employer. E\-Verify is an Internet based system operated by the Department of Homeland Security (DHS) in partnership with the Social Security Administration (SSA) that allows participating employers to electronically verify the employment eligibility of their newly hired employees in the United States. Please click on the following links for more information.*
 *E\-Verify Participation Poster:* *English and Spanish*
*E\-Verify Right to Work Poster:* *English**,* *Spanish*</t>
        </is>
      </c>
    </row>
    <row r="11">
      <c r="A11" t="inlineStr">
        <is>
          <t>in-eaa8e2b79ccab66a</t>
        </is>
      </c>
      <c r="B11" t="inlineStr">
        <is>
          <t>Pharmacist (Facility Program Manager (PMOP))</t>
        </is>
      </c>
      <c r="C11" t="inlineStr">
        <is>
          <t>US Department of Veterans Affairs</t>
        </is>
      </c>
      <c r="D11" t="inlineStr">
        <is>
          <t>indeed</t>
        </is>
      </c>
      <c r="E11">
        <f>HYPERLINK("https://www.indeed.com/viewjob?jk=eaa8e2b79ccab66a", "https://www.indeed.com/viewjob?jk=eaa8e2b79ccab66a")</f>
        <v/>
      </c>
      <c r="F11">
        <f>HYPERLINK("https://www.usajobs.gov:443/job/859564600", "https://www.usajobs.gov:443/job/859564600")</f>
        <v/>
      </c>
      <c r="G11" t="inlineStr">
        <is>
          <t>Johnson City, TN, US</t>
        </is>
      </c>
      <c r="H11" s="1" t="n">
        <v>46083</v>
      </c>
      <c r="I11" t="inlineStr">
        <is>
          <t>**Summary**
-----------
The Facility Program Manager, Pain Management, Opioid Safety, and Prescription Drug Monitoring Program (PMOP), will support Facility Pain Point of Contact (POC)/Clinical Leads in the coordination of pain management, opioid safety, and prescription drug monitoring program (PDMP)\-related initiatives and implementation of VHA and the Joint Commission standards.
**This job is open to**
-----------------------
### **The public**
U.S. Citizens, Nationals or those who owe allegiance to the U.S.
### **Internal to an agency**
Current federal employees of the hiring agency that posted the job announcement.
### **Clarification from the agency**
First Area of Consideration: current permanent employees of the James H. Quillen VAMC \&amp; and associated outpatient clinics, past and current HPT Graduates (Pharmacy residents). Second Area of Consideration: current permanent employees of the Department of Veterans Affairs Third Area of Consideration: All US Citizens NOTE: The 2\-page Resume requirement does not apply to this position. For more information, refer to Required Documents below.
**Duties**
----------
**VA Careers \- Pharmacy**: https://youtube.com/embed/Fn\_ickNBEws  
The Facility PMOP Program Manager will provide professional consultation to VA medical facility management concerning planning and coordination of the programmatic responsibilities related to policy and services in pain management, opioid safety, and prescription drug monitoring programs (PDMPs). The duties for the Facility PMOP Program Manager will include (but are not limited to):
* Working in close collaboration with the VISN PMOP Coordinator, Facility Pain POC, Primary Care (PACT) Pain Champion, Academic Detailing pharmacist, the Pain Management Team (PMT), and other facility stakeholders.
* Supporting a high functioning Pain Committee that includes stakeholders from across the facility, and supporting subcommittees, task forces/work groups as indicated.
* Developing processes/procedures to ensure implementation and compliance with national policy related to pain management, opioid safety and risk mitigation strategies, Overdose Education and Naloxone Distribution (OEND), management of Opioid Use Disorder (OUD), and other initiatives in compliance with national policy, clinical practice guidelines, and regulatory requirements.
* Supporting review of community provider opioid prescribing practices as required by the MISSION Act Section 131\.
* Supporting Opioid Safety Initiative (OSI) reviews, data\-base risk reviews for opioid\-exposed patients (including Stratification Tool for Opioid Risk Mitigation (STORM) data\-based reviews), and other interdisciplinary pain care forums.
* Supporting and tracking full implementation of the Stepped Care Model for Pain Management (SCM\-PM), including a high functioning PMT at the facility, and access to the tertiary pain center within the VISN including a CARF\-accredited interdisciplinary pain rehabilitation program.
* Facilitating implementation of the OUD stepped care model within the facility, in particular for Step 1 of the Stepped Care for Opioid Use Disorder Train\-the\-Trainer (SCOUTT) program expansion, e.g., within PMT's.
* Supporting access to tertiary advanced diagnostic and therapeutic interventional pain care modalities.
**Work Schedule**: Monday\-Friday, 7:45 am\-4:30 pm  
**Compressed/Flexible**: Not available  
**Telework**: Ad hoc, as determined by the agency policy.  
**Virtual:** This is not a virtual position.  
**Functional Statement \#**: 61253\-F  
**Relocation/Recruitment Incentives**: Not authorized  
**Permanent Change of Station (PCS):** Not authorized
**Requirements**
----------------
### **Conditions of employment**
* You must be a U.S. Citizen to apply for this job.
* All applicants tentatively selected for VA employment in a testing designated position are subject to urinalysis to screen for illegal drug use prior to appointment. Applicants who refuse to be tested will be denied employment with VA.
* Selective Service Registration is required for males born after 12/31/1959\.
* Must be proficient in written and spoken English.
* Subject to background/security investigation.
* Selected applicants will be required to complete an online onboarding process. Acceptable form(s) of identification will be required to complete pre\-employment requirements (https://www.uscis.gov/i\-9\-central/form\-i\-9\-acceptable\-documents). Effective May 7, 2025, driver's licenses or state\-issued dentification cards that are not REAL ID compliant cannot be utilized as an acceptable form of identification for employment.
* Must pass pre\-employment physical examination.
* Participation in the seasonal influenza vaccination program is a requirement for all Department of Veterans Affairs Health Care Personnel (HCP).
* Complete all application requirements detailed in the "Required Documents" section of this announcement.
As a condition of employment for accepting this position, you will be required to serve a 1 or 2\-year trial period during which we will evaluate your fitness and whether your continued employment advances the public interest. In determining if your employment advances the public interest, we may consider:
* your performance and conduct;
* the needs and interests of the agency;
* whether your continued employment would advance organizational goals of the agency or the Government; and
* whether your continued employment would advance the efficiency of the Federal service.
Upon completion of your trial period, your employment will be terminated unless you receive certification, in writing, that your continued employment advances the public interest.
### **Qualifications**
Applicants pending the completion of educational or certification/licensure requirements may be referred and tentatively selected but may not be hired until all requirements are met.  
**Basic Requirements**:
* **United States Citizenship:** Non\-citizens may only be appointed when it is not possible to recruit qualified citizens in accordance with VA Policy.
* **Education:**
* Graduate of an Accreditation Council for Pharmacy Education (ACPE) accredited College or School of Pharmacy with a baccalaureate degree in pharmacy (BS Pharmacy) and/or a Doctor of Pharmacy (Pharm.D.) degree. Verification of approved degree programs may be obtained from the Accreditation Council for Pharmacy Education, 20 North Clark Street, Suite 2500, Chicago, Illinois 60602\-5109; phone: (312\) 664\-3575, or through their Web site at: http://www.acpe\-accredit.org/. (NOTE: Prior to 2005 ACPE accredited both baccalaureate and Doctor of Pharmacy terminal degree program. Today the sole degree is Doctor of Pharmacy.)
* Graduates of foreign pharmacy degree programs meet the educational requirement if the graduate is able to provide proof of achieving the Foreign Pharmacy Graduate Examination Commission (FPGEC) Certification, which includes passing the Foreign Pharmacy Graduate Equivalency Examination (FPGEE) and the Test of English as a Foreign Language Internet\-Based Test (TOEFL iBT).
* **Licensure:** Full, current and unrestricted license to practice pharmacy in a State, Territory, Commonwealth of the United States (i.e., Puerto Rico), or the District of Columbia. The pharmacist must maintain current registration if this is a requirement for maintaining full, current, and unrestricted licensure.
* **English Language Proficiency:** Pharmacists must be proficient in spoken and written English as required by 38 U.S.C. 7402(d), and 7407(d).
**In addition to the basic requirements listed above, the below qualification requirements must be met.**  
**Grade Determinations**: **GS\-13 Pharmacist (Facility Program Manager (PMOP))**  
**Experience**. Must have 1 year of experience equivalent to the next lower grade level that includes: (Must be documented on your resume).  
Manages all aspects of a distinct program to include policy development, quality resources and specialty functions unique to the program to optimize cost effectiveness (budget) and patient outcomes. Coordinates a single program area of a complex pharmacy operation, or multiple program areas within a facility to develop, organize, manage, and control complex pharmacy programs. Develops, organizes, coordinates and manages single or multiple program areas within the medical facility; this may include a single program area at multiple facilities.The Program Manager title is reserved for those individuals who have one or more of the following:
* Supervisory responsibilities for various sections within Pharmacy Service; a complex program requiring coordination of multiple locations such as medical center care facilities, Community Based Outpatient Clinics (CBOCs), rural health, telemedicine, etc;
* Specialized areas of a complex nature such as nuclear pharmacy, quality assurance, pharmacy informatics, clinical applications coordinator, Home Based Primary Care, pharmacoeconomist or liaison pharmacist duties requiring the coordination of processes with other medical facilities or VISNs.
**Pharmacists assigned to this position must demonstrate the following Full Performance KSAs:**
* Ability to communicate orally and in writing to persuade and influence clinical and management decisions.
* Expert understanding of regulatory and quality standards for their program area.
* Ability to solve problems, coordinate and organize responsibilities to maximize outcomes in their program area or area of clinical expertise.
* Expert knowledge of a specialized area of clinical pharmacy practice or specialty area of pharmacy.
* Advanced skill in monitoring and assessing the outcome of drug therapies, including physical assessment and interpretation of laboratory and other diagnostic parameters.
**Reference:** For more information on this qualification standard, please visit https://www.va.gov/ohrm/QualificationStandards/.  
The full performance level of this vacancy is GS\-13\.  
**Physical Requirements:** Applicants must be able to perform the following duties: light lifting; walking or standing for up to 8\-hours; must possess visual acuity to read typed print; keen hearing (aids permitted).The loss or impairment of a specific function may be compensated by satisfactory use of prosthesis.
### **Education**
**Note:** Only education or degrees recognized by the U.S. Department of Education from accredited colleges, universities, schools, or institutions may be used to qualify for Federal employment. You can verify your education here: http://ope.ed.gov/accreditation/. If you are using foreign education to meet qualification requirements, you must send a Certificate of Foreign Equivalency with your transcript in order to receive credit for that education. For further information, visit: https://sites.ed.gov/international/recognition\-of\-foreign\-qualifications/.
### **Additional information**
Receiving Service Credit for Earning Annual (Vacation) Leave: Federal Employees earn annual leave at a rate (4, 6 or 8 hours per pay period) which is based on the number of years they have served as a Federal employee. Selected applicants may qualify for credit toward annual leave accrual, based on prior work experience or military service experience. This credited service can be used in determining the rate at which they earn annual leave. Such credit must be requested and approved prior to the appointment date and is not guaranteed.  
During the application process you may have an option to opt\-in to make your resume available to hiring managers in the agency who have similar positions. Opting in does not impact your application for this announcement, nor does it guarantee further consideration for additional positions.  
This job opportunity announcement may be used to fill additional vacancies.  
This position is in the Excepted Service and does not confer competitive status.  
VA encourages persons with disabilities to apply. The health\-related positions in VA are covered by Title 38, and are not covered by the Schedule A excepted appointment authority.  
If you are unable to apply online or need an alternate method to submit documents, please reach out to the Agency Contact listed in this Job Opportunity Announcement.  
Under the Fair Chance to Compete Act, the Department of Veterans Affairs prohibits requesting an applicant's criminal history prior to accepting a tentative job offer. For more information about the Act and the complaint process, visit Human Resources and Administration/Operations, Security, and Preparedness (HRA/OSP) at The Fair Chance Act.
Candidates should be committed to improving the efficiency of the Federal government, passionate about the ideals of our American republic, and committed to upholding the rule of law and the United States Constitution.
Benefits
========
A career with the U.S. government provides employees with a comprehensive benefits package. As a federal employee, you and your family will have access to a range of benefits that are designed to make your federal career very rewarding. Opens in a new windowLearn more about federal benefits.
Review our benefits
Eligibility for benefits depends on the type of position you hold and whether your position is full\-time, part\-time or intermittent. Contact the hiring agency for more information on the specific benefits offered.
**How you will be evaluated**
-----------------------------
You will be evaluated for this job based on how well you meet the qualifications above.
**IN DESCRIBING YOUR EXPERIENCE, PLEASE BE CLEAR AND SPECIFIC. WE MAY NOT MAKE ASSUMPTIONS REGARDING YOUR EXPERIENCE. Your application, resume, C.V., and/or supporting documentation will be verified. Please follow all instructions carefully. Errors or omissions may affect consideration for employment.**  
Experience refers to paid and unpaid experience, including volunteer work done through National Service programs (e.g., Peace Corps, AmeriCorps) and other organizations (e.g., professional; philanthropic; religions; spiritual; community; student; social). Volunteer work helps build critical competencies, knowledge, and skills and can provide valuable training and experience that translates directly to paid employment. You will receive credit for all qualifying experience, including volunteer experience.  
The Department of Veterans Affairs performs pre\-employment reference checks as an assessment method used in the hiring process to verify information provided by a candidate (e.g., on resume or during interview or hiring process); gain additional knowledge regarding a candidate's abilities; and assist a hiring manager with making a final selection for a position.  
It is the policy of the VA to not deny employment to those that have faced financial hardships or periods of unemployment.  
**Veterans and Transitioning Service Members**: Please visit the VA for Vets site for career\-search tools for Veterans seeking employment at VA, career development services for our existing Veterans, and coaching and reintegration support for military service members.
**Required Documents**
----------------------
To apply for this position, you must provide a complete Application Package which includes:  
* Copy of a full, current and unrestricted license to practice pharmacy in a State, Territory, Commonwealth of the United States (i.e., Puerto Rico), or the District of Columbia. The pharmacist must maintain current registration if this is a requirement for maintaining full, current, and unrestricted licensure.
* Resume
* Transcript
**Special Note for Applications:** To complete your application, please use the following link https://vacareers.va.gov/wp\-content/uploads/sites/5/Resume.docx to download the standard Clinical Resume Document. This one\-page document does not need to be modified and must be uploaded into the two\-page restricted 'Resume' document upload field.  
Your full resume/CV may be uploaded without page limitation into the 'Other' document upload field.  
The following documents are accepted, and may be required if applicable to your eligibility and/or qualifications for this position. Please ensure you have included all documents required for your application, such as a copy of your transcript (if using education to qualify), SF\-50's (current/former Federal employees), etc.  
* Cover Letter
* DD\-214/ Statement of Service
* Disability Letter (VA)
* License
* Copy of a full, current and unrestricted license to practice pharmacy in a State, Territory, Commonwealth of the United States (i.e., Puerto Rico), or the District of Columbia. The pharmacist must maintain current registration if this is a requirement for maintaining full, current, and unrestricted licensure.
* Full resume/CV
* PCS Orders
* Resume
* SF\-15
* SF\-50/ Notification of Personnel Action
* Transcript
**Veterans' Preference:** When applying for Federal Jobs, eligible Veterans should claim preference for 5pt (TP), 10pt (CP/CPS/XP), or for Sole Survivor Preference (SSP) in the questionnaire. You must provide a legible copy of your DD214(s) which shows dates and character of service (honorable, general, etc.). If you are currently serving on active duty and expect to be released or discharged within 120 days you must submit documentation related to your active duty service which reflects the dates of service, character of service (honorable, general, etc.), and dates of impending separation. Additionally, disabled veterans and others eligible for 10\-point preference (such as widows or mothers of eligible Veterans) must also submit an SF\-15 "Application for 10 Point Veteran Preference" with required proof as stated on the form. Documentation is required to award preference. For more information on Veterans' Preference, please visit Feds Hire Vets \- Veterans \- Job Seekers \- Veterans' Preference.  
Veterans' preference does not apply for internal or other current permanent Federal agency employees.
### **If you are relying on your education to meet qualification requirements:**
Education must be accredited by an accrediting institution recognized by the U.S. Department of Education in order for it to be credited towards qualifications. Therefore, provide only the attendance and/or degrees from schools accredited by accrediting institutions recognized by the U.S. Department of Education.
Failure to provide all of the required information as stated in this vacancy announcement may result in an ineligible rating or may affect the overall rating.
**How to Apply**
----------------
All applicants are encouraged to apply online. To apply for this position, you must complete the full questionnaire and submit the documentation specified in the Required Documents section below. The complete application package must be submitted by 11:59 PM (ET) on 03/13/2026 to receive consideration. To preview the questionnaire click https://apply.usastaffing.gov/ViewQuestionnaire/12896523\.
* To begin, click Apply Online to create a USAJOBS account or log in to your existing account. Follow the prompts to select your USA JOBS resume and/or other supporting documents and complete the occupational questionnaire.
* Click Submit My Answers to submit your application package.
**NOTE:** It is your responsibility to ensure your responses and appropriate documentation is submitted prior to the closing date.  
### **Agency contact information**
Marco Martinez
Email
Marco.Martinez@va.gov
Address
*James H Quillen VA Medical Center*  
*Corner of Lamont Street and Veterans Way*  
*Mountain Home, TN 37684*  
*US*### **Next steps**
Once your online application is submitted you will receive a confirmation notification by email. After we receive application packages (including all required documents) and the vacancy announcement closes, we will review applications to ensure qualification and eligibility requirements are met. After the review is complete, a referral certificate(s) is issued and applicants will be notified of their status by email. Referred applicants will be notified as such and may be contacted directly by the hiring office for an interview. All referred applicants receive a final notification once a selection decision has been made.  
You may check the status of your application at any time by logging into your USA Jobs account and clicking on Applications. Information regarding your application status can be found in the USAJobs Help Center.  
**NOTE:** Participation in the seasonal influenza program is a condition of employment and a requirement for all Department of Veterans Affairs Health Care Personnel (HCP). It is a requirement that all HCP to receive annual seasonal influenza vaccination or obtain an exemption for medical or religious reasons. Wearing a face mask is required when an exemption to the influenza vaccination has been granted. HCP in violation of this directive may face disciplinary action up to and including removal from federal service. HCP are individuals who, during the influenza season, work in VHA locations or who come into contact with VA patients or other HCP as part of their duties. VHA locations include, but are not limited to, VA hospitals and associated clinics, community living centers (CLCs), community\-based outpatient clinics (CBOCs), domiciliary units, Vet centers and VA\-leased medical facilities. HCP include all VA licensed and unlicensed, clinical and administrative, remote and onsite, paid and without compensation, full\- and part\-time employees, intermittent employees, fee basis employees, VA contractors, researchers, volunteers and health professions trainees (HPTs) who are expected to perform any or all of their work at these facilities. HPTs may be paid or unpaid and include residents, interns, fellows and students. HCP also includes VHA personnel providing home\-based care to Veterans and drivers and other personnel whose duties put them in contact with patients outside VA medical facilities.
**Overview**
------------
Accepting applications
Open \&amp; closing dates
03/03/2026 to 03/13/2026
Salary
$136,206 to \- $177,070 per year
SSR V492
Pay scale \&amp; grade
GS 13
Location
1 vacancy in the following location:
Johnson City, TN
1 vacancy
Remote job
No
Telework eligible
Yes—as determined by the agency policy.
Travel Required
Not required
Relocation expenses reimbursed
No
Appointment type
Permanent
Work schedule
Full\-time
Service
Competitive
Promotion potential
None
Job family (Series)
* 0660 Pharmacist
Supervisory status
No
Security clearance
Not Required
Drug test
Yes
Position sensitivity and risk
High Risk (HR)
Trust determination process
* Credentialing
* Suitability/Fitness
Financial disclosure
No
Bargaining unit status
No
Announcement number
CBTG\-12896523\-26\-MAM
Control number
859564600</t>
        </is>
      </c>
    </row>
    <row r="12">
      <c r="A12" t="inlineStr">
        <is>
          <t>in-95fae94eed5f4ad2</t>
        </is>
      </c>
      <c r="B12" t="inlineStr">
        <is>
          <t>(1365) Sr. Technical Product Manager</t>
        </is>
      </c>
      <c r="C12" t="inlineStr">
        <is>
          <t>Nearsure</t>
        </is>
      </c>
      <c r="D12" t="inlineStr">
        <is>
          <t>indeed</t>
        </is>
      </c>
      <c r="E12">
        <f>HYPERLINK("https://www.indeed.com/viewjob?jk=95fae94eed5f4ad2", "https://www.indeed.com/viewjob?jk=95fae94eed5f4ad2")</f>
        <v/>
      </c>
      <c r="F12">
        <f>HYPERLINK("https://www.nearsure.com/job-opportunity?gh_jid=5066226007", "https://www.nearsure.com/job-opportunity?gh_jid=5066226007")</f>
        <v/>
      </c>
      <c r="G12" t="inlineStr">
        <is>
          <t>Remote, US</t>
        </is>
      </c>
      <c r="H12" s="1" t="n">
        <v>46083</v>
      </c>
      <c r="I12" t="inlineStr">
        <is>
          <t>**Explore the Nortal experience!**
**Join our close\-knit LATAM remote team**: Connect through fun activities like coffee breaks, tech talks, and games with your team\-mates and management.
**Say goodbye to micromanagement!** We champion autonomy, open communication, and respect for diversity as our core values.
* ️**Your well\-being matters**: Our People Care team is here from day one to support you with everything from time\-off requests to wellness check\-ins.
Plus, our Accounts Management team ensures smooth, effective client relationships, so you can focus on what you do best.
***Ready to grow with us?***  
**Here’s what we offer you by joining us!**  
✨ **Competitive USD salary** – We value your skills and contributions!
**100% remote work** – While you can work from anywhere, you’re always welcome to connect with teammates and grow your network at our coworking spaces across LATAM!
**Paid time off** – Take the time you need according to your country’s regulations, all while receiving your full salary. Rest, recharge, and come back stronger!
**National Holidays celebrated** – Take time off to celebrate important events and traditions with loved ones, fully embracing your culture.
**Sick leave** – Focus on your health without the stress. Take the necessary time to recover and feel better.
**Refundable Annual Credit** – Spend it on the perks you love to enhance your work\-life balance!
**Team\-building activities** – Join us for coffee breaks, tech talks, and after\-work gatherings to bond with your Nortal family and feel part of our vibrant community.
**Birthday day off** – Enjoy an extra day off during your birthday week to celebrate in style with friends and family!  
**About the project**  
As a **Senior Technical Product Manager**,you will evaluate emerging technologies, translate needs into actionable product direction, and collaborate closely with Engineering, Design, and other cross\-functional teams to deliver high\-value, user\-centered solutions.  
**How** **you'll** **contribute**  
✅ Leverage AI to transform the way engineers deliver software.  
✅ Work closely with our Platform Engineering team to deliver the technologies that our Software Engineering teams rely heavily on to deploy and manage our product.  
✅ Evaluate the impact and opportunities of new technologies as they relate to customer needs and clients’ broader product ecosystem.  
✅ Support investment and development planning by preparing ROI analyses and partnering with Engineering and IT to establish estimates and timelines.  
✅ Maintain industry expertise by engaging in professional development, attending workshops, reviewing publications, and participating in relevant networks.  
✅ Build strong cross\-functional relationships to ensure alignment and successful product delivery.  
✅ Translate complex internal requirements into clear, actionable product concepts and solutions.  
✅ Communicate effectively with stakeholders at all levels, including senior leadership.  
**This would make you the ideal candidate**  
✨ Bachelor's Degree in Computer Science, Engineering, or a related field.  
✨ 8\+ Years of experience in legal technology, software development, and/or product management.  
✨ Experience with DevOps and cloud deployment.  
✨ Prior Product Management experience strongly preferred; prior Software Engineering experience is a plus.  
✨ Strong technical background and ability to understand engineering concepts and constraints.  
✨ Demonstrated ability to use qualitative and quantitative insights to prioritize and guide decision\-making.  
✨ Metrics\-driven mindset with strong analytical and synthesis skills—able to distill large amounts of data into actionable insights.  
✨ Experience with agile/scrum methodologies and lean product development principles.  
✨ Excellent written and verbal communication skills, including comfort presenting to large and senior audiences.  
✨ Strong relationship management skills and the ability to collaborate effectively across teams.  
✨ Advanced English Level is required for this role, as you will work with US clients. Effective communication in English is essential to deliver the best solutions to our clients and expand your horizons.  
**What to expect from our hiring process**  
1\. Let’s chat about your experience!  
2\. Impress our recruiters, and you’ll move on to a technical interview with our top developers.  
3\. Nail that, and you’ll meet our client \- your final step to joining our amazing team!  
 At Nortal, we’re dedicated to solving complex business challenges through cutting\-edge technology and we believe in the power of tailored solutions. Whether you are passionate about transforming businesses with Generative AI, building innovative software products, or implementing comprehensive enterprise platform solutions, we invite you to be part of our dynamic team!
We would love to hear from you if you are eager to make an impact and join a collaborative team that values creativity and expertise.
***Let’s work together to shape the future of technology!***
‍ **Apply now!**
By applying to this position, you authorize Nortal to collect, store, transfer, and process your personal data in accordance with our Privacy Policy. For more information, please review our Privacy Policy.</t>
        </is>
      </c>
    </row>
    <row r="13">
      <c r="A13" t="inlineStr">
        <is>
          <t>in-faf29cb9dfcb5423</t>
        </is>
      </c>
      <c r="B13" t="inlineStr">
        <is>
          <t>Program Manager, Corporate Startup Lab (CSL) – Tepper School of Business</t>
        </is>
      </c>
      <c r="C13" t="inlineStr">
        <is>
          <t>Carnegie Mellon University</t>
        </is>
      </c>
      <c r="D13" t="inlineStr">
        <is>
          <t>indeed</t>
        </is>
      </c>
      <c r="E13">
        <f>HYPERLINK("https://www.indeed.com/viewjob?jk=faf29cb9dfcb5423", "https://www.indeed.com/viewjob?jk=faf29cb9dfcb5423")</f>
        <v/>
      </c>
      <c r="F13">
        <f>HYPERLINK("https://cmu.wd5.myworkdayjobs.com/en-US/CMU/job/Pittsburgh-PA/Program-Manager--Corporate-Startup-Lab--CSL----Tepper-School-of-Business_2024214", "https://cmu.wd5.myworkdayjobs.com/en-US/CMU/job/Pittsburgh-PA/Program-Manager--Corporate-Startup-Lab--CSL----Tepper-School-of-Business_2024214")</f>
        <v/>
      </c>
      <c r="G13" t="inlineStr">
        <is>
          <t>Pittsburgh, PA, US</t>
        </is>
      </c>
      <c r="H13" s="1" t="n">
        <v>46083</v>
      </c>
      <c r="I13" t="inlineStr">
        <is>
          <t>The Corporate Startup Lab (CSL) is a joint initiative between the Tepper School of Business and the Swartz Center for Entrepreneurship at Carnegie Mellon University. CSL takes an interdisciplinary approach to helping companies explore new opportunities created by innovative technologies and shifts in the market, including areas such as artificial intelligence and robotics.
CSL connects corporations, startups, students, faculty, investors, and ecosystem partners as part of CMU’s broader innovation ecosystem. Through its programs, CSL applies startup and venture principles across all of its offerings, which include a capstone project course, a Fellows program, and a range of public\-facing events and convenings such as the Emerging Tech Showcase. Joining CSL offers the opportunity to work at the intersection of corporate engagement, entrepreneurship, venture\-backed startups, and higher education in a highly collaborative and evolving environment.
The Program Manager, Corporate Startup Lab (CSL) leads CSL’s external\-facing programs and outbound activities, including events, partner convenings, ecosystem engagement, and marketing\-aligned initiatives. This position reports to the Director of the Corporate Startup Lab.
The role focuses on translating CSL programs and outcomes into compelling experiences and materials that bring together leaders from corporations, startups, and the broader innovation ecosystem. The ideal candidate has strong marketing instincts and is comfortable working across digital channels, events, and partnerships in a fast\-paced, dynamic environment.
**Core responsibilities include:**
* Plan and implement CSL’s external and public\-facing programs, including flagship events (CSL Forum, Spring Summit, Demo Day, Emerging Tech Showcase) and targeted roundtables or small\-group convenings that bring together corporations, startups, investors, and program partners
* Design and deliver high\-quality event and convening experiences, managing logistics, partner coordination, and execution across a diverse set of participants
* Develop and manage CSL outbound materials and digital channels, including website content, LinkedIn, YouTube, newsletters, and program collateral
* Create and manage content calendars aligned with CSL programs, events, and ecosystem convenings
* Translate CSL programs and engagements into case studies, testimonials, and narratives that support partner engagement and program growth
* Coordinate with Tepper and CMU marketing and communications partners to ensure consistency and alignment across channels
* Participate in CSL growth and partnership discussions, including support for business development planning and the development of sales enablement materials
* Support CSL leadership in preparing for external meetings, pitches, follow\-ups, and processes supporting partnership agreements
* Support and help deepen relationships across CSL’s partner network, including corporations, startups, investors, and regional and national ecosystem organizations
* Other duties as assigned
Adaptability, excellence, and passion are vital qualities within Carnegie Mellon University. We are in search of a team member who can effectively interact with a varied population of internal and external partners at a high level of integrity. We are looking for someone who shares our values and who will support the mission of the university through their work.
**You should demonstrate:**
* Experience managing digital platforms such as websites, social media, email/newsletters, or content management systems
* Strong written, verbal, and presentation skills
* Demonstrated ability to manage multiple projects, balance competing priorities, and adapt to changing needs
* Comfort working in a fast\-paced, dynamic environment with ambiguity, similar to startup or entrepreneurial settings
* Ability to work independently and collaboratively within a small, cross\-functional team
**Qualifications:**
* Bachelor’s degree required; advanced degree preferred
* 3\-5 years of experience in program management, events, partnerships, marketing or related roles
* A combination of education and relevant experience from which comparable knowledge is demonstrated may be considered.
**Requirements:**
* Successful completion of a pre\-employment background check
**Additional** **Information** :
* Sponsorship: Applicants for this position must be currently legally authorized to work for CMU in the United States. We will not sponsor or take over the sponsorship of an employment visa for this opportunity. Carnegie Mellon is not a qualifying employer for the STEM OPT benefit: only the 12\-month OPT may be used to work at Carnegie Mellon.
**Joining the CMU team opens the door to an array of exceptional benefits.**
**Benefits eligible** **employees enjoy a wide array of benefits including** **comprehensive medical, prescription, dental, and vision insurance** **as well as a generous** **retirement savings program** **with employer contributions. Unlock your potential with** **tuition benefits** **, take well\-deserved breaks with ample** **paid time off** **and observed** **holidays** **, and rest easy with life and accidental death and disability insurance.**
**Additional perks include a free Pittsburgh Regional Transit bus pass, access to our** **Family Concierge Team** **to help navigate childcare needs,** **fitness center access** **,** **and much more!**
**For a comprehensive overview of the benefits available, explore our** **Benefits page** **.**
**At Carnegie Mellon, we value the whole package when extending offers of employment. Beyond credentials, we evaluate the role and responsibilities, your valuable work experience, and the knowledge gained through education and training. We appreciate your unique skills and the perspective you bring. Your journey with us is about more than just a job; it’s about finding the perfect fit for your professional growth and personal aspirations.**
**Are you interested in an exciting opportunity with an exceptional organization?! Apply today!**
**Location**
Pittsburgh, PA
**Job Function**
Academic Program Administration
**Position Type**
Staff – Fixed Term (Fixed Term)
**Full Time/Part time**
Full time
**Pay Basis**
Salary
**More Information:**
* Please visit **“** **Why Carnegie Mellon** **”** to learn more about becoming part of an institution inspiring innovations that change the world.
* 
* **Carnegie Mellon University is an Equal Opportunity** **Employer/Disability/Veteran** .
* **Statement of Assurance**</t>
        </is>
      </c>
    </row>
    <row r="14">
      <c r="A14" t="inlineStr">
        <is>
          <t>in-8c8b92539ae791bc</t>
        </is>
      </c>
      <c r="B14" t="inlineStr">
        <is>
          <t>340B Program Manager</t>
        </is>
      </c>
      <c r="C14" t="inlineStr">
        <is>
          <t>Nashville CARES</t>
        </is>
      </c>
      <c r="D14" t="inlineStr">
        <is>
          <t>indeed</t>
        </is>
      </c>
      <c r="E14">
        <f>HYPERLINK("https://www.indeed.com/viewjob?jk=8c8b92539ae791bc", "https://www.indeed.com/viewjob?jk=8c8b92539ae791bc")</f>
        <v/>
      </c>
      <c r="F14">
        <f>HYPERLINK("https://nashvillecares-puzzlehr.icims.com/jobs/10635/job", "https://nashvillecares-puzzlehr.icims.com/jobs/10635/job")</f>
        <v/>
      </c>
      <c r="G14" t="inlineStr">
        <is>
          <t>Nashville, TN, US</t>
        </is>
      </c>
      <c r="H14" s="1" t="n">
        <v>46083</v>
      </c>
      <c r="I14" t="inlineStr">
        <is>
          <t>**Job Title:** 340B Program Manager  
**Department:** 340B Program  
**Reports To:** Chief Operating Officer  
**FLSA Status:** Exempt\-Salary **About Nashville CARES:**  
Nashville CARES is the leading force in Middle Tennessee dedicated to ending the HIV/AIDS epidemic. Through a holistic approach encompassing HIV prevention, treatment, and comprehensive support, we aim to uplift those at risk and those living with HIV. Our passionate commitment to education, advocacy, and quality healthcare drives our mission forward. Discover more about our impactful work at www.NashvilleCARES.org **Position Overview:**
The **340B Program Manager** serves as the compliance expert on 340B Program details, policies, and procedures, acting as the liaison with necessary affiliated departments to ensure 340B Program integrity. This position provides expertise regarding ongoing **compliance**, develops and maintains **internal and external relationships** (wholesalers, contract pharmacies) as needed, and actively engages with senior leadership in decision\-making processes related to the implementation of new 340B processes. The role ensures all policies and procedures are adhered to, maintains contracts, and coordinates internal and external **audit practices**. Collaboration with a multi\-disciplinary team of Nashville CARES’ staff is also vital. **Essential Duties/Responsibilities**  
Training and Education* Acts as the liaison with necessary departments to ensure 340B Program integrity.
* Develops training and competency materials related to the 340B program.
* Conducts ongoing 340B program training for staff.
* Ensures efficient processes and addresses any problems or suggestions for improvement through internal and external communication.
Policies, Procedures, and Operations* Develops, implements, and modifies consistent policies and procedures according to all applicable guidelines.
* Serves as the expert on acceptable 340B policies and procedures.
* Manages the day\-to\-day operations, eligibility, and compliance of the 340B program.
Compliance* Continually monitors 340B regulations to ensure federal compliance, staying up\-to\-date on all rule changes, including HRSA/OPA.
* Shares all learnings and hot topics with management and staff.
* Keeps abreast of trends and issues by attending 340B trainings and monitoring industry publications to ensure the agency has the latest information regarding interpretations, rulings, suggestions, and advanced ideas for improving participation.
* Leads the agency’s 340B committee, including members from senior leadership and programs.
Registration/Recertification* Ensures the annual HRSA recertification is completed within the allowable period, the listing is always accurate and monitors regularly to ensure pharmacy sites are added and discontinued accordingly.
Auditing* Oversees required 340B audits, both internally and externally.
* Maintains a current state of “audit readiness.”
* Serves as the point person and coordinator for all audits.
* + Coordinates all requests and responses.
	+ Coordinates external compliance assessments with outside firms, where appropriate, to validate internal processes.
* Leads 340B purchasing and utilization audits or compliance assessments internally to ensure compliance with all applicable regulations, including self\-audits of 340B processes, annual audits of contract pharmacies, and monthly audits of 340B eligible locations.
* Coordinates the remediation of findings.
* Routinely reviews data and related reports from all points of service where 340B participation occurs to ensure that policies and procedures are followed, entity eligibility requirements are met, and all patients meet patient definition requirements.
340B Contract Management* Manages relationships, billing services, and compliance with contracted 340B pharmacies, manufacturers, and wholesalers.
* Reviews data to recommend adding new contract pharmacies based on patient utilization.
Program Enhancement/Optimization* Develops strategies for appropriate use of the program, working directly with manufacturers and wholesalers.
* Provides oversight for the implementation of process improvement initiatives and creates an environment that emphasizes continuous monitoring and improvement.
* Provides input and implements plans in coordination with the organization’s pharmacy leadership for organizational facilities to help use 340B savings to expand and improve care provided to underserved and vulnerable populations and assists the organization’s leadership with program development and optimization.
Reporting and Financial Analysis* Prepares, monitors, and reports measurements to ensure satisfaction with the 340B program.
* Develops, monitors, and presents reports on 340B participation that clearly document utilization, savings, problem areas, exceptions, and/or discrepancies to senior leadership.
* Routinely communicates any questions, issues, or discrepancies with the appropriate authority.
* Reports monthly on saving opportunities.
* Communicates key metrics and improvement actions to senior leadership.
* Ensures appropriate documentation and audit trail across areas of responsibility.
* Develops, monitors, maintains, and presents reports to managers and directors on budget variances.
* Develops and prepares drug spend analysis for forecasting and budgeting.
* Completes analytics on any department changes that may affect the budget to make appropriate budgetary adjustments.
* Serves as the point person for finance as it relates to reporting needs for drug expense.
**Qualifications**
Education and/or Experience* Bachelor’s degree in healthcare\-related field or business management, pharmacy experience preferred.
* Two (2\) or more years of direct 340B Program experience
* Two (2\) or more years of institutional experience (hospital—acute care, community\-based organization, nursing home, home health care, integrated health system).
* One (1\) or more years' experience developing analytical and forecasting models for 340B Program growth.
Preferred Qualifications* Master’s degree in health system pharmacy administration, Business Administration, or other relevant fields.
* Three (3\) or more years of 340B Program management.
* At least 3\-5 years of experience in hospitals, grantees, and/or health clinics.
* Advanced 340B Operations Certificate (340B ACE).
* Project management experience.
Knowledge and Skills* Excellent verbal and written English communication skills.
* Excellent organizational and time management abilities.
* Effective interpersonal skills, including the ability to form collaborative alliances, promote teamwork, and ensure high internal and external customer satisfaction.
* Ability to work as a team player or autonomously with strong organizational skills, project management skills, and attention to detail.
* Ability to work with vendors and other departments to keep multiple tasks on track and bring projects successfully to completion.
* Strong skills in standard Microsoft Office applications (Excel, Word, Outlook, Access).
* Ability to initiate and follow through on complex programs of both short and long duration.
* Highly developed problem\-solving skills, including the ability to identify and resolve complex problems.
* Valid Driver’s License and automobile liability insurance.
**Why Join Us?*** Be a part of a mission\-driven organization that is a community leader in HIV prevention and care.
* Engage in meaningful work that has a direct, positive impact on people’s lives.
* Benefit from professional development opportunities in a supportive and inclusive workplace.
 **Competitive Benefits Include:** Medical, Dental, Vision, Life Insurance, 403b, long term disability insurance; short term disability insurance, group life insurance, voluntary life, accident insurance and critical insurance, generous paid time off policy (27 – 37 days per year based on accruals and length of service), and 12 paid holidays. *Nashville CARES is an equal opportunity employer committed to providing an inclusive and welcoming environment for all members of our staff, volunteers and clients. We respect equality and inclusivity for all people and will not discriminate on the basis of race, color, gender, national origin, age, religion, creed, disability, veteran status, sexual orientation or gender identity. We respect, value and celebrate the unique attributes, characteristics and perspectives that make each person who they are.* *The above information has been designed to indicate the general nature and level of work performed by an employee in this position. It is not to be interpreted as a comprehensive inventory of all duties, responsibilities, and qualifications of employees assigned to this job*.</t>
        </is>
      </c>
    </row>
    <row r="15">
      <c r="A15" t="inlineStr">
        <is>
          <t>in-d477a2638a3d9e1c</t>
        </is>
      </c>
      <c r="B15" t="inlineStr">
        <is>
          <t>Product Manager</t>
        </is>
      </c>
      <c r="C15" t="inlineStr">
        <is>
          <t>TRAX USA Corp.</t>
        </is>
      </c>
      <c r="D15" t="inlineStr">
        <is>
          <t>indeed</t>
        </is>
      </c>
      <c r="E15">
        <f>HYPERLINK("https://www.indeed.com/viewjob?jk=d477a2638a3d9e1c", "https://www.indeed.com/viewjob?jk=d477a2638a3d9e1c")</f>
        <v/>
      </c>
      <c r="F15">
        <f>HYPERLINK("https://recruiting.paylocity.com/recruiting/jobs/Details/3957072/Trax-USA-Corp/Product-Manager?source=Indeed_Feed", "https://recruiting.paylocity.com/recruiting/jobs/Details/3957072/Trax-USA-Corp/Product-Manager?source=Indeed_Feed")</f>
        <v/>
      </c>
      <c r="G15" t="inlineStr">
        <is>
          <t>Coral Gables, FL, US</t>
        </is>
      </c>
      <c r="H15" s="1" t="n">
        <v>46083</v>
      </c>
      <c r="I15" t="inlineStr">
        <is>
          <t>Description:
Trax is seeking an experienced **Product Manager** to own the product roadmap and end\-to\-end product delivery for the Electronic Logbook (ELB) product line within the Trax aviation maintenance ecosystem.
This role combines strategic roadmap ownership with hands\-on product ownership responsibilities, ensuring that roadmap priorities translate into clear requirements, prioritized backlogs, and predictable delivery. The Product Manager serves as the single accountable owner for what we build, why we build it, and how it is sequenced and delivered.
Requirements: **Strategic** **Ownership**
* Own and maintain the multi\-year product roadmap for an assigned Trax product line.
* Establish and govern roadmap processes including intake, prioritization, sequencing, and change control.
* Translate customer, regulatory, and operational needs into strategic roadmap initiatives.
* Define product OKRs, success metrics, and business cases for roadmap investments.
* Communicate roadmap direction, tradeoffs, and priorities to leadership and stakeholders.
* Ensure roadmap alignment with Trax strategic themes (SaaS adoption, modernization, quality, scalability).
**Delivery Responsibilities**
* Own and prioritize the product backlog aligned to roadmap outcomes.
* Define epics, features, and detailed requirements including acceptance criteria.
* Lead backlog refinement, sprint planning readiness, and scope decisions.
* Partner closely with Engineering and QA to ensure requirements clarity and delivery feasibility.
* Participate in sprint reviews and accept completed work against requirements.
* Balance roadmap priorities with defects, technical debt, and customer commitments.
* Ensure traceability from roadmap initiatives ? backlog ? delivered functionality.
**Delivery Accountability \&amp; Productivity**
* Be accountable for team delivery performance and productivity against committed sprint goals.
* Monitor velocity, predictability, and release cadence.
* Identify and help remove blockers impacting roadmap delivery.
* Ensure alignment between roadmap commitments and engineering capacity.
**Cross\-Functional Execution**
* Align Product Owners, Engineering, Architecture, QA, Support, and Implementation on priorities and scope.
* Drive release scope decisions and sequencing in partnership with delivery teams.
* Provide domain and workflow expertise for aviation maintenance operations.
* Support customer\-facing teams with roadmap context and feature intent.
* Monitor delivery progress and adjust priorities based on outcomes and constraints.
 **Required Skills \&amp; Experience**
* 5\+ years product management experience in enterprise or SaaS software
* Proven ownership of product roadmap strategy and backlog execution
* Strong requirements definition and prioritization expertise.
* Demonstrated expertise in leveraging Jira to manage product backlogs, drive sprint execution, monitor team velocity, and maintain roadmap alignment.
* Experience working directly with engineering teams in Agile delivery
* Ability to operate at both strategic and detailed execution levels
* Excellent communication with technical, operational, and executive stakeholders
* Experience managing complex, multi\-stakeholder product environments
**Preferred / Trax\-Relevant Experience**
* Aviation, MRO, fleet management, or regulated enterprise software
* Mobile/native iOS product ecosystems
* SaaS transition or modernization programs
* Large airline or M\&amp;E customer environments
* Atlassian/Jira product lifecycle management practices
**Success in This Role**
Success is measured by:
* Clear, trusted, and actionable product roadmap
* Well\-prioritized backlog aligned to strategy
* Predictable sprint delivery and scope clarity
* Strong alignment between roadmap and delivered functionality
* Measurable customer and business outcomes
 **Job type**: Full time / Salaried
**Job Level**: Senior \- Experienced
**Job Location**: Fully Onsite \- Coral Gables
**Job Shift:** First \- 8a \- 5p
**Remote**: No
TRAX Technology powers the safe operation of tens of thousands of aircraft for hundreds of aircraft operators worldwide. Our customers include several of the world’s largest airlines as well as most low\-cost carriers and large MROs, all of which operate \&amp; maintain the safest fleets at a very efficient cost structure in the industry. As a mission\-critical system, our technologies are vital to the success of their business. Therefore, TRAX is constantly investing \&amp; innovating to ensure our applications remain best\-of\-breed / best\-in\-class in the industry to ensure we remain the market leader. We are only as good as our last implementation; everything is on the line with each project.
*TRAX USA Corp is an equal opportunity employer committed to diversity in the workplace. We evaluate qualified applicants without regard to race, color, religion, sex, disability, veteran status, and other protected characteristics. We maintain a drug\-free and tobacco\-free workplace and perform pre\-employment background checks.*</t>
        </is>
      </c>
    </row>
    <row r="16">
      <c r="A16" t="inlineStr">
        <is>
          <t>in-d7624c2215f48a7e</t>
        </is>
      </c>
      <c r="B16" t="inlineStr">
        <is>
          <t>Program Manager Senior - Member Value</t>
        </is>
      </c>
      <c r="C16" t="inlineStr">
        <is>
          <t>USAA</t>
        </is>
      </c>
      <c r="D16" t="inlineStr">
        <is>
          <t>indeed</t>
        </is>
      </c>
      <c r="E16">
        <f>HYPERLINK("https://www.indeed.com/viewjob?jk=d7624c2215f48a7e", "https://www.indeed.com/viewjob?jk=d7624c2215f48a7e")</f>
        <v/>
      </c>
      <c r="F16">
        <f>HYPERLINK("https://www.usaajobs.com/job/-/-/1207/92316145440", "https://www.usaajobs.com/job/-/-/1207/92316145440")</f>
        <v/>
      </c>
      <c r="G16" t="inlineStr">
        <is>
          <t>San Antonio, TX, US</t>
        </is>
      </c>
      <c r="H16" s="1" t="n">
        <v>46082</v>
      </c>
      <c r="I16" t="inlineStr">
        <is>
          <t>**Why USAA?**
At USAA, our mission is to empower our members to achieve financial security through highly competitive products, exceptional service and trusted advice. We seek to be the \#1 choice for the military community and their families.
Embrace a fulfilling career at USAA, where our core values – honesty, integrity, loyalty and service – define how we treat each other and our members. Be part of what truly makes us special and impactful.
**The Opportunity**
This position will report directly to the AVP of Member Prosperity \&amp; Protection as a dedicated **Program Manager Senior**. They will be instrumental to build, manage, and execute an Association\-wide program focused on increasing member prosperity and access to protection where members experience unified tailored services that promote safety, proactive risk prevention, improved product affordability, and long\-term security.
They will be responsible for coordinating cross\-functional teams, manage the program roadmap and deliverables, engage internal stakeholders, external partners, and drive outcomes that strengthen financial, physical and emotional resilience for our members.
We offer a flexible work environment that requires an individual to be **in the office 4 days per week.** This position can be based in one of the following locations: San Antonio, TX, Plano, TX, Phoenix, AZ, Colorado Springs, CO, Charlotte, NC, Chesapeake, VA or Tampa, FL.
Relocation assistance is **not** available for this position.
**What you'll do:**
* Defines and maintains program strategies commensurate with the level of risk, size, and complexity to ensure individual efforts align with organizational goals.
* Responsible for providing input and recommendations on multi\-year business plans to deliver business capabilities and define execution approach to achieve business goal while reducing risk and delivering early business value.
* Facilitates meetings with executive management and project / program sponsors to define solutions and delivery.
* Prepares reports that provide stakeholders and management with status updates to include identifying risks or issues.
* Performs analyses, root cause identification and development and recommendation of key work products.
* Negotiates agreements, settles disputes equitably and diffuses situations.
* Negotiates program tradeoffs with IT and the business as the program develops to ensure alignment of demand to capacity.
* Adheres to EPMO processes, procedures, controls, standards, tools, and templates (as required).
* Adheres to governance rigor required for work efforts.
* Drives the adoption and sustainment of changes within the organization in compliance with USAA’s Change Management methodology.
* Ensures risks associated with business activities are effectively identified, measured, monitored, and controlled in accordance with risk and compliance policies and procedures.
**What you have:**
* Bachelor’s degree; OR 4 years of related experience (in addition to the minimum years of experience required) may be substituted in lieu of degree.
* 6 years of project and / or program management experience, including experience defining a new program and/or managing large\-scale projects.
* Proficient experience in Principles of Project, Program or Portfolio Management to develop multi\-year business plans.
* Proficient knowledge of program efforts management tools and methodologies.
* Understanding and demonstrated application of risk management policies and procedures.
* Knowledge of program management methodology and techniques; program performance evaluation and change management principles.
* Experience maintaining and reporting on work effort(s) budgets / methodologies.
* Proficient experience in USAA’s change management methodology or similar industry change management methodology.
* Demonstrated experience using knowledge of the business, its products, and processes to assess program risks and rewards across multiple technologies and business goals.
**What sets you apart:**
* Proven experience leading large\-scale, complex programs across different Functions / LOBs, demonstrating adaptability.
* Strong background in developing and executing strategic program roadmaps for complex initiatives, including cross\-business integration and implementation
* Effectively influences diverse stakeholders and builds consensus across departments and reporting lines within matrixed structures to achieve shared objectives.
* P\&amp;C, Bank or Life experience in product management, business process ownership or digital design
* Experience managing or engaging with external partnerships, including industry groups and government relations.
**Compensation range:** The salary range for this position is: $103,450 \- $197,730**.**
**USAA does not provide visa sponsorship for this role. Please do not apply for this role if at any time (now or in the future) you will need immigration support (i.e., H\-1B, TN, STEM OPT Training Plans, etc.).**
**Compensation:** USAA has an effective process for assessing market data and establishing ranges to ensure we remain competitive. You are paid within the salary range based on your experience and market data of the position. The actual salary for this role may vary by location.
Employees may be eligible for pay incentives based on overall corporate and individual performance and at the discretion of the USAA Board of Directors.
The above description reflects the details considered necessary to describe the principal functions of the job and should not be construed as a detailed description of all the work requirements that may be performed in the job.
 **Benefits:** At USAA our employees enjoy best\-in\-class benefits to support their physical, financial, and emotional wellness. These benefits include comprehensive medical, dental and vision plans, 401(k), pension, life insurance, parental benefits, adoption assistance, paid time off program with paid holidays plus 16 paid volunteer hours, and various wellness programs. Additionally, our career path planning and continuing education assists employees with their professional goals.
For more details on our outstanding benefits, visit our benefits page on USAAjobs.com.
*Applications for this position are accepted on an ongoing basis, this posting will remain open until the position is filled. Thus, interested candidates are encouraged to apply the same day they view this posting.*
*USAA is an Equal Opportunity Employer. All qualified applicants will receive consideration for employment without regard to race, color, religion, sex, sexual orientation, gender identity, national origin, disability, or status as a protected veteran.*</t>
        </is>
      </c>
    </row>
    <row r="17">
      <c r="A17" t="inlineStr">
        <is>
          <t>in-b752606b6455e1b9</t>
        </is>
      </c>
      <c r="B17" t="inlineStr">
        <is>
          <t>IT Product Manager - Billing (Hybrid)</t>
        </is>
      </c>
      <c r="C17" t="inlineStr">
        <is>
          <t>Eversource Energy</t>
        </is>
      </c>
      <c r="D17" t="inlineStr">
        <is>
          <t>indeed</t>
        </is>
      </c>
      <c r="E17">
        <f>HYPERLINK("https://www.indeed.com/viewjob?jk=b752606b6455e1b9", "https://www.indeed.com/viewjob?jk=b752606b6455e1b9")</f>
        <v/>
      </c>
      <c r="F17">
        <f>HYPERLINK("https://jobs.eversource.com/job/-/-/7774/92308796272", "https://jobs.eversource.com/job/-/-/7774/92308796272")</f>
        <v/>
      </c>
      <c r="G17" t="inlineStr">
        <is>
          <t>Westwood, MA, US</t>
        </is>
      </c>
      <c r="H17" s="1" t="n">
        <v>46082</v>
      </c>
      <c r="I17" t="inlineStr">
        <is>
          <t>Eversource will not offer immigration\-related sponsorship for this position. Applicants who require immigration sponsorship—either now or in the future—should not apply. This includes, but is not limited to, direct company sponsorship, listing Eversource as the employer of record on immigration documents, or any work authorization that requires company involvement or documentation (e.g., H\-1B, OPT, STEM OPT, CPT, TN, J\-1, O\-1, etc.).
*Eversource supports work\-life balance by offering hybrid schedules for certain roles. Eligibility is based on job responsibilities, operational needs, nature of**work**and team dynamics. Current guidelines require employees to work at least three days in the office, including Tuesdays and Wednesdays, with the third day set by the employee and supervisor based on department needs. These guidelines apply to roles approved for remote work and are subject to**change, based**on managerial discretion and work performance. All applicants must be able to**work* *up to five days in the office if needed (for example: emergencies, training, or other business needs) or should the policy change.*
The IT Product Manager is responsible for leading the design, development, maintenance, and enhancement of business applications for the area. In addition, the manager will be responsible for maintaining and fostering relations with key business partners. This position will be focused on the applications and stakeholder relationships in the billing business area.
The incumbent works directly or through subordinates with customers, colleagues, and other key stakeholders to identify client’s information requirements and seeks out opportunities to construct new or modify existing applications that will enable business partners to achieve critical business strategies. Another key aspect of the role is educating the work force on the strategic use of technology. The incumbent will also be responsible for devising strategic plans to reduce the overall application portfolio, minimize complexities within the domain, reduce operational cost, improve application resiliency, and improve service delivery.
The position requires a high level of planning and organization, work management knowledge, the ability to effectively delegate work, ability to establish development standards and work practices, and solid judgement/problem solving skills. The main challenge of the product management process is achieving the optimum integration level of business systems with data integration with communications technology and evolving technology. Other key challenges will be stabilizing newly implemented applications and shifting the operations support model from a waterfall\-based approach to agile for certain key applications.
**Essential Functions:**
* Lead staff members through service delivery transformation.
* Work closely with new incumbent supplier to ensure contractual obligations and SLA’s are being met.
* Derive metrics to demonstrate and measure delivery improvement and fiscal responsibility.
* Direct the overall deployment and activities of their staff and facilitate the resolution of situations brought to their attention that impact the cost, schedule or technical parameters of projects and key efforts.
* Manages all deliverables and obligations related to application operation; application maintenance and support; and application release management for assigned application portfolio.
* Manages all outsourced managed services and cloud/hosted vendor contract SLAs related to application operation.
* Ensures all applications in portfolio are monitored for performance and assured operations in alignment with all automated and non\-automated department monitoring standards.
* Establish and maintain effective working relationships with key clients.
* Develop and utilize performance metrics to show process for service delivery and SLA adherence.
* Help drive area transition to an agile delivery approach.
* Integrate activities with business unit and other IT departments to ensure the successful implementation and support of project efforts.
* Help to ensure successful delivery of key capital project implementations including seamless transition to steady state support.
* Effectively manage and control maintenance, outside service, and project costs.
* Lead the development of road maps for key applications to ensure application resiliency and provide added business value.
* Evaluation of root cause technical solutions proposed by the supplier; striving for elimination of technical debt.
* Coordinate preparation of statements of work and specifications, estimation of product / service costs and pricing, and negotiation and administration of contracts.
* Negotiate IT’s interests and manage external vendor, contractor and material contracts.
**Technical Knowledge/Skill/Education/Licenses/Certifications:**
*Technical Knowledge/Skill:*
* Strong technical acumen with mastery level of development concepts and underlying technology as well as the software development life cycle.
* Strong analytical and conceptual skills including the ability to solve complex technical problems.
* Ability to work collaboratively and lead a team of direct reports and managed services vendors including day\-to\-day coaching and performance management/assessment.
* Strong customer service and teamwork skills.
* Customer\-first orientation and strong passion for delivering quality tools and solutions.
* Strong interpersonal, negotiation and management skills, and strong business acumen.
* Strong experience managing outsourced IT managed services providers a must.
* Ability to think strategically to anticipate the needs of business partners and longevity of applications in portfolio.
* Exhibits an exceptional degree of ingenuity, creativity and/or resourcefulness.
* Ability to prioritize tasks and manage deadlines in a fast\-paced environment, with acute attention to detail.
* Ability to translate data into actionable plans and tactics.
* Ability to maintain strong relationships with stakeholders and managed services providers.
* Excellent communication skills including verbal, written, and presentation skills.
* Applies extensive organizational and/or project management expertise and has full knowledge of other related disciplines. May be viewed as expert within a given field.
***Education:***
* Bachelor’s degree from an accredited four\-year college or university with a focus in computer science, computer information systems or a closely related area.
***Experience*****:**
* A minimum of 10 years related experience is required of which (5\) five years includes supervisory/leadership responsibilities. A minimum of (5\) five years related experience managing outsourced IT managed services providers or similar experience. A minimum of (5\) years’ experience supporting COTS and other application software solutions or similar experience . Knowledge and experience working within an agile framework a plus.
**Working Conditions:**
* Must be available to work emergency restoration assignment as required.
* Must be available to travel between MA/CT/NH as necessary.
### **\#corpajd**
**Competencies:**
Build trusting relationships
Manage and develop people
Foster teamwork and cross\-functional collaboration
Lead change
Communicate strategic vision
Create an engaged workforce
Focus on the customer
Take ownership \&amp; accountability
**Compensation and Benefits:**
Eversource offers a competitive total rewards program. Check out our careers site for an overview of our benefits programs. Salary is commensurate with your experience. This position is eligible for a potential incentive. The annual salary range for this position is:
$155,690\.00\-$172,990\.00**Worker Type:**
Regular**Number of Openings:**
1**Emergency Response:**
Responding to emergency situations to meet customers’ needs is part of every employee’s role. If employed, you will be given an Emergency Restoration assignment. This means you may be called to assist during an emergency outside of your normal responsibilities, work hours and location.
**EEO Statement**:
Eversource Energy is an Equal Opportunity and Affirmative Action Employer. All qualified applicants will receive consideration for employment without regard to age, race, color, sex, sexual orientation, gender identity, national origin, religion, disability status, or protected veteran status.
VEVRRA Federal Contractor</t>
        </is>
      </c>
    </row>
    <row r="18">
      <c r="A18" t="inlineStr">
        <is>
          <t>in-a89702b43f91db46</t>
        </is>
      </c>
      <c r="B18" t="inlineStr">
        <is>
          <t>IT Product Manager - Billing (Hybrid)</t>
        </is>
      </c>
      <c r="C18" t="inlineStr">
        <is>
          <t>Eversource Energy</t>
        </is>
      </c>
      <c r="D18" t="inlineStr">
        <is>
          <t>indeed</t>
        </is>
      </c>
      <c r="E18">
        <f>HYPERLINK("https://www.indeed.com/viewjob?jk=a89702b43f91db46", "https://www.indeed.com/viewjob?jk=a89702b43f91db46")</f>
        <v/>
      </c>
      <c r="F18">
        <f>HYPERLINK("https://jobs.eversource.com/job/-/-/7774/92308796272", "https://jobs.eversource.com/job/-/-/7774/92308796272")</f>
        <v/>
      </c>
      <c r="G18" t="inlineStr">
        <is>
          <t>Manchester, NH, US</t>
        </is>
      </c>
      <c r="H18" s="1" t="n">
        <v>46082</v>
      </c>
      <c r="I18" t="inlineStr">
        <is>
          <t>Eversource will not offer immigration\-related sponsorship for this position. Applicants who require immigration sponsorship—either now or in the future—should not apply. This includes, but is not limited to, direct company sponsorship, listing Eversource as the employer of record on immigration documents, or any work authorization that requires company involvement or documentation (e.g., H\-1B, OPT, STEM OPT, CPT, TN, J\-1, O\-1, etc.).
*Eversource supports work\-life balance by offering hybrid schedules for certain roles. Eligibility is based on job responsibilities, operational needs, nature of**work**and team dynamics. Current guidelines require employees to work at least three days in the office, including Tuesdays and Wednesdays, with the third day set by the employee and supervisor based on department needs. These guidelines apply to roles approved for remote work and are subject to**change, based**on managerial discretion and work performance. All applicants must be able to**work* *up to five days in the office if needed (for example: emergencies, training, or other business needs) or should the policy change.*
The IT Product Manager is responsible for leading the design, development, maintenance, and enhancement of business applications for the area. In addition, the manager will be responsible for maintaining and fostering relations with key business partners. This position will be focused on the applications and stakeholder relationships in the billing business area.
The incumbent works directly or through subordinates with customers, colleagues, and other key stakeholders to identify client’s information requirements and seeks out opportunities to construct new or modify existing applications that will enable business partners to achieve critical business strategies. Another key aspect of the role is educating the work force on the strategic use of technology. The incumbent will also be responsible for devising strategic plans to reduce the overall application portfolio, minimize complexities within the domain, reduce operational cost, improve application resiliency, and improve service delivery.
The position requires a high level of planning and organization, work management knowledge, the ability to effectively delegate work, ability to establish development standards and work practices, and solid judgement/problem solving skills. The main challenge of the product management process is achieving the optimum integration level of business systems with data integration with communications technology and evolving technology. Other key challenges will be stabilizing newly implemented applications and shifting the operations support model from a waterfall\-based approach to agile for certain key applications.
**Essential Functions:**
* Lead staff members through service delivery transformation.
* Work closely with new incumbent supplier to ensure contractual obligations and SLA’s are being met.
* Derive metrics to demonstrate and measure delivery improvement and fiscal responsibility.
* Direct the overall deployment and activities of their staff and facilitate the resolution of situations brought to their attention that impact the cost, schedule or technical parameters of projects and key efforts.
* Manages all deliverables and obligations related to application operation; application maintenance and support; and application release management for assigned application portfolio.
* Manages all outsourced managed services and cloud/hosted vendor contract SLAs related to application operation.
* Ensures all applications in portfolio are monitored for performance and assured operations in alignment with all automated and non\-automated department monitoring standards.
* Establish and maintain effective working relationships with key clients.
* Develop and utilize performance metrics to show process for service delivery and SLA adherence.
* Help drive area transition to an agile delivery approach.
* Integrate activities with business unit and other IT departments to ensure the successful implementation and support of project efforts.
* Help to ensure successful delivery of key capital project implementations including seamless transition to steady state support.
* Effectively manage and control maintenance, outside service, and project costs.
* Lead the development of road maps for key applications to ensure application resiliency and provide added business value.
* Evaluation of root cause technical solutions proposed by the supplier; striving for elimination of technical debt.
* Coordinate preparation of statements of work and specifications, estimation of product / service costs and pricing, and negotiation and administration of contracts.
* Negotiate IT’s interests and manage external vendor, contractor and material contracts.
**Technical Knowledge/Skill/Education/Licenses/Certifications:**
*Technical Knowledge/Skill:*
* Strong technical acumen with mastery level of development concepts and underlying technology as well as the software development life cycle.
* Strong analytical and conceptual skills including the ability to solve complex technical problems.
* Ability to work collaboratively and lead a team of direct reports and managed services vendors including day\-to\-day coaching and performance management/assessment.
* Strong customer service and teamwork skills.
* Customer\-first orientation and strong passion for delivering quality tools and solutions.
* Strong interpersonal, negotiation and management skills, and strong business acumen.
* Strong experience managing outsourced IT managed services providers a must.
* Ability to think strategically to anticipate the needs of business partners and longevity of applications in portfolio.
* Exhibits an exceptional degree of ingenuity, creativity and/or resourcefulness.
* Ability to prioritize tasks and manage deadlines in a fast\-paced environment, with acute attention to detail.
* Ability to translate data into actionable plans and tactics.
* Ability to maintain strong relationships with stakeholders and managed services providers.
* Excellent communication skills including verbal, written, and presentation skills.
* Applies extensive organizational and/or project management expertise and has full knowledge of other related disciplines. May be viewed as expert within a given field.
***Education:***
* Bachelor’s degree from an accredited four\-year college or university with a focus in computer science, computer information systems or a closely related area.
***Experience*****:**
* A minimum of 10 years related experience is required of which (5\) five years includes supervisory/leadership responsibilities. A minimum of (5\) five years related experience managing outsourced IT managed services providers or similar experience. A minimum of (5\) years’ experience supporting COTS and other application software solutions or similar experience . Knowledge and experience working within an agile framework a plus.
**Working Conditions:**
* Must be available to work emergency restoration assignment as required.
* Must be available to travel between MA/CT/NH as necessary.
### **\#corpajd**
**Competencies:**
Build trusting relationships
Manage and develop people
Foster teamwork and cross\-functional collaboration
Lead change
Communicate strategic vision
Create an engaged workforce
Focus on the customer
Take ownership \&amp; accountability
**Compensation and Benefits:**
Eversource offers a competitive total rewards program. Check out our careers site for an overview of our benefits programs. Salary is commensurate with your experience. This position is eligible for a potential incentive. The annual salary range for this position is:
$155,690\.00\-$172,990\.00**Worker Type:**
Regular**Number of Openings:**
1**Emergency Response:**
Responding to emergency situations to meet customers’ needs is part of every employee’s role. If employed, you will be given an Emergency Restoration assignment. This means you may be called to assist during an emergency outside of your normal responsibilities, work hours and location.
**EEO Statement**:
Eversource Energy is an Equal Opportunity and Affirmative Action Employer. All qualified applicants will receive consideration for employment without regard to age, race, color, sex, sexual orientation, gender identity, national origin, religion, disability status, or protected veteran status.
VEVRRA Federal Contractor</t>
        </is>
      </c>
    </row>
    <row r="19">
      <c r="A19" t="inlineStr">
        <is>
          <t>in-ea21c0b0972b6d7c</t>
        </is>
      </c>
      <c r="B19" t="inlineStr">
        <is>
          <t>IT Product Manager - Billing (Hybrid)</t>
        </is>
      </c>
      <c r="C19" t="inlineStr">
        <is>
          <t>Eversource Energy</t>
        </is>
      </c>
      <c r="D19" t="inlineStr">
        <is>
          <t>indeed</t>
        </is>
      </c>
      <c r="E19">
        <f>HYPERLINK("https://www.indeed.com/viewjob?jk=ea21c0b0972b6d7c", "https://www.indeed.com/viewjob?jk=ea21c0b0972b6d7c")</f>
        <v/>
      </c>
      <c r="F19">
        <f>HYPERLINK("https://jobs.eversource.com/job/-/-/7774/92308796272", "https://jobs.eversource.com/job/-/-/7774/92308796272")</f>
        <v/>
      </c>
      <c r="G19" t="inlineStr">
        <is>
          <t>East Berlin, CT, US</t>
        </is>
      </c>
      <c r="H19" s="1" t="n">
        <v>46082</v>
      </c>
      <c r="I19" t="inlineStr">
        <is>
          <t>Eversource will not offer immigration\-related sponsorship for this position. Applicants who require immigration sponsorship—either now or in the future—should not apply. This includes, but is not limited to, direct company sponsorship, listing Eversource as the employer of record on immigration documents, or any work authorization that requires company involvement or documentation (e.g., H\-1B, OPT, STEM OPT, CPT, TN, J\-1, O\-1, etc.).
*Eversource supports work\-life balance by offering hybrid schedules for certain roles. Eligibility is based on job responsibilities, operational needs, nature of**work**and team dynamics. Current guidelines require employees to work at least three days in the office, including Tuesdays and Wednesdays, with the third day set by the employee and supervisor based on department needs. These guidelines apply to roles approved for remote work and are subject to**change, based**on managerial discretion and work performance. All applicants must be able to**work* *up to five days in the office if needed (for example: emergencies, training, or other business needs) or should the policy change.*
The IT Product Manager is responsible for leading the design, development, maintenance, and enhancement of business applications for the area. In addition, the manager will be responsible for maintaining and fostering relations with key business partners. This position will be focused on the applications and stakeholder relationships in the billing business area.
The incumbent works directly or through subordinates with customers, colleagues, and other key stakeholders to identify client’s information requirements and seeks out opportunities to construct new or modify existing applications that will enable business partners to achieve critical business strategies. Another key aspect of the role is educating the work force on the strategic use of technology. The incumbent will also be responsible for devising strategic plans to reduce the overall application portfolio, minimize complexities within the domain, reduce operational cost, improve application resiliency, and improve service delivery.
The position requires a high level of planning and organization, work management knowledge, the ability to effectively delegate work, ability to establish development standards and work practices, and solid judgement/problem solving skills. The main challenge of the product management process is achieving the optimum integration level of business systems with data integration with communications technology and evolving technology. Other key challenges will be stabilizing newly implemented applications and shifting the operations support model from a waterfall\-based approach to agile for certain key applications.
**Essential Functions:**
* Lead staff members through service delivery transformation.
* Work closely with new incumbent supplier to ensure contractual obligations and SLA’s are being met.
* Derive metrics to demonstrate and measure delivery improvement and fiscal responsibility.
* Direct the overall deployment and activities of their staff and facilitate the resolution of situations brought to their attention that impact the cost, schedule or technical parameters of projects and key efforts.
* Manages all deliverables and obligations related to application operation; application maintenance and support; and application release management for assigned application portfolio.
* Manages all outsourced managed services and cloud/hosted vendor contract SLAs related to application operation.
* Ensures all applications in portfolio are monitored for performance and assured operations in alignment with all automated and non\-automated department monitoring standards.
* Establish and maintain effective working relationships with key clients.
* Develop and utilize performance metrics to show process for service delivery and SLA adherence.
* Help drive area transition to an agile delivery approach.
* Integrate activities with business unit and other IT departments to ensure the successful implementation and support of project efforts.
* Help to ensure successful delivery of key capital project implementations including seamless transition to steady state support.
* Effectively manage and control maintenance, outside service, and project costs.
* Lead the development of road maps for key applications to ensure application resiliency and provide added business value.
* Evaluation of root cause technical solutions proposed by the supplier; striving for elimination of technical debt.
* Coordinate preparation of statements of work and specifications, estimation of product / service costs and pricing, and negotiation and administration of contracts.
* Negotiate IT’s interests and manage external vendor, contractor and material contracts.
**Technical Knowledge/Skill/Education/Licenses/Certifications:**
*Technical Knowledge/Skill:*
* Strong technical acumen with mastery level of development concepts and underlying technology as well as the software development life cycle.
* Strong analytical and conceptual skills including the ability to solve complex technical problems.
* Ability to work collaboratively and lead a team of direct reports and managed services vendors including day\-to\-day coaching and performance management/assessment.
* Strong customer service and teamwork skills.
* Customer\-first orientation and strong passion for delivering quality tools and solutions.
* Strong interpersonal, negotiation and management skills, and strong business acumen.
* Strong experience managing outsourced IT managed services providers a must.
* Ability to think strategically to anticipate the needs of business partners and longevity of applications in portfolio.
* Exhibits an exceptional degree of ingenuity, creativity and/or resourcefulness.
* Ability to prioritize tasks and manage deadlines in a fast\-paced environment, with acute attention to detail.
* Ability to translate data into actionable plans and tactics.
* Ability to maintain strong relationships with stakeholders and managed services providers.
* Excellent communication skills including verbal, written, and presentation skills.
* Applies extensive organizational and/or project management expertise and has full knowledge of other related disciplines. May be viewed as expert within a given field.
***Education:***
* Bachelor’s degree from an accredited four\-year college or university with a focus in computer science, computer information systems or a closely related area.
***Experience*****:**
* A minimum of 10 years related experience is required of which (5\) five years includes supervisory/leadership responsibilities. A minimum of (5\) five years related experience managing outsourced IT managed services providers or similar experience. A minimum of (5\) years’ experience supporting COTS and other application software solutions or similar experience . Knowledge and experience working within an agile framework a plus.
**Working Conditions:**
* Must be available to work emergency restoration assignment as required.
* Must be available to travel between MA/CT/NH as necessary.
### **\#corpajd**
**Competencies:**
Build trusting relationships
Manage and develop people
Foster teamwork and cross\-functional collaboration
Lead change
Communicate strategic vision
Create an engaged workforce
Focus on the customer
Take ownership \&amp; accountability
**Compensation and Benefits:**
Eversource offers a competitive total rewards program. Check out our careers site for an overview of our benefits programs. Salary is commensurate with your experience. This position is eligible for a potential incentive. The annual salary range for this position is:
$155,690\.00\-$172,990\.00**Worker Type:**
Regular**Number of Openings:**
1**Emergency Response:**
Responding to emergency situations to meet customers’ needs is part of every employee’s role. If employed, you will be given an Emergency Restoration assignment. This means you may be called to assist during an emergency outside of your normal responsibilities, work hours and location.
**EEO Statement**:
Eversource Energy is an Equal Opportunity and Affirmative Action Employer. All qualified applicants will receive consideration for employment without regard to age, race, color, sex, sexual orientation, gender identity, national origin, religion, disability status, or protected veteran status.
VEVRRA Federal Contractor</t>
        </is>
      </c>
    </row>
    <row r="20">
      <c r="A20" t="inlineStr">
        <is>
          <t>in-26b3aa8ef40bd4c5</t>
        </is>
      </c>
      <c r="B20" t="inlineStr">
        <is>
          <t>CMMC Program Manager</t>
        </is>
      </c>
      <c r="C20" t="inlineStr">
        <is>
          <t>Nakupuna Companies</t>
        </is>
      </c>
      <c r="D20" t="inlineStr">
        <is>
          <t>indeed</t>
        </is>
      </c>
      <c r="E20">
        <f>HYPERLINK("https://www.indeed.com/viewjob?jk=26b3aa8ef40bd4c5", "https://www.indeed.com/viewjob?jk=26b3aa8ef40bd4c5")</f>
        <v/>
      </c>
      <c r="F20">
        <f>HYPERLINK("https://careers-nakupuna.icims.com/jobs/6243/job", "https://careers-nakupuna.icims.com/jobs/6243/job")</f>
        <v/>
      </c>
      <c r="G20" t="inlineStr">
        <is>
          <t>Remote, US</t>
        </is>
      </c>
      <c r="H20" s="1" t="n">
        <v>46082</v>
      </c>
      <c r="I20" t="inlineStr">
        <is>
          <t>The CMMC Program Manager is responsible for the end\-to\-end management, sustainment, and continuous improvement of the company’s Cybersecurity Maturity Model Certification (CMMC) Level 2 program in support of DoD contracts involving Controlled Unclassified Information (CUI).
This role provides enterprise\-level governance and oversight to ensure compliance with DFARS 252\.204\-7012, 32 CFR Part 170, 32 CFR Part 117, and NIST SP 800\-171, and serves as the primary authority for CMMC program readiness, audit preparation, and sustainment.
The position works closely with the FSO, IT, Legal, Contracts, HR, and Program Management to ensure cybersecurity requirements are fully integrated into business operations.
The following reflects management’s definition of essential functions for this job but does not restrict the tasks that may be assigned.  
CMMC Program Governance \&amp; Oversight
* Serve as the Program Owner for the company’s CMMC Level 2 compliance effort
* Develop, maintain, and execute the CMMC compliance roadmap, ensuring alignment with DoD timelines and contract requirements
* Establish governance structures, roles, and accountability for cybersecurity compliance across business units
* Ensure alignment between CMMC, NIST SP 800\-171, DFARS, and NISPOM (32 CFR Part 117\) requirements
NIST SP 800\-171 Control Management
* Maintain authoritative oversight of all 110 NIST SP 800\-171 security requirements applicable to the CMMC Level 2 boundary
* Ensure security controls are fully implemented, documented, and operating as intended
* Coordinate with IT and system owners to validate technical, administrative, and physical safeguards
* Monitor control effectiveness and address compliance drift through periodic reviews
Documentation \&amp; Evidence Management
* Own and maintain the System Security Plan (SSP) and ensure it accurately reflects the current environment
* Manage Plans of Action \&amp; Milestones (POA\&amp;Ms), including prioritization, remediation tracking, and closure validation
* Establish and maintain a centralized evidence repository to support CMMC assessments and DoD inquiries
* Ensure documentation remains audit\-ready at all times
Audit Readiness \&amp; Assessment Support
* Plan and conduct onsite and remote self\-assessments against NIST SP 800\-171 and CMMC Level 2 requirements
* Prepare the organization for C3PAO assessments, including pre\-assessment readiness reviews and gap analyses
* Serve as the primary interface with C3PAOs, DoD representatives, and external auditors
* Coordinate assessment logistics, evidence presentation, and response to findings
CUI Program Integration
* Partner with the FSO to ensure CUI identification, marking, handling, transmission, and storage align with NISPOM and CMMC requirements
* Validate CUI data flows and system boundaries supporting covered defense information (CDI)
* Support training and awareness initiatives related to CUI handling and cybersecurity responsibilities
Risk Management \&amp; Continuous Monitoring
* Implement a continuous compliance monitoring strategy to identify emerging risks and control weaknesses
* Track cybersecurity risks and report status, trends, and remediation progress to leadership
* Ensure timely reporting and response to cybersecurity incidents involving CUI in coordination with Security and IT
* Support supply chain and subcontractor cybersecurity compliance oversight where applicable
Training \&amp; Awareness
* Develop and oversee CMMC and NIST 800\-171 training programs for employees, system users, and leadership
* Ensure role\-based cybersecurity training is conducted and documented annually
* Promote a culture of cybersecurity accountability and compliance awareness
Leadership \&amp; Coordination
* Act as a trusted advisor to executive leadership on CMMC readiness, risks, and compliance posture
* Coordinate cross\-functional efforts between Security, IT, Contracts, Legal, HR, and Program Management
* Provide regular executive\-level reporting on CMMC status, risks, POA\&amp;M progress, and audit readiness
 **Required Qualifications**
**Experience**
* 5–8\+ years of experience in cybersecurity compliance, information assurance, or security program management within a DoD contracting environment
* Demonstrated experience managing NIST SP 800\-171 compliance and preparing organizations for audits or assessments
* Experience supporting CUI environments and DFARS 252\.204\-7012 requirements
* Experience coordinating assessments, audits, or regulatory reviews
**Knowledge \&amp; Skills**
* **Strong working knowledge of:**
	+ CMMC Level 2
	+ NIST SP 800\-171
	+ 32 CFR Part 117 (NISPOM)
	+ 32 CFR Part 170
	+ DFARS 252\.204\-7012 / 7019 / 7020
* Ability to translate regulatory requirements into actionable program controls
* Strong documentation, risk analysis, and stakeholder communication skills
**Preferred Qualifications**
* Prior experience working directly with a C3PAO or supporting formal CMMC assessments
* Certifications such as CISSP, CISM, CISA, GSLC, CRISC, or CCSP
* Experience supporting multiple facilities or business units
* Familiarity with RMF, NIST SP 800\-53, or FedRAMP environments
**Success Factors for This Role**
* Proactive ownership of the CMMC program rather than reactive compliance
* Strong coordination across technical and non\-technical teams
* Ability to maintain continuous audit readiness
* Clear communication of cybersecurity risk and compliance status to leadership
* Attention to detail combined with enterprise\-level strategic thinking
**Clearance Requirement:*** Ability to obtain and maintain a Top Secret clearance (active clearance preferred).
 **Location:*** Remote with onsite support as needed. Travel required.
**Physical Requirements:** The ideal candidate must at a minimum be able to meet the following physical requirements of the job ***with or without a reasonable accommodation****:** Ability to perform repetitive motions with the hands, wrists, and fingers
* Ability to engage in and follow audible communications in emergency situations
* Ability to sit for prolonged periods at a desk and working on a computer
The Nakupuna Companies use a market\-based compensation strategy to ensure that our employees are compensated within applicable market ranges commensurate with multiple factors, including but not limited to the individual’s particular combination of education, knowledge, skills, competencies, and experience, as well as contract\-specific affordability, organizational requirements, and position location. The projected compensation range for this position is $90,000\.00 to $110,000\.00 (annualized USD). The salary range displayed represents the typical salary range for this position and is just one component of Nakupuna Companies total compensation package for employees.</t>
        </is>
      </c>
    </row>
    <row r="21">
      <c r="A21" t="inlineStr">
        <is>
          <t>in-dcd17eadc378b4ce</t>
        </is>
      </c>
      <c r="B21" t="inlineStr">
        <is>
          <t>Sales and Marketing Product Owner</t>
        </is>
      </c>
      <c r="C21" t="inlineStr">
        <is>
          <t>Eaton</t>
        </is>
      </c>
      <c r="D21" t="inlineStr">
        <is>
          <t>indeed</t>
        </is>
      </c>
      <c r="E21">
        <f>HYPERLINK("https://www.indeed.com/viewjob?jk=dcd17eadc378b4ce", "https://www.indeed.com/viewjob?jk=dcd17eadc378b4ce")</f>
        <v/>
      </c>
      <c r="F21">
        <f>HYPERLINK("https://eaton.eightfold.ai/careers/job/687234392593?utm_source=indeed&amp;domain=eaton.com", "https://eaton.eightfold.ai/careers/job/687234392593?utm_source=indeed&amp;domain=eaton.com")</f>
        <v/>
      </c>
      <c r="G21" t="inlineStr">
        <is>
          <t>Raleigh, NC, US</t>
        </is>
      </c>
      <c r="H21" s="1" t="n">
        <v>46035</v>
      </c>
      <c r="I21" t="inlineStr">
        <is>
          <t>Eaton’s Corporate Sector division is currently seeking a Sales and Marketing Product Owner.
The expected annual salary range for this role is $130000 \- $190000 a year.
Please note the salary information shown above is a general guideline only. Salaries are based upon candidate skills, experience, and qualifications, as well as market and business considerations.
**What you’ll do:**
-------------------
Position Overview:  
This position is responsible for maximizing the value of the Sales and Marketing Domain offerings by creating, prioritizing, and managing the product backlog. The Product Owner oversees products that significantly impact Eaton’s business outcomes, with work that is foundational to the organization. In this role, the Product Owner sets and communicates the product vision, develops and maintains the product roadmap, and defines key operational processes such as the product release schedule. They work closely with business partners and customers to define epics that align with strategic objectives for the Scrum or Kanban team. Additionally, the Product Owner tracks and manages product funding, establishes work priorities for team members, and balances new feature development with continuous improvement, system health, and support needs. They collaborate directly with analysts, engineers, and other product team members to execute the product roadmap, guide the product development lifecycle, define user stories, and represent the voice of the customer throughout product processes.  
Job Responsibilities:  
* Define and communicate the product vision, roadmap, and epics to meet customer and business needs
* Own the product backlog, managing and prioritizing user stories, decomposing epics into features, and continuous improvement work
* Plan, manage, and track product funding. Is fully responsible for product budget and profit plan
* Develops and maintains product\-specific persona and customer journeys
* Work closely with business stakeholders and customers, understanding their priorities and defining business outcomes and KPIs for the product in collaboration with those key stakeholders
* Communicate goals for product increments and releases. Define goals for team sprints.
* Support the onboarding of internal and external resources
* Accountable for product support, stability, and governance: including data, policy, cybersecurity, and usage
* Build functional expertise in areas related to the product, sales and marketing
* Support establishment of product processes (e.g., release schedule) and support process improvement activities across product processes (Lean, Agile, Scrum, DevSecOps, etc.)
* Support a Secure Product Development Lifecycle approach that establishes a strong cybersecurity focus and culture across the entire engineering lifecycle
**Qualifications:**
-------------------
Required (Basic) Qualifications:  
* Minimum of a Bachelors Degree from an accredited institution.
* Minimum 5 years of experience as an analyst, project manager, engineer, BRM or program lead on technology projects and programs.
* No relocation benefit is being offered for this position. Only candidates within a 50\-mile radius of Beachwood, OH\- Galesburg, MI \- Moon, PA \- Houston, TX \- Menomonee Falls, WI \- Raleigh, NC will be considered. Active\-Duty Military Service member candidates are exempt from the geographical area limitation.
Preferred qualifications:  
* Demonstrable understanding of product management and modern product delivery processes
* General understanding of DevSecOps principles
* General familiarity with modern software development principles including code management, test automation, APIs, microservices, and cloud services.
* Experience with Agile development and use of Jira.
* Understanding of Sales sub\-domains including Order Management (Sales, Orders, Bookings, and Backlog), CRM, Pricing, etc.
* Experience with Marketing data including campaign metrics, market segments, end customer, etc.
**Skills:**
-----------
Position Criteria:  
* Strong communication skills, both written and verbal, are vital for this role.
* Familiarity with design thinking methodologies
* Ability to create and manage product roadmaps
* Data orientation and ability to make data\-driven decisions
* Financial and budget management
* Clear understanding of lean principles with respect to product and portfolio management
* Comfortable working directly with business leaders, external customers, and engineering teams
* Experience working with diverse, global cultures, organizations and teams.
* Up to 10% travel required.
We are committed to ensuring equal employment opportunities for all job applicants and employees. Employment decisions are based upon job\-related reasons regardless of an applicant's race, color, religion, sex, sexual orientation, gender identity, age, national origin, disability, marital status, genetic information, protected veteran status, or any other status protected by law.
Eaton believes in second chance employment. Qualified applicants with arrest or conviction history will be considered regardless of their arrest or conviction history, consistent with the Los Angeles County Fair Chance Ordinance, the California Fair Chance Act and other local laws.
You do not need to disclose your conviction history or participate in a background check until a conditional job offer is made to you. After making a conditional offer and running a background check, if Eaton is concerned about conviction that is directly related to the job, you will be given the chance to explain the circumstances surrounding the conviction, provide mitigating evidence, or challenge the accuracy of the background report.
To request a disability\-related reasonable accommodation to assist you in your job search, application, or interview process, please call us at 1\-800\-836\-6345 to discuss your specific need. Only accommodation requests will be accepted by this phone number.
We know that good benefit programs are important to employees and their families. Eaton provides various Health and Welfare benefits as well as Retirement benefits, and several programs that provide for paid and unpaid time away from work. Click here for more detail: Eaton Benefits Overview. Please note that specific programs and options available to an employee may depend on eligibility factors such as geographic location, date of hire, and the applicability of collective bargaining agreements.</t>
        </is>
      </c>
    </row>
    <row r="22">
      <c r="A22" t="inlineStr">
        <is>
          <t>in-9722b6f45eb0bfa1</t>
        </is>
      </c>
      <c r="B22" t="inlineStr">
        <is>
          <t>Sales and Marketing Product Owner</t>
        </is>
      </c>
      <c r="C22" t="inlineStr">
        <is>
          <t>Eaton</t>
        </is>
      </c>
      <c r="D22" t="inlineStr">
        <is>
          <t>indeed</t>
        </is>
      </c>
      <c r="E22">
        <f>HYPERLINK("https://www.indeed.com/viewjob?jk=9722b6f45eb0bfa1", "https://www.indeed.com/viewjob?jk=9722b6f45eb0bfa1")</f>
        <v/>
      </c>
      <c r="F22">
        <f>HYPERLINK("https://eaton.eightfold.ai/careers/job/687234392593?utm_source=indeed&amp;domain=eaton.com", "https://eaton.eightfold.ai/careers/job/687234392593?utm_source=indeed&amp;domain=eaton.com")</f>
        <v/>
      </c>
      <c r="G22" t="inlineStr">
        <is>
          <t>Houston, TX, US</t>
        </is>
      </c>
      <c r="H22" s="1" t="n">
        <v>46035</v>
      </c>
      <c r="I22" t="inlineStr">
        <is>
          <t>Eaton’s Corporate Sector division is currently seeking a Sales and Marketing Product Owner.
The expected annual salary range for this role is $130000 \- $190000 a year.
Please note the salary information shown above is a general guideline only. Salaries are based upon candidate skills, experience, and qualifications, as well as market and business considerations.
**What you’ll do:**
-------------------
Position Overview:  
This position is responsible for maximizing the value of the Sales and Marketing Domain offerings by creating, prioritizing, and managing the product backlog. The Product Owner oversees products that significantly impact Eaton’s business outcomes, with work that is foundational to the organization. In this role, the Product Owner sets and communicates the product vision, develops and maintains the product roadmap, and defines key operational processes such as the product release schedule. They work closely with business partners and customers to define epics that align with strategic objectives for the Scrum or Kanban team. Additionally, the Product Owner tracks and manages product funding, establishes work priorities for team members, and balances new feature development with continuous improvement, system health, and support needs. They collaborate directly with analysts, engineers, and other product team members to execute the product roadmap, guide the product development lifecycle, define user stories, and represent the voice of the customer throughout product processes.  
Job Responsibilities:  
* Define and communicate the product vision, roadmap, and epics to meet customer and business needs
* Own the product backlog, managing and prioritizing user stories, decomposing epics into features, and continuous improvement work
* Plan, manage, and track product funding. Is fully responsible for product budget and profit plan
* Develops and maintains product\-specific persona and customer journeys
* Work closely with business stakeholders and customers, understanding their priorities and defining business outcomes and KPIs for the product in collaboration with those key stakeholders
* Communicate goals for product increments and releases. Define goals for team sprints.
* Support the onboarding of internal and external resources
* Accountable for product support, stability, and governance: including data, policy, cybersecurity, and usage
* Build functional expertise in areas related to the product, sales and marketing
* Support establishment of product processes (e.g., release schedule) and support process improvement activities across product processes (Lean, Agile, Scrum, DevSecOps, etc.)
* Support a Secure Product Development Lifecycle approach that establishes a strong cybersecurity focus and culture across the entire engineering lifecycle
**Qualifications:**
-------------------
Required (Basic) Qualifications:  
* Minimum of a Bachelors Degree from an accredited institution.
* Minimum 5 years of experience as an analyst, project manager, engineer, BRM or program lead on technology projects and programs.
* No relocation benefit is being offered for this position. Only candidates within a 50\-mile radius of Beachwood, OH\- Galesburg, MI \- Moon, PA \- Houston, TX \- Menomonee Falls, WI \- Raleigh, NC will be considered. Active\-Duty Military Service member candidates are exempt from the geographical area limitation.
Preferred qualifications:  
* Demonstrable understanding of product management and modern product delivery processes
* General understanding of DevSecOps principles
* General familiarity with modern software development principles including code management, test automation, APIs, microservices, and cloud services.
* Experience with Agile development and use of Jira.
* Understanding of Sales sub\-domains including Order Management (Sales, Orders, Bookings, and Backlog), CRM, Pricing, etc.
* Experience with Marketing data including campaign metrics, market segments, end customer, etc.
**Skills:**
-----------
Position Criteria:  
* Strong communication skills, both written and verbal, are vital for this role.
* Familiarity with design thinking methodologies
* Ability to create and manage product roadmaps
* Data orientation and ability to make data\-driven decisions
* Financial and budget management
* Clear understanding of lean principles with respect to product and portfolio management
* Comfortable working directly with business leaders, external customers, and engineering teams
* Experience working with diverse, global cultures, organizations and teams.
* Up to 10% travel required.
We are committed to ensuring equal employment opportunities for all job applicants and employees. Employment decisions are based upon job\-related reasons regardless of an applicant's race, color, religion, sex, sexual orientation, gender identity, age, national origin, disability, marital status, genetic information, protected veteran status, or any other status protected by law.
Eaton believes in second chance employment. Qualified applicants with arrest or conviction history will be considered regardless of their arrest or conviction history, consistent with the Los Angeles County Fair Chance Ordinance, the California Fair Chance Act and other local laws.
You do not need to disclose your conviction history or participate in a background check until a conditional job offer is made to you. After making a conditional offer and running a background check, if Eaton is concerned about conviction that is directly related to the job, you will be given the chance to explain the circumstances surrounding the conviction, provide mitigating evidence, or challenge the accuracy of the background report.
To request a disability\-related reasonable accommodation to assist you in your job search, application, or interview process, please call us at 1\-800\-836\-6345 to discuss your specific need. Only accommodation requests will be accepted by this phone number.
We know that good benefit programs are important to employees and their families. Eaton provides various Health and Welfare benefits as well as Retirement benefits, and several programs that provide for paid and unpaid time away from work. Click here for more detail: Eaton Benefits Overview. Please note that specific programs and options available to an employee may depend on eligibility factors such as geographic location, date of hire, and the applicability of collective bargaining agreements.</t>
        </is>
      </c>
    </row>
    <row r="23">
      <c r="A23" t="inlineStr">
        <is>
          <t>in-2fe025cfdaa2d83d</t>
        </is>
      </c>
      <c r="B23" t="inlineStr">
        <is>
          <t>Sales and Marketing Product Owner</t>
        </is>
      </c>
      <c r="C23" t="inlineStr">
        <is>
          <t>Eaton</t>
        </is>
      </c>
      <c r="D23" t="inlineStr">
        <is>
          <t>indeed</t>
        </is>
      </c>
      <c r="E23">
        <f>HYPERLINK("https://www.indeed.com/viewjob?jk=2fe025cfdaa2d83d", "https://www.indeed.com/viewjob?jk=2fe025cfdaa2d83d")</f>
        <v/>
      </c>
      <c r="F23">
        <f>HYPERLINK("https://eaton.eightfold.ai/careers/job/687234392593?utm_source=indeed&amp;domain=eaton.com", "https://eaton.eightfold.ai/careers/job/687234392593?utm_source=indeed&amp;domain=eaton.com")</f>
        <v/>
      </c>
      <c r="G23" t="inlineStr">
        <is>
          <t>Beachwood, OH, US</t>
        </is>
      </c>
      <c r="H23" s="1" t="n">
        <v>46035</v>
      </c>
      <c r="I23" t="inlineStr">
        <is>
          <t>Eaton’s Corporate Sector division is currently seeking a Sales and Marketing Product Owner.
The expected annual salary range for this role is $130000 \- $190000 a year.
Please note the salary information shown above is a general guideline only. Salaries are based upon candidate skills, experience, and qualifications, as well as market and business considerations.
**What you’ll do:**
-------------------
Position Overview:  
This position is responsible for maximizing the value of the Sales and Marketing Domain offerings by creating, prioritizing, and managing the product backlog. The Product Owner oversees products that significantly impact Eaton’s business outcomes, with work that is foundational to the organization. In this role, the Product Owner sets and communicates the product vision, develops and maintains the product roadmap, and defines key operational processes such as the product release schedule. They work closely with business partners and customers to define epics that align with strategic objectives for the Scrum or Kanban team. Additionally, the Product Owner tracks and manages product funding, establishes work priorities for team members, and balances new feature development with continuous improvement, system health, and support needs. They collaborate directly with analysts, engineers, and other product team members to execute the product roadmap, guide the product development lifecycle, define user stories, and represent the voice of the customer throughout product processes.  
Job Responsibilities:  
* Define and communicate the product vision, roadmap, and epics to meet customer and business needs
* Own the product backlog, managing and prioritizing user stories, decomposing epics into features, and continuous improvement work
* Plan, manage, and track product funding. Is fully responsible for product budget and profit plan
* Develops and maintains product\-specific persona and customer journeys
* Work closely with business stakeholders and customers, understanding their priorities and defining business outcomes and KPIs for the product in collaboration with those key stakeholders
* Communicate goals for product increments and releases. Define goals for team sprints.
* Support the onboarding of internal and external resources
* Accountable for product support, stability, and governance: including data, policy, cybersecurity, and usage
* Build functional expertise in areas related to the product, sales and marketing
* Support establishment of product processes (e.g., release schedule) and support process improvement activities across product processes (Lean, Agile, Scrum, DevSecOps, etc.)
* Support a Secure Product Development Lifecycle approach that establishes a strong cybersecurity focus and culture across the entire engineering lifecycle
**Qualifications:**
-------------------
Required (Basic) Qualifications:  
* Minimum of a Bachelors Degree from an accredited institution.
* Minimum 5 years of experience as an analyst, project manager, engineer, BRM or program lead on technology projects and programs.
* No relocation benefit is being offered for this position. Only candidates within a 50\-mile radius of Beachwood, OH\- Galesburg, MI \- Moon, PA \- Houston, TX \- Menomonee Falls, WI \- Raleigh, NC will be considered. Active\-Duty Military Service member candidates are exempt from the geographical area limitation.
Preferred qualifications:  
* Demonstrable understanding of product management and modern product delivery processes
* General understanding of DevSecOps principles
* General familiarity with modern software development principles including code management, test automation, APIs, microservices, and cloud services.
* Experience with Agile development and use of Jira.
* Understanding of Sales sub\-domains including Order Management (Sales, Orders, Bookings, and Backlog), CRM, Pricing, etc.
* Experience with Marketing data including campaign metrics, market segments, end customer, etc.
**Skills:**
-----------
Position Criteria:  
* Strong communication skills, both written and verbal, are vital for this role.
* Familiarity with design thinking methodologies
* Ability to create and manage product roadmaps
* Data orientation and ability to make data\-driven decisions
* Financial and budget management
* Clear understanding of lean principles with respect to product and portfolio management
* Comfortable working directly with business leaders, external customers, and engineering teams
* Experience working with diverse, global cultures, organizations and teams.
* Up to 10% travel required.
We are committed to ensuring equal employment opportunities for all job applicants and employees. Employment decisions are based upon job\-related reasons regardless of an applicant's race, color, religion, sex, sexual orientation, gender identity, age, national origin, disability, marital status, genetic information, protected veteran status, or any other status protected by law.
Eaton believes in second chance employment. Qualified applicants with arrest or conviction history will be considered regardless of their arrest or conviction history, consistent with the Los Angeles County Fair Chance Ordinance, the California Fair Chance Act and other local laws.
You do not need to disclose your conviction history or participate in a background check until a conditional job offer is made to you. After making a conditional offer and running a background check, if Eaton is concerned about conviction that is directly related to the job, you will be given the chance to explain the circumstances surrounding the conviction, provide mitigating evidence, or challenge the accuracy of the background report.
To request a disability\-related reasonable accommodation to assist you in your job search, application, or interview process, please call us at 1\-800\-836\-6345 to discuss your specific need. Only accommodation requests will be accepted by this phone number.
We know that good benefit programs are important to employees and their families. Eaton provides various Health and Welfare benefits as well as Retirement benefits, and several programs that provide for paid and unpaid time away from work. Click here for more detail: Eaton Benefits Overview. Please note that specific programs and options available to an employee may depend on eligibility factors such as geographic location, date of hire, and the applicability of collective bargaining agreements.</t>
        </is>
      </c>
    </row>
    <row r="24">
      <c r="A24" t="inlineStr">
        <is>
          <t>in-4d2fe4e14212d5e5</t>
        </is>
      </c>
      <c r="B24" t="inlineStr">
        <is>
          <t>Sales and Marketing Product Owner</t>
        </is>
      </c>
      <c r="C24" t="inlineStr">
        <is>
          <t>Eaton</t>
        </is>
      </c>
      <c r="D24" t="inlineStr">
        <is>
          <t>indeed</t>
        </is>
      </c>
      <c r="E24">
        <f>HYPERLINK("https://www.indeed.com/viewjob?jk=4d2fe4e14212d5e5", "https://www.indeed.com/viewjob?jk=4d2fe4e14212d5e5")</f>
        <v/>
      </c>
      <c r="F24">
        <f>HYPERLINK("https://eaton.eightfold.ai/careers/job/687234392593?utm_source=indeed&amp;domain=eaton.com", "https://eaton.eightfold.ai/careers/job/687234392593?utm_source=indeed&amp;domain=eaton.com")</f>
        <v/>
      </c>
      <c r="G24" t="inlineStr">
        <is>
          <t>Coraopolis, PA, US</t>
        </is>
      </c>
      <c r="H24" s="1" t="n">
        <v>46035</v>
      </c>
      <c r="I24" t="inlineStr">
        <is>
          <t>Eaton’s Corporate Sector division is currently seeking a Sales and Marketing Product Owner.
The expected annual salary range for this role is $130000 \- $190000 a year.
Please note the salary information shown above is a general guideline only. Salaries are based upon candidate skills, experience, and qualifications, as well as market and business considerations.
**What you’ll do:**
-------------------
Position Overview:  
This position is responsible for maximizing the value of the Sales and Marketing Domain offerings by creating, prioritizing, and managing the product backlog. The Product Owner oversees products that significantly impact Eaton’s business outcomes, with work that is foundational to the organization. In this role, the Product Owner sets and communicates the product vision, develops and maintains the product roadmap, and defines key operational processes such as the product release schedule. They work closely with business partners and customers to define epics that align with strategic objectives for the Scrum or Kanban team. Additionally, the Product Owner tracks and manages product funding, establishes work priorities for team members, and balances new feature development with continuous improvement, system health, and support needs. They collaborate directly with analysts, engineers, and other product team members to execute the product roadmap, guide the product development lifecycle, define user stories, and represent the voice of the customer throughout product processes.  
Job Responsibilities:  
* Define and communicate the product vision, roadmap, and epics to meet customer and business needs
* Own the product backlog, managing and prioritizing user stories, decomposing epics into features, and continuous improvement work
* Plan, manage, and track product funding. Is fully responsible for product budget and profit plan
* Develops and maintains product\-specific persona and customer journeys
* Work closely with business stakeholders and customers, understanding their priorities and defining business outcomes and KPIs for the product in collaboration with those key stakeholders
* Communicate goals for product increments and releases. Define goals for team sprints.
* Support the onboarding of internal and external resources
* Accountable for product support, stability, and governance: including data, policy, cybersecurity, and usage
* Build functional expertise in areas related to the product, sales and marketing
* Support establishment of product processes (e.g., release schedule) and support process improvement activities across product processes (Lean, Agile, Scrum, DevSecOps, etc.)
* Support a Secure Product Development Lifecycle approach that establishes a strong cybersecurity focus and culture across the entire engineering lifecycle
**Qualifications:**
-------------------
Required (Basic) Qualifications:  
* Minimum of a Bachelors Degree from an accredited institution.
* Minimum 5 years of experience as an analyst, project manager, engineer, BRM or program lead on technology projects and programs.
* No relocation benefit is being offered for this position. Only candidates within a 50\-mile radius of Beachwood, OH\- Galesburg, MI \- Moon, PA \- Houston, TX \- Menomonee Falls, WI \- Raleigh, NC will be considered. Active\-Duty Military Service member candidates are exempt from the geographical area limitation.
Preferred qualifications:  
* Demonstrable understanding of product management and modern product delivery processes
* General understanding of DevSecOps principles
* General familiarity with modern software development principles including code management, test automation, APIs, microservices, and cloud services.
* Experience with Agile development and use of Jira.
* Understanding of Sales sub\-domains including Order Management (Sales, Orders, Bookings, and Backlog), CRM, Pricing, etc.
* Experience with Marketing data including campaign metrics, market segments, end customer, etc.
**Skills:**
-----------
Position Criteria:  
* Strong communication skills, both written and verbal, are vital for this role.
* Familiarity with design thinking methodologies
* Ability to create and manage product roadmaps
* Data orientation and ability to make data\-driven decisions
* Financial and budget management
* Clear understanding of lean principles with respect to product and portfolio management
* Comfortable working directly with business leaders, external customers, and engineering teams
* Experience working with diverse, global cultures, organizations and teams.
* Up to 10% travel required.
We are committed to ensuring equal employment opportunities for all job applicants and employees. Employment decisions are based upon job\-related reasons regardless of an applicant's race, color, religion, sex, sexual orientation, gender identity, age, national origin, disability, marital status, genetic information, protected veteran status, or any other status protected by law.
Eaton believes in second chance employment. Qualified applicants with arrest or conviction history will be considered regardless of their arrest or conviction history, consistent with the Los Angeles County Fair Chance Ordinance, the California Fair Chance Act and other local laws.
You do not need to disclose your conviction history or participate in a background check until a conditional job offer is made to you. After making a conditional offer and running a background check, if Eaton is concerned about conviction that is directly related to the job, you will be given the chance to explain the circumstances surrounding the conviction, provide mitigating evidence, or challenge the accuracy of the background report.
To request a disability\-related reasonable accommodation to assist you in your job search, application, or interview process, please call us at 1\-800\-836\-6345 to discuss your specific need. Only accommodation requests will be accepted by this phone number.
We know that good benefit programs are important to employees and their families. Eaton provides various Health and Welfare benefits as well as Retirement benefits, and several programs that provide for paid and unpaid time away from work. Click here for more detail: Eaton Benefits Overview. Please note that specific programs and options available to an employee may depend on eligibility factors such as geographic location, date of hire, and the applicability of collective bargaining agreements.</t>
        </is>
      </c>
    </row>
    <row r="25">
      <c r="A25" t="inlineStr">
        <is>
          <t>in-2a955d41201b31f7</t>
        </is>
      </c>
      <c r="B25" t="inlineStr">
        <is>
          <t>Sales and Marketing Product Owner</t>
        </is>
      </c>
      <c r="C25" t="inlineStr">
        <is>
          <t>Eaton</t>
        </is>
      </c>
      <c r="D25" t="inlineStr">
        <is>
          <t>indeed</t>
        </is>
      </c>
      <c r="E25">
        <f>HYPERLINK("https://www.indeed.com/viewjob?jk=2a955d41201b31f7", "https://www.indeed.com/viewjob?jk=2a955d41201b31f7")</f>
        <v/>
      </c>
      <c r="F25">
        <f>HYPERLINK("https://eaton.eightfold.ai/careers/job/687234392593?utm_source=indeed&amp;domain=eaton.com", "https://eaton.eightfold.ai/careers/job/687234392593?utm_source=indeed&amp;domain=eaton.com")</f>
        <v/>
      </c>
      <c r="G25" t="inlineStr">
        <is>
          <t>Menomonee Falls, WI, US</t>
        </is>
      </c>
      <c r="H25" s="1" t="n">
        <v>46035</v>
      </c>
      <c r="I25" t="inlineStr">
        <is>
          <t>Eaton’s Corporate Sector division is currently seeking a Sales and Marketing Product Owner.
The expected annual salary range for this role is $130000 \- $190000 a year.
Please note the salary information shown above is a general guideline only. Salaries are based upon candidate skills, experience, and qualifications, as well as market and business considerations.
**What you’ll do:**
-------------------
Position Overview:  
This position is responsible for maximizing the value of the Sales and Marketing Domain offerings by creating, prioritizing, and managing the product backlog. The Product Owner oversees products that significantly impact Eaton’s business outcomes, with work that is foundational to the organization. In this role, the Product Owner sets and communicates the product vision, develops and maintains the product roadmap, and defines key operational processes such as the product release schedule. They work closely with business partners and customers to define epics that align with strategic objectives for the Scrum or Kanban team. Additionally, the Product Owner tracks and manages product funding, establishes work priorities for team members, and balances new feature development with continuous improvement, system health, and support needs. They collaborate directly with analysts, engineers, and other product team members to execute the product roadmap, guide the product development lifecycle, define user stories, and represent the voice of the customer throughout product processes.  
Job Responsibilities:  
* Define and communicate the product vision, roadmap, and epics to meet customer and business needs
* Own the product backlog, managing and prioritizing user stories, decomposing epics into features, and continuous improvement work
* Plan, manage, and track product funding. Is fully responsible for product budget and profit plan
* Develops and maintains product\-specific persona and customer journeys
* Work closely with business stakeholders and customers, understanding their priorities and defining business outcomes and KPIs for the product in collaboration with those key stakeholders
* Communicate goals for product increments and releases. Define goals for team sprints.
* Support the onboarding of internal and external resources
* Accountable for product support, stability, and governance: including data, policy, cybersecurity, and usage
* Build functional expertise in areas related to the product, sales and marketing
* Support establishment of product processes (e.g., release schedule) and support process improvement activities across product processes (Lean, Agile, Scrum, DevSecOps, etc.)
* Support a Secure Product Development Lifecycle approach that establishes a strong cybersecurity focus and culture across the entire engineering lifecycle
**Qualifications:**
-------------------
Required (Basic) Qualifications:  
* Minimum of a Bachelors Degree from an accredited institution.
* Minimum 5 years of experience as an analyst, project manager, engineer, BRM or program lead on technology projects and programs.
* No relocation benefit is being offered for this position. Only candidates within a 50\-mile radius of Beachwood, OH\- Galesburg, MI \- Moon, PA \- Houston, TX \- Menomonee Falls, WI \- Raleigh, NC will be considered. Active\-Duty Military Service member candidates are exempt from the geographical area limitation.
Preferred qualifications:  
* Demonstrable understanding of product management and modern product delivery processes
* General understanding of DevSecOps principles
* General familiarity with modern software development principles including code management, test automation, APIs, microservices, and cloud services.
* Experience with Agile development and use of Jira.
* Understanding of Sales sub\-domains including Order Management (Sales, Orders, Bookings, and Backlog), CRM, Pricing, etc.
* Experience with Marketing data including campaign metrics, market segments, end customer, etc.
**Skills:**
-----------
Position Criteria:  
* Strong communication skills, both written and verbal, are vital for this role.
* Familiarity with design thinking methodologies
* Ability to create and manage product roadmaps
* Data orientation and ability to make data\-driven decisions
* Financial and budget management
* Clear understanding of lean principles with respect to product and portfolio management
* Comfortable working directly with business leaders, external customers, and engineering teams
* Experience working with diverse, global cultures, organizations and teams.
* Up to 10% travel required.
We are committed to ensuring equal employment opportunities for all job applicants and employees. Employment decisions are based upon job\-related reasons regardless of an applicant's race, color, religion, sex, sexual orientation, gender identity, age, national origin, disability, marital status, genetic information, protected veteran status, or any other status protected by law.
Eaton believes in second chance employment. Qualified applicants with arrest or conviction history will be considered regardless of their arrest or conviction history, consistent with the Los Angeles County Fair Chance Ordinance, the California Fair Chance Act and other local laws.
You do not need to disclose your conviction history or participate in a background check until a conditional job offer is made to you. After making a conditional offer and running a background check, if Eaton is concerned about conviction that is directly related to the job, you will be given the chance to explain the circumstances surrounding the conviction, provide mitigating evidence, or challenge the accuracy of the background report.
To request a disability\-related reasonable accommodation to assist you in your job search, application, or interview process, please call us at 1\-800\-836\-6345 to discuss your specific need. Only accommodation requests will be accepted by this phone number.
We know that good benefit programs are important to employees and their families. Eaton provides various Health and Welfare benefits as well as Retirement benefits, and several programs that provide for paid and unpaid time away from work. Click here for more detail: Eaton Benefits Overview. Please note that specific programs and options available to an employee may depend on eligibility factors such as geographic location, date of hire, and the applicability of collective bargaining agreements.</t>
        </is>
      </c>
    </row>
    <row r="26">
      <c r="A26" t="inlineStr">
        <is>
          <t>in-e6936f44ace13a76</t>
        </is>
      </c>
      <c r="B26" t="inlineStr">
        <is>
          <t>Sales and Marketing Product Owner</t>
        </is>
      </c>
      <c r="C26" t="inlineStr">
        <is>
          <t>Eaton</t>
        </is>
      </c>
      <c r="D26" t="inlineStr">
        <is>
          <t>indeed</t>
        </is>
      </c>
      <c r="E26">
        <f>HYPERLINK("https://www.indeed.com/viewjob?jk=e6936f44ace13a76", "https://www.indeed.com/viewjob?jk=e6936f44ace13a76")</f>
        <v/>
      </c>
      <c r="F26">
        <f>HYPERLINK("https://eaton.eightfold.ai/careers/job/687234392593?utm_source=indeed&amp;domain=eaton.com", "https://eaton.eightfold.ai/careers/job/687234392593?utm_source=indeed&amp;domain=eaton.com")</f>
        <v/>
      </c>
      <c r="G26" t="inlineStr">
        <is>
          <t>Galesburg, MI, US</t>
        </is>
      </c>
      <c r="H26" s="1" t="n">
        <v>46035</v>
      </c>
      <c r="I26" t="inlineStr">
        <is>
          <t>Eaton’s Corporate Sector division is currently seeking a Sales and Marketing Product Owner.
The expected annual salary range for this role is $130000 \- $190000 a year.
Please note the salary information shown above is a general guideline only. Salaries are based upon candidate skills, experience, and qualifications, as well as market and business considerations.
**What you’ll do:**
-------------------
Position Overview:  
This position is responsible for maximizing the value of the Sales and Marketing Domain offerings by creating, prioritizing, and managing the product backlog. The Product Owner oversees products that significantly impact Eaton’s business outcomes, with work that is foundational to the organization. In this role, the Product Owner sets and communicates the product vision, develops and maintains the product roadmap, and defines key operational processes such as the product release schedule. They work closely with business partners and customers to define epics that align with strategic objectives for the Scrum or Kanban team. Additionally, the Product Owner tracks and manages product funding, establishes work priorities for team members, and balances new feature development with continuous improvement, system health, and support needs. They collaborate directly with analysts, engineers, and other product team members to execute the product roadmap, guide the product development lifecycle, define user stories, and represent the voice of the customer throughout product processes.  
Job Responsibilities:  
* Define and communicate the product vision, roadmap, and epics to meet customer and business needs
* Own the product backlog, managing and prioritizing user stories, decomposing epics into features, and continuous improvement work
* Plan, manage, and track product funding. Is fully responsible for product budget and profit plan
* Develops and maintains product\-specific persona and customer journeys
* Work closely with business stakeholders and customers, understanding their priorities and defining business outcomes and KPIs for the product in collaboration with those key stakeholders
* Communicate goals for product increments and releases. Define goals for team sprints.
* Support the onboarding of internal and external resources
* Accountable for product support, stability, and governance: including data, policy, cybersecurity, and usage
* Build functional expertise in areas related to the product, sales and marketing
* Support establishment of product processes (e.g., release schedule) and support process improvement activities across product processes (Lean, Agile, Scrum, DevSecOps, etc.)
* Support a Secure Product Development Lifecycle approach that establishes a strong cybersecurity focus and culture across the entire engineering lifecycle
**Qualifications:**
-------------------
Required (Basic) Qualifications:  
* Minimum of a Bachelors Degree from an accredited institution.
* Minimum 5 years of experience as an analyst, project manager, engineer, BRM or program lead on technology projects and programs.
* No relocation benefit is being offered for this position. Only candidates within a 50\-mile radius of Beachwood, OH\- Galesburg, MI \- Moon, PA \- Houston, TX \- Menomonee Falls, WI \- Raleigh, NC will be considered. Active\-Duty Military Service member candidates are exempt from the geographical area limitation.
Preferred qualifications:  
* Demonstrable understanding of product management and modern product delivery processes
* General understanding of DevSecOps principles
* General familiarity with modern software development principles including code management, test automation, APIs, microservices, and cloud services.
* Experience with Agile development and use of Jira.
* Understanding of Sales sub\-domains including Order Management (Sales, Orders, Bookings, and Backlog), CRM, Pricing, etc.
* Experience with Marketing data including campaign metrics, market segments, end customer, etc.
**Skills:**
-----------
Position Criteria:  
* Strong communication skills, both written and verbal, are vital for this role.
* Familiarity with design thinking methodologies
* Ability to create and manage product roadmaps
* Data orientation and ability to make data\-driven decisions
* Financial and budget management
* Clear understanding of lean principles with respect to product and portfolio management
* Comfortable working directly with business leaders, external customers, and engineering teams
* Experience working with diverse, global cultures, organizations and teams.
* Up to 10% travel required.
We are committed to ensuring equal employment opportunities for all job applicants and employees. Employment decisions are based upon job\-related reasons regardless of an applicant's race, color, religion, sex, sexual orientation, gender identity, age, national origin, disability, marital status, genetic information, protected veteran status, or any other status protected by law.
Eaton believes in second chance employment. Qualified applicants with arrest or conviction history will be considered regardless of their arrest or conviction history, consistent with the Los Angeles County Fair Chance Ordinance, the California Fair Chance Act and other local laws.
You do not need to disclose your conviction history or participate in a background check until a conditional job offer is made to you. After making a conditional offer and running a background check, if Eaton is concerned about conviction that is directly related to the job, you will be given the chance to explain the circumstances surrounding the conviction, provide mitigating evidence, or challenge the accuracy of the background report.
To request a disability\-related reasonable accommodation to assist you in your job search, application, or interview process, please call us at 1\-800\-836\-6345 to discuss your specific need. Only accommodation requests will be accepted by this phone number.
We know that good benefit programs are important to employees and their families. Eaton provides various Health and Welfare benefits as well as Retirement benefits, and several programs that provide for paid and unpaid time away from work. Click here for more detail: Eaton Benefits Overview. Please note that specific programs and options available to an employee may depend on eligibility factors such as geographic location, date of hire, and the applicability of collective bargaining agreements.</t>
        </is>
      </c>
    </row>
    <row r="27">
      <c r="A27" t="inlineStr">
        <is>
          <t>in-f3b2d6c468a793bf</t>
        </is>
      </c>
      <c r="B27" t="inlineStr">
        <is>
          <t>Global Signage &amp; Wayfinding Designer Program Manager, Workplace Design &amp; Construction (WD&amp;C)</t>
        </is>
      </c>
      <c r="C27" t="inlineStr">
        <is>
          <t>Amazon.com</t>
        </is>
      </c>
      <c r="D27" t="inlineStr">
        <is>
          <t>indeed</t>
        </is>
      </c>
      <c r="E27">
        <f>HYPERLINK("https://www.indeed.com/viewjob?jk=f3b2d6c468a793bf", "https://www.indeed.com/viewjob?jk=f3b2d6c468a793bf")</f>
        <v/>
      </c>
      <c r="F27">
        <f>HYPERLINK("https://www.amazon.jobs/jobs/3139013/global-signage--wayfinding-designer-program-manager-workplace-design--construction-wdc?cmpid=DA_INAD200785B", "https://www.amazon.jobs/jobs/3139013/global-signage--wayfinding-designer-program-manager-workplace-design--construction-wdc?cmpid=DA_INAD200785B")</f>
        <v/>
      </c>
      <c r="G27" t="inlineStr">
        <is>
          <t>Arlington, VA, US</t>
        </is>
      </c>
      <c r="H27" s="1" t="n">
        <v>45998</v>
      </c>
      <c r="I27" t="inlineStr">
        <is>
          <t>**DESCRIPTION**
---------------
The Global Design team is looking for a creative, innovative, results\-oriented designer with experience leading the design of Signage and Wayfinding systems for corporate workplace. This role will be based in Arlington, VA, and will be responsible for supporting the Global Design Team, reporting to the Senior Manager, Global Design. This role will support the Design teams across 3 global regions (AMER, EMEA and APAC) and will work closely with the Design \&amp; Construction (D\&amp;C) team, the Workplace Guidelines \&amp; Standards team and the Regional Portfolio Managers (RPM) team.  
This role will be responsible for managing, updating and evolving the Signage and Wayfinding Design System for Corporate Workplace, including the development of new elements as needed to ensure standardization. The Signage and Wayfinding Designer will work to leverage the system as it’s been designed, and evolve it as\-needed for regional or new requirements in a way that ensures high\-quality deliverables and on\-time delivery. Over time, this role should gain familiarity with Amazon’s Global corporate workplace portfolio in order to ensure that the elements of the signage and wayfinding system are applicable regionally. This role will also work with the Workplace Guidelines \&amp; Standards team, and the Design \&amp; Construction Delivery teams, though the role is not responsible for updating the Guidelines \&amp;Standards, nor for Delivery of the final signage elements.  
The successful candidate has experience in design of signage and wayfinding for corporate workplace – including education and experience in design of signage and wayfinding system, deep knowledge of industry benchmarks, and the ability to evaluate potential solutions on the basis of aesthetic and budget specific knowledge. The successful candidate will be able to communicate clearly about the design of the signage and wayfinding system at all levels, and yet is not afraid to dive deep into details and is able to design certain elements independently, if required. This role works autonomously and creatively in a fast\-paced, ambiguous environment, and will be working on multiple projects, most of which have very tight delivery timelines. Attention to detail and ability to inspect issues and processes brings simplified solutions to complex problems is paramount. The candidate must be able to balance frugality with creativity in offering solutions and approach problem\-solving with an emphasis on root cause.  
This role supports our Global team, so may requires travel approximately 10% of the time.  
Key job responsibilities  
* With the support of Workplace Design \&amp; Construction Teams, maintain the Signage and Wayfinding Design System for Amazon’s Corporate Workplace, including assessing design requirements of any new request, updating the design of individual elements, proposing root updates, and communicating the design rationale of any changes.
* Collaborate with GREF partner teams, including Regional Portfolio Management, Sustainability and Environmental Health and Safety, and Travel and Events, to ensure the system meets all requirements and improve the quality of Amazon workspace with a focus on resiliency, efficiency, health, and safety.
* Routinely connect to external industry, professional bodies and communities, ensuring new industry standards, best practices, technology, and innovations are adopted into the program.
About the team  
The Global Real Estate and Facilities (GREF) team provides real estate transaction expertise, business partnering, space and occupancy planning, capital investment program management, facility maintenance, and operations in more than 60 countries. GREF is organized into three pillars: Regional Portfolio Management, Global Centers of Enablement, and Global Centers of Expertise. Workplace Design and Construction sits within the Global Centers of Excellence and includes the disciplines of Global Design, Workplace Guidelines, Business Development, Global Integrated Facilities Management, and regional Design and Construction (D\&amp;C) delivery.  
The Global Design team owns the design of GREF spaces, shaping design concepts that align with GREF’s strategic vision and the GREF Workplace Design Style Guide, while enhancing employee well\-being. Ultimately this team defines spaces that best support the way Amazonians work. The team’s Concept Designers develop foundational concepts for each space type—headcount floors, Centers of Energy, Food and Beverage, Meetings and Events, and other specialty spaces—that are in line with foundational design principles. The regional Design Managers ensure that GREF design concepts and standards are seamlessly integrated into new projects and renovations.  
The Workplace Guidelines team owns the creation, implementation, and ongoing refinement of Amazon’s Global Workplace Design Guidelines and Standards, ensuring regional teams have comprehensive documentation to support delivering and refreshing spaces that best support how Amazonians work in the office. This team includes global furniture, fixture and equipment (FF\&amp;E) development and implementation, as well as signage and wayfinding guidelines and standards.**BASIC QUALIFICATIONS**
------------------------
* Have a portfolio demonstrating past work experience and deliverables (e.g., study plans, reports, personas)
* Bachelor's degree in Visual Design, Graphic Design, Art, Architecture (or related professional experience in a design role).
* 5\+ years of design experience in design of signage and wayfinding for corporate workplace, demonstrating ability to lead design for a signage and wayfinding system for a large corporate workplace portfolio.
**PREFERRED QUALIFICATIONS**
----------------------------
* Experience escalating issues and anticipating and making hard trade\-offs between business and customer need
* Proven decision making and problem\-solving capabilities with strong follow up skills and attention to detail.
* Excellent oral and written communication skills with exceptional ability to translate ideas and thoughts into written documents.
* Continuous learning mindset and commitment to staying up\-to\-date with industry trends and best practices.
* Able to build constructive and effective relationships and use them to maneuver through complex situations.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$116,500/year in our lowest geographic market up to $192,600/year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8">
      <c r="A28" t="inlineStr">
        <is>
          <t>in-45fad0f91ce0665e</t>
        </is>
      </c>
      <c r="B28" t="inlineStr">
        <is>
          <t>Global Signage &amp; Wayfinding Designer Program Manager, Workplace Design &amp; Construction (WD&amp;C)</t>
        </is>
      </c>
      <c r="C28" t="inlineStr">
        <is>
          <t>Amazon.com</t>
        </is>
      </c>
      <c r="D28" t="inlineStr">
        <is>
          <t>indeed</t>
        </is>
      </c>
      <c r="E28">
        <f>HYPERLINK("https://www.indeed.com/viewjob?jk=45fad0f91ce0665e", "https://www.indeed.com/viewjob?jk=45fad0f91ce0665e")</f>
        <v/>
      </c>
      <c r="F28">
        <f>HYPERLINK("https://www.amazon.jobs/jobs/3139013/global-signage--wayfinding-designer-program-manager-workplace-design--construction-wdc?cmpid=DA_INAD200785B", "https://www.amazon.jobs/jobs/3139013/global-signage--wayfinding-designer-program-manager-workplace-design--construction-wdc?cmpid=DA_INAD200785B")</f>
        <v/>
      </c>
      <c r="G28" t="inlineStr">
        <is>
          <t>Seattle, WA, US</t>
        </is>
      </c>
      <c r="H28" s="1" t="n">
        <v>45998</v>
      </c>
      <c r="I28" t="inlineStr">
        <is>
          <t>**DESCRIPTION**
---------------
The Global Design team is looking for a creative, innovative, results\-oriented designer with experience leading the design of Signage and Wayfinding systems for corporate workplace. This role will be based in Arlington, VA, and will be responsible for supporting the Global Design Team, reporting to the Senior Manager, Global Design. This role will support the Design teams across 3 global regions (AMER, EMEA and APAC) and will work closely with the Design \&amp; Construction (D\&amp;C) team, the Workplace Guidelines \&amp; Standards team and the Regional Portfolio Managers (RPM) team.  
This role will be responsible for managing, updating and evolving the Signage and Wayfinding Design System for Corporate Workplace, including the development of new elements as needed to ensure standardization. The Signage and Wayfinding Designer will work to leverage the system as it’s been designed, and evolve it as\-needed for regional or new requirements in a way that ensures high\-quality deliverables and on\-time delivery. Over time, this role should gain familiarity with Amazon’s Global corporate workplace portfolio in order to ensure that the elements of the signage and wayfinding system are applicable regionally. This role will also work with the Workplace Guidelines \&amp; Standards team, and the Design \&amp; Construction Delivery teams, though the role is not responsible for updating the Guidelines \&amp;Standards, nor for Delivery of the final signage elements.  
The successful candidate has experience in design of signage and wayfinding for corporate workplace – including education and experience in design of signage and wayfinding system, deep knowledge of industry benchmarks, and the ability to evaluate potential solutions on the basis of aesthetic and budget specific knowledge. The successful candidate will be able to communicate clearly about the design of the signage and wayfinding system at all levels, and yet is not afraid to dive deep into details and is able to design certain elements independently, if required. This role works autonomously and creatively in a fast\-paced, ambiguous environment, and will be working on multiple projects, most of which have very tight delivery timelines. Attention to detail and ability to inspect issues and processes brings simplified solutions to complex problems is paramount. The candidate must be able to balance frugality with creativity in offering solutions and approach problem\-solving with an emphasis on root cause.  
This role supports our Global team, so may requires travel approximately 10% of the time.  
Key job responsibilities  
* With the support of Workplace Design \&amp; Construction Teams, maintain the Signage and Wayfinding Design System for Amazon’s Corporate Workplace, including assessing design requirements of any new request, updating the design of individual elements, proposing root updates, and communicating the design rationale of any changes.
* Collaborate with GREF partner teams, including Regional Portfolio Management, Sustainability and Environmental Health and Safety, and Travel and Events, to ensure the system meets all requirements and improve the quality of Amazon workspace with a focus on resiliency, efficiency, health, and safety.
* Routinely connect to external industry, professional bodies and communities, ensuring new industry standards, best practices, technology, and innovations are adopted into the program.
About the team  
The Global Real Estate and Facilities (GREF) team provides real estate transaction expertise, business partnering, space and occupancy planning, capital investment program management, facility maintenance, and operations in more than 60 countries. GREF is organized into three pillars: Regional Portfolio Management, Global Centers of Enablement, and Global Centers of Expertise. Workplace Design and Construction sits within the Global Centers of Excellence and includes the disciplines of Global Design, Workplace Guidelines, Business Development, Global Integrated Facilities Management, and regional Design and Construction (D\&amp;C) delivery.  
The Global Design team owns the design of GREF spaces, shaping design concepts that align with GREF’s strategic vision and the GREF Workplace Design Style Guide, while enhancing employee well\-being. Ultimately this team defines spaces that best support the way Amazonians work. The team’s Concept Designers develop foundational concepts for each space type—headcount floors, Centers of Energy, Food and Beverage, Meetings and Events, and other specialty spaces—that are in line with foundational design principles. The regional Design Managers ensure that GREF design concepts and standards are seamlessly integrated into new projects and renovations.  
The Workplace Guidelines team owns the creation, implementation, and ongoing refinement of Amazon’s Global Workplace Design Guidelines and Standards, ensuring regional teams have comprehensive documentation to support delivering and refreshing spaces that best support how Amazonians work in the office. This team includes global furniture, fixture and equipment (FF\&amp;E) development and implementation, as well as signage and wayfinding guidelines and standards.**BASIC QUALIFICATIONS**
------------------------
* Have a portfolio demonstrating past work experience and deliverables (e.g., study plans, reports, personas)
* Bachelor's degree in Visual Design, Graphic Design, Art, Architecture (or related professional experience in a design role).
* 5\+ years of design experience in design of signage and wayfinding for corporate workplace, demonstrating ability to lead design for a signage and wayfinding system for a large corporate workplace portfolio.
**PREFERRED QUALIFICATIONS**
----------------------------
* Experience escalating issues and anticipating and making hard trade\-offs between business and customer need
* Proven decision making and problem\-solving capabilities with strong follow up skills and attention to detail.
* Excellent oral and written communication skills with exceptional ability to translate ideas and thoughts into written documents.
* Continuous learning mindset and commitment to staying up\-to\-date with industry trends and best practices.
* Able to build constructive and effective relationships and use them to maneuver through complex situations.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$116,500/year in our lowest geographic market up to $192,600/year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9">
      <c r="A29" t="inlineStr">
        <is>
          <t>in-855f4c6ec3940e93</t>
        </is>
      </c>
      <c r="B29" t="inlineStr">
        <is>
          <t>Senior Product Manager, Ads</t>
        </is>
      </c>
      <c r="C29" t="inlineStr">
        <is>
          <t>Amazon.com</t>
        </is>
      </c>
      <c r="D29" t="inlineStr">
        <is>
          <t>indeed</t>
        </is>
      </c>
      <c r="E29">
        <f>HYPERLINK("https://www.indeed.com/viewjob?jk=855f4c6ec3940e93", "https://www.indeed.com/viewjob?jk=855f4c6ec3940e93")</f>
        <v/>
      </c>
      <c r="F29">
        <f>HYPERLINK("https://www.amazon.jobs/jobs/3137569/senior-product-manager-ads?cmpid=DA_INAD200785B", "https://www.amazon.jobs/jobs/3137569/senior-product-manager-ads?cmpid=DA_INAD200785B")</f>
        <v/>
      </c>
      <c r="G29" t="inlineStr">
        <is>
          <t>San Francisco, CA, US</t>
        </is>
      </c>
      <c r="H29" s="1" t="n">
        <v>45994</v>
      </c>
      <c r="I29"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0">
      <c r="A30" t="inlineStr">
        <is>
          <t>in-b769ab2d172b597f</t>
        </is>
      </c>
      <c r="B30" t="inlineStr">
        <is>
          <t>Senior Product Manager, Ads</t>
        </is>
      </c>
      <c r="C30" t="inlineStr">
        <is>
          <t>Amazon.com</t>
        </is>
      </c>
      <c r="D30" t="inlineStr">
        <is>
          <t>indeed</t>
        </is>
      </c>
      <c r="E30">
        <f>HYPERLINK("https://www.indeed.com/viewjob?jk=b769ab2d172b597f", "https://www.indeed.com/viewjob?jk=b769ab2d172b597f")</f>
        <v/>
      </c>
      <c r="F30">
        <f>HYPERLINK("https://www.amazon.jobs/jobs/3137569/senior-product-manager-ads?cmpid=DA_INAD200785B", "https://www.amazon.jobs/jobs/3137569/senior-product-manager-ads?cmpid=DA_INAD200785B")</f>
        <v/>
      </c>
      <c r="G30" t="inlineStr">
        <is>
          <t>New York, NY, US</t>
        </is>
      </c>
      <c r="H30" s="1" t="n">
        <v>45994</v>
      </c>
      <c r="I30"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1">
      <c r="A31" t="inlineStr">
        <is>
          <t>in-40acae181f350c2b</t>
        </is>
      </c>
      <c r="B31" t="inlineStr">
        <is>
          <t>Senior Product Manager, Ads</t>
        </is>
      </c>
      <c r="C31" t="inlineStr">
        <is>
          <t>Amazon.com</t>
        </is>
      </c>
      <c r="D31" t="inlineStr">
        <is>
          <t>indeed</t>
        </is>
      </c>
      <c r="E31">
        <f>HYPERLINK("https://www.indeed.com/viewjob?jk=40acae181f350c2b", "https://www.indeed.com/viewjob?jk=40acae181f350c2b")</f>
        <v/>
      </c>
      <c r="F31">
        <f>HYPERLINK("https://www.amazon.jobs/jobs/3137569/senior-product-manager-ads?cmpid=DA_INAD200785B", "https://www.amazon.jobs/jobs/3137569/senior-product-manager-ads?cmpid=DA_INAD200785B")</f>
        <v/>
      </c>
      <c r="G31" t="inlineStr">
        <is>
          <t>Los Angeles, CA, US</t>
        </is>
      </c>
      <c r="H31" s="1" t="n">
        <v>45994</v>
      </c>
      <c r="I31"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2">
      <c r="A32" t="inlineStr">
        <is>
          <t>in-0a3a0803e1dc913d</t>
        </is>
      </c>
      <c r="B32" t="inlineStr">
        <is>
          <t>Senior Product Manager, Ads</t>
        </is>
      </c>
      <c r="C32" t="inlineStr">
        <is>
          <t>Amazon.com</t>
        </is>
      </c>
      <c r="D32" t="inlineStr">
        <is>
          <t>indeed</t>
        </is>
      </c>
      <c r="E32">
        <f>HYPERLINK("https://www.indeed.com/viewjob?jk=0a3a0803e1dc913d", "https://www.indeed.com/viewjob?jk=0a3a0803e1dc913d")</f>
        <v/>
      </c>
      <c r="F32">
        <f>HYPERLINK("https://www.amazon.jobs/jobs/3137569/senior-product-manager-ads?cmpid=DA_INAD200785B", "https://www.amazon.jobs/jobs/3137569/senior-product-manager-ads?cmpid=DA_INAD200785B")</f>
        <v/>
      </c>
      <c r="G32" t="inlineStr">
        <is>
          <t>Seattle, WA, US</t>
        </is>
      </c>
      <c r="H32" s="1" t="n">
        <v>45994</v>
      </c>
      <c r="I32"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3">
      <c r="A33" t="inlineStr">
        <is>
          <t>in-de669277d02a7a4d</t>
        </is>
      </c>
      <c r="B33" t="inlineStr">
        <is>
          <t>Senior Product Manager, Ads</t>
        </is>
      </c>
      <c r="C33" t="inlineStr">
        <is>
          <t>Amazon.com</t>
        </is>
      </c>
      <c r="D33" t="inlineStr">
        <is>
          <t>indeed</t>
        </is>
      </c>
      <c r="E33">
        <f>HYPERLINK("https://www.indeed.com/viewjob?jk=de669277d02a7a4d", "https://www.indeed.com/viewjob?jk=de669277d02a7a4d")</f>
        <v/>
      </c>
      <c r="F33">
        <f>HYPERLINK("https://www.amazon.jobs/jobs/3137569/senior-product-manager-ads?cmpid=DA_INAD200785B", "https://www.amazon.jobs/jobs/3137569/senior-product-manager-ads?cmpid=DA_INAD200785B")</f>
        <v/>
      </c>
      <c r="G33" t="inlineStr">
        <is>
          <t>Irvine, CA, US</t>
        </is>
      </c>
      <c r="H33" s="1" t="n">
        <v>45994</v>
      </c>
      <c r="I33"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4">
      <c r="A34" t="inlineStr">
        <is>
          <t>in-18cacac8c8dc8b9c</t>
        </is>
      </c>
      <c r="B34" t="inlineStr">
        <is>
          <t>Sr. Product Manager</t>
        </is>
      </c>
      <c r="C34" t="inlineStr">
        <is>
          <t>Amazon.com</t>
        </is>
      </c>
      <c r="D34" t="inlineStr">
        <is>
          <t>indeed</t>
        </is>
      </c>
      <c r="E34">
        <f>HYPERLINK("https://www.indeed.com/viewjob?jk=18cacac8c8dc8b9c", "https://www.indeed.com/viewjob?jk=18cacac8c8dc8b9c")</f>
        <v/>
      </c>
      <c r="F34">
        <f>HYPERLINK("https://www.amazon.jobs/jobs/3129468/sr-product-manager?cmpid=DA_INAD200785B", "https://www.amazon.jobs/jobs/3129468/sr-product-manager?cmpid=DA_INAD200785B")</f>
        <v/>
      </c>
      <c r="G34" t="inlineStr">
        <is>
          <t>Los Angeles, CA, US</t>
        </is>
      </c>
      <c r="H34" s="1" t="n">
        <v>45979</v>
      </c>
      <c r="I3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We're seeking a Senior Product Manager to lead our onboarding and safety initiatives, making account management a strategic tool for platform growth while maintaining user safety and trust. You'll work at the intersection of user experience, regulatory compliance, and community health to protect our most vulnerable users while enabling seamless platform access for millions of creators and viewers worldwide.  
This role sits within our Health organization and requires deep expertise in trust \&amp; safety product development, including age assurance, parental controls, and complex compliance requirements. You'll balance user friction with necessary protections, ensuring Twitch remains a safe space for all communities.  
You can be based out of one of the Twitch offices including San Francisco, Seattle, Los Angeles, Irvine, or New York City.  
You Will  
* Own and develop account\-related features that drive both growth and user safety across all user segments
* Design and implement complex user flows for age assurance, parental controls, and passwordless authentication experiences
* Ensure compliance with global safety and health regulations including COPPA, GDPR\-Age, UK Age Appropriate Design Code, and emerging legislation
* Lead strategy for age verification and minor protection features, setting the standard for how Twitch protects young users
* Balance user friction with necessary data collection to optimize for both safety outcomes and platform growth
* Drive platform health through strategic account management decisions that impact millions of users
* Partner closely with community product, design, engineering, legal, policy, trust \&amp; safety, and data teams to deliver comprehensive solutions
* Translate complex regulatory requirements into actionable product requirements and elegant user experiences
Perks  
* Medical, Dental, Vision \&amp; Disability Insurance
* 401(k)
* Maternity \&amp; Parental Leave
* Flexible PTO
* Amazon Employee Discount
**BASIC QUALIFICATIONS**
------------------------
* Experience communicating effectively with senior leadership
* 8\+ years of product management experience, with at least 4 years focusing on trust \&amp; safety, community health, or user protection products at consumer platforms (we count time as engineer as PM time)
* Proven track record developing authentication systems, content moderation tools, user protection features, and/or community health products at scale
* Deep understanding of online safety regulations and compliance requirements across multiple jurisdictions
* Demonstrated ability to balance competing priorities: platform growth, user trust, safety needs, and regulatory compliance
* Experience managing complex multi\-stakeholder initiatives involving policy, legal, trust \&amp; safety experts, and community health teams
* Strong understanding of nuanced user behavior, community standards, and varying safety needs across different user segments and age groups
**PREFERRED QUALIFICATIONS**
----------------------------
* MS/MA or MBA in a technology or business related field
* Background in authentication systems or identity verification
* Hands\-on experience from major consumer platforms tackling age assurance or minor protection at scale
* Experience implementing COPPA, GDPR\-Age, or other child safety compliance frameworks
* Proficiency in SQL and data\-driven decision making
* Previous work in gaming, social media, or live streaming platforms
* Experience with customer experience (CX) and creator tools (CT)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5">
      <c r="A35" t="inlineStr">
        <is>
          <t>in-87561a0f8d365cf8</t>
        </is>
      </c>
      <c r="B35" t="inlineStr">
        <is>
          <t>Sr. Product Manager</t>
        </is>
      </c>
      <c r="C35" t="inlineStr">
        <is>
          <t>Amazon.com</t>
        </is>
      </c>
      <c r="D35" t="inlineStr">
        <is>
          <t>indeed</t>
        </is>
      </c>
      <c r="E35">
        <f>HYPERLINK("https://www.indeed.com/viewjob?jk=87561a0f8d365cf8", "https://www.indeed.com/viewjob?jk=87561a0f8d365cf8")</f>
        <v/>
      </c>
      <c r="F35">
        <f>HYPERLINK("https://www.amazon.jobs/jobs/3129468/sr-product-manager?cmpid=DA_INAD200785B", "https://www.amazon.jobs/jobs/3129468/sr-product-manager?cmpid=DA_INAD200785B")</f>
        <v/>
      </c>
      <c r="G35" t="inlineStr">
        <is>
          <t>San Francisco, CA, US</t>
        </is>
      </c>
      <c r="H35" s="1" t="n">
        <v>45979</v>
      </c>
      <c r="I35"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We're seeking a Senior Product Manager to lead our onboarding and safety initiatives, making account management a strategic tool for platform growth while maintaining user safety and trust. You'll work at the intersection of user experience, regulatory compliance, and community health to protect our most vulnerable users while enabling seamless platform access for millions of creators and viewers worldwide.  
This role sits within our Health organization and requires deep expertise in trust \&amp; safety product development, including age assurance, parental controls, and complex compliance requirements. You'll balance user friction with necessary protections, ensuring Twitch remains a safe space for all communities.  
You can be based out of one of the Twitch offices including San Francisco, Seattle, Los Angeles, Irvine, or New York City.  
You Will  
* Own and develop account\-related features that drive both growth and user safety across all user segments
* Design and implement complex user flows for age assurance, parental controls, and passwordless authentication experiences
* Ensure compliance with global safety and health regulations including COPPA, GDPR\-Age, UK Age Appropriate Design Code, and emerging legislation
* Lead strategy for age verification and minor protection features, setting the standard for how Twitch protects young users
* Balance user friction with necessary data collection to optimize for both safety outcomes and platform growth
* Drive platform health through strategic account management decisions that impact millions of users
* Partner closely with community product, design, engineering, legal, policy, trust \&amp; safety, and data teams to deliver comprehensive solutions
* Translate complex regulatory requirements into actionable product requirements and elegant user experiences
Perks  
* Medical, Dental, Vision \&amp; Disability Insurance
* 401(k)
* Maternity \&amp; Parental Leave
* Flexible PTO
* Amazon Employee Discount
**BASIC QUALIFICATIONS**
------------------------
* Experience communicating effectively with senior leadership
* 8\+ years of product management experience, with at least 4 years focusing on trust \&amp; safety, community health, or user protection products at consumer platforms (we count time as engineer as PM time)
* Proven track record developing authentication systems, content moderation tools, user protection features, and/or community health products at scale
* Deep understanding of online safety regulations and compliance requirements across multiple jurisdictions
* Demonstrated ability to balance competing priorities: platform growth, user trust, safety needs, and regulatory compliance
* Experience managing complex multi\-stakeholder initiatives involving policy, legal, trust \&amp; safety experts, and community health teams
* Strong understanding of nuanced user behavior, community standards, and varying safety needs across different user segments and age groups
**PREFERRED QUALIFICATIONS**
----------------------------
* MS/MA or MBA in a technology or business related field
* Background in authentication systems or identity verification
* Hands\-on experience from major consumer platforms tackling age assurance or minor protection at scale
* Experience implementing COPPA, GDPR\-Age, or other child safety compliance frameworks
* Proficiency in SQL and data\-driven decision making
* Previous work in gaming, social media, or live streaming platforms
* Experience with customer experience (CX) and creator tools (CT)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6">
      <c r="A36" t="inlineStr">
        <is>
          <t>in-6c4c8c353f695998</t>
        </is>
      </c>
      <c r="B36" t="inlineStr">
        <is>
          <t>Sr. Product Manager</t>
        </is>
      </c>
      <c r="C36" t="inlineStr">
        <is>
          <t>Amazon.com</t>
        </is>
      </c>
      <c r="D36" t="inlineStr">
        <is>
          <t>indeed</t>
        </is>
      </c>
      <c r="E36">
        <f>HYPERLINK("https://www.indeed.com/viewjob?jk=6c4c8c353f695998", "https://www.indeed.com/viewjob?jk=6c4c8c353f695998")</f>
        <v/>
      </c>
      <c r="F36">
        <f>HYPERLINK("https://www.amazon.jobs/jobs/3129468/sr-product-manager?cmpid=DA_INAD200785B", "https://www.amazon.jobs/jobs/3129468/sr-product-manager?cmpid=DA_INAD200785B")</f>
        <v/>
      </c>
      <c r="G36" t="inlineStr">
        <is>
          <t>Irvine, CA, US</t>
        </is>
      </c>
      <c r="H36" s="1" t="n">
        <v>45979</v>
      </c>
      <c r="I36"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We're seeking a Senior Product Manager to lead our onboarding and safety initiatives, making account management a strategic tool for platform growth while maintaining user safety and trust. You'll work at the intersection of user experience, regulatory compliance, and community health to protect our most vulnerable users while enabling seamless platform access for millions of creators and viewers worldwide.  
This role sits within our Health organization and requires deep expertise in trust \&amp; safety product development, including age assurance, parental controls, and complex compliance requirements. You'll balance user friction with necessary protections, ensuring Twitch remains a safe space for all communities.  
You can be based out of one of the Twitch offices including San Francisco, Seattle, Los Angeles, Irvine, or New York City.  
You Will  
* Own and develop account\-related features that drive both growth and user safety across all user segments
* Design and implement complex user flows for age assurance, parental controls, and passwordless authentication experiences
* Ensure compliance with global safety and health regulations including COPPA, GDPR\-Age, UK Age Appropriate Design Code, and emerging legislation
* Lead strategy for age verification and minor protection features, setting the standard for how Twitch protects young users
* Balance user friction with necessary data collection to optimize for both safety outcomes and platform growth
* Drive platform health through strategic account management decisions that impact millions of users
* Partner closely with community product, design, engineering, legal, policy, trust \&amp; safety, and data teams to deliver comprehensive solutions
* Translate complex regulatory requirements into actionable product requirements and elegant user experiences
Perks  
* Medical, Dental, Vision \&amp; Disability Insurance
* 401(k)
* Maternity \&amp; Parental Leave
* Flexible PTO
* Amazon Employee Discount
**BASIC QUALIFICATIONS**
------------------------
* Experience communicating effectively with senior leadership
* 8\+ years of product management experience, with at least 4 years focusing on trust \&amp; safety, community health, or user protection products at consumer platforms (we count time as engineer as PM time)
* Proven track record developing authentication systems, content moderation tools, user protection features, and/or community health products at scale
* Deep understanding of online safety regulations and compliance requirements across multiple jurisdictions
* Demonstrated ability to balance competing priorities: platform growth, user trust, safety needs, and regulatory compliance
* Experience managing complex multi\-stakeholder initiatives involving policy, legal, trust \&amp; safety experts, and community health teams
* Strong understanding of nuanced user behavior, community standards, and varying safety needs across different user segments and age groups
**PREFERRED QUALIFICATIONS**
----------------------------
* MS/MA or MBA in a technology or business related field
* Background in authentication systems or identity verification
* Hands\-on experience from major consumer platforms tackling age assurance or minor protection at scale
* Experience implementing COPPA, GDPR\-Age, or other child safety compliance frameworks
* Proficiency in SQL and data\-driven decision making
* Previous work in gaming, social media, or live streaming platforms
* Experience with customer experience (CX) and creator tools (CT)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7">
      <c r="A37" t="inlineStr">
        <is>
          <t>in-d9f09ee242cc1a5d</t>
        </is>
      </c>
      <c r="B37" t="inlineStr">
        <is>
          <t>Sr. Product Manager</t>
        </is>
      </c>
      <c r="C37" t="inlineStr">
        <is>
          <t>Amazon.com</t>
        </is>
      </c>
      <c r="D37" t="inlineStr">
        <is>
          <t>indeed</t>
        </is>
      </c>
      <c r="E37">
        <f>HYPERLINK("https://www.indeed.com/viewjob?jk=d9f09ee242cc1a5d", "https://www.indeed.com/viewjob?jk=d9f09ee242cc1a5d")</f>
        <v/>
      </c>
      <c r="F37">
        <f>HYPERLINK("https://www.amazon.jobs/jobs/3129468/sr-product-manager?cmpid=DA_INAD200785B", "https://www.amazon.jobs/jobs/3129468/sr-product-manager?cmpid=DA_INAD200785B")</f>
        <v/>
      </c>
      <c r="G37" t="inlineStr">
        <is>
          <t>Seattle, WA, US</t>
        </is>
      </c>
      <c r="H37" s="1" t="n">
        <v>45979</v>
      </c>
      <c r="I37"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We're seeking a Senior Product Manager to lead our onboarding and safety initiatives, making account management a strategic tool for platform growth while maintaining user safety and trust. You'll work at the intersection of user experience, regulatory compliance, and community health to protect our most vulnerable users while enabling seamless platform access for millions of creators and viewers worldwide.  
This role sits within our Health organization and requires deep expertise in trust \&amp; safety product development, including age assurance, parental controls, and complex compliance requirements. You'll balance user friction with necessary protections, ensuring Twitch remains a safe space for all communities.  
You can be based out of one of the Twitch offices including San Francisco, Seattle, Los Angeles, Irvine, or New York City.  
You Will  
* Own and develop account\-related features that drive both growth and user safety across all user segments
* Design and implement complex user flows for age assurance, parental controls, and passwordless authentication experiences
* Ensure compliance with global safety and health regulations including COPPA, GDPR\-Age, UK Age Appropriate Design Code, and emerging legislation
* Lead strategy for age verification and minor protection features, setting the standard for how Twitch protects young users
* Balance user friction with necessary data collection to optimize for both safety outcomes and platform growth
* Drive platform health through strategic account management decisions that impact millions of users
* Partner closely with community product, design, engineering, legal, policy, trust \&amp; safety, and data teams to deliver comprehensive solutions
* Translate complex regulatory requirements into actionable product requirements and elegant user experiences
Perks  
* Medical, Dental, Vision \&amp; Disability Insurance
* 401(k)
* Maternity \&amp; Parental Leave
* Flexible PTO
* Amazon Employee Discount
**BASIC QUALIFICATIONS**
------------------------
* Experience communicating effectively with senior leadership
* 8\+ years of product management experience, with at least 4 years focusing on trust \&amp; safety, community health, or user protection products at consumer platforms (we count time as engineer as PM time)
* Proven track record developing authentication systems, content moderation tools, user protection features, and/or community health products at scale
* Deep understanding of online safety regulations and compliance requirements across multiple jurisdictions
* Demonstrated ability to balance competing priorities: platform growth, user trust, safety needs, and regulatory compliance
* Experience managing complex multi\-stakeholder initiatives involving policy, legal, trust \&amp; safety experts, and community health teams
* Strong understanding of nuanced user behavior, community standards, and varying safety needs across different user segments and age groups
**PREFERRED QUALIFICATIONS**
----------------------------
* MS/MA or MBA in a technology or business related field
* Background in authentication systems or identity verification
* Hands\-on experience from major consumer platforms tackling age assurance or minor protection at scale
* Experience implementing COPPA, GDPR\-Age, or other child safety compliance frameworks
* Proficiency in SQL and data\-driven decision making
* Previous work in gaming, social media, or live streaming platforms
* Experience with customer experience (CX) and creator tools (CT)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8">
      <c r="A38" t="inlineStr">
        <is>
          <t>in-45608aff7898714d</t>
        </is>
      </c>
      <c r="B38" t="inlineStr">
        <is>
          <t>Sr. Product Manager</t>
        </is>
      </c>
      <c r="C38" t="inlineStr">
        <is>
          <t>Amazon.com</t>
        </is>
      </c>
      <c r="D38" t="inlineStr">
        <is>
          <t>indeed</t>
        </is>
      </c>
      <c r="E38">
        <f>HYPERLINK("https://www.indeed.com/viewjob?jk=45608aff7898714d", "https://www.indeed.com/viewjob?jk=45608aff7898714d")</f>
        <v/>
      </c>
      <c r="F38">
        <f>HYPERLINK("https://www.amazon.jobs/jobs/3129468/sr-product-manager?cmpid=DA_INAD200785B", "https://www.amazon.jobs/jobs/3129468/sr-product-manager?cmpid=DA_INAD200785B")</f>
        <v/>
      </c>
      <c r="G38" t="inlineStr">
        <is>
          <t>New York, NY, US</t>
        </is>
      </c>
      <c r="H38" s="1" t="n">
        <v>45979</v>
      </c>
      <c r="I38"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We're seeking a Senior Product Manager to lead our onboarding and safety initiatives, making account management a strategic tool for platform growth while maintaining user safety and trust. You'll work at the intersection of user experience, regulatory compliance, and community health to protect our most vulnerable users while enabling seamless platform access for millions of creators and viewers worldwide.  
This role sits within our Health organization and requires deep expertise in trust \&amp; safety product development, including age assurance, parental controls, and complex compliance requirements. You'll balance user friction with necessary protections, ensuring Twitch remains a safe space for all communities.  
You can be based out of one of the Twitch offices including San Francisco, Seattle, Los Angeles, Irvine, or New York City.  
You Will  
* Own and develop account\-related features that drive both growth and user safety across all user segments
* Design and implement complex user flows for age assurance, parental controls, and passwordless authentication experiences
* Ensure compliance with global safety and health regulations including COPPA, GDPR\-Age, UK Age Appropriate Design Code, and emerging legislation
* Lead strategy for age verification and minor protection features, setting the standard for how Twitch protects young users
* Balance user friction with necessary data collection to optimize for both safety outcomes and platform growth
* Drive platform health through strategic account management decisions that impact millions of users
* Partner closely with community product, design, engineering, legal, policy, trust \&amp; safety, and data teams to deliver comprehensive solutions
* Translate complex regulatory requirements into actionable product requirements and elegant user experiences
Perks  
* Medical, Dental, Vision \&amp; Disability Insurance
* 401(k)
* Maternity \&amp; Parental Leave
* Flexible PTO
* Amazon Employee Discount
**BASIC QUALIFICATIONS**
------------------------
* Experience communicating effectively with senior leadership
* 8\+ years of product management experience, with at least 4 years focusing on trust \&amp; safety, community health, or user protection products at consumer platforms (we count time as engineer as PM time)
* Proven track record developing authentication systems, content moderation tools, user protection features, and/or community health products at scale
* Deep understanding of online safety regulations and compliance requirements across multiple jurisdictions
* Demonstrated ability to balance competing priorities: platform growth, user trust, safety needs, and regulatory compliance
* Experience managing complex multi\-stakeholder initiatives involving policy, legal, trust \&amp; safety experts, and community health teams
* Strong understanding of nuanced user behavior, community standards, and varying safety needs across different user segments and age groups
**PREFERRED QUALIFICATIONS**
----------------------------
* MS/MA or MBA in a technology or business related field
* Background in authentication systems or identity verification
* Hands\-on experience from major consumer platforms tackling age assurance or minor protection at scale
* Experience implementing COPPA, GDPR\-Age, or other child safety compliance frameworks
* Proficiency in SQL and data\-driven decision making
* Previous work in gaming, social media, or live streaming platforms
* Experience with customer experience (CX) and creator tools (CT)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9">
      <c r="A39" t="inlineStr">
        <is>
          <t>in-c2cfe1bc26938a15</t>
        </is>
      </c>
      <c r="B39" t="inlineStr">
        <is>
          <t>Program Manager, Executive Content and Programs, Global Executive Marketing</t>
        </is>
      </c>
      <c r="C39" t="inlineStr">
        <is>
          <t>Amazon Web Services</t>
        </is>
      </c>
      <c r="D39" t="inlineStr">
        <is>
          <t>indeed</t>
        </is>
      </c>
      <c r="E39">
        <f>HYPERLINK("https://www.indeed.com/viewjob?jk=c2cfe1bc26938a15", "https://www.indeed.com/viewjob?jk=c2cfe1bc26938a15")</f>
        <v/>
      </c>
      <c r="F39">
        <f>HYPERLINK("https://www.amazon.jobs/jobs/3125520/program-manager-executive-content-and-programs-global-executive-marketing?cmpid=DA_INAD200785B", "https://www.amazon.jobs/jobs/3125520/program-manager-executive-content-and-programs-global-executive-marketing?cmpid=DA_INAD200785B")</f>
        <v/>
      </c>
      <c r="G39" t="inlineStr">
        <is>
          <t>Arlington, VA, US</t>
        </is>
      </c>
      <c r="H39" s="1" t="n">
        <v>45970</v>
      </c>
      <c r="I39" t="inlineStr">
        <is>
          <t>**DESCRIPTION**
---------------
Global Executive Marketing (GEM) creates 1:1 and 1:many engagements between AWS leaders and executive customers through content, messaging, and digital and in\-person experiences. As part of this organization, you'll execute content operations that help forge and strengthen relationships with influential decision\-makers who are transforming their industries using AWS cloud and generative AI.  
We're seeking a Program Manager to lead execution of content strategy for select executive programs, including Executive Summit at AWS re:Invent and digital content initiatives. This role will focus on operational coordination and execution across touchpoints while supporting content development. The candidate will have hands\-on experience in content production, digital asset management, and tactical program execution. This position works on high visibility programs and interacts with a diverse group of globally distributed stakeholders.  
Key job responsibilities  
In this role, you'll:  
* Develop and execute compelling content that supports C\-suite engagement and translates strategic narratives into deliverable assets
* Implement scalable content frameworks and playbooks aligned with AWS priorities, managing day\-to\-day content operations and production workflows
* Coordinate innovative programming across multiple formats including digital, events, and experiential activations to drive executive engagement
* Provide tactical editorial support across marquee 1P executive events to ensure consistent execution and delivery
* Manage content production workflows and coordinate with agencies, vendors, and production teams
* Execute event logistics and content coordination for Executive Summit and other high\-visibility executive programs
* Coordinate digital content initiatives including executive podcasts, video content, and interactive digital experiences
* Manage content calendars, asset libraries, and version control across all executive content initiatives
* Track and report on tactical metrics that support broader engagement and business outcome measurement
A day in the life  
* Coordinate with agencies and vendors on content production timelines and deliverables for upcoming executive programs
* Manage content asset updates and maintain version control across digital platforms and event materials
* Execute logistics and coordination for Executive Summit sessions, including speaker preparation materials and technical requirements
* Collaborate with cross\-functional teams to ensure seamless delivery of digital content initiatives and event programming
* Update project trackers, manage content calendars, and provide status reports on tactical execution progress
About the team  
GEM helps architect the relationships with C\-suite customers, helping to shape the future of cloud computing and AI. Every day brings a new challenge, a chance to innovate, and an opportunity to influence decision\-maker customers.  
AWS Sales, Marketing, and Global Services (SMGS) is responsible for driving revenue, adoption, and growth from the largest and fastest growing small\- and mid\-market accounts to enterprise\-level customers including public sector. The AWS Global Support team interacts with leading companies and believes that world\-class support is critical to customer success. AWS Support also partners with a global list of customers that are building mission\-critical applications on top of AWS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(gender diversity)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5\+ years of program or project management experience
* Experience using data and metrics to determine and drive improvements
* Experience working cross functionally with tech and non\-tech teams
**PREFERRED QUALIFICATIONS**
----------------------------
* 3\+ years of driving end to end delivery, and communicating results to senior leadership experience
* 3\+ years of driving process improvements experience
* Experience in stakeholder management, dealing with multiple stakeholders at varied levels of the organization
* Experience building processes, project management, and schedules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$66,800/year in our lowest geographic market up to $142,800/year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0">
      <c r="A40" t="inlineStr">
        <is>
          <t>in-4fc9fb55362e943a</t>
        </is>
      </c>
      <c r="B40" t="inlineStr">
        <is>
          <t>Program Manager, Executive Content and Programs, Global Executive Marketing</t>
        </is>
      </c>
      <c r="C40" t="inlineStr">
        <is>
          <t>Amazon Web Services</t>
        </is>
      </c>
      <c r="D40" t="inlineStr">
        <is>
          <t>indeed</t>
        </is>
      </c>
      <c r="E40">
        <f>HYPERLINK("https://www.indeed.com/viewjob?jk=4fc9fb55362e943a", "https://www.indeed.com/viewjob?jk=4fc9fb55362e943a")</f>
        <v/>
      </c>
      <c r="F40">
        <f>HYPERLINK("https://www.amazon.jobs/jobs/3125520/program-manager-executive-content-and-programs-global-executive-marketing?cmpid=DA_INAD200785B", "https://www.amazon.jobs/jobs/3125520/program-manager-executive-content-and-programs-global-executive-marketing?cmpid=DA_INAD200785B")</f>
        <v/>
      </c>
      <c r="G40" t="inlineStr">
        <is>
          <t>Seattle, WA, US</t>
        </is>
      </c>
      <c r="H40" s="1" t="n">
        <v>45970</v>
      </c>
      <c r="I40" t="inlineStr">
        <is>
          <t>**DESCRIPTION**
---------------
Global Executive Marketing (GEM) creates 1:1 and 1:many engagements between AWS leaders and executive customers through content, messaging, and digital and in\-person experiences. As part of this organization, you'll execute content operations that help forge and strengthen relationships with influential decision\-makers who are transforming their industries using AWS cloud and generative AI.  
We're seeking a Program Manager to lead execution of content strategy for select executive programs, including Executive Summit at AWS re:Invent and digital content initiatives. This role will focus on operational coordination and execution across touchpoints while supporting content development. The candidate will have hands\-on experience in content production, digital asset management, and tactical program execution. This position works on high visibility programs and interacts with a diverse group of globally distributed stakeholders.  
Key job responsibilities  
In this role, you'll:  
* Develop and execute compelling content that supports C\-suite engagement and translates strategic narratives into deliverable assets
* Implement scalable content frameworks and playbooks aligned with AWS priorities, managing day\-to\-day content operations and production workflows
* Coordinate innovative programming across multiple formats including digital, events, and experiential activations to drive executive engagement
* Provide tactical editorial support across marquee 1P executive events to ensure consistent execution and delivery
* Manage content production workflows and coordinate with agencies, vendors, and production teams
* Execute event logistics and content coordination for Executive Summit and other high\-visibility executive programs
* Coordinate digital content initiatives including executive podcasts, video content, and interactive digital experiences
* Manage content calendars, asset libraries, and version control across all executive content initiatives
* Track and report on tactical metrics that support broader engagement and business outcome measurement
A day in the life  
* Coordinate with agencies and vendors on content production timelines and deliverables for upcoming executive programs
* Manage content asset updates and maintain version control across digital platforms and event materials
* Execute logistics and coordination for Executive Summit sessions, including speaker preparation materials and technical requirements
* Collaborate with cross\-functional teams to ensure seamless delivery of digital content initiatives and event programming
* Update project trackers, manage content calendars, and provide status reports on tactical execution progress
About the team  
GEM helps architect the relationships with C\-suite customers, helping to shape the future of cloud computing and AI. Every day brings a new challenge, a chance to innovate, and an opportunity to influence decision\-maker customers.  
AWS Sales, Marketing, and Global Services (SMGS) is responsible for driving revenue, adoption, and growth from the largest and fastest growing small\- and mid\-market accounts to enterprise\-level customers including public sector. The AWS Global Support team interacts with leading companies and believes that world\-class support is critical to customer success. AWS Support also partners with a global list of customers that are building mission\-critical applications on top of AWS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(gender diversity)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5\+ years of program or project management experience
* Experience using data and metrics to determine and drive improvements
* Experience working cross functionally with tech and non\-tech teams
**PREFERRED QUALIFICATIONS**
----------------------------
* 3\+ years of driving end to end delivery, and communicating results to senior leadership experience
* 3\+ years of driving process improvements experience
* Experience in stakeholder management, dealing with multiple stakeholders at varied levels of the organization
* Experience building processes, project management, and schedules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$66,800/year in our lowest geographic market up to $142,800/year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1">
      <c r="A41" t="inlineStr">
        <is>
          <t>in-a3faba82b325c128</t>
        </is>
      </c>
      <c r="B41" t="inlineStr">
        <is>
          <t>Sr Product Manager – Technical, Amazon Leo for Government</t>
        </is>
      </c>
      <c r="C41" t="inlineStr">
        <is>
          <t>Amazon.com</t>
        </is>
      </c>
      <c r="D41" t="inlineStr">
        <is>
          <t>indeed</t>
        </is>
      </c>
      <c r="E41">
        <f>HYPERLINK("https://www.indeed.com/viewjob?jk=a3faba82b325c128", "https://www.indeed.com/viewjob?jk=a3faba82b325c128")</f>
        <v/>
      </c>
      <c r="F41">
        <f>HYPERLINK("https://www.amazon.jobs/jobs/3118682/sr-product-manager--technical-amazon-leo-for-government?cmpid=DA_INAD200785B", "https://www.amazon.jobs/jobs/3118682/sr-product-manager--technical-amazon-leo-for-government?cmpid=DA_INAD200785B")</f>
        <v/>
      </c>
      <c r="G41" t="inlineStr">
        <is>
          <t>Arlington, VA, US</t>
        </is>
      </c>
      <c r="H41" s="1" t="n">
        <v>45951</v>
      </c>
      <c r="I41" t="inlineStr">
        <is>
          <t>**DESCRIPTION**
---------------
Amazon Leo is Amazon’s low Earth orbit satellite network. Our mission is to deliver fast, reliable internet connectivity to customers beyond the reach of existing networks. From individual households to schools, hospitals, businesses, and government agencies, Amazon Leo will serve people and organizations operating in locations without reliable connectivity.  
This position will be working within the Product Management Team within Amazon Leo for Government.  
10037  
Key job responsibilities  
We have an immediate opening for a Sr Product Manager – Technical to support the Amazon Leo for Government (ALG) team focusing on DoD and National Security customers. This position will be based in in the Northern Virginia, El Segundo, CA or Redmond, WA areas. This position will be part of the team managing a family of products for high throughput terminals. This is a unique opportunity to innovate and define groundbreaking communications technology with few legacy constraints. The team develops and designs the Amazon Leo for Government products and analyzes performance such as for overall throughput, latency, and system availability. In this role you will:
* Write product roadmaps and product description documents,
* Create detailed product requirements documents based on an intimate knowledge of the specific customer verticals including use case prioritization, feature definition and product roadmap
* Work with leadership team to set the customer strategy and make appropriate high\-judgment trade\-offs between features and speed\-to\-launch
* Manage entire product life cycle from strategic planning to tactical execution and work with key internal and external stakeholders to deliver on that vision
* Research and identify new opportunities to innovate on behalf of our customers
Security Clearance: This position requires that the candidate selected be a US Citizen and must currently possess and maintain an active TS/SCI security clearance.**BASIC QUALIFICATIONS**
------------------------
* Bachelor's degree
* 5\+ years of experience with feature delivery and tradeoffs of a product.
* 5\+ years of experience contributing to engineering discussions around technology decisions and strategy related to a product.
* 5\+ years of experience in representing and advocating for a variety of critical customers and stakeholders during executive\-level prioritization and planning.
* 5\+ years of experience owning/driving roadmap strategy and definition.
**PREFERRED QUALIFICATIONS**
----------------------------
* Experience in using analytical tools, such as Tableau, Qlikview, QuickSight
* Experience in building and driving adoption of new tools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2">
      <c r="A42" t="inlineStr">
        <is>
          <t>in-836b62661b37bcf9</t>
        </is>
      </c>
      <c r="B42" t="inlineStr">
        <is>
          <t>Sr Product Manager – Technical, Amazon Leo for Government</t>
        </is>
      </c>
      <c r="C42" t="inlineStr">
        <is>
          <t>Amazon.com</t>
        </is>
      </c>
      <c r="D42" t="inlineStr">
        <is>
          <t>indeed</t>
        </is>
      </c>
      <c r="E42">
        <f>HYPERLINK("https://www.indeed.com/viewjob?jk=836b62661b37bcf9", "https://www.indeed.com/viewjob?jk=836b62661b37bcf9")</f>
        <v/>
      </c>
      <c r="F42">
        <f>HYPERLINK("https://www.amazon.jobs/jobs/3118682/sr-product-manager--technical-amazon-leo-for-government?cmpid=DA_INAD200785B", "https://www.amazon.jobs/jobs/3118682/sr-product-manager--technical-amazon-leo-for-government?cmpid=DA_INAD200785B")</f>
        <v/>
      </c>
      <c r="G42" t="inlineStr">
        <is>
          <t>El Segundo, CA, US</t>
        </is>
      </c>
      <c r="H42" s="1" t="n">
        <v>45951</v>
      </c>
      <c r="I42" t="inlineStr">
        <is>
          <t>**DESCRIPTION**
---------------
Amazon Leo is Amazon’s low Earth orbit satellite network. Our mission is to deliver fast, reliable internet connectivity to customers beyond the reach of existing networks. From individual households to schools, hospitals, businesses, and government agencies, Amazon Leo will serve people and organizations operating in locations without reliable connectivity.  
This position will be working within the Product Management Team within Amazon Leo for Government.  
10037  
Key job responsibilities  
We have an immediate opening for a Sr Product Manager – Technical to support the Amazon Leo for Government (ALG) team focusing on DoD and National Security customers. This position will be based in in the Northern Virginia, El Segundo, CA or Redmond, WA areas. This position will be part of the team managing a family of products for high throughput terminals. This is a unique opportunity to innovate and define groundbreaking communications technology with few legacy constraints. The team develops and designs the Amazon Leo for Government products and analyzes performance such as for overall throughput, latency, and system availability. In this role you will:
* Write product roadmaps and product description documents,
* Create detailed product requirements documents based on an intimate knowledge of the specific customer verticals including use case prioritization, feature definition and product roadmap
* Work with leadership team to set the customer strategy and make appropriate high\-judgment trade\-offs between features and speed\-to\-launch
* Manage entire product life cycle from strategic planning to tactical execution and work with key internal and external stakeholders to deliver on that vision
* Research and identify new opportunities to innovate on behalf of our customers
Security Clearance: This position requires that the candidate selected be a US Citizen and must currently possess and maintain an active TS/SCI security clearance.**BASIC QUALIFICATIONS**
------------------------
* Bachelor's degree
* 5\+ years of experience with feature delivery and tradeoffs of a product.
* 5\+ years of experience contributing to engineering discussions around technology decisions and strategy related to a product.
* 5\+ years of experience in representing and advocating for a variety of critical customers and stakeholders during executive\-level prioritization and planning.
* 5\+ years of experience owning/driving roadmap strategy and definition.
**PREFERRED QUALIFICATIONS**
----------------------------
* Experience in using analytical tools, such as Tableau, Qlikview, QuickSight
* Experience in building and driving adoption of new tools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3">
      <c r="A43" t="inlineStr">
        <is>
          <t>in-79ba12789ba1ff44</t>
        </is>
      </c>
      <c r="B43" t="inlineStr">
        <is>
          <t>Sr Product Manager – Technical, Amazon Leo for Government</t>
        </is>
      </c>
      <c r="C43" t="inlineStr">
        <is>
          <t>Amazon.com</t>
        </is>
      </c>
      <c r="D43" t="inlineStr">
        <is>
          <t>indeed</t>
        </is>
      </c>
      <c r="E43">
        <f>HYPERLINK("https://www.indeed.com/viewjob?jk=79ba12789ba1ff44", "https://www.indeed.com/viewjob?jk=79ba12789ba1ff44")</f>
        <v/>
      </c>
      <c r="F43">
        <f>HYPERLINK("https://www.amazon.jobs/jobs/3118682/sr-product-manager--technical-amazon-leo-for-government?cmpid=DA_INAD200785B", "https://www.amazon.jobs/jobs/3118682/sr-product-manager--technical-amazon-leo-for-government?cmpid=DA_INAD200785B")</f>
        <v/>
      </c>
      <c r="G43" t="inlineStr">
        <is>
          <t>Redmond, WA, US</t>
        </is>
      </c>
      <c r="H43" s="1" t="n">
        <v>45951</v>
      </c>
      <c r="I43" t="inlineStr">
        <is>
          <t>**DESCRIPTION**
---------------
Amazon Leo is Amazon’s low Earth orbit satellite network. Our mission is to deliver fast, reliable internet connectivity to customers beyond the reach of existing networks. From individual households to schools, hospitals, businesses, and government agencies, Amazon Leo will serve people and organizations operating in locations without reliable connectivity.  
This position will be working within the Product Management Team within Amazon Leo for Government.  
10037  
Key job responsibilities  
We have an immediate opening for a Sr Product Manager – Technical to support the Amazon Leo for Government (ALG) team focusing on DoD and National Security customers. This position will be based in in the Northern Virginia, El Segundo, CA or Redmond, WA areas. This position will be part of the team managing a family of products for high throughput terminals. This is a unique opportunity to innovate and define groundbreaking communications technology with few legacy constraints. The team develops and designs the Amazon Leo for Government products and analyzes performance such as for overall throughput, latency, and system availability. In this role you will:
* Write product roadmaps and product description documents,
* Create detailed product requirements documents based on an intimate knowledge of the specific customer verticals including use case prioritization, feature definition and product roadmap
* Work with leadership team to set the customer strategy and make appropriate high\-judgment trade\-offs between features and speed\-to\-launch
* Manage entire product life cycle from strategic planning to tactical execution and work with key internal and external stakeholders to deliver on that vision
* Research and identify new opportunities to innovate on behalf of our customers
Security Clearance: This position requires that the candidate selected be a US Citizen and must currently possess and maintain an active TS/SCI security clearance.**BASIC QUALIFICATIONS**
------------------------
* Bachelor's degree
* 5\+ years of experience with feature delivery and tradeoffs of a product.
* 5\+ years of experience contributing to engineering discussions around technology decisions and strategy related to a product.
* 5\+ years of experience in representing and advocating for a variety of critical customers and stakeholders during executive\-level prioritization and planning.
* 5\+ years of experience owning/driving roadmap strategy and definition.
**PREFERRED QUALIFICATIONS**
----------------------------
* Experience in using analytical tools, such as Tableau, Qlikview, QuickSight
* Experience in building and driving adoption of new tools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4">
      <c r="A44" t="inlineStr">
        <is>
          <t>in-6e1e0d9a130f959d</t>
        </is>
      </c>
      <c r="B44" t="inlineStr">
        <is>
          <t>Principal Product Manager-Tech, World Wide Grocery Store Tech</t>
        </is>
      </c>
      <c r="C44" t="inlineStr">
        <is>
          <t>Amazon.com</t>
        </is>
      </c>
      <c r="D44" t="inlineStr">
        <is>
          <t>indeed</t>
        </is>
      </c>
      <c r="E44">
        <f>HYPERLINK("https://www.indeed.com/viewjob?jk=6e1e0d9a130f959d", "https://www.indeed.com/viewjob?jk=6e1e0d9a130f959d")</f>
        <v/>
      </c>
      <c r="F44">
        <f>HYPERLINK("https://www.amazon.jobs/jobs/3117495/principal-product-managertech-world-wide-grocery-store-tech?cmpid=DA_INAD200785B", "https://www.amazon.jobs/jobs/3117495/principal-product-managertech-world-wide-grocery-store-tech?cmpid=DA_INAD200785B")</f>
        <v/>
      </c>
      <c r="G44" t="inlineStr">
        <is>
          <t>Seattle, WA, US</t>
        </is>
      </c>
      <c r="H44" s="1" t="n">
        <v>45948</v>
      </c>
      <c r="I44" t="inlineStr">
        <is>
          <t>**DESCRIPTION**
---------------
Amazon Worldwide Grocery Store Tech is seeking a talented Principal Product Manager\-Tech (PMT) to help us grow and evolve our technology platform to further scale under the roof technology.  
Amazon provides Prime members unparalleled convenience and ease of mind by offering one\-hour, ultra fast delivery as well as two\-hour scheduled delivery of tens and thousands of essential products.
To be successful you need to be flexible and entrepreneurial. You are a true owner \- you are passionate about the business and innovate on behalf of our customers. You ideally have experience presenting a strategic vision to SVP/VP leadership, and are excited to think\-out\-of\-the box to solve complex problems.  
Key job responsibilities  
* Define the long\-term tech\-product vision for our stores (e.g., Amazon Fresh stores, Whole Foods Market, Go stores).
* Define the metrics, and your work will have direct impact on the day\-to\-day operations.
* Own the product roadmap to deliver incrementally on the vision.
* Partner closely with engineering teams, UX teams, and operations stakeholders across NA, EU/UK, JP, SG, IN, and MENA.
**BASIC QUALIFICATIONS**
------------------------
* Bachelor's degree
* Experience owning/driving roadmap strategy and definition
* Experience with feature delivery and tradeoffs of a product
* 10\+ years of technical product or program management experience
* Experience contributing to engineering discussions around technology decisions and strategy related to a product
* Experience managing technical products or online services
**PREFERRED QUALIFICATIONS**
----------------------------
* Experience working directly with Engineers on product enhancements
* Experience in project management methodologies, business analysis, or process improvement
* 10\+ years of end to end product delivery experience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TX, Austin \- 179,900\.00 \- 243,400\.00 USD annually  
USA, WA, Seattle \- 179,900\.00 \- 243,400\.00 USD annually</t>
        </is>
      </c>
    </row>
    <row r="45">
      <c r="A45" t="inlineStr">
        <is>
          <t>in-11e2f26eb301fdf9</t>
        </is>
      </c>
      <c r="B45" t="inlineStr">
        <is>
          <t>Principal Product Manager-Tech, World Wide Grocery Store Tech</t>
        </is>
      </c>
      <c r="C45" t="inlineStr">
        <is>
          <t>Amazon.com</t>
        </is>
      </c>
      <c r="D45" t="inlineStr">
        <is>
          <t>indeed</t>
        </is>
      </c>
      <c r="E45">
        <f>HYPERLINK("https://www.indeed.com/viewjob?jk=11e2f26eb301fdf9", "https://www.indeed.com/viewjob?jk=11e2f26eb301fdf9")</f>
        <v/>
      </c>
      <c r="F45">
        <f>HYPERLINK("https://www.amazon.jobs/jobs/3117495/principal-product-managertech-world-wide-grocery-store-tech?cmpid=DA_INAD200785B", "https://www.amazon.jobs/jobs/3117495/principal-product-managertech-world-wide-grocery-store-tech?cmpid=DA_INAD200785B")</f>
        <v/>
      </c>
      <c r="G45" t="inlineStr">
        <is>
          <t>Austin, TX, US</t>
        </is>
      </c>
      <c r="H45" s="1" t="n">
        <v>45948</v>
      </c>
      <c r="I45" t="inlineStr">
        <is>
          <t>**DESCRIPTION**
---------------
Amazon Worldwide Grocery Store Tech is seeking a talented Principal Product Manager\-Tech (PMT) to help us grow and evolve our technology platform to further scale under the roof technology.  
Amazon provides Prime members unparalleled convenience and ease of mind by offering one\-hour, ultra fast delivery as well as two\-hour scheduled delivery of tens and thousands of essential products.
To be successful you need to be flexible and entrepreneurial. You are a true owner \- you are passionate about the business and innovate on behalf of our customers. You ideally have experience presenting a strategic vision to SVP/VP leadership, and are excited to think\-out\-of\-the box to solve complex problems.  
Key job responsibilities  
* Define the long\-term tech\-product vision for our stores (e.g., Amazon Fresh stores, Whole Foods Market, Go stores).
* Define the metrics, and your work will have direct impact on the day\-to\-day operations.
* Own the product roadmap to deliver incrementally on the vision.
* Partner closely with engineering teams, UX teams, and operations stakeholders across NA, EU/UK, JP, SG, IN, and MENA.
**BASIC QUALIFICATIONS**
------------------------
* Bachelor's degree
* Experience owning/driving roadmap strategy and definition
* Experience with feature delivery and tradeoffs of a product
* 10\+ years of technical product or program management experience
* Experience contributing to engineering discussions around technology decisions and strategy related to a product
* Experience managing technical products or online services
**PREFERRED QUALIFICATIONS**
----------------------------
* Experience working directly with Engineers on product enhancements
* Experience in project management methodologies, business analysis, or process improvement
* 10\+ years of end to end product delivery experience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TX, Austin \- 179,900\.00 \- 243,400\.00 USD annually  
USA, WA, Seattle \- 179,900\.00 \- 243,400\.00 USD annually</t>
        </is>
      </c>
    </row>
    <row r="46">
      <c r="A46" t="inlineStr">
        <is>
          <t>in-13cd39d1055362ba</t>
        </is>
      </c>
      <c r="B46" t="inlineStr">
        <is>
          <t>Sr. EHS Program Manager, Safety Learning and Development</t>
        </is>
      </c>
      <c r="C46" t="inlineStr">
        <is>
          <t>Amazon.com</t>
        </is>
      </c>
      <c r="D46" t="inlineStr">
        <is>
          <t>indeed</t>
        </is>
      </c>
      <c r="E46">
        <f>HYPERLINK("https://www.indeed.com/viewjob?jk=13cd39d1055362ba", "https://www.indeed.com/viewjob?jk=13cd39d1055362ba")</f>
        <v/>
      </c>
      <c r="F46">
        <f>HYPERLINK("https://www.amazon.jobs/jobs/3124450/sr-ehs-program-manager-safety-learning-and-development?cmpid=DA_INAD200785B", "https://www.amazon.jobs/jobs/3124450/sr-ehs-program-manager-safety-learning-and-development?cmpid=DA_INAD200785B")</f>
        <v/>
      </c>
      <c r="G46" t="inlineStr">
        <is>
          <t>Bellevue, WA, US</t>
        </is>
      </c>
      <c r="H46" s="1" t="n">
        <v>45910</v>
      </c>
      <c r="I46" t="inlineStr">
        <is>
          <t>**DESCRIPTION**
---------------
Amazon is looking for an enthusiastic Sr. Program Manager to join the Workplace Health and Safety (WHS), Safety Learning and Development (SLeD) team. We are not an average company, and this is certainly not your average position. This role offers you the opportunity to revolutionize safety training delivery worldwide. SLeD seeks an experienced, self\-motivated Program Manager who excels in a fast\-paced environment and has a solid background in program management. This role will support the deployment and management of safety training programs for operations associates and leadership globally.
As a Sr. Program Manager, you will work across teams to collaborate, generate buy\-in, develop and execute to a plan. You will drive the expansion and growth of our global safety training programs, scaling globally. You will play a crucial role in devising strategies, fostering partnerships, and executing initiatives to enhance the program's reach and impact. This entails serving as the main point of contact for stakeholders in coordinating and managing strategic, cross\-functional, and business\-critical programs and projects. The ideal candidate excels in crafting large\-scale global training program strategies, encompassing training design, roadmaps, gap analyses, financial planning, communication, and launch plans in a dynamic and diverse business environment. Effective communication and program management skills are essential, enabling you to manage multiple competing priorities and coordinate work across teams. The successful candidate will be proficient at working with data to identify trends, identify improvement opportunities, and proactively define plans to realize these opportunities.
To be successful in this role, the candidate will effectively multitask and prioritize, utilize data to encourage decisions, and maintain a high level of independence. They will be comfortable working in a growing and ambiguous work environment as we constantly improve and innovate. This leader must have solid written and verbal communications skills, the ability to influence stakeholders, and willingness to dive deep into details.  
Key job responsibilities  
Key job responsibilities  
* Accountable for the overall program strategy and planning for their regions/business units, communicate program requirements, negotiate priorities, and define success metrics
* Apply project management best practices to drive plan execution, mitigate risks, and improve effectiveness to deliver results in a timely manner
* Continuously improve program components and mechanisms to drive results and provide program status communication, deliver clear and concise summaries to leadership teams and effectively answer questions
* Serve as the primary point of contact for coordinating and managing strategic, cross\-functional, and business\-critical training programs and projects
* Build partnerships with key stakeholders and organizations to promote training program adoption.
* Effectively communicate and manage multiple, competing priorities while coordinating work across teams
* Define, track, and monitor progress against success metrics and project plans. Analyze and report on overall project health using key performance indicators and success metrics, and accurately and clearly report on status against program objectives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**BASIC QUALIFICATIONS**
------------------------
* 5\+ years of program or project management experience
* Experience using data and metrics to determine and drive improvements
* Experience owning program strategy, end to end delivery, and communicating results to senior leadership
* Bachelor's degree
**PREFERRED QUALIFICATIONS**
----------------------------
* 2\+ years of driving process improvements experience
* Master's degree, or MBA in business, operations, human resources, adult education, organizational development, instructional design or related field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$104,100/year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7">
      <c r="A47" t="inlineStr">
        <is>
          <t>in-a6171b16fb316d74</t>
        </is>
      </c>
      <c r="B47" t="inlineStr">
        <is>
          <t>Sr. EHS Program Manager, Safety Learning and Development</t>
        </is>
      </c>
      <c r="C47" t="inlineStr">
        <is>
          <t>Amazon.com</t>
        </is>
      </c>
      <c r="D47" t="inlineStr">
        <is>
          <t>indeed</t>
        </is>
      </c>
      <c r="E47">
        <f>HYPERLINK("https://www.indeed.com/viewjob?jk=a6171b16fb316d74", "https://www.indeed.com/viewjob?jk=a6171b16fb316d74")</f>
        <v/>
      </c>
      <c r="F47">
        <f>HYPERLINK("https://www.amazon.jobs/jobs/3124450/sr-ehs-program-manager-safety-learning-and-development?cmpid=DA_INAD200785B", "https://www.amazon.jobs/jobs/3124450/sr-ehs-program-manager-safety-learning-and-development?cmpid=DA_INAD200785B")</f>
        <v/>
      </c>
      <c r="G47" t="inlineStr">
        <is>
          <t>Nashville, TN, US</t>
        </is>
      </c>
      <c r="H47" s="1" t="n">
        <v>45910</v>
      </c>
      <c r="I47" t="inlineStr">
        <is>
          <t>**DESCRIPTION**
---------------
Amazon is looking for an enthusiastic Sr. Program Manager to join the Workplace Health and Safety (WHS), Safety Learning and Development (SLeD) team. We are not an average company, and this is certainly not your average position. This role offers you the opportunity to revolutionize safety training delivery worldwide. SLeD seeks an experienced, self\-motivated Program Manager who excels in a fast\-paced environment and has a solid background in program management. This role will support the deployment and management of safety training programs for operations associates and leadership globally.
As a Sr. Program Manager, you will work across teams to collaborate, generate buy\-in, develop and execute to a plan. You will drive the expansion and growth of our global safety training programs, scaling globally. You will play a crucial role in devising strategies, fostering partnerships, and executing initiatives to enhance the program's reach and impact. This entails serving as the main point of contact for stakeholders in coordinating and managing strategic, cross\-functional, and business\-critical programs and projects. The ideal candidate excels in crafting large\-scale global training program strategies, encompassing training design, roadmaps, gap analyses, financial planning, communication, and launch plans in a dynamic and diverse business environment. Effective communication and program management skills are essential, enabling you to manage multiple competing priorities and coordinate work across teams. The successful candidate will be proficient at working with data to identify trends, identify improvement opportunities, and proactively define plans to realize these opportunities.
To be successful in this role, the candidate will effectively multitask and prioritize, utilize data to encourage decisions, and maintain a high level of independence. They will be comfortable working in a growing and ambiguous work environment as we constantly improve and innovate. This leader must have solid written and verbal communications skills, the ability to influence stakeholders, and willingness to dive deep into details.  
Key job responsibilities  
Key job responsibilities  
* Accountable for the overall program strategy and planning for their regions/business units, communicate program requirements, negotiate priorities, and define success metrics
* Apply project management best practices to drive plan execution, mitigate risks, and improve effectiveness to deliver results in a timely manner
* Continuously improve program components and mechanisms to drive results and provide program status communication, deliver clear and concise summaries to leadership teams and effectively answer questions
* Serve as the primary point of contact for coordinating and managing strategic, cross\-functional, and business\-critical training programs and projects
* Build partnerships with key stakeholders and organizations to promote training program adoption.
* Effectively communicate and manage multiple, competing priorities while coordinating work across teams
* Define, track, and monitor progress against success metrics and project plans. Analyze and report on overall project health using key performance indicators and success metrics, and accurately and clearly report on status against program objectives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**BASIC QUALIFICATIONS**
------------------------
* 5\+ years of program or project management experience
* Experience using data and metrics to determine and drive improvements
* Experience owning program strategy, end to end delivery, and communicating results to senior leadership
* Bachelor's degree
**PREFERRED QUALIFICATIONS**
----------------------------
* 2\+ years of driving process improvements experience
* Master's degree, or MBA in business, operations, human resources, adult education, organizational development, instructional design or related field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$104,100/year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8">
      <c r="A48" t="inlineStr">
        <is>
          <t>in-8ca1bfd1482784dc</t>
        </is>
      </c>
      <c r="B48" t="inlineStr">
        <is>
          <t>Principal Product Manager - Technical, Alexa Communications</t>
        </is>
      </c>
      <c r="C48" t="inlineStr">
        <is>
          <t>Amazon.com</t>
        </is>
      </c>
      <c r="D48" t="inlineStr">
        <is>
          <t>indeed</t>
        </is>
      </c>
      <c r="E48">
        <f>HYPERLINK("https://www.indeed.com/viewjob?jk=8ca1bfd1482784dc", "https://www.indeed.com/viewjob?jk=8ca1bfd1482784dc")</f>
        <v/>
      </c>
      <c r="F48">
        <f>HYPERLINK("https://www.amazon.jobs/jobs/3137022/principal-product-manager--technical-alexa-communications?cmpid=DA_INAD200785B", "https://www.amazon.jobs/jobs/3137022/principal-product-manager--technical-alexa-communications?cmpid=DA_INAD200785B")</f>
        <v/>
      </c>
      <c r="G48" t="inlineStr">
        <is>
          <t>Seattle, WA, US</t>
        </is>
      </c>
      <c r="H48" s="1" t="n">
        <v>45993</v>
      </c>
      <c r="I48" t="inlineStr">
        <is>
          <t>**DESCRIPTION**
---------------
The vision for Alexa is to be the world’s best personal assistant. Such an assistant will play a vital role in managing the communication lives of customers, from drafting communications to coordinating with people on behalf of customers. At Alexa Communications, we’re leveraging Generative AI to bring this assistant to life.
If you’re passionate about building magical experiences for customers, while solving hard, complex technical problems, then this role is for you. You will operate at the intersection of large language models, real time communications, voice and graphical user interfaces, and mixed reality, to deliver state of the art features for end customers.  
Come join us to invent the future of how millions of customers will communicate with and through their virtual AI assistants.  
Key job responsibilities  
As a Principal Product Manager \- Technical in Alexa Communications, you will be responsible for building calling, texting, emailing, and sharing experiences, where Alexa acts as an agent to get things done for customers. This role is cross\-functional — you will work closely with engineering, science, design, business intelligence, operations, finance and executive teams to bring features to market and develop and grow business opportunities for Amazon. A successful candidate will be highly analytical, able to work effectively in a matrix organization, and adept at synthesizing a variety of technologies and capabilities into high quality, simple products and applications that customers love.  
As a product leader, you will:  
* Own and define the vision, strategy, and product roadmap, manage tradeoffs and dependencies with key stakeholders, and execute on deliverables
* Work closely with the engineering, design, and science teams to develop an offering that will delight customers
* Drive product launches including working with business development, Alexa partner teams, public relations team, executives in other companies, and other product management team members
* Monitor the business and refine the roadmap
A day in the life  
Given the scope and high level of ownership that product managers have in Alexa, rarely are two days the same. You are a business owner, customer\-facing representative for the service, and the point person for partner teams.
On a weekly basis, you will be working with customers to learn about the problems they are trying to solve, analyzing service and business metrics, writing PRFAQs, BRDs, and naming documents, iterating on product decisions with the Science and Engineering team, working with partners in solution architecture, legal, documentation, etc., thinking big to envision what is next, and exhibiting learn and be curious for different technologies, growth strategies, and market trends.
On a daily basis, you'll have a chance to work with everyone who makes products at Alexa successful, including senior leadership, engineers, business and sales experts, marketing, advocates, data scientists, content writers, and more. You will meet with customers to understand our core strengths and weaknesses. You will synthesize that feedback and other industry knowledge, with business and service data, to create strategies and test hypotheses. People will look to you on a regular basis to solve problems and connect them with specialists. To develop that expertise, you'll constantly be looking to learn by reaching out to other experts within the company and in the larger tech community, using your own product by developing samples, demos, side\-projects, and through mentorship, both as a mentor and mentee. Our customers are developers and technical decision makers, so you will be using code, technical documentation, and architecture diagrams to understand problems and communicate solutions.
**BASIC QUALIFICATIONS**
------------------------
* 8\+ years of product or program management, product marketing, business development or technology experience
* Bachelor's degree
* Experience with feature delivery and tradeoffs of a product
* Experience owning/driving roadmap strategy and definition
* Experience with end to end product delivery
* Experience contributing to engineering discussions around technology decisions and strategy related to a product
* Experience as a strong leader who can prioritize well, communicate clearly and effectively influence across cross\-functional teams
**PREFERRED QUALIFICATIONS**
----------------------------
* Experience working directly with Engineers on product enhancements
* Experience in project management methodologies, business analysis, or process improvement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Irvine \- 179,900\.00 \- 243,400\.00 USD annually  
USA, CA, Sunnyvale \- 206,900\.00 \- 279,900\.00 USD annually  
USA, WA, Seattle \- 179,900\.00 \- 243,400\.00 USD annually</t>
        </is>
      </c>
    </row>
    <row r="49">
      <c r="A49" t="inlineStr">
        <is>
          <t>in-fe8d0af47aad4c49</t>
        </is>
      </c>
      <c r="B49" t="inlineStr">
        <is>
          <t>Principal Product Manager - Technical, Alexa Communications</t>
        </is>
      </c>
      <c r="C49" t="inlineStr">
        <is>
          <t>Amazon.com</t>
        </is>
      </c>
      <c r="D49" t="inlineStr">
        <is>
          <t>indeed</t>
        </is>
      </c>
      <c r="E49">
        <f>HYPERLINK("https://www.indeed.com/viewjob?jk=fe8d0af47aad4c49", "https://www.indeed.com/viewjob?jk=fe8d0af47aad4c49")</f>
        <v/>
      </c>
      <c r="F49">
        <f>HYPERLINK("https://www.amazon.jobs/jobs/3137022/principal-product-manager--technical-alexa-communications?cmpid=DA_INAD200785B", "https://www.amazon.jobs/jobs/3137022/principal-product-manager--technical-alexa-communications?cmpid=DA_INAD200785B")</f>
        <v/>
      </c>
      <c r="G49" t="inlineStr">
        <is>
          <t>Irvine, CA, US</t>
        </is>
      </c>
      <c r="H49" s="1" t="n">
        <v>45993</v>
      </c>
      <c r="I49" t="inlineStr">
        <is>
          <t>**DESCRIPTION**
---------------
The vision for Alexa is to be the world’s best personal assistant. Such an assistant will play a vital role in managing the communication lives of customers, from drafting communications to coordinating with people on behalf of customers. At Alexa Communications, we’re leveraging Generative AI to bring this assistant to life.
If you’re passionate about building magical experiences for customers, while solving hard, complex technical problems, then this role is for you. You will operate at the intersection of large language models, real time communications, voice and graphical user interfaces, and mixed reality, to deliver state of the art features for end customers.  
Come join us to invent the future of how millions of customers will communicate with and through their virtual AI assistants.  
Key job responsibilities  
As a Principal Product Manager \- Technical in Alexa Communications, you will be responsible for building calling, texting, emailing, and sharing experiences, where Alexa acts as an agent to get things done for customers. This role is cross\-functional — you will work closely with engineering, science, design, business intelligence, operations, finance and executive teams to bring features to market and develop and grow business opportunities for Amazon. A successful candidate will be highly analytical, able to work effectively in a matrix organization, and adept at synthesizing a variety of technologies and capabilities into high quality, simple products and applications that customers love.  
As a product leader, you will:  
* Own and define the vision, strategy, and product roadmap, manage tradeoffs and dependencies with key stakeholders, and execute on deliverables
* Work closely with the engineering, design, and science teams to develop an offering that will delight customers
* Drive product launches including working with business development, Alexa partner teams, public relations team, executives in other companies, and other product management team members
* Monitor the business and refine the roadmap
A day in the life  
Given the scope and high level of ownership that product managers have in Alexa, rarely are two days the same. You are a business owner, customer\-facing representative for the service, and the point person for partner teams.
On a weekly basis, you will be working with customers to learn about the problems they are trying to solve, analyzing service and business metrics, writing PRFAQs, BRDs, and naming documents, iterating on product decisions with the Science and Engineering team, working with partners in solution architecture, legal, documentation, etc., thinking big to envision what is next, and exhibiting learn and be curious for different technologies, growth strategies, and market trends.
On a daily basis, you'll have a chance to work with everyone who makes products at Alexa successful, including senior leadership, engineers, business and sales experts, marketing, advocates, data scientists, content writers, and more. You will meet with customers to understand our core strengths and weaknesses. You will synthesize that feedback and other industry knowledge, with business and service data, to create strategies and test hypotheses. People will look to you on a regular basis to solve problems and connect them with specialists. To develop that expertise, you'll constantly be looking to learn by reaching out to other experts within the company and in the larger tech community, using your own product by developing samples, demos, side\-projects, and through mentorship, both as a mentor and mentee. Our customers are developers and technical decision makers, so you will be using code, technical documentation, and architecture diagrams to understand problems and communicate solutions.
**BASIC QUALIFICATIONS**
------------------------
* 8\+ years of product or program management, product marketing, business development or technology experience
* Bachelor's degree
* Experience with feature delivery and tradeoffs of a product
* Experience owning/driving roadmap strategy and definition
* Experience with end to end product delivery
* Experience contributing to engineering discussions around technology decisions and strategy related to a product
* Experience as a strong leader who can prioritize well, communicate clearly and effectively influence across cross\-functional teams
**PREFERRED QUALIFICATIONS**
----------------------------
* Experience working directly with Engineers on product enhancements
* Experience in project management methodologies, business analysis, or process improvement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Irvine \- 179,900\.00 \- 243,400\.00 USD annually  
USA, CA, Sunnyvale \- 206,900\.00 \- 279,900\.00 USD annually  
USA, WA, Seattle \- 179,900\.00 \- 243,400\.00 USD annually</t>
        </is>
      </c>
    </row>
    <row r="50">
      <c r="A50" t="inlineStr">
        <is>
          <t>in-3a87a5e4024566a0</t>
        </is>
      </c>
      <c r="B50" t="inlineStr">
        <is>
          <t>Principal Product Manager - Technical, Alexa Communications</t>
        </is>
      </c>
      <c r="C50" t="inlineStr">
        <is>
          <t>Amazon.com</t>
        </is>
      </c>
      <c r="D50" t="inlineStr">
        <is>
          <t>indeed</t>
        </is>
      </c>
      <c r="E50">
        <f>HYPERLINK("https://www.indeed.com/viewjob?jk=3a87a5e4024566a0", "https://www.indeed.com/viewjob?jk=3a87a5e4024566a0")</f>
        <v/>
      </c>
      <c r="F50">
        <f>HYPERLINK("https://www.amazon.jobs/jobs/3137022/principal-product-manager--technical-alexa-communications?cmpid=DA_INAD200785B", "https://www.amazon.jobs/jobs/3137022/principal-product-manager--technical-alexa-communications?cmpid=DA_INAD200785B")</f>
        <v/>
      </c>
      <c r="G50" t="inlineStr">
        <is>
          <t>Sunnyvale, CA, US</t>
        </is>
      </c>
      <c r="H50" s="1" t="n">
        <v>45993</v>
      </c>
      <c r="I50" t="inlineStr">
        <is>
          <t>**DESCRIPTION**
---------------
The vision for Alexa is to be the world’s best personal assistant. Such an assistant will play a vital role in managing the communication lives of customers, from drafting communications to coordinating with people on behalf of customers. At Alexa Communications, we’re leveraging Generative AI to bring this assistant to life.
If you’re passionate about building magical experiences for customers, while solving hard, complex technical problems, then this role is for you. You will operate at the intersection of large language models, real time communications, voice and graphical user interfaces, and mixed reality, to deliver state of the art features for end customers.  
Come join us to invent the future of how millions of customers will communicate with and through their virtual AI assistants.  
Key job responsibilities  
As a Principal Product Manager \- Technical in Alexa Communications, you will be responsible for building calling, texting, emailing, and sharing experiences, where Alexa acts as an agent to get things done for customers. This role is cross\-functional — you will work closely with engineering, science, design, business intelligence, operations, finance and executive teams to bring features to market and develop and grow business opportunities for Amazon. A successful candidate will be highly analytical, able to work effectively in a matrix organization, and adept at synthesizing a variety of technologies and capabilities into high quality, simple products and applications that customers love.  
As a product leader, you will:  
* Own and define the vision, strategy, and product roadmap, manage tradeoffs and dependencies with key stakeholders, and execute on deliverables
* Work closely with the engineering, design, and science teams to develop an offering that will delight customers
* Drive product launches including working with business development, Alexa partner teams, public relations team, executives in other companies, and other product management team members
* Monitor the business and refine the roadmap
A day in the life  
Given the scope and high level of ownership that product managers have in Alexa, rarely are two days the same. You are a business owner, customer\-facing representative for the service, and the point person for partner teams.
On a weekly basis, you will be working with customers to learn about the problems they are trying to solve, analyzing service and business metrics, writing PRFAQs, BRDs, and naming documents, iterating on product decisions with the Science and Engineering team, working with partners in solution architecture, legal, documentation, etc., thinking big to envision what is next, and exhibiting learn and be curious for different technologies, growth strategies, and market trends.
On a daily basis, you'll have a chance to work with everyone who makes products at Alexa successful, including senior leadership, engineers, business and sales experts, marketing, advocates, data scientists, content writers, and more. You will meet with customers to understand our core strengths and weaknesses. You will synthesize that feedback and other industry knowledge, with business and service data, to create strategies and test hypotheses. People will look to you on a regular basis to solve problems and connect them with specialists. To develop that expertise, you'll constantly be looking to learn by reaching out to other experts within the company and in the larger tech community, using your own product by developing samples, demos, side\-projects, and through mentorship, both as a mentor and mentee. Our customers are developers and technical decision makers, so you will be using code, technical documentation, and architecture diagrams to understand problems and communicate solutions.
**BASIC QUALIFICATIONS**
------------------------
* 8\+ years of product or program management, product marketing, business development or technology experience
* Bachelor's degree
* Experience with feature delivery and tradeoffs of a product
* Experience owning/driving roadmap strategy and definition
* Experience with end to end product delivery
* Experience contributing to engineering discussions around technology decisions and strategy related to a product
* Experience as a strong leader who can prioritize well, communicate clearly and effectively influence across cross\-functional teams
**PREFERRED QUALIFICATIONS**
----------------------------
* Experience working directly with Engineers on product enhancements
* Experience in project management methodologies, business analysis, or process improvement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Irvine \- 179,900\.00 \- 243,400\.00 USD annually  
USA, CA, Sunnyvale \- 206,900\.00 \- 279,900\.00 USD annually  
USA, WA, Seattle \- 179,900\.00 \- 243,400\.00 USD annually</t>
        </is>
      </c>
    </row>
    <row r="51">
      <c r="A51" t="inlineStr">
        <is>
          <t>in-4a0ef402c4d1ae1d</t>
        </is>
      </c>
      <c r="B51" t="inlineStr">
        <is>
          <t>Principal Product Manager - Tech, Recommender Systems, Prime Video Personalization &amp; Discovery</t>
        </is>
      </c>
      <c r="C51" t="inlineStr">
        <is>
          <t>Amazon.com</t>
        </is>
      </c>
      <c r="D51" t="inlineStr">
        <is>
          <t>indeed</t>
        </is>
      </c>
      <c r="E51">
        <f>HYPERLINK("https://www.indeed.com/viewjob?jk=4a0ef402c4d1ae1d", "https://www.indeed.com/viewjob?jk=4a0ef402c4d1ae1d")</f>
        <v/>
      </c>
      <c r="F51">
        <f>HYPERLINK("https://www.amazon.jobs/jobs/2956622/principal-product-manager--tech-recommender-systems-prime-video-personalization--discovery-?cmpid=DA_INAD200785B", "https://www.amazon.jobs/jobs/2956622/principal-product-manager--tech-recommender-systems-prime-video-personalization--discovery-?cmpid=DA_INAD200785B")</f>
        <v/>
      </c>
      <c r="G51" t="inlineStr">
        <is>
          <t>Washington, DC, US</t>
        </is>
      </c>
      <c r="H51" s="1" t="n">
        <v>45753</v>
      </c>
      <c r="I51"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an experienced Principal Product Manager to own the vision, strategy, and roadmap for the core algorithms that power our personalization and discovery experiences. You will operate at the intersection of machine learning, customer experience, and business strategy, leading fast\-paced, high\-impact projects and partnering with experts in data science, ML engineering, and customer experience to ship ML\-powered features at scale.  
This role is ideal for a PM with deep experience in data and models who anchors every decision in customer value and measurable business outcomes. You will formulate the product and science vision for your algorithm domain, translate ambiguous customer and business problems into clear algorithmic objectives and technical requirements, and guide sound science decisions throughout the ML lifecycle—from problem framing and data strategy through experimentation, deployment, and ongoing optimization. Throughout, you’ll ensure that complex algorithmic capabilities become intuitive, high\-quality customer experiences.  
* Other Locations Available: Culver City, CA; New York, NY, San Francisco, CA; Sunnyvale, CA; Arlington, VA; Austin, TX
Key job responsibilities  
* Own the roadmap and strategy for personalization products, including recommendation systems and ML/science\-based models.
* Collaborate with applied scientists and ML engineers to translate business problems into model requirements and convert them into clear algorithmic objectives, metrics, and guardrails.
* Define, track, and analyze key metrics to measure recommendation quality, customer outcomes, and business impact; analyze user behavior data to identify opportunities to improve personalization.
* Lead A/B testing strategy and experimentation to validate algorithmic improvements and inform roadmap decisions.
* Partner with stakeholder teams to understand business needs and translate them into technical specifications and prioritized work.
* Communicate complex technical and algorithmic concepts clearly to senior leadership and cross\-functional partners.
* Balance trade\-offs between model complexity, latency, scalability, and business value to ensure robust, production\-ready solutions.
Basic Qualifications  
* 8\+ years of technical product management experience.
* 6\+ years of end to end product delivery experience
* Bachelor's degree
* Experience with feature delivery and tradeoffs of a product
* Experience owning/driving roadmap strategy and definition
* Experience managing consumer\-facing products where ML directly impacts user experience and engagement.
* Experience leading science and technology discussions and influencing strategy for ML\- or science\-driven products.
* Background in an applied science, engineering, or quantitative field, with a solid understanding of the model lifecycle, data readiness, and model evaluation frameworks.
Preferred Qualifications  
* Experience in content discovery, e\-commerce, search, or recommendation systems
* Knowledge of modern ML techniques (deep learning, NLP, LLM, Agentic AIs) and their practical trade\-offs.
* Strong leadership skills with ability to influence cross\-functional teams
* Experience working with senior\-level stakeholders
* Experience in project management methodologies, business analysis, or process improvement
**BASIC QUALIFICATIONS**
------------------------
* 8\+ years of technical product or program management experience
* Experience with feature delivery and tradeoffs of a product
* 6\+ years of end to end product delivery experience
* Experience owning/driving roadmap strategy and definition
* Experience leading engineering discussions around technology decisions and strategy related to a product
* Bachelor's degree
**PREFERRED QUALIFICATIONS**
----------------------------
* Experience in project management methodologies, business analysis, or process improvement
* Bachelor's degree in a quantitative/technical field such as computer science, engineering, statistics
* Experience as a strong leader who can prioritize well, communicate clearly and effectively influence across cross\-functional teams
* Experience working with and influencing senior level stakeholders
* Experience developing consumer\-impacting applications of machine learning or artificial intelligence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Colorado base pay for this position ranges from $179,900/year up to $243,400/year. The National base pay for this position ranges from $161,900/year in our lowest geographic market up to $279,900/year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2">
      <c r="A52" t="inlineStr">
        <is>
          <t>in-9296df3fc64c2cdd</t>
        </is>
      </c>
      <c r="B52" t="inlineStr">
        <is>
          <t>Principal Product Manager - Tech, Recommender Systems, Prime Video Personalization &amp; Discovery</t>
        </is>
      </c>
      <c r="C52" t="inlineStr">
        <is>
          <t>Amazon.com</t>
        </is>
      </c>
      <c r="D52" t="inlineStr">
        <is>
          <t>indeed</t>
        </is>
      </c>
      <c r="E52">
        <f>HYPERLINK("https://www.indeed.com/viewjob?jk=9296df3fc64c2cdd", "https://www.indeed.com/viewjob?jk=9296df3fc64c2cdd")</f>
        <v/>
      </c>
      <c r="F52">
        <f>HYPERLINK("https://www.amazon.jobs/jobs/2956622/principal-product-manager--tech-recommender-systems-prime-video-personalization--discovery-?cmpid=DA_INAD200785B", "https://www.amazon.jobs/jobs/2956622/principal-product-manager--tech-recommender-systems-prime-video-personalization--discovery-?cmpid=DA_INAD200785B")</f>
        <v/>
      </c>
      <c r="G52" t="inlineStr">
        <is>
          <t>Seattle, WA, US</t>
        </is>
      </c>
      <c r="H52" s="1" t="n">
        <v>45753</v>
      </c>
      <c r="I52"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an experienced Principal Product Manager to own the vision, strategy, and roadmap for the core algorithms that power our personalization and discovery experiences. You will operate at the intersection of machine learning, customer experience, and business strategy, leading fast\-paced, high\-impact projects and partnering with experts in data science, ML engineering, and customer experience to ship ML\-powered features at scale.  
This role is ideal for a PM with deep experience in data and models who anchors every decision in customer value and measurable business outcomes. You will formulate the product and science vision for your algorithm domain, translate ambiguous customer and business problems into clear algorithmic objectives and technical requirements, and guide sound science decisions throughout the ML lifecycle—from problem framing and data strategy through experimentation, deployment, and ongoing optimization. Throughout, you’ll ensure that complex algorithmic capabilities become intuitive, high\-quality customer experiences.  
* Other Locations Available: Culver City, CA; New York, NY, San Francisco, CA; Sunnyvale, CA; Arlington, VA; Austin, TX
Key job responsibilities  
* Own the roadmap and strategy for personalization products, including recommendation systems and ML/science\-based models.
* Collaborate with applied scientists and ML engineers to translate business problems into model requirements and convert them into clear algorithmic objectives, metrics, and guardrails.
* Define, track, and analyze key metrics to measure recommendation quality, customer outcomes, and business impact; analyze user behavior data to identify opportunities to improve personalization.
* Lead A/B testing strategy and experimentation to validate algorithmic improvements and inform roadmap decisions.
* Partner with stakeholder teams to understand business needs and translate them into technical specifications and prioritized work.
* Communicate complex technical and algorithmic concepts clearly to senior leadership and cross\-functional partners.
* Balance trade\-offs between model complexity, latency, scalability, and business value to ensure robust, production\-ready solutions.
Basic Qualifications  
* 8\+ years of technical product management experience.
* 6\+ years of end to end product delivery experience
* Bachelor's degree
* Experience with feature delivery and tradeoffs of a product
* Experience owning/driving roadmap strategy and definition
* Experience managing consumer\-facing products where ML directly impacts user experience and engagement.
* Experience leading science and technology discussions and influencing strategy for ML\- or science\-driven products.
* Background in an applied science, engineering, or quantitative field, with a solid understanding of the model lifecycle, data readiness, and model evaluation frameworks.
Preferred Qualifications  
* Experience in content discovery, e\-commerce, search, or recommendation systems
* Knowledge of modern ML techniques (deep learning, NLP, LLM, Agentic AIs) and their practical trade\-offs.
* Strong leadership skills with ability to influence cross\-functional teams
* Experience working with senior\-level stakeholders
* Experience in project management methodologies, business analysis, or process improvement
**BASIC QUALIFICATIONS**
------------------------
* 8\+ years of technical product or program management experience
* Experience with feature delivery and tradeoffs of a product
* 6\+ years of end to end product delivery experience
* Experience owning/driving roadmap strategy and definition
* Experience leading engineering discussions around technology decisions and strategy related to a product
* Bachelor's degree
**PREFERRED QUALIFICATIONS**
----------------------------
* Experience in project management methodologies, business analysis, or process improvement
* Bachelor's degree in a quantitative/technical field such as computer science, engineering, statistics
* Experience as a strong leader who can prioritize well, communicate clearly and effectively influence across cross\-functional teams
* Experience working with and influencing senior level stakeholders
* Experience developing consumer\-impacting applications of machine learning or artificial intelligence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Colorado base pay for this position ranges from $179,900/year up to $243,400/year. The National base pay for this position ranges from $161,900/year in our lowest geographic market up to $279,900/year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4"/>
  <sheetViews>
    <sheetView workbookViewId="0">
      <selection activeCell="A1" sqref="A1"/>
    </sheetView>
  </sheetViews>
  <sheetFormatPr baseColWidth="8" defaultRowHeight="15"/>
  <sheetData>
    <row r="1">
      <c r="A1" t="inlineStr">
        <is>
          <t>job id</t>
        </is>
      </c>
      <c r="B1" t="inlineStr">
        <is>
          <t>title</t>
        </is>
      </c>
      <c r="C1" t="inlineStr">
        <is>
          <t>company</t>
        </is>
      </c>
      <c r="D1" t="inlineStr">
        <is>
          <t>site</t>
        </is>
      </c>
      <c r="E1" t="inlineStr">
        <is>
          <t>job_url</t>
        </is>
      </c>
      <c r="F1" t="inlineStr">
        <is>
          <t>job_url_direct</t>
        </is>
      </c>
      <c r="G1" t="inlineStr">
        <is>
          <t>location</t>
        </is>
      </c>
      <c r="H1" t="inlineStr">
        <is>
          <t>date posted</t>
        </is>
      </c>
      <c r="I1" t="inlineStr">
        <is>
          <t>description</t>
        </is>
      </c>
    </row>
    <row r="2">
      <c r="A2" t="inlineStr">
        <is>
          <t>li-4199407793</t>
        </is>
      </c>
      <c r="B2" t="inlineStr">
        <is>
          <t>Product Manager</t>
        </is>
      </c>
      <c r="C2" t="inlineStr">
        <is>
          <t>Meta</t>
        </is>
      </c>
      <c r="D2" t="inlineStr">
        <is>
          <t>linkedin</t>
        </is>
      </c>
      <c r="E2">
        <f>HYPERLINK("https://www.linkedin.com/jobs/view/4199407793", "https://www.linkedin.com/jobs/view/4199407793")</f>
        <v/>
      </c>
      <c r="F2" t="inlineStr"/>
      <c r="G2" t="inlineStr">
        <is>
          <t>New York, NY</t>
        </is>
      </c>
      <c r="H2" t="inlineStr"/>
      <c r="I2" t="inlineStr">
        <is>
          <t>Meta Product Managers work with cross\-functional teams of engineers, designers, data scientists and researchers to build products. We are looking for Product Managers who value moving quickly.
 Product Manager Responsibilities:
* Be responsible for leading and driving a complex product area
* defining success, prioritizing problems and identifying the best stategies, considering wider organizational and company context. Adapt and adjust your strategies to reflect learnings and changes in context
* Identify and drive consensus for how to prioritize and realize the most significant opportunities in your product area. Identify when to stop as well as when to start investment
* Work with a cross\-functional team to define a product vision, develop a roadmap and drive progress against goals and milestones and resolve challenges and blockers, whilst improving team health and up\-levelling the effectiveness of the team
* Actively identify opportunities and resolve dependencies by creating shared strategiest across teams in adjacent product areas
* Gather and analyze user research and market analysis to inform product decisions and influence the wider product organization
* Influence strategy and progress across partner functions, enhancing collaboration and resolving divergent goals
* Communicate product strategy and progress with radical clarity to all stakeholders
* Support the growth of other PMs and cross\-functional team members by providing mentorship and coaching
 Minimum Qualifications:
* 8\+ years of relevant industry experience with at least 3 years in Product Management
* Bachelor's degree (or relevant degree equivalent): STEM subject ideal but not essential (Computer Science, Engineering, Information Systems, Analytics, Mathematics, Physics, Applied Sciences)
* Experience leading cross\-functional product team(s) across a full product line: Crafting product mission and strategy, defining product requirements, coordinating resources from other groups (marketing, legal, etc.), and driving the team to achieve key milestones and goals
* Experience managing a product through the full product lifecycle
* Proven experience to drive a step change in the performance of a product and the effectiveness of the team that delivers that product
* Extensive understanding in analyzing large scale, complex data sets and making effective decisions based on data
* Experience integrating a diverse set of requirements from a broad set of users as well as context into a single coherent product strategy
* Experience leading and motivating teams and influencing across an organisation
* Demonstrated experience in communication, bringing extreme clarity to complex messages
* Experience identifying and hiring the right talent to build a cross\-functional team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$173,000/year to $241,000/year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3">
      <c r="A3" t="inlineStr">
        <is>
          <t>li-4197556090</t>
        </is>
      </c>
      <c r="B3" t="inlineStr">
        <is>
          <t>Product Manager</t>
        </is>
      </c>
      <c r="C3" t="inlineStr">
        <is>
          <t>Meta</t>
        </is>
      </c>
      <c r="D3" t="inlineStr">
        <is>
          <t>linkedin</t>
        </is>
      </c>
      <c r="E3">
        <f>HYPERLINK("https://www.linkedin.com/jobs/view/4197556090", "https://www.linkedin.com/jobs/view/4197556090")</f>
        <v/>
      </c>
      <c r="F3" t="inlineStr"/>
      <c r="G3" t="inlineStr">
        <is>
          <t>Sunnyvale, CA</t>
        </is>
      </c>
      <c r="H3" t="inlineStr"/>
      <c r="I3" t="inlineStr">
        <is>
          <t>Meta Product Managers work with cross\-functional teams of engineers, designers, data scientists and researchers to build products. We are looking for Product Managers who value moving quickly.
 Product Manager Responsibilities:
* Be responsible for driving one or more projects within a product area. Define success metrics, prioritize product problems and identify the best solutions to achieve the overall goals
* Work with the cross\-functional team to develop a roadmap, drive progress against milestones and resolve blockers, whilst maintaining team health
* Gather and analyze user research, product insights and market analysis to inform product decisions
* Coordinate effectively across all functions relevant to your product area, aligning and influencing roadmaps where appropriate
* Communicate clearly upwards and sideways on product plans and progress
 Minimum Qualifications:
* 3\+ years product management or related industry experience
* Bachelor's degree (or relevant degree equivalent): STEM subject ideal but not essential (Computer Science, Engineering, Information Systems, Analytics, Mathematics, Physics, Applied Sciences)
* Experience working with a cross\-functional product team on key product projects: Crafting product mission and strategy, defining product requirements, and driving the team to achieve key milestones and goals
* Proven experience to have an impact on the product outcomes and improve the effectiveness of a product team
* Extensive understanding to analyze data and deploy it to make the right decisions for a product
* Experience using a mixture of approaches to understand requirements from users and identifying the appropriate product solution
* Experience leading and motivating a product team
* Clear and concise communication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$114,000/year to $172,000/year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4">
      <c r="A4" t="inlineStr">
        <is>
          <t>li-4199411308</t>
        </is>
      </c>
      <c r="B4" t="inlineStr">
        <is>
          <t>Product Manager</t>
        </is>
      </c>
      <c r="C4" t="inlineStr">
        <is>
          <t>Meta</t>
        </is>
      </c>
      <c r="D4" t="inlineStr">
        <is>
          <t>linkedin</t>
        </is>
      </c>
      <c r="E4">
        <f>HYPERLINK("https://www.linkedin.com/jobs/view/4199411308", "https://www.linkedin.com/jobs/view/4199411308")</f>
        <v/>
      </c>
      <c r="F4">
        <f>HYPERLINK("https://jsv3.recruitics.com/redirect?rx_cid=3239&amp;rx_jobId=a1KDp00000E2V1iMAF_1002&amp;rx_url=https%3A%2F%2Fwww.metacareers.com%2Fjobs%2F1426965155339653%2F%3Frx_campaign%3DLinkedin1%26rx_ch%3Dconnector%26rx_group%3D126320%26rx_id%3D97614cb5-076a-11f1-ba87-13359cdb73ee%26rx_job%3Da1KDp00000E2V1iMAF_1002%26rx_medium%3Dpost%26rx_r%3Dnone%26rx_source%3DLinkedin%26rx_ts%3D20260303T121208Z%26rx_vp%3Dslots%26utm_campaign%3DJob%252Bboard%26utm_medium%3Djobs%26utm_source%3DLIpaid&amp;urlHash=tzW6", "https://jsv3.recruitics.com/redirect?rx_cid=3239&amp;rx_jobId=a1KDp00000E2V1iMAF_1002&amp;rx_url=https%3A%2F%2Fwww.metacareers.com%2Fjobs%2F1426965155339653%2F%3Frx_campaign%3DLinkedin1%26rx_ch%3Dconnector%26rx_group%3D126320%26rx_id%3D97614cb5-076a-11f1-ba87-13359cdb73ee%26rx_job%3Da1KDp00000E2V1iMAF_1002%26rx_medium%3Dpost%26rx_r%3Dnone%26rx_source%3DLinkedin%26rx_ts%3D20260303T121208Z%26rx_vp%3Dslots%26utm_campaign%3DJob%252Bboard%26utm_medium%3Djobs%26utm_source%3DLIpaid&amp;urlHash=tzW6")</f>
        <v/>
      </c>
      <c r="G4" t="inlineStr">
        <is>
          <t>Menlo Park, CA</t>
        </is>
      </c>
      <c r="H4" t="inlineStr"/>
      <c r="I4" t="inlineStr">
        <is>
          <t>Meta Product Managers work with cross\-functional teams of engineers, designers, data scientists and researchers to build products. We are looking for Product Managers who value moving quickly.
 Product Manager Responsibilities:
* Be responsible for driving one or more projects within a product area. Define success metrics, prioritize product problems and identify the best solutions to achieve the overall goals
* Work with the cross\-functional team to develop a roadmap, drive progress against milestones and resolve blockers, whilst maintaining team health
* Gather and analyze user research, product insights and market analysis to inform product decisions
* Coordinate effectively across all functions relevant to your product area, aligning and influencing roadmaps where appropriate
* Communicate clearly upwards and sideways on product plans and progress
 Minimum Qualifications:
* 3\+ years product management or related industry experience
* Bachelor's degree (or relevant degree equivalent): STEM subject ideal but not essential (Computer Science, Engineering, Information Systems, Analytics, Mathematics, Physics, Applied Sciences)
* Experience working with a cross\-functional product team on key product projects: Crafting product mission and strategy, defining product requirements, and driving the team to achieve key milestones and goals
* Proven experience to have an impact on the product outcomes and improve the effectiveness of a product team
* Extensive understanding to analyze data and deploy it to make the right decisions for a product
* Experience using a mixture of approaches to understand requirements from users and identifying the appropriate product solution
* Experience leading and motivating a product team
* Clear and concise communication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$114,000/year to $172,000/year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5">
      <c r="A5" t="inlineStr">
        <is>
          <t>li-4378181366</t>
        </is>
      </c>
      <c r="B5" t="inlineStr">
        <is>
          <t>Product Manager – AI-First Healthcare Platform</t>
        </is>
      </c>
      <c r="C5" t="inlineStr">
        <is>
          <t>Vital Interaction</t>
        </is>
      </c>
      <c r="D5" t="inlineStr">
        <is>
          <t>linkedin</t>
        </is>
      </c>
      <c r="E5">
        <f>HYPERLINK("https://www.linkedin.com/jobs/view/4378181366", "https://www.linkedin.com/jobs/view/4378181366")</f>
        <v/>
      </c>
      <c r="F5">
        <f>HYPERLINK("https://vital-interaction.careerplug.com/j/02wjeei&amp;urlHash=7yGb", "https://vital-interaction.careerplug.com/j/02wjeei&amp;urlHash=7yGb")</f>
        <v/>
      </c>
      <c r="G5" t="inlineStr">
        <is>
          <t>Austin, TX</t>
        </is>
      </c>
      <c r="H5" t="inlineStr"/>
      <c r="I5" t="inlineStr">
        <is>
          <t>**Do you…**
* Get energized by building AI\-powered products that actually ship—and actually work in the real world?
* Obsess over customer problems and talk to users constantly to validate, refine, and rethink solutions?
* Thrive in ambiguity, moving fast from idea → prototype → production without waiting for perfect requirements?
 If so, you might be the
 **Product Manager** 
 we’re looking for.
 We’re hiring a Product Manager to help lead Vital Interaction into its next phase as an
 **AI\-first healthcare platform** 
 . You’ll play a hands\-on role shaping our core product capabilities, working shoulder\-to\-shoulder with engineering, customers, and leadership to turn strategy into shipped outcomes.
 This is an Austin\-based role with a hybrid work model (in\-office \+ remote flexibility).
**About Us**
 Vital Interaction is a rapidly growing healthcare IT company transforming how practices and health centers engage patients. Our Automated Patient Intelligence Platform combines healthcare data, workflow automation, and AI\-driven communication to improve revenue, productivity, and patient outcomes.
 We’re evolving from a successful, bootstrapped platform into an AI\-native product company—guided by a clear roadmap focused on agentic workflows, hyper\-personalization, and self\-service enablement.
 We’re a remote\-friendly company with a strong culture of ownership, curiosity, and continuous learning, and offices in Austin, Texas and Antigua, Guatemala.
**About The Role**
 As a Product Manager at Vital Interaction, you’ll help drive product strategy and execution for our core Smart List Engine (SLE) and campaign capabilities—laying the foundation for agentic, AI\-driven patient interactions.
 You’ll work closely with our Head of Product and Head of Technology to translate our AI\-first roadmap into prioritized bets, shipped capabilities, and measurable outcomes.
 Initially, your focus will be:
* Evolving the Smart List Engine into a powerful, easier\-to\-use campaign and targeting platform
* Designing patient journeys that move toward agentic interactions (voice, text, scheduling, eligibility, outcomes)
* Rapidly prototyping and validating new ideas with customers before scaling them
 This is a highly collaborative, execution\-heavy PM role for someone who loves being close to both customers and builders.
**What You’ll Do**
**Product Strategy \&amp; Discovery**
* Own problem discovery for key roadmap initiatives, grounded in continuous customer conversations
* Translate company\-level AI strategy into clear product bets, tradeoffs, and sequencing decisions
* Partner with leadership to shape quarterly and multi\-quarter product direction
**Execution \&amp; Delivery**
* Work directly with engineering to define, design, prototype, build, test, and deploy new capabilities
* Write clear product requirements focused on outcomes—not just features
* Drive fast feedback loops using prototypes, experiments, and incremental releases
* Balance speed with quality in a regulated healthcare environment
**Customer \&amp; Market Engagement**
* Talk to customers constantly—shadow calls, run interviews, validate prototypes, and review outcomes
* Partner with Customer Success, Sales, and Support to understand real\-world workflows and friction
* Incorporate customer feedback into iteration cycles and roadmap decisions
**AI\-First Product Development**
* Design products that leverage micro\-agents, automation, and AI\-driven decisioning
* Help shape how AI is embedded into workflows (not bolted on)
* Ensure new capabilities are explainable, testable, and deliver measurable value
**What We’re Looking For**
**Experience**
* At least 4 years of product management experience in SaaS or platform products
* Proven experience working directly with engineering teams to ship complex products
* Experience owning core platform or workflow\-driven products
**Strong Plus If You Have**
* Healthcare or health IT experience
* CRM, outbound marketing, or campaign\-driven product experience
* Experience with AI\-powered products, automation, or agentic workflows
* Hands\-on experience with rapid prototyping tools and techniques
**Skills \&amp; Attributes**
* Deep customer empathy and a bias toward continuous user interaction
* Comfortable operating in ambiguity and fast\-changing environments
* Strong systems thinker who can connect data, workflows, and outcomes
* Excellent written and verbal communication skills
* Pragmatic, action\-oriented, and willing to get into the details
* Collaborative partner who thrives in cross\-functional teams
**What We Offer**
* Competitive salary aligned with experience, impact, and growth potential
* Comprehensive health, dental, and vision coverage
* Paid time off
* Hybrid work model based in Austin, TX, with remote flexibility
* Direct influence on product strategy and the opportunity to shape an AI\-first healthcare platform at a pivotal stage of growth
* High ownership and visibility, working closely with executive leadership
* Opportunity for expanded scope and leadership as the company scales
 Flexible work from home options available.</t>
        </is>
      </c>
    </row>
    <row r="6">
      <c r="A6" t="inlineStr">
        <is>
          <t>li-4380167176</t>
        </is>
      </c>
      <c r="B6" t="inlineStr">
        <is>
          <t>Senior Product Manager, eDiscovery</t>
        </is>
      </c>
      <c r="C6" t="inlineStr">
        <is>
          <t>Box</t>
        </is>
      </c>
      <c r="D6" t="inlineStr">
        <is>
          <t>linkedin</t>
        </is>
      </c>
      <c r="E6">
        <f>HYPERLINK("https://www.linkedin.com/jobs/view/4380167176", "https://www.linkedin.com/jobs/view/4380167176")</f>
        <v/>
      </c>
      <c r="F6" t="inlineStr"/>
      <c r="G6" t="inlineStr">
        <is>
          <t>Redwood City, CA</t>
        </is>
      </c>
      <c r="H6" t="inlineStr"/>
      <c r="I6" t="inlineStr">
        <is>
          <t>**WHAT IS BOX?**
 Box (NYSE BOX) is the leader in Intelligent Content Management. Our platform enables organizations to fuel collaboration, manage the entire content lifecycle, secure critical content, and transform business workflows with enterprise AI. We help companies thrive in the new AI\-first era of business. Founded in 2005, Box simplifies work for leading global organizations, including JLL, Morgan Stanley, and Nationwide. Box is headquartered in Redwood City, CA, with offices across the United States, Europe, and Asia.
 By joining Box, you will have the unique opportunity to continue driving our platform forward. Content powers how we work. It’s the billions of files and information flowing across teams, departments, and key business processes every single day contracts, invoices, employee records, financials, product specs, marketing assets, and more. Our mission is to bring intelligence to the world of content management and empower our customers to completely transform workflows across their organizations. With the combination of AI and enterprise content, the opportunity has never been greater to transform how the world works together and at Box you will be on the front lines of this massive shift.
**WHY BOX NEEDS YOU**
 Box is looking to hire a Senior Product Manager for eDiscovery products to enhance its offerings in legal hold, content collection, and future legal compliance products. As organizations increasingly prioritize data security and compliance, the need for effective eDiscovery tools has never been greater. This role will focus on developing strategies that ensure users can manage their content efficiently while adhering to legal requirements. By leading these initiatives, the Senior Product Manager will play a crucial part in helping businesses efficiently comply with their legal requirements.
**What You'll Do**
* Product Strategy Development Define and refine the product vision and strategy for Legal Holds, Content Collection, and future eDiscovery strategies.
* Stakeholder Collaboration Work closely with cross\-functional teams including engineering, design, marketing, and sales to gather requirements and ensure successful product delivery.
* Market Research Conduct research on industry trends, customer needs, and competitor offerings to inform product decisions and identify opportunities for innovation.
* Roadmap Management Create and maintain the product roadmap, prioritizing features based on customer feedback, business impact, and resource availability.
* User Experience Oversight Collaborate with UX/UI designers to create intuitive user interfaces that enhance user experience while meeting compliance standards.
* Performance Analysis Monitor key performance indicators (KPIs) related to eDiscovery products; analyze data to drive improvements in functionality or user engagement.
* Customer Engagement Engage with customers through interviews or surveys to gather insights about their experiences with the products; use this feedback for continuous improvement.
* Compliance Monitoring Stay updated on regulatory changes affecting eDiscovery and legal operations; ensure that products meet the rigorous legal standards required by organizations.
**Who You Are**
* 2\+ years of experience in eDiscovery \- regardless of industry (software, consulting, law firms, etc.) with a strong understanding of matter management frameworks and best practices for end to end legal matter management."
* 5\+ years of experience in product management, with a proven track record of developing and launching successful products that meet market needs.
* Ability to analyze data, user feedback, and market trends to inform product decisions, optimize features, and drive strategic initiatives.
* Proven ability to work effectively with diverse teams—including engineering, design, marketing, and sales—to ensure alignment on product goals and deliverables.
* Experience applying user\-centered design principles to create intuitive products that enhance the user experience while addressing customer pain points.
* Strong project management abilities to oversee product development timelines, budgets, resources efficiently while ensuring timely delivery of high\-quality products.
* Excellent verbal and written communication skills for articulating product vision clearly to stakeholders at all levels and facilitating productive discussions.
* Familiarity with the eDiscovery Reference Model and it’s impact to content providers.
* Understanding of technology stacks related to cloud storage solutions or enterprise software applications relevant to eDiscovery products enhances collaboration with technical teams.
* Ability to develop long\-term strategies for product growth while aligning them with the company’s overall goals ensures sustained success in a competitive landscape.
 Box lives its values, with community and in\-person collaboration being a core part of our culture. Boxers are expected to work from their assigned office a minimum of 3 days per week, with a focus on Tuesdays, Wednesdays, and Thursdays. Your recruiter will share more about how we work and company culture during the hiring process.
 Head\-over\-heels about this role — but not sure you meet all the requirements? Apply anyway! Studies have shown that women and people of color are less likely to apply to jobs unless they meet every single qualification. At Box, we take a big\-picture approach to hiring that fosters authenticity, diversity, and inclusion. If you're passionate about this opportunity, chances are, you shine pretty bright.
**EQUAL OPPORTUNITY**
 We are an equal opportunity employer and value diversity at our company. We do not discriminate on the basis of race, religion, color, national origin, gender, sexual orientation, age, marital status, veteran status, disability, and any other protected ground of discrimination under applicable human rights legislation. Box strives to respect the dignity and ‎‎independence of people with disabilities and is committed to giving them the same ‎‎opportunity to succeed as all other employees. Inclusiveness is core to our culture at Box, and we strive to ensure you get the most from your interview experience.
 Box makes reasonable accommodations for applicants with disabilities. If a reasonable accommodation is needed to participate in the job application or interview process, please complete this form. Reasonable accommodations may include scheduling adjustments, document dictation and beyond.
 Notice to applicants in Los Angeles Box, Inc and its related branches will consider for employment, qualified applicants with criminal histories in a manner consistent with the Los Angeles Fair Chair Ordinance. The Fair Chance Ordinance is provided here.
 Notice to applicants in San Francisco Box, Inc and its related branches will consider for employment, qualified applicants with criminal histories in a manner consistent with the San Francisco Fair Chair Ordinance. The Fair Chance Ordinance is provided here.
 For details on how we protect your information when you apply, please see our Personnel Privacy Notice. If you are a California\-resident, please read our California Applicant \&amp; Candidate Privacy Notice here.
*Box is committed to fair and equitable compensation practices. Actual base salary (or OTE if commissionable role) is dependent upon factors such as knowledge, skill level, experience, and work location. This role is also eligible for equity and benefits. For more information on benefits, check out our* 
*healthcare benefits* 
*and additional* 
*Box Benefits \+ Perks* 
*.*
**In accordance with OFCCP compliance, here is the Pay Transparency Provision.**
 United States Pay Range
 $181,000 \- $226,500 USD</t>
        </is>
      </c>
    </row>
    <row r="7">
      <c r="A7" t="inlineStr">
        <is>
          <t>li-4370991312</t>
        </is>
      </c>
      <c r="B7" t="inlineStr">
        <is>
          <t>Product Manager, LATAM (São Paulo, Brazil)</t>
        </is>
      </c>
      <c r="C7" t="inlineStr">
        <is>
          <t>Airbnb</t>
        </is>
      </c>
      <c r="D7" t="inlineStr">
        <is>
          <t>linkedin</t>
        </is>
      </c>
      <c r="E7">
        <f>HYPERLINK("https://www.linkedin.com/jobs/view/4370991312", "https://www.linkedin.com/jobs/view/4370991312")</f>
        <v/>
      </c>
      <c r="F7" t="inlineStr"/>
      <c r="G7" t="inlineStr">
        <is>
          <t>San Francisco, CA</t>
        </is>
      </c>
      <c r="H7" t="inlineStr"/>
      <c r="I7"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
**The Community You Will Join**
 Our Product Marketing team imagines the ideal experience for our community and works backwards, creating innovative products that delight our guests and hosts. They deeply understand the needs of our users and translate these into a product strategy that combines strong product thinking and deep research. They partner with talented cross\-functional team members across engineering, design, operations, data science, and more, leading teams to execute a shared vision. They are incredibly detail\-oriented, hands on and excellent communicators, capable of crafting compelling stories for both internal and external audiences.
**The Difference You Will Make**
 The International Product Marketing team is part of the Worldwide Product Marketing team. We are looking for entrepreneurial product experts who are ready to jump in, roll their sleeves up and integrate with local and regional teams, while maintaining close alignment with the worldwide teams. This role will help build out the new functional area outside of the US and will be instrumental in shaping the organization as it evolves. The cross functional model we use at Airbnb requires close partnerships across multiple teams – this role requires a highly collaborative, flexible individual who can influence and collaborate with teams across the world.
 As the Product Manager based in our LATAM region, you will report to the Product Marketing Director for International Markets. As the product marketing leader for the market(s) in LATAM, you will play a pivotal role in understanding the needs, pain points, and behavior of users and translate those insights into innovative product features, capabilities and marketing strategies. The ideal candidate will possess a deep understanding of the travel industry at a market and broader regional level, and have a proven track record of driving product innovation. You will collaborate with the global business and country teams to develop partnerships that accelerate existing and new businesses. You will drive features in major releases and for test and learn pilots, after having successfully championed customization and features for your target country/region. You will also determine how they are communicated to the public and the media in your region in partnership with other communications and marketing teams. You are responsible for the success of Airbnb products throughout their life cycle — from concept to release. You will be the voice of our products for the market in your region and love the journey from taking a product from idea to reality.
**A Typical Day**
* Build deep expertise on Airbnb in your market/region through user research, marketplace data, and an understanding of the competitive landscape and be capable of synthesizing in a cohort product story input from multiple stakeholders and sources.
* Work with other functional leaders in your market/region to articulate the product vision, strategy, and roadmap for Airbnb products and new businesses.
* Implement best\-in\-class product development and management practices, including relevant go\-to\-market kits and information packs for local teams, while working with central and local teams.
* Maintain and articulate a product feature and roadmap prioritization plan in collaboration with local teams.
* Advocate for and execute new products that deliver impact for our business and users.
* Communicate concisely and influence outcomes across all levels of the company, including country and regional executive teams.
* Drive alignment across product teams (Technology, Design) and key cross\-functional partners (Business, Supply, FP\&amp;A, Marketing, Global Operations, Customer Support, Trust, etc.) to ensure initiatives are prioritized for wider roll\-out or piloted to test and learn
* Define goals and success with clearly measurable objectives and key results for your area.
* Build and seamlessly integrate partnerships in your country/region that expand existing businesses and build new ones.
* Navigate regulatory and government requirements in partnership with Policy/Comms and regions/markets.
* Craft the product narrative and marketing strategies that communicate the benefits and features of our products both internally and externally in collaboration with comms and other cross functional partners.
* Develop and deliver engaging product demos to press, showcasing key features and functionalities.
**Your Expertise**
* 10\-15 years of product management experience.
* Demonstrated track record of product leadership.
* Comfortable with doing individual contributor product management work.
* Success in building and scaling global consumer products and ecosystems that people love.
* Experience creating product messaging and delivering to customers and the media.
* Entrepreneurial track record of taking an idea to reality – start up experience a plus while capable of operating in a larger organization.
* Ability to effectively use data and perform business analysis to support product strategy/decisions.
* Capable of driving execution across teams in a fast\-paced environment.
* Highly collaborative and results oriented.
* Ability and willingness to travel around 30\-35% of the time.
* Fluency in English and at least one other local language (Spanish or Portuguese).
**Your Location:**
 This position is based in Sao Paulo, Brazil \- Hybrid. The role may include occasional work at an Airbnb office or attendance at offsites, as agreed to with your manager.
**Our Commitment To Inclusion \&amp; Belonging**
 Airbnb is committed to working with the broadest talent pool possible. We believe diverse ideas foster innovation and engagement, and allow us to attract creatively\-led people, and to develop the best products, services and solutions. All qualified individuals are encouraged to apply.</t>
        </is>
      </c>
    </row>
    <row r="8">
      <c r="A8" t="inlineStr">
        <is>
          <t>li-4380342521</t>
        </is>
      </c>
      <c r="B8" t="inlineStr">
        <is>
          <t>Senior Product Manager</t>
        </is>
      </c>
      <c r="C8" t="inlineStr">
        <is>
          <t>Vero</t>
        </is>
      </c>
      <c r="D8" t="inlineStr">
        <is>
          <t>linkedin</t>
        </is>
      </c>
      <c r="E8">
        <f>HYPERLINK("https://www.linkedin.com/jobs/view/4380342521", "https://www.linkedin.com/jobs/view/4380342521")</f>
        <v/>
      </c>
      <c r="F8" t="inlineStr"/>
      <c r="G8" t="inlineStr"/>
      <c r="H8" t="inlineStr"/>
      <c r="I8" t="inlineStr">
        <is>
          <t>We’re a fast\-growing technology company building software that helps large organizations run complex operations more efficiently and securely. Our platform is used by enterprise customers to streamline workflows, improve visibility, and make smarter operational decisions.
 We’re a product\-focused team that values ownership, speed, and thoughtful problem solving.
**The Role** 
 We’re hiring a Senior Product Manager to lead key parts of our platform. You’ll own product strategy from discovery through delivery, working closely with engineering, design, and commercial teams to ship impactful features and improve the customer experience.
**What we offer** 
* Comp up to $100,00\- $150,000 \+ Equity
* **Remote US**
**What You’ll Do** 
* Own product strategy, roadmap, and feature delivery
* Turn customer and market insights into clear product priorities
* Work closely with engineering and design to build scalable solutions
* Define requirements, user stories, and success metrics
* Use product data and feedback to drive improvements
* Partner with go\-to\-market teams to support launches and adoption
**What We’re Looking For** 
* 6\+ years of product management experience (SaaS or enterprise tech preferred)
* Strong experience shipping complex digital products
* Data\-driven decision making and strong problem\-solving skills
* Ability to work cross\-functionally in fast\-moving environments
* Excellent communication and stakeholder management
**Why Join** 
* Meaningful ownership and impact
* Collaborative, product\-driven culture
* Competitive compensation and benefits</t>
        </is>
      </c>
    </row>
    <row r="9">
      <c r="A9" t="inlineStr">
        <is>
          <t>li-4199408702</t>
        </is>
      </c>
      <c r="B9" t="inlineStr">
        <is>
          <t>Product Manager</t>
        </is>
      </c>
      <c r="C9" t="inlineStr">
        <is>
          <t>Meta</t>
        </is>
      </c>
      <c r="D9" t="inlineStr">
        <is>
          <t>linkedin</t>
        </is>
      </c>
      <c r="E9">
        <f>HYPERLINK("https://www.linkedin.com/jobs/view/4199408702", "https://www.linkedin.com/jobs/view/4199408702")</f>
        <v/>
      </c>
      <c r="F9">
        <f>HYPERLINK("https://jsv3.recruitics.com/redirect?rx_cid=3239&amp;rx_jobId=a1KDp00000E2V1TMAV_1004&amp;rx_url=https%3A%2F%2Fwww.metacareers.com%2Fjobs%2F961472602841468%2F%3Frx_campaign%3DLinkedin1%26rx_ch%3Dconnector%26rx_group%3D126320%26rx_id%3D4570cf43-12a9-11f1-8011-218c3e15eeae%26rx_job%3Da1KDp00000E2V1TMAV_1004%26rx_medium%3Dpost%26rx_r%3Dnone%26rx_source%3DLinkedin%26rx_ts%3D20260303T121208Z%26rx_vp%3Dslots%26utm_campaign%3DJob%252Bboard%26utm_medium%3Djobs%26utm_source%3DLIpaid&amp;urlHash=FMdz", "https://jsv3.recruitics.com/redirect?rx_cid=3239&amp;rx_jobId=a1KDp00000E2V1TMAV_1004&amp;rx_url=https%3A%2F%2Fwww.metacareers.com%2Fjobs%2F961472602841468%2F%3Frx_campaign%3DLinkedin1%26rx_ch%3Dconnector%26rx_group%3D126320%26rx_id%3D4570cf43-12a9-11f1-8011-218c3e15eeae%26rx_job%3Da1KDp00000E2V1TMAV_1004%26rx_medium%3Dpost%26rx_r%3Dnone%26rx_source%3DLinkedin%26rx_ts%3D20260303T121208Z%26rx_vp%3Dslots%26utm_campaign%3DJob%252Bboard%26utm_medium%3Djobs%26utm_source%3DLIpaid&amp;urlHash=FMdz")</f>
        <v/>
      </c>
      <c r="G9" t="inlineStr">
        <is>
          <t>Menlo Park, CA</t>
        </is>
      </c>
      <c r="H9" t="inlineStr"/>
      <c r="I9" t="inlineStr">
        <is>
          <t>Meta Product Managers work with cross\-functional teams of engineers, designers, data scientists and researchers to build products. We are looking for Product Managers who value moving quickly.
 Product Manager Responsibilities:
* Responsible for leading a product area
* defining success metrics, prioritizing product problems and identifying the best strategies for the product, aligned with the organizational goals. Adapt and adjust your strategy to reflect learnings and changes in the product
* Work with a cross\-functional team to define a product, develop a roadmap and drive progress against goals and milestones and resolve challenges and blockers, while maintaining team health
* Gather and analyze user research and market analysis to inform product decisions and influence the wider product organization
* Coordinate proactively across partner functions for product success. Structure shared roadmaps for best outcomes
* Communicate product strategy and progress with clarity to all stakeholders
* Provide mentorship and coaching to other Product Managers and cross\-functional team members where appropriate
 Minimum Qualifications:
* 5\+ years of relevant industry experience with at least 2 years in Product Management
* Bachelor's degree (or relevant degree equivalent): STEM subject ideal but not essential (Computer Science, Engineering, Information Systems, Analytics, Mathematics, Physics, Applied Sciences)
* Experience working with a cross\-functional product team on a significant product area: Crafting product vision and strategy, defining product requirements, coordinating resources from other groups (marketing, legal, etc.), and driving the team to achieve key milestones and goals
* Experience managing a product through multiple product life cycle phases
* Proven experience to drive a material change in the performance of a product and the effectiveness of the team that delivers that product
* Demonstrated experience to analyze large scale, complex data sets and making effective decisions based on data
* Experience integrating a diverse set of requirements from a broad set of users as well as context into a single coherent product strategy
* Experience leading and motivating a product team and collaborating with partner teams
* Demonstrated experience in communication, bringing extreme clarity to complex messages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$146,000/year to $204,000/year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10">
      <c r="A10" t="inlineStr">
        <is>
          <t>li-4380377260</t>
        </is>
      </c>
      <c r="B10" t="inlineStr">
        <is>
          <t>Product Manager - Ad Experiences &amp; Interactive Advertising</t>
        </is>
      </c>
      <c r="C10" t="inlineStr">
        <is>
          <t>Roku</t>
        </is>
      </c>
      <c r="D10" t="inlineStr">
        <is>
          <t>linkedin</t>
        </is>
      </c>
      <c r="E10">
        <f>HYPERLINK("https://www.linkedin.com/jobs/view/4380377260", "https://www.linkedin.com/jobs/view/4380377260")</f>
        <v/>
      </c>
      <c r="F10" t="inlineStr"/>
      <c r="G10" t="inlineStr">
        <is>
          <t>Santa Monica, CA</t>
        </is>
      </c>
      <c r="H10" t="inlineStr"/>
      <c r="I10" t="inlineStr">
        <is>
          <t>Teamwork makes the stream work.
**Roku is changing how the world watches TV** 
 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
 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
**About the role** 
 The Ads Product team is responsible for monetizing Roku's platform through innovative advertising solutions across the Roku TV experience, including its premiere streaming service, The Roku Channel, on both Roku devices and off\-platform environments. Collectively, these products reach millions of users daily, creating valuable advertising inventory and engagement opportunities throughout the entire Roku ecosystem. 
 We're looking for a Senior Product Manager to lead the development of next\-generation Ad Experiences and Interactive Advertising solutions that help marketers and advertisers drive visually appealing, high\-impact sponsorships on the platform. The ideal candidate will pair a global mindset with locally relevant execution, serving as a gritty problem solver and self\-starter who can drive programs with product and commercial teams at Roku and with external strategic partner organizations. 
 For California Only \- The estimated annual salary for this position is between $176,163 \- $233,750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
**What you'll be doing** 
* Product strategy and opportunity assessment: Conduct rigorous market analysis and user research to identify high\-growth monetization opportunities; build robust business cases that balance short\-term revenue goals with long\-term ecosystem health
* Strategic roadmap ownership: Define and execute a multi\-quarter roadmap for ad innovation products, ensuring alignment with Roku's overarching platform strategy and the evolving needs of the programmatic and direct\-sales markets
* High\-fidelity documentation: Author comprehensive Product Requirement Documents (PRDs) and technical specifications; translate complex business needs into actionable engineering tasks to ensure on\-time, high\-quality delivery
* Agile innovation: Partner with the UX team for rapid prototyping, A/B testing, and iterative design methodologies to validate ad formats and minimize "time to insight" by testing hypotheses in live environments
* Operational excellence: Drive feature prioritization and process improvements, maintaining a relentless focus on key KPIs such as Ad Fill Rate, CPM, User Engagement, and Churn impact
* Engineering partnership: Serve as the "voice of the customer" for the engineering team; provide deep business context to technical leads to foster creative problem\-solving and architectural scalability
* Stakeholder orchestration: Lead cross\-functional teams—including Sales, Marketing, Data Science, Finance, and Legal—to navigate the complexities of privacy regulations and advertising standards
* Vendor ecosystem management: Manage strategic relationships with 3rd\-party technology vendors/partners; ensure rigorous SLA compliance and influence their roadmaps to align with Roku's proprietary tech stack
* Market intelligence and thought leadership: Act as the internal authority on AdTech trends (e.g., CTV measurement, identity solutions, shoppable TV); translate industry shifts into strategic POVs that influence executive decision\-making and monitor the competitive landscape to ensure Roku remains the industry leader in native, non\-intrusive, and high\-performing ad experiences
**We're excited if you have** 
* 5\+ years of product management experience building advertising and marketing solutions
* Domain expertise in AdTech, Ad UX, OTT, and/or DMPs
* An extraordinarily high level of customer empathy
* Experience working with business intelligence/data analytics tools and data dashboarding tools such as Tableau or Looker
* Practical knowledge of experimentation, A/B testing, and lift measurement
* Data\-driven and entrepreneurial self\-starter who deals well with ambiguity
* Experience working with marketers, marketing operations, data scientists, and data analysts
* Strong, influential cross\-functional team leader with experience working in enterprise and matrixed environments
* Excellent problem\-solving skills and ability to work independently
* Minimum of a bachelor's degree (preferably in engineering); MBA preferred
* Light travel as needed.
**Our Hybrid Work Approach** 
 Roku fosters an inclusive and collaborative environment where teams work in the office Monday through Thursday. Fridays are flexible for remote work except for employees whose roles are required to be in the office five days a week or employees who are in offices with a five day in office policy.
**Benefits** 
 Roku is committed to offering a diverse range of benefits as part of our compensation package to support our employees and their families. Our comprehensive benefits include global access to mental health and financial wellness support and resources. Local benefits include statutory and voluntary benefits which may include healthcare (medical, dental, and vision), life, accident, disability, commuter, and retirement options (401(k)/pension). Our employees can take time off work for vacation and other personal reasons to balance their evolving work and life needs. It's important to note that not every benefit is available in all locations or for every role. For details specific to your location, please consult with your recruiter.
**Accommodations** 
 Roku welcomes applicants of all backgrounds and provides reasonable accommodations and adjustments in accordance with applicable law. If you require reasonable accommodation at any point in the hiring process, please direct your inquiries to EmployeeRelations@Roku.com.
**The Roku Culture** 
 Roku is a great place for people who want to work in a fast\-paced environment where everyone is focused on the company's success rather than their own. We try to surround ourselves with people who are great at their jobs, who are easy to work with, and who keep their egos in check. We appreciate a sense of humor. We believe a fewer number of very talented folks can do more for less cost than a larger number of less talented teams. We're independent thinkers with big ideas who act boldly, move fast and accomplish extraordinary things through collaboration and trust. In short, at Roku you'll be part of a company that's changing how the world watches TV.
 We have a unique culture that we are proud of. We think of ourselves primarily as problem\-solvers, which itself is a two\-part idea. We come up with the solution, but the solution isn't real until it is built and delivered to the customer. That penchant for action gives us a pragmatic approach to innovation, one that has served us well since 2002\.
 To learn more about Roku, our global footprint, and how we've grown, visit https://www.weareroku.com/factsheet.
 By providing your information, you acknowledge that you want Roku to contact you about job roles, that you have read Roku's Applicant Privacy Notice, and understand that Roku will use your information as described in that notice. If you do not wish to receive any communications from Roku regarding this role or similar roles in the future, you may unsubscribe at any time by emailing WorkforcePrivacy@Roku.com.</t>
        </is>
      </c>
    </row>
    <row r="11">
      <c r="A11" t="inlineStr">
        <is>
          <t>li-4197551516</t>
        </is>
      </c>
      <c r="B11" t="inlineStr">
        <is>
          <t>Product Manager</t>
        </is>
      </c>
      <c r="C11" t="inlineStr">
        <is>
          <t>Meta</t>
        </is>
      </c>
      <c r="D11" t="inlineStr">
        <is>
          <t>linkedin</t>
        </is>
      </c>
      <c r="E11">
        <f>HYPERLINK("https://www.linkedin.com/jobs/view/4197551516", "https://www.linkedin.com/jobs/view/4197551516")</f>
        <v/>
      </c>
      <c r="F11" t="inlineStr"/>
      <c r="G11" t="inlineStr">
        <is>
          <t>Sunnyvale, CA</t>
        </is>
      </c>
      <c r="H11" t="inlineStr"/>
      <c r="I11" t="inlineStr">
        <is>
          <t>Meta Product Managers work with cross\-functional teams of engineers, designers, data scientists and researchers to build products. We are looking for Product Managers who value moving quickly.
 Product Manager Responsibilities:
* Be responsible for leading and driving a complex product area
* defining success, prioritizing problems and identifying the best stategies, considering wider organizational and company context. Adapt and adjust your strategies to reflect learnings and changes in context
* Identify and drive consensus for how to prioritize and realize the most significant opportunities in your product area. Identify when to stop as well as when to start investment
* Work with a cross\-functional team to define a product vision, develop a roadmap and drive progress against goals and milestones and resolve challenges and blockers, whilst improving team health and up\-levelling the effectiveness of the team
* Actively identify opportunities and resolve dependencies by creating shared strategiest across teams in adjacent product areas
* Gather and analyze user research and market analysis to inform product decisions and influence the wider product organization
* Influence strategy and progress across partner functions, enhancing collaboration and resolving divergent goals
* Communicate product strategy and progress with radical clarity to all stakeholders
* Support the growth of other PMs and cross\-functional team members by providing mentorship and coaching
 Minimum Qualifications:
* 8\+ years of relevant industry experience with at least 3 years in Product Management
* Bachelor's degree (or relevant degree equivalent): STEM subject ideal but not essential (Computer Science, Engineering, Information Systems, Analytics, Mathematics, Physics, Applied Sciences)
* Experience leading cross\-functional product team(s) across a full product line: Crafting product mission and strategy, defining product requirements, coordinating resources from other groups (marketing, legal, etc.), and driving the team to achieve key milestones and goals
* Experience managing a product through the full product lifecycle
* Proven experience to drive a step change in the performance of a product and the effectiveness of the team that delivers that product
* Extensive understanding in analyzing large scale, complex data sets and making effective decisions based on data
* Experience integrating a diverse set of requirements from a broad set of users as well as context into a single coherent product strategy
* Experience leading and motivating teams and influencing across an organisation
* Demonstrated experience in communication, bringing extreme clarity to complex messages
* Experience identifying and hiring the right talent to build a cross\-functional team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$173,000/year to $241,000/year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12">
      <c r="A12" t="inlineStr">
        <is>
          <t>li-4330752647</t>
        </is>
      </c>
      <c r="B12" t="inlineStr">
        <is>
          <t>Product Manager</t>
        </is>
      </c>
      <c r="C12" t="inlineStr">
        <is>
          <t>AUI™ (Augmented Intelligence)</t>
        </is>
      </c>
      <c r="D12" t="inlineStr">
        <is>
          <t>linkedin</t>
        </is>
      </c>
      <c r="E12">
        <f>HYPERLINK("https://www.linkedin.com/jobs/view/4330752647", "https://www.linkedin.com/jobs/view/4330752647")</f>
        <v/>
      </c>
      <c r="F12" t="inlineStr"/>
      <c r="G12" t="inlineStr">
        <is>
          <t>New York, United States</t>
        </is>
      </c>
      <c r="H12" t="inlineStr"/>
      <c r="I12" t="inlineStr">
        <is>
          <t>**About Us** 
 At AUI, we’re thrilled to introduce you to
 **Apollo‑1** 
 . Apollo\-1 is our breakthrough neuro\-symbolic foundation model for conversational agents, enabling native tool\-use, fine\-tuning, and continuous evolution from human feedback.
 Based in New York and Tel Aviv, AUI is a
 **$750 million** 
 startup and over the past eight years has worked hand\-in\-hand with 60,000 human agents to build our breakthrough architecture.
**The Role: Product Manager** 
 We’re looking for a passionate and ambitious Product Manager to help shape the future of AI. You’ll play a crucial role in translating Apollo\-1’s advanced capabilities into market\-ready products and features.
**What You’ll Do:** 
* Lead product strategy and innovation, bridging the gap between Apollo\-1’s technical capabilities and market needs
* Define product road\-maps and prioritise features that leverage Apollo\-1’s unique neuro\-symbolic architecture
* Collaborate with research, engineering and business teams to bring AI\-powered products to market
* Gather and analyse user feedback to continuously improve our products
* Stay abreast of AI industry trends and competitive landscape
* Become an expert in Apollo\-1’s capabilities, including fine\-tuning for agents and native tool\-use
**Who We’re Looking For:** 
* Someone passionate about AI’s future and its practical applications
* A strategic thinker who can envision how cutting\-edge AI can solve real\-world problems
* A person skilled at translating complex technical capabilities into user\-friendly products
- 
**Requirements:** 
* 5\+ years of product management experience, preferably in AI or related technologies
* Strong technical background with the ability to understand and communicate complex AI concepts
* Experience in bringing innovative products from concept to market
* Excellent analytical skills for data\-driven decision making
* Strong communication skills to work effectively with both technical and non\-technical stakeholders
* Ability to thrive in a fast\-paced startup environment
- 
 If you’re excited about shaping the future of conversational AI and want to be at the forefront of bringing this technology to market, we want to hear from you.</t>
        </is>
      </c>
    </row>
    <row r="13">
      <c r="A13" t="inlineStr">
        <is>
          <t>li-4378169574</t>
        </is>
      </c>
      <c r="B13" t="inlineStr">
        <is>
          <t>Product Manager</t>
        </is>
      </c>
      <c r="C13" t="inlineStr">
        <is>
          <t>ZappHire</t>
        </is>
      </c>
      <c r="D13" t="inlineStr">
        <is>
          <t>linkedin</t>
        </is>
      </c>
      <c r="E13">
        <f>HYPERLINK("https://www.linkedin.com/jobs/view/4378169574", "https://www.linkedin.com/jobs/view/4378169574")</f>
        <v/>
      </c>
      <c r="F13" t="inlineStr"/>
      <c r="G13" t="inlineStr">
        <is>
          <t>New York, United States</t>
        </is>
      </c>
      <c r="H13" t="inlineStr"/>
      <c r="I13" t="inlineStr">
        <is>
          <t>We are looking for a Product Manager at a Seed Stage AI Startup built for Hospitality Industry. This is a hybrid operator\-PM role at the core of company's business. This role is ideal for a new grad or early\-career professional who is highly organized, genuinely excited about AI, and ready to own a function from day one. Think of it as the path for a future founder or PM who wants to learn a business from the inside out.
**Key Responsibilities** 
* Serve as an internal property manager for the clients, handling real\-time issues via Slack, coordinating guests, cleaners, and vendors
* Identify manual tasks and design AI workflows to automate them, working directly with the engineering team
* Deploy shared AI workflows across the existing customer base (300\+ properties)
* Manage VAs and interns supporting day\-to\-day property management operations
* Become the internal expert on property management automation, the go\-to person for workflow logic and edge cases
* Document processes and contribute to building out scalable onboarding systems for new owners
**First 30 Days** 
* Join the owner Slack channel and handle live property management requests in real time
* Shadow existing workflows and identify automation gaps
* Build and document your first AI workflow end\-to\-end
* Work directly with the engineering team to implement at least one improvement to the workflow system
**Requirements** 
 Must\-Have
* Exceptional conscientiousness, if you commit to being available, you are available
* Strong organizational skills with demonstrated ability to manage operations or complex logistics (student clubs, event management, ops roles all count)
* Genuine curiosity about AI, you've experimented with ChatGPT, automation tools, or built things independently
* Ability to thrive in ambiguity and stay motivated through unglamorous, ground\-level work
* Based in or willing to relocate to New York City
* Some technical experience (coding, no\-code tools, workflow builders)
* Prior exposure to property management, real estate, or hospitality
* Experience managing junior team members, VAs, or contractors</t>
        </is>
      </c>
    </row>
    <row r="14">
      <c r="A14" t="inlineStr">
        <is>
          <t>li-4198807083</t>
        </is>
      </c>
      <c r="B14" t="inlineStr">
        <is>
          <t>Product Manager</t>
        </is>
      </c>
      <c r="C14" t="inlineStr">
        <is>
          <t>Meta</t>
        </is>
      </c>
      <c r="D14" t="inlineStr">
        <is>
          <t>linkedin</t>
        </is>
      </c>
      <c r="E14">
        <f>HYPERLINK("https://www.linkedin.com/jobs/view/4198807083", "https://www.linkedin.com/jobs/view/4198807083")</f>
        <v/>
      </c>
      <c r="F14">
        <f>HYPERLINK("https://jsv3.recruitics.com/redirect?rx_cid=3239&amp;rx_jobId=a1KDp00000E2V0pMAF_1002&amp;rx_url=https%3A%2F%2Fwww.metacareers.com%2Fjobs%2F1238249364564427%2F%3Frx_campaign%3DLinkedin1%26rx_ch%3Dconnector%26rx_group%3D126320%26rx_id%3D02cc42d9-11a6-11f1-97d2-cfb3e0295cd9%26rx_job%3Da1KDp00000E2V0pMAF_1002%26rx_medium%3Dpost%26rx_r%3Dnone%26rx_source%3DLinkedin%26rx_ts%3D20260303T121208Z%26rx_vp%3Dslots%26utm_campaign%3DJob%252Bboard%26utm_medium%3Djobs%26utm_source%3DLIpaid&amp;urlHash=ZgO7", "https://jsv3.recruitics.com/redirect?rx_cid=3239&amp;rx_jobId=a1KDp00000E2V0pMAF_1002&amp;rx_url=https%3A%2F%2Fwww.metacareers.com%2Fjobs%2F1238249364564427%2F%3Frx_campaign%3DLinkedin1%26rx_ch%3Dconnector%26rx_group%3D126320%26rx_id%3D02cc42d9-11a6-11f1-97d2-cfb3e0295cd9%26rx_job%3Da1KDp00000E2V0pMAF_1002%26rx_medium%3Dpost%26rx_r%3Dnone%26rx_source%3DLinkedin%26rx_ts%3D20260303T121208Z%26rx_vp%3Dslots%26utm_campaign%3DJob%252Bboard%26utm_medium%3Djobs%26utm_source%3DLIpaid&amp;urlHash=ZgO7")</f>
        <v/>
      </c>
      <c r="G14" t="inlineStr">
        <is>
          <t>Menlo Park, CA</t>
        </is>
      </c>
      <c r="H14" t="inlineStr"/>
      <c r="I14" t="inlineStr">
        <is>
          <t>Meta Product Managers work with cross\-functional teams of engineers, designers, data scientists and researchers to build products. We are looking for Product Managers who value moving quickly.
 Product Manager Responsibilities:
* Be responsible for leading and driving a complex product area
* defining success, prioritizing problems and identifying the best stategies, considering wider organizational and company context. Adapt and adjust your strategies to reflect learnings and changes in context
* Identify and drive consensus for how to prioritize and realize the most significant opportunities in your product area. Identify when to stop as well as when to start investment
* Work with a cross\-functional team to define a product vision, develop a roadmap and drive progress against goals and milestones and resolve challenges and blockers, whilst improving team health and up\-levelling the effectiveness of the team
* Actively identify opportunities and resolve dependencies by creating shared strategiest across teams in adjacent product areas
* Gather and analyze user research and market analysis to inform product decisions and influence the wider product organization
* Influence strategy and progress across partner functions, enhancing collaboration and resolving divergent goals
* Communicate product strategy and progress with radical clarity to all stakeholders
* Support the growth of other PMs and cross\-functional team members by providing mentorship and coaching
 Minimum Qualifications:
* 8\+ years of relevant industry experience with at least 3 years in Product Management
* Bachelor's degree (or relevant degree equivalent): STEM subject ideal but not essential (Computer Science, Engineering, Information Systems, Analytics, Mathematics, Physics, Applied Sciences)
* Experience leading cross\-functional product team(s) across a full product line: Crafting product mission and strategy, defining product requirements, coordinating resources from other groups (marketing, legal, etc.), and driving the team to achieve key milestones and goals
* Experience managing a product through the full product lifecycle
* Proven experience to drive a step change in the performance of a product and the effectiveness of the team that delivers that product
* Extensive understanding in analyzing large scale, complex data sets and making effective decisions based on data
* Experience integrating a diverse set of requirements from a broad set of users as well as context into a single coherent product strategy
* Experience leading and motivating teams and influencing across an organisation
* Demonstrated experience in communication, bringing extreme clarity to complex messages
* Experience identifying and hiring the right talent to build a cross\-functional team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$173,000/year to $241,000/year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15">
      <c r="A15" t="inlineStr">
        <is>
          <t>li-4379409735</t>
        </is>
      </c>
      <c r="B15" t="inlineStr">
        <is>
          <t>DeFi Product Manager</t>
        </is>
      </c>
      <c r="C15" t="inlineStr">
        <is>
          <t>Georgetown Blockchain</t>
        </is>
      </c>
      <c r="D15" t="inlineStr">
        <is>
          <t>linkedin</t>
        </is>
      </c>
      <c r="E15">
        <f>HYPERLINK("https://www.linkedin.com/jobs/view/4379409735", "https://www.linkedin.com/jobs/view/4379409735")</f>
        <v/>
      </c>
      <c r="F15" t="inlineStr"/>
      <c r="G15" t="inlineStr"/>
      <c r="H15" t="inlineStr"/>
      <c r="I15" t="inlineStr">
        <is>
          <t>**Company Description** 
 Georgetown Blockchain is dedicated to building a united community of Georgetown students who share a passion for blockchain technology. We strive to foster a comprehensive understanding of blockchain among students, offering hands\-on experiences, educational opportunities, and access to resources. By connecting members with industry leaders, alumni, and the broader blockchain community, we aim to drive innovation and professional growth. Our mission is to cultivate a thriving ecosystem that promotes learning and collaboration in the field of blockchain technology.
**Role Overview** 
 Georgetown Blockchain is seeking a DeFi Product Manager based in the United States to define, build, and lead decentralized finance products and initiatives. This role involves translating community needs, academic insights, and market trends into product strategy that drives adoption, usability, and sustainable growth within DeFi ecosystems. The DeFi Product Manager will collaborate with researchers, engineers, partners, and stakeholders to deliver impactful decentralized financial solutions.
**Key Responsibilities** 
* Define product vision and roadmap for DeFi applications, protocols, and feature enhancements.
* Translate user needs, academic research insights, and ecosystem trends into product requirements.
* Collaborate closely with engineering, research, and design teams to deliver high\-quality DeFi products.
* Coordinate product releases, feature prioritization, and cross\-functional execution.
* Monitor on\-chain behavior, protocol metrics, yield dynamics, and market signals to inform product decisions.
* Engage with DeFi communities, partners, and users to gather feedback and refine product direction.
* Ensure product strategy aligns with broader blockchain research initiatives and educational outcomes.
**Ideal Profile** 
* Experience in product management, preferably with exposure to blockchain or DeFi products.
* Strong understanding of decentralized finance mechanics, smart contract fundamentals, and token economics.
* Ability to balance technical feasibility with user experience and market opportunity.
* Excellent communication and stakeholder management skills.
* Comfortable working in a remote or hybrid, multidisciplinary environment focused on innovation.
**Preferred Qualifications** 
* Background in Computer Science, Finance, Economics, or related analytical field.
* Experience building or managing DeFi protocols, decentralized applications, or tokenized financial products.
* Familiarity with DeFi tooling, on\-chain analytics (e.g., Dune, Nansen, Glassnode), and ecosystem integrations.
**Compensation \&amp; Structure** 
* Base Salary: $130,000 \- $155,000 annually.
* Remote or hybrid flexibility within the United States.</t>
        </is>
      </c>
    </row>
    <row r="16">
      <c r="A16" t="inlineStr">
        <is>
          <t>li-4369291129</t>
        </is>
      </c>
      <c r="B16" t="inlineStr">
        <is>
          <t>Product Manager</t>
        </is>
      </c>
      <c r="C16" t="inlineStr">
        <is>
          <t>XtalPi Inc.</t>
        </is>
      </c>
      <c r="D16" t="inlineStr">
        <is>
          <t>linkedin</t>
        </is>
      </c>
      <c r="E16">
        <f>HYPERLINK("https://www.linkedin.com/jobs/view/4369291129", "https://www.linkedin.com/jobs/view/4369291129")</f>
        <v/>
      </c>
      <c r="F16" t="inlineStr"/>
      <c r="G16" t="inlineStr"/>
      <c r="H16" t="inlineStr"/>
      <c r="I16" t="inlineStr">
        <is>
          <t>XtalPi is an innovative technology platform company powered by artificial intelligence (Al) and robotics. Founded in 2015 on the MIT campus, XtalPi is dedicated to driving intelligent and digital transformation in the Life Sciences and new materials industries. With tightly interwoven quantum physics, Al, cloud computing, and large\-scale clusters of robotic workstations, XtalPi offers a range of technology solutions, services, and products to accelerate and empower innovation for biopharmaceutical and new materials companies worldwide.
 To support the expansion of our automation products and solutions in the US and European markets, we are looking for an experienced Product Manager who can bridge customers, product, and commercial teams.
**Working Responsibilities** 
* Partner closely with the Business Development team to engage with prospective pharmaceutical clients in the US and Europe, providing technical support throughout the sales process, including product demonstrations, technical discussions, and customized solution design.
* Develop a deep understanding of customer pain points and challenges within chemical R\&amp;D and drug discovery workflows, accurately identifying their needs for laboratory automation products and solutions.
* Clearly communicate the value proposition of XTALPI’s laboratory automation solutions, demonstrating how they address customer challenges and improve R\&amp;D efficiency.
* Identify and define key collaboration opportunities between XTALPI products and customer use cases, providing technical insights and recommendations to the sales team.
* Collect and synthesize customer and market feedback to support product iteration, optimization, and roadmap planning.
* Continuously monitor industry trends and emerging technologies in laboratory automation to inform product innovation and strategic direction.
**Qualifications** 
* Master’s or PhD degree in Organic Chemistry or a closely related field.
* 3\+ years of industry experience in pharmaceutical companies or CROs, with a solid understanding of end\-to\-end drug discovery and development processes.
* Strong expertise in laboratory automation, familiarity with relevant technologies, systems, or commercial products.
* Excellent communication and presentation skills, with the ability to engage effectively with customers from diverse technical and business backgrounds.
* Proven ability to collaborate across cross\-functional teams, including BD, R\&amp;D, and Marketing.
* Strong analytical and problem\-solving skills, with the ability to think independently and propose innovative solutions.
* Fluent professional English, both written and spoken, for international collaboration.</t>
        </is>
      </c>
    </row>
    <row r="17">
      <c r="A17" t="inlineStr">
        <is>
          <t>li-4379990926</t>
        </is>
      </c>
      <c r="B17" t="inlineStr">
        <is>
          <t>Product Owner</t>
        </is>
      </c>
      <c r="C17" t="inlineStr">
        <is>
          <t>RPM</t>
        </is>
      </c>
      <c r="D17" t="inlineStr">
        <is>
          <t>linkedin</t>
        </is>
      </c>
      <c r="E17">
        <f>HYPERLINK("https://www.linkedin.com/jobs/view/4379990926", "https://www.linkedin.com/jobs/view/4379990926")</f>
        <v/>
      </c>
      <c r="F17" t="inlineStr"/>
      <c r="G17" t="inlineStr">
        <is>
          <t>Birmingham, MI</t>
        </is>
      </c>
      <c r="H17" t="inlineStr"/>
      <c r="I17" t="inlineStr">
        <is>
          <t>Product Owner
 RPM is an international non\-asset\-based logistics and supply chain solutions company. Our focus is to provide customizable solutions tailored to support today’s complex supply chains.  As one of the fastest\-growing logistics companies in North America, RPM executes thousands of shipments per month through a combination of digital innovations and an unwavering commitment to customer success. RPM has evolved as a disruptive and differentiated, end\-to\-end transportation service provider, to meet the ever\-changing needs of its customers. RPM proudly services some of the most recognizable and transformative companies in the world as
 The Driving Force in Logistics™
 Your Role
 The Product Owner role is integral to our continued success and mission, which is to remove the complexity from logistics. You need to be a team player, dedicated to your customer, passionate about our industry and disciplined to do what it takes to get the job done. If you are energized by solving complex business problems, collaborating with cross\-functional teams, and delivering technology solutions that improve customer and operational outcomes, then accelerate your career with our rapidly growing company.
 As a Product Owner you will be responsible for all day\-to\-day aspects of the Product Management related to one or more IT products or services.
 Day\-to\-Day Responsibilities
* Partner with stakeholders and Product Managers to define, prioritize, and translate business needs into user stories and acceptance criteria
* Own and actively manage the product backlog to maximize business value and delivery outcomes
* Collaborate with Agile teams throughout sprint planning, refinement, reviews, and release cycles
* Apply Agile best practices to drive predictable, high\-quality product delivery
* Align stakeholders and development teams on priorities, scope, timelines, and expectations
* Communicate progress, risks, dependencies, and at\-risk features to leadership and stakeholders
* Facilitate rapid problem\-solving and decision\-making to remove blockers and ensure successful delivery
* Continuously improve product processes, backlog health, and Agile team effectiveness
 Preferred Qualifications
* 2\+ years in Product, project, or business analysis roles with tech\-driven environments.
* Strong background supporting IT product delivery, Agile projects, or program execution
* Experience using product and Agile tooling (e.g., Aha!, Jira, Azure DevOps, or similar) to manage roadmaps, backlogs, and delivery workflows
* Proven ability to manage multiple priorities and solve complex problems in fast\-paced delivery environments
* Demonstrated track record of delivering technology initiatives on schedule
* Ability to translate business requirements into structured technical work (user stories, acceptance criteria, prioritization)
* Understanding of logistics, supply chain, or transportation operations
* Strong written and verbal communication skills with both technical and business stakeholders
* Experience planning and coordinating cross\-functional work across engineering and business teams
* Detail\-oriented with the ability to balance tactical execution and strategic product thinking
* Comfortable operating in evolving environments with changing priorities and ambiguity
 Compensation and Benefits
* Competitive Base Salary
* BCBS (medical), Delta Dental \&amp; VSP (vision)
* Life insurance, short \&amp; long\-term disability – paid by RPM
* Maternity \&amp; Paternity Leave
* 401(k) with generous employer match
* Unlimited PTO \- use it!
 Come as You Are
 RPM is an Equal Opportunity Employer. RPM does not discriminate based on race, religion, color, sex, gender identity, sexual orientation, age, non\-disqualifying physical or mental disability, national origin, veteran status, or any other basis covered by appropriate law. All employment is decided based on qualifications, merit, and business need.
 This job description is intended to define the general nature of the work performed by employees assigned to this role. It is not intended to be an exhaustive list of all responsibilities, duties, and skills of employees in this role. All our employees may be required to perform duties outside of their normal responsibilities from time to time.
 Recruitment Agency Notification
 RPM does not accept unsolicited agency resumes. Do not forward resumes to our careers email address, RPM employees, or any other company location. RPM is not responsible for any fees related to unsolicited resumes.</t>
        </is>
      </c>
    </row>
    <row r="18">
      <c r="A18" t="inlineStr">
        <is>
          <t>li-4380191846</t>
        </is>
      </c>
      <c r="B18" t="inlineStr">
        <is>
          <t>Remote Senior Product Manager</t>
        </is>
      </c>
      <c r="C18" t="inlineStr">
        <is>
          <t>Jobgether</t>
        </is>
      </c>
      <c r="D18" t="inlineStr">
        <is>
          <t>linkedin</t>
        </is>
      </c>
      <c r="E18">
        <f>HYPERLINK("https://www.linkedin.com/jobs/view/4380191846", "https://www.linkedin.com/jobs/view/4380191846")</f>
        <v/>
      </c>
      <c r="F18" t="inlineStr"/>
      <c r="G18" t="inlineStr">
        <is>
          <t>Iowa, United States</t>
        </is>
      </c>
      <c r="H18" t="inlineStr"/>
      <c r="I18" t="inlineStr">
        <is>
          <t>This position is posted by Jobgether on behalf of a partner company. We are currently looking for a Product Manager \- REMOTE. In this role, you will have a significant impact on the development of an industry\-leading custody platform. Your work will empower institutions to securely manage digital assets, building a foundation for safe and compliant crypto adoption. You will collaborate closely with engineering and design teams to enhance our products and address the needs of our institutional clients. This is a unique opportunity to shape the future of digital asset custody and contribute to innovative solutions in the crypto space.
**Accountabilities**
* Drive product strategy independently for a critical custody product.
* Take full ownership of product roadmap development and execution.
* Lead cross\-functional teams effectively to achieve product objectives.
* Identify and resolve project blockers to maintain progress.
* Communicate product goals and updates throughout the organization.
**Requirements**
* 5\+ years of relevant product management experience.
* Background in engineering to collaborate effectively with technical teams.
* Understanding of technologies used in digital asset management like blockchain.
* Experience with blockchain technology and on\-chain transactions.
* Excellent verbal and written communication skills.
**Benefits**
* Opportunity to shape the future of digital finance.
* Collaborative and inclusive team environment.
* Flexible working hours and work\-life balance.
* Professional development and learning opportunities.
* Participation in a rapidly growing sector with impactful work.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19">
      <c r="A19" t="inlineStr">
        <is>
          <t>li-4380379295</t>
        </is>
      </c>
      <c r="B19" t="inlineStr">
        <is>
          <t>Senior Product Manager</t>
        </is>
      </c>
      <c r="C19" t="inlineStr">
        <is>
          <t>BioTalent</t>
        </is>
      </c>
      <c r="D19" t="inlineStr">
        <is>
          <t>linkedin</t>
        </is>
      </c>
      <c r="E19">
        <f>HYPERLINK("https://www.linkedin.com/jobs/view/4380379295", "https://www.linkedin.com/jobs/view/4380379295")</f>
        <v/>
      </c>
      <c r="F19" t="inlineStr"/>
      <c r="G19" t="inlineStr"/>
      <c r="H19" t="inlineStr"/>
      <c r="I19" t="inlineStr">
        <is>
          <t>**Senior Product Manager (multiple positions across AI\-forward products \&amp; life sciences tech)** 
 We’re partnering with an innovative health tech company on a mission to transform healthcare affordability and access. Their enterprise solution is reshaping how patients, providers, and payers collaborate, helping ensure every patient can receive the treatment they need without delay.
 We are looking for product talent across the board to help with Pharma Tech \&amp; AI\-driven product initiatives designed to simplify and accelerate complex healthcare workflows across medication access, affordability, and adherence.
 You’ll own high\-impact product areas that sit at the intersection of providers, pharmacies, patients, and life sciences partners helping reduce friction in the patient medication journey and enabling faster therapy starts. This team is looking for product leaders who combine technical fluency with strong product craftsmanship and a patient\-first mindset.
 If you’re energized by solving meaningful healthcare challenges and building intelligent, scalable solutions in a fast\-paced environment, this is a high\-visibility opportunity to make measurable impact!
**What You’ll Do:** 
* Define and drive the strategy and roadmap for a new AI\-enabled product area focused on improving complex healthcare access and medication workflows
* Lead zero\-to\-one initiatives, embedding scalable and responsible AI capabilities into real\-world healthcare processes
* Oversee the full product lifecycle: from discovery and validation through launch and continuous optimization
* Design solutions that reduce friction across documentation, clinical data capture, submissions, exception handling, and stakeholder communication
* Establish clear success metrics and own performance tracking, including workflow efficiency, cycle times, throughput, and AI model impact
* Translate market and user needs into clear product requirements
* Collaborate cross\-functionally to ensure solutions align with operational realities, compliance standards, and desired patient experience
* Integrate this product area into the broader platform ecosystem, ensuring cohesion, scalability, and long\-term strategic impact
**What We’re Looking For:** 
* Bachelor’s degree in computer science, Engineering, Business, or a related field; MBA or advanced degree preferred.
* Deep expertise in Pharma/AI product innovation in the healthcare landscape
* 5\+ years of product management experience in healthcare technology, digital health, or enterprise SaaS, including B2B and/or B2B2C products.
* Experience building or supporting complex healthcare workflow products, such as provider\-facing platforms; utilization or administrative workflow tools; specialty medication access solutions; rules\-based automation systems; enterprise healthcare workflow software
* Builder mindset with experience taking products from early discovery through MVP and scaling.
* Strong business orientation, with the ability to connect product strategy to commercial and customer outcomes.</t>
        </is>
      </c>
    </row>
    <row r="20">
      <c r="A20" t="inlineStr">
        <is>
          <t>li-4378188146</t>
        </is>
      </c>
      <c r="B20" t="inlineStr">
        <is>
          <t>Product Manager</t>
        </is>
      </c>
      <c r="C20" t="inlineStr">
        <is>
          <t>SoTalent</t>
        </is>
      </c>
      <c r="D20" t="inlineStr">
        <is>
          <t>linkedin</t>
        </is>
      </c>
      <c r="E20">
        <f>HYPERLINK("https://www.linkedin.com/jobs/view/4378188146", "https://www.linkedin.com/jobs/view/4378188146")</f>
        <v/>
      </c>
      <c r="F20" t="inlineStr"/>
      <c r="G20" t="inlineStr">
        <is>
          <t>Houston, TX</t>
        </is>
      </c>
      <c r="H20" t="inlineStr"/>
      <c r="I20" t="inlineStr">
        <is>
          <t>**Job Title: Group Product Manager \- Specialty** 
**Location: Houston, Texas, United States** 
**Type: Full Time** 
 Our Client is seeking an experienced Group Product Manager to lead a high‑impact product organization focused on delivering innovative, scalable technology solutions. This role is ideal for a strategic product leader who excels at guiding teams, shaping digital strategies, and driving cross‑functional alignment across complex environments.
 This is a hybrid position requiring an on\-site presence 3 to 4 days per week. Please note that the number of days on\-site can increase based on business needs
**What You’ll Do** 
* Lead a portfolio of product domains end to end—driving vision, execution, and measurable outcomes.
* Build and execute product roadmaps in partnership with enterprise stakeholders.
* Oversee development and support of high‑complexity software products aligned to business priorities.
* Manage and mentor a team of senior product managers, ensuring alignment with organizational goals.
* Serve as a trusted partner to business and technology leaders, fostering strong global relationships.
* Actively participate in Agile ceremonies to maintain alignment on product direction and value delivery.
* Address risks, impediments, and operational challenges impacting product teams.
* Make informed decisions on product progression and accept completed work throughout sprints.
* Support backlog refinement and stakeholder engagement across product teams.
* Recruit, develop, and retain top product talent.
* Champion customer experience while balancing strategic objectives and operational constraints.
* Hold self and teams accountable for high‑quality, timely, and cost‑effective delivery.
**Minimum Qualifications** 
* Bachelor’s degree in computer science, business administration, information systems, or related field (or equivalent experience).
* 3\+ years in a leadership role supporting complex product, software development, or consulting initiatives.
* 10\+ years of experience in product management, consulting, or related domains.
* Strong background in Agile methodologies.
**Preferred Qualifications** 
* Experience with cloud technologies, SaaS platforms, or enterprise applications.
* Ability to navigate and influence within complex, matrixed organizations.
* Proven experience mentoring teams across both technical and functional skill sets.</t>
        </is>
      </c>
    </row>
    <row r="21">
      <c r="A21" t="inlineStr">
        <is>
          <t>li-4379175888</t>
        </is>
      </c>
      <c r="B21" t="inlineStr">
        <is>
          <t>Product Owner - DSCADA</t>
        </is>
      </c>
      <c r="C21" t="inlineStr">
        <is>
          <t>K20s - Kinetic Technologies Private Limited</t>
        </is>
      </c>
      <c r="D21" t="inlineStr">
        <is>
          <t>linkedin</t>
        </is>
      </c>
      <c r="E21">
        <f>HYPERLINK("https://www.linkedin.com/jobs/view/4379175888", "https://www.linkedin.com/jobs/view/4379175888")</f>
        <v/>
      </c>
      <c r="F21" t="inlineStr"/>
      <c r="G21" t="inlineStr">
        <is>
          <t>Los Angeles County, CA</t>
        </is>
      </c>
      <c r="H21" t="inlineStr"/>
      <c r="I21" t="inlineStr">
        <is>
          <t>**Location: USA**
**Experience: 10\-15 years**
**Industry: Energy / Utilities (SCADA/DMS/EMS)**
**Job Summary**
 We are seeking an experienced Product Owner to join our DSCADA team, responsible for implementing and delivering SCADA/DMS/EMS solutions using DNP3 protocol, Hitachi/OSI/GE systems, and Agile methodologies.
**Key Responsibilities**
* Define and prioritize product backlog for DSCADA team
* Plan and execute Sprints, participate in retrospectives, and demos
* Moderate Daily Standup calls with Scrum Master and team
* Collaborate with stakeholders to ensure project delivery
* Work with JIRA tool for project management
* Basic understanding of networking and cyber security
**Required Skills**
* 10\-15 years of hands\-on experience in SCADA/DMS/EMS implementation
* Expertise in DNP3 protocol and Hitachi/OSI/GE systems
* Agile project implementation methodology experience
* JIRA tool expertise
* Strong communication and collaboration skills
**Preferred Skills**
* Basic knowledge of networking and cyber security
 Skills: dnp3,ems,jira,project,cyber,scada,cyber security,agile,basic</t>
        </is>
      </c>
    </row>
    <row r="22">
      <c r="A22" t="inlineStr">
        <is>
          <t>li-4342770409</t>
        </is>
      </c>
      <c r="B22" t="inlineStr">
        <is>
          <t>Product Manager, TuneLab Platform</t>
        </is>
      </c>
      <c r="C22" t="inlineStr">
        <is>
          <t>Eli Lilly and Company</t>
        </is>
      </c>
      <c r="D22" t="inlineStr">
        <is>
          <t>linkedin</t>
        </is>
      </c>
      <c r="E22">
        <f>HYPERLINK("https://www.linkedin.com/jobs/view/4342770409", "https://www.linkedin.com/jobs/view/4342770409")</f>
        <v/>
      </c>
      <c r="F22">
        <f>HYPERLINK("https://careers.lilly.com/us/en/job/LILLUSR97803EXTERNALENUS/Product-Manager-TuneLab-Platform?utm_source=linkedin&amp;utm_medium=phenom-feeds&amp;urlHash=9z0P", "https://careers.lilly.com/us/en/job/LILLUSR97803EXTERNALENUS/Product-Manager-TuneLab-Platform?utm_source=linkedin&amp;utm_medium=phenom-feeds&amp;urlHash=9z0P")</f>
        <v/>
      </c>
      <c r="G22" t="inlineStr">
        <is>
          <t>San Francisco, CA</t>
        </is>
      </c>
      <c r="H22" t="inlineStr"/>
      <c r="I22" t="inlineStr">
        <is>
          <t>At Lilly, we unite caring with discovery to make life better for people around the world. We are a global healthcare leader headquartered in Indianapolis, Indiana. Our employees around the world work to discover and bring life\-changing medicines to those who need them, improve the understanding and management of disease, and give back to our communities through philanthropy and volunteerism. We give our best effort to our work, and we put people first. We’re looking for people who are determined to make life better for people around the world.
 Organization Overview
 Lilly Catalyze360 is a comprehensive approach to enabling the early\-stage biotech ecosystem by democratizing access to infrastructure, expertise, and resources. Through its interconnected pillars—Lilly Ventures, Lilly Gateway Labs, Lilly ExploR\&amp;D, and Lilly TuneLab—Catalyze360 strategically removes barriers that traditionally block bold science from becoming life\-changing medicines, providing biotechs with flexible combinations of capital, physical lab space, R\&amp;D capabilities, AI/ML tools, and decades of enterprise learning.
 Lilly TuneLab is an artificial intelligence and machine learning (AI/ML) platform that provides biotech companies access to drug discovery models trained on years of Lilly's research data. Lilly estimates that this first release of AI models includes proprietary data obtained at a cost of over $1 billion, representing one of the industry's most valuable datasets used to train an AI system available to biotechnology companies. By integrating advanced in silico modelling and federated learning, we connect pioneering machine learning algorithms, substantial computational power, exclusive datasets, and Lilly’s domain\-specific knowledge to drive innovation in drug discovery and facilitate access to optimal therapies for patients.
**Job Summary**
 As a Product Manager for the TuneLab Platform, you will play a pivotal role in shaping the evolution of TuneLab to help streamline researchworkflows. This is a highly technical product management role for someone who thrives at the intersection of product strategy, cloud infrastructure, AI/ML systems, and computational drug discovery. You will drive the end\-to\-end product lifecycle from concept and design to delivery and scale ensuring our platforms are secure, user\-centric, and capable of supporting enterprise\-grade solutions.
 Key Responsibilities
**Strategy and Vision**
* Develop and articulate a clear product strategy for the AI/ML platform, ensuring prioritized use\-cases are aligned with corporate and R\&amp;D goals.
* Define the roadmap for each use case, prioritizing those with the highest potential impact on drug discovery.
* Collaborate with cross\-functional stakeholders to ensure the platform’s strategic direction aligns with technical feasibility and market needs.
* Define and monitor success metrics that inform platform performance and product impact.
* Ensure the strategy incorporates market research, competitive analysis, leadership objectives, and user feedback.
**Product Development and Lifecycle Management**
* Manage the full product lifecycle from ideation and prioritization through design, implementation, and deployment.
* Translate complex business and scientific needs into technically detailed requirements, user stories, and specifications.
* Collaborate with engineering and data science teams to ensure high\-quality execution and timely delivery of platform features.
* Continuously refine and evolve the platform based on user feedback, market trends, and emerging technologies, ensuring it remains competitive and relevant.
**AI\-First and Agentic AI Product Leadership**
* Drive the design and development of AI\-first, agentic systems leveraging large language models (LLMs), retrieval\-augmented generation (RAG), and multi\-agent orchestration frameworks to enhance scientific and operational workflows.
* Partner with AI/ML engineering teams to deliver LLM\-powered assistants, copilots, and intelligent workflow automation tools that increase efficiency and insight generation.
* Translate emerging AI capabilities into secure, scalable, and user\-friendly product features that comply with enterprise data privacy and ethical AI standards.
* Collaborate with UX, data science, and engineering teams to design human\-AI interaction models that balance automation, transparency, and user control.
**Technical Leadership and Platform Architecture**
* Lead the integration of TuneLab with commercial scientific and informatics platforms, enabling seamless data exchange and cross\-platform insights.
* Collaborate with internal and external engineering teams to ensure systems are scalable, reliable, and compliant, supporting diverse models, workflows, and data pipelines.
* Contribute to architectural decisions ensuring interoperability, privacy, security, scalability and compliance of the platform.
**Impact Assessment and Model Improvement**
* Define and track KPIs to evaluate platform performance, model effectiveness, and business value.
* Incorporate feedback from internal users and external biotech partners to guide roadmap evolution and ensure long\-term platform relevance.
**Cross\-Functional Collaboration and Communication**
* Coordinate closely with internal teams, including R\&amp;D, engineering, data science, and business development, to ensure the product meets user needs and business objectives.
* Communicate product plans, progress, and impact to leadership and other stakeholders.
**Market and Competitive Analysis**
* Monitor market trends and competitive landscape to ensure the platform remains differentiated and continues to address unmet needs.
* Perform competitive analysis to identify opportunities for innovation and potential threats to the platform’s success.
* Explore new use cases and new user segments, driving platform awareness and adoption across the organization and partner networks.
**Minimum Requirements**
* Education: Bachelor’s or Master’s degree in Computer Science, Engineering, Data Science, Biology, Chemistry or related field.
* 5\+ years of product management experience in cloud\-based enterprise software, data platforms, or agentic AI platforms.
**Additional Skills/Preferences**
* Proven track record of managing all aspects of product development and lifecycle management, from ideation to launch and continuous improvement.
* Strong understanding of AI/ML technologies, cloud infrastructure, and large\-scale multi\-tenant architectures.
* Hands\-on experience with Agile/Scrum methodologies and enterprise product management tools.
* Experience in pharmaceutical R\&amp;D or computational drug discovery.
* Familiarity with scientific data and informatics platforms.
* Background in software engineering, systems architecture, or MLOps.
* Excellent analytical, communication, and collaboration skills, with the ability to work effectively in a matrixed organization.
 Lilly is dedicated to helping individuals with disabilities to actively engage in the workforce, ensuring equal opportunities when vying for positions. If you require accommodation to submit a resume for a position at Lilly, please complete the accommodation request form (https://careers.lilly.com/us/en/workplace\-accommodation) for further assistance. Please note this is for individuals to request an accommodation as part of the application process and any other correspondence will not receive a response.
 Lilly is proud to be an EEO Employer and does not discriminate on the basis of age, race, color, religion, gender identity, sex, gender expression, sexual orientation, genetic information, ancestry, national origin, protected veteran status, disability, or any other legally protected status.
 Our employee resource groups (ERGs) offer strong support networks for their members and are open to all employees. Our current groups include: Africa, Middle East, Central Asia Network, Black Employees at Lilly, Chinese Culture Network, Japanese International Leadership Network (JILN), Lilly India Network, Organization of Latinx at Lilly (OLA), PRIDE (LGBTQ\+ Allies), Veterans Leadership Network (VLN), Women’s Initiative for Leading at Lilly (WILL), enAble (for people with disabilities). Learn more about all of our groups.
 Actual compensation will depend on a candidate’s education, experience, skills, and geographic location. The anticipated wage for this position is
 $145,500 \- $213,400
 Full\-time equivalent employees also will be eligible for a company bonus (depending, in part, on company and individual performance). In addition, Lilly offers a comprehensive benefit program to eligible employees, including eligibility to participate in a company\-sponsored 401(k); pension; vacation benefits; eligibility for medical, dental, vision and prescription drug benefits; flexible benefits (e.g., healthcare and/or dependent day care flexible spending accounts); life insurance and death benefits; certain time off and leave of absence benefits; and well\-being benefits (e.g., employee assistance program, fitness benefits, and employee clubs and activities).Lilly reserves the right to amend, modify, or terminate its compensation and benefit programs in its sole discretion and Lilly’s compensation practices and guidelines will apply regarding the details of any promotion or transfer of Lilly employees.
 \#WeAreLilly</t>
        </is>
      </c>
    </row>
    <row r="23">
      <c r="A23" t="inlineStr">
        <is>
          <t>li-4362671664</t>
        </is>
      </c>
      <c r="B23" t="inlineStr">
        <is>
          <t>Product Manager</t>
        </is>
      </c>
      <c r="C23" t="inlineStr">
        <is>
          <t>Populus Financial Group</t>
        </is>
      </c>
      <c r="D23" t="inlineStr">
        <is>
          <t>linkedin</t>
        </is>
      </c>
      <c r="E23">
        <f>HYPERLINK("https://www.linkedin.com/jobs/view/4362671664", "https://www.linkedin.com/jobs/view/4362671664")</f>
        <v/>
      </c>
      <c r="F23" t="inlineStr"/>
      <c r="G23" t="inlineStr">
        <is>
          <t>Irving, TX</t>
        </is>
      </c>
      <c r="H23" t="inlineStr"/>
      <c r="I23" t="inlineStr">
        <is>
          <t>**Job Summary** 
 Populus Financial is seeking a results\-driven Product Manager to join our Card Products team, overseeing financial products used daily by customers nationwide. This role is responsible for shaping product strategy, guiding cross\-functional execution, and delivering customer\-focused innovations for our mobile banking applications, general purpose reloadable cards, and retail point\-of\-sale systems. The ideal candidate combines strategic thinking, data\-driven decision\-making, and hands\-on product ownership to deliver measurable business impact.
**Major Responsibilities** 
* Lead product planning and execution for assigned financial products, from concept through launch, ensuring alignment with customer needs and business objectives.
* Identify and prioritize high\-impact features and enhancements by analyzing customer feedback, competitive trends, and market opportunities.
* Collaborate with UI/UX teams to translate product vision into intuitive, accessible, and engaging user experiences.
* Write detailed user stories and acceptance criteria that clearly communicate requirements to Agile development teams.
* Analyze and synthesize market insights to guide product enhancements, ensuring our offerings remain competitive.
* Monitor and analyze key performance indicators (KPIs) to assess product health, drive adoption, and improve customer engagement.
* Conduct A/B tests, user experiments, and post\-launch analysis to continuously optimize product performance.
* Partner closely with IT, Field Operations, Marketing, Compliance, and Finance to ensure successful cross\-channel product delivery and alignment with regulatory requirements.
* Translate analytics, customer insights, and operational feedback into actionable roadmap decisions.
* Present product performance reports and strategic updates to executive leadership.
**Key Competencies** 
* Product Management
* Data\-driven decision making \&amp; performance analysis
* User story development \&amp; Agile delivery
* Business strategy \&amp; competitive analysis
* Customer experience optimization
* Strong technical acumen \&amp; understanding of mobile and POS platforms
* Problem solving \&amp; prioritization skills
* Excellent written \&amp; verbal communication
* Project Management
* Effective cross\-functional collaboration \&amp; stakeholder management
**Minimum Qualifications** 
* Bachelor’s degree in Business, Computer Science, Mathematics, or a related field is required
* 4\+ years of experience in product management or a closely related role is required
* Strong understanding of core computer science concepts and system design principles is required
* Experience in fintech space preferred
* Proven ability to derive actionable insights from performance data and translate findings into product improvements required
* Demonstrated experience writing detailed user requirements and acceptance criteria for technical products is required
* Experience designing, running, and interpreting A/B tests preferred
* Familiarity with Agile methodologies, processes, and ceremonies is required
* Advanced proficiency in Microsoft Excel and PowerPoint is required
**Physical Demands** 
 The physical demands described here are representative of those that must be met by an employee to successfully perform the essential functions of this job. Reasonable accommodations may be made to enable individuals with disabilities to perform the major responsibilities.
 While performing the duties of this job, the employee is regularly required to sit, stand or walk; use hands to finger, handle, or feel; reach with hands and arms; stoop or bend; and talk or hear. The employee must occasionally lift and/or move up to 50 lbs. Must have appropriate vision to see up close, and at a distance with ability to adjust vision and focus.
**Position Type/Expected Hours of Work** 
 This is a full\-time position. Days and hours of work are Monday through Friday, 8:00 a.m. to 5:00 p.m. This position might require long hours and weekend work.
**Travel** 
 N/A
**Work Environment** 
 The work environment characteristics described here are representative of those an employee encounters while performing the essential functions of this job. Reasonable accommodations may be made to enable individuals with disabilities to perform the essential functions. The noise level in some work environments can be moderate.
**Disclaimer** 
 The above information on this description has been designed to indicate the general nature and level of work performed by employees within this classification. It is not designed to contain or be interpreted, as a comprehensive inventory of all duties, responsibilities, qualifications required of employees assigned to this job.
**EEO Statement** 
 Populus Financial Group is an equal opportunity employer and complies with all applicable federal, state, and local fair employment practices laws. In compliance with applicable law, Populus Financial Group does not discriminate against any applicant or employee on the basis of race, color, religion, creed, sex, sexual orientation, gender (including gender nonconformity and status as a transgender or transsexual individual), national origin or ancestry, ethnicity, age, physical or mental disability, citizenship, past, current, or prospective service in the uniformed services, genetic information, pregnancy status, or any other protected classification. This policy applies to all terms and conditions of employment, including, but not limited to, hiring, training, promotions, discipline, compensation, benefits, and termination of employment.</t>
        </is>
      </c>
    </row>
    <row r="24">
      <c r="A24" t="inlineStr">
        <is>
          <t>li-4380362626</t>
        </is>
      </c>
      <c r="B24" t="inlineStr">
        <is>
          <t>Product Manager</t>
        </is>
      </c>
      <c r="C24" t="inlineStr">
        <is>
          <t>Prinx Chengshan Tire North America</t>
        </is>
      </c>
      <c r="D24" t="inlineStr">
        <is>
          <t>linkedin</t>
        </is>
      </c>
      <c r="E24">
        <f>HYPERLINK("https://www.linkedin.com/jobs/view/4380362626", "https://www.linkedin.com/jobs/view/4380362626")</f>
        <v/>
      </c>
      <c r="F24" t="inlineStr"/>
      <c r="G24" t="inlineStr"/>
      <c r="H24" t="inlineStr"/>
      <c r="I24" t="inlineStr">
        <is>
          <t>Reporting directly to the Vice President of Marketing and Product Development, this role will support PCTNA's tire product lifecycle by serving as the primary day\-to\-day liaison with factory engineers and third\-party partners. Under the strategic guidance of the VP, the Product Manager will provide informed recommendations, market insights, and execution support for new tire products, size expansions, enhancements to existing lines, testing programs, compliance efforts, and warranty management. They will work closely with marketing and sales teams to ensure timely sharing of product information, training materials, performance insights, features, and benefits. They will also standardize and manage the full warranty claims process—including review, adjudication, quality monitoring, and, in partnership with customer service, customer communication of warranty outcomes.
**Responsibilities** 
 Product Development
* Identify Future Product Needs: Work closely with PCTNA management and sales teams to evaluate and pinpoint emerging product requirements, such as new sizes, features, and any other market\-driven needs.
* Collaborate with Factory Engineers: Serve as the primary liaison with factory engineers on all aspects of new product development for PCTNA, encompassing both entirely new products and expansions to existing lines with new sizes.
* Source and procure benchmark tires for shipment to the factory for competitive analysis and reverse engineering.
* Provide detailed specifications, including desired sizes, performance requirements, and market\-specific needs for PCTNA.
 Product Improvement
* Facilitate Product Enhancements: Engage with factory engineers to identify, propose, and implement improvements to existing tire product lines, ensuring alignment with PCTNA's quality standards and market demands.
* Monitor Factory\-Initiated Improvements: Track and oversee product improvements originating from the factory, communicating relevant updates, progress, and implications to PCTNA stakeholders.
 Product Testing
* Coordinate Third\-Party Quality Testing: Arrange and oversee independent third\-party quality testing for PCTNA tire products to validate performance and compliance.
* Rolling Resistance Testing: Work directly with the factory to conduct rolling resistance tests on second\-generation products, evaluating performance improvements compared to the first\-generation models they replace and against key competitors
* Manage Field Testing Programs: Organize and supervise field testing of PCTNA products, including comparisons against internal benchmarks and competitors; compile comprehensive reports with findings and actionable recommendations.
* Produce Test Information for Marketing: Synthesize and format test results into clear, actionable insights and materials that the marketing team can use to educate the sales team and communicate product performance benefits to customers.
 Product Compliance
* Ensure Regulatory Compliance: Oversee the compliance of all tire products marketed and sold by PCTNA with applicable standards and regulations. Maintain an organized catalog of internal test reports for FMVSS 109, 119, and 139\. Maintain and update a catalog of ASTM and ECE test reports for 3PMS (Three\-Peak Mountain Snowflake) compliance and other relevant requirements. Verify dimensional and load data for all PCTNA products against established standards such as TRA, ETRTO, and others.
* Track Factory Certifications: Maintain an up\-to\-date listing of all factory quality certifications to support compliance and quality assurance efforts.
 Product Information and Specifications
* Maintain Comprehensive Product Database: Oversee and update a centralized database for all active and discontinued tire products under PCTNA, including dimensional specifications, load and speed ratings, retread guidelines, load inflation tables, product codes, UPC codes, tire labels, and regulatory compliance details.
* Develop and Monitor Retread Specifications: Collaborate with external consultants and customers to create and refine retread specifications for all Truck and Bus Radial (TBR) tires, while proactively tracking and implementing any necessary updates to ensure ongoing accuracy and compliance.
* Generate Product Data Tables: Compile and regularly maintain detailed tables of product information for distribution to marketing and sales teams, facilitating data\-driven decision\-making and promotional activities.
* Translate Technical Features into Marketing Content: Partner with the marketing team to adapt factory\-supplied product features and benefits into compelling, customer\-focused marketing language tailored to PCTNA's market needs.
* Maintain Competitive Comparison Charts: Work alongside marketing to develop, update, and refine product comparison charts that highlight key differentiators, ensuring they reflect the latest market and product developments.
* Create Sales Training Materials: Collaborate with marketing and sales teams to design and produce comprehensive product training resources, equipping sales personnel with essential knowledge for effective interactions with end users and distributors.
 Warranty Claims Management
* Adjudicate Warranty Claims: Review, approve, or deny all submitted warranty claims, and coordinate with the customer service team to communicate outcomes back to customers.
* Monitor for Product Liability Risks: Oversee all claims to identify potential product liability issues related to property damage or bodily injury.
* Assist in Liability Investigations: Provide necessary support and expertise during the investigation of claims involving potential product liability concerns.
* Monitor Claims for Quality Signals: Analyze warranty claims data to detect emerging patterns or signals indicating potential quality issues in tire products.
* Maintain Claims Database: Manage and update a centralized claims database, ensuring standardized categorization of claim reasons for consistency and ease of analysis.
* Generate Reports for Factory After\-Sales: Compile and deliver regular reports on PCTNA claims data to the factory's after\-sales department, highlighting trends, insights, and recommendations for product improvements.
 Reporting
* Provide Regular Status Updates: Communicate the current status of all ongoing product development, improvement, testing, compliance, and related initiatives during team meetings.
 Required Experience \&amp; Qualifications
* The ideal candidate will bring 5–10 years of progressive experience in product management, product development, or a related technical role within the tire manufacturing industry. Strong familiarity with tire specifications (e.g., dimensional data, load/speed ratings, retread processes), regulatory compliance standards (FMVSS, ECE, TRA, ETRTO), and warranty/claims processes is essential. Proven ability to interpret technical data, collaborate cross\-functionally with engineering, marketing, and sales teams, and translate complex product information into clear, actionable insights for internal and external stakeholders is required.
* Experience working with international manufacturing partners or factories, particularly in Asia, and coordinating third\-party testing or field evaluations is highly desirable. Proficiency in data analysis tools (Excel advanced functions, databases, or basic BI software), strong project management skills, and excellent written and verbal communication abilities are preferred. The successful candidate will be detail\-oriented, proactive, and comfortable providing recommendations and insights in a fast\-paced, collaborative environment while thriving under strategic direction from senior leadership.</t>
        </is>
      </c>
    </row>
    <row r="25">
      <c r="A25" t="inlineStr">
        <is>
          <t>li-4375954865</t>
        </is>
      </c>
      <c r="B25" t="inlineStr">
        <is>
          <t>AI Product Manager</t>
        </is>
      </c>
      <c r="C25" t="inlineStr">
        <is>
          <t>Mentor Talent Acquisition</t>
        </is>
      </c>
      <c r="D25" t="inlineStr">
        <is>
          <t>linkedin</t>
        </is>
      </c>
      <c r="E25">
        <f>HYPERLINK("https://www.linkedin.com/jobs/view/4375954865", "https://www.linkedin.com/jobs/view/4375954865")</f>
        <v/>
      </c>
      <c r="F25" t="inlineStr"/>
      <c r="G25" t="inlineStr">
        <is>
          <t>New York, NY</t>
        </is>
      </c>
      <c r="H25" t="inlineStr"/>
      <c r="I25" t="inlineStr">
        <is>
          <t>We build LLM\-powered tools that transform how private market investors conduct research. Our clients include multiple top\-10 private equity and consulting firms, collectively deploying billions of dollars annually.
**💡 The Role** 
 We’re hiring our
 **first Product Manager** 
 to take ownership of our core market research product, while helping incubate new 0→1 extensions and eventually build out the product function.
 This is a highly autonomous individual contributor role. You’ll run the full product execution cycle: deeply understanding users, aligning cross\-functionally, defining specs, driving QA, and ensuring we ship quickly and consistently. As the company scales, there’s a clear path toward product leadership.
**✅ What You’ll Own** 
* Define and drive the roadmap for our core research workflow
* Partner closely with Customer Success and end users to deeply understand workflows, friction points, and opportunities
* Work side\-by\-side with Engineering and Design to prioritize ruthlessly and ship at high velocity
* Own release quality: QA processes, bug triage, launch readiness, and post\-launch iteration
* Keep founders and cross\-functional teams aligned through clear, concise communication
* Join Sales and CS calls to demo features, articulate value, and convert customer insights into product direction
**📈 What Success Looks Like** 
* Faster, higher\-quality shipping cadence (target: \~1 major feature per week)
* Strong adoption and repeat usage of newly launched features
* Tight feedback loops: customer input quickly translates into clear decisions and shipped improvements
**🔥 About You** 
* You’ve built and shipped B2B SaaS products in fast\-paced environments
* You optimize for impact, not perfection — you’re comfortable making hard trade\-offs and shipping MVPs
* You enjoy speaking directly with users and senior stakeholders — and you’re comfortable being commercial when needed
* You’re hands\-on and detail\-oriented; you don’t hesitate to dive into tooling (including AI tools like Claude Code) to move things forward
* You thrive in low\-process, high\-accountability environments and can create clarity amid ambiguity
* You communicate with precision — written and verbal — and can simplify complex problems
* You’re deeply curious and constantly learning
**Bonus:** 
* Background in consulting
* Heavy daily use of AI tools in your workflow
**🌴 Benefits** 
 We offer competitive compensation, equity and private healthcare, plus a few distinctive perks:
* Gym membership
* In\-office chef
* Summers working from Greece, by the beach</t>
        </is>
      </c>
    </row>
    <row r="26">
      <c r="A26" t="inlineStr">
        <is>
          <t>li-4379196989</t>
        </is>
      </c>
      <c r="B26" t="inlineStr">
        <is>
          <t>Product Manager</t>
        </is>
      </c>
      <c r="C26" t="inlineStr">
        <is>
          <t>SoftWave TRT</t>
        </is>
      </c>
      <c r="D26" t="inlineStr">
        <is>
          <t>linkedin</t>
        </is>
      </c>
      <c r="E26">
        <f>HYPERLINK("https://www.linkedin.com/jobs/view/4379196989", "https://www.linkedin.com/jobs/view/4379196989")</f>
        <v/>
      </c>
      <c r="F26">
        <f>HYPERLINK("https://www.adzuna.com/details/5611974243?v=82EBEE241456FB3C2E3EBEDAD33A22EA0EECE67A&amp;frd=b16da26bacbb638c6ac2244fffeb242e&amp;r=21370417&amp;ccd=2a3dcd2802d6ff639be964348721ec9e&amp;utm_source=linkedin6&amp;utm_medium=organic&amp;partnerb=1&amp;chnlid=1098&amp;title=Product%20Manager&amp;a=e&amp;urlHash=jMZF", "https://www.adzuna.com/details/5611974243?v=82EBEE241456FB3C2E3EBEDAD33A22EA0EECE67A&amp;frd=b16da26bacbb638c6ac2244fffeb242e&amp;r=21370417&amp;ccd=2a3dcd2802d6ff639be964348721ec9e&amp;utm_source=linkedin6&amp;utm_medium=organic&amp;partnerb=1&amp;chnlid=1098&amp;title=Product%20Manager&amp;a=e&amp;urlHash=jMZF")</f>
        <v/>
      </c>
      <c r="G26" t="inlineStr">
        <is>
          <t>Alpharetta, GA</t>
        </is>
      </c>
      <c r="H26" t="inlineStr"/>
      <c r="I26" t="inlineStr">
        <is>
          <t>**Product Manager (Marketing)**
 SoftWave TRT is a fast\-growing medical device company revolutionizing regenerative medicine with FDA\-cleared shockwave therapy devices used by top healthcare providers nationwide. As SoftWave continues to scale, we are building a world\-class marketing and go\-to\-market function to support product innovation, commercial growth, and clinical adoption.
 SoftWave TRT is seeking a highly quantitative
 **Product Manager (Marketing)** 
 with a consulting mindset to own market evaluation, product definition, and financial modeling for new and existing products. This role sits at the intersection of strategy, analytics, and execution, translating ambiguous market signals into data\-backed product and investment decisions.
**Key Responsibilities**
* Market \&amp; Opportunity Assessment
+ Size and prioritize markets using TAM / SAM / SOM, cohort analysis, and segmentation
+ Evaluate competitive landscapes, pricing dynamics, and substitution risk
+ Build fact\-based business cases to support product investment decisions
* Product \&amp; User Requirements
+ Translate customer, clinical, and operational needs into quantified product requirements
+ Define value propositions supported by measurable outcomes (clinical, economic, or operational)
+ Partner with engineering, clinical, and commercial teams to drive trade\-off decisions using data
* Financial Modeling \&amp; Forecasting
+ Own product\-level P\&amp;Ls, unit economics, and margin analysis
+ Build revenue forecasts, adoption curves, and scenario models (base / upside / downside)
+ Track post\-launch performance vs. plan and drive corrective action
* Decision Support \&amp; Executive Communication
+ Produce clear, structured analyses and executive\-ready materials
+ Frame recommendations with assumptions, risks, sensitivities, and ROI
**Qualifications**
* 5\+ years of experience in product management, strategy consulting (Bain/McKinsey/BCG), or corporate strategy
* Exceptional quantitative skills: Excel/Sheets, financial modeling, analytical frameworks
* Proven ability to structure ambiguous problems and drive decisions with data
* Experience in healthcare, medical devices, or regulated industries preferred
**Profile Fit**
* Hypothesis\-driven, analytical, and commercially minded
* Comfortable challenging assumptions and forcing prioritization
* Thinks like an investor, not a feature owner
**Preferred Experience**
* Experience supporting capital equipment, platform\-based products, or clinical technologies
* Experience in a high\-growth, PE\-backed, or scaling organization
* Exposure to reimbursement, clinical outcomes, or provider\-based selling environments
**Why Join SoftWave TRT**
* Competitive compensation
* Health, dental, and vision insurance
* Paid holidays \&amp; PTO
* Opportunity to shape product strategy and market impact in a rapidly growing MedTech company
* Collaborative, mission\-driven culture with strong leadership and cross\-functional partnership
 Powered by JazzHR</t>
        </is>
      </c>
    </row>
    <row r="27">
      <c r="A27" t="inlineStr">
        <is>
          <t>li-4379177896</t>
        </is>
      </c>
      <c r="B27" t="inlineStr">
        <is>
          <t>Product Manager</t>
        </is>
      </c>
      <c r="C27" t="inlineStr">
        <is>
          <t>Haystack</t>
        </is>
      </c>
      <c r="D27" t="inlineStr">
        <is>
          <t>linkedin</t>
        </is>
      </c>
      <c r="E27">
        <f>HYPERLINK("https://www.linkedin.com/jobs/view/4379177896", "https://www.linkedin.com/jobs/view/4379177896")</f>
        <v/>
      </c>
      <c r="F27">
        <f>HYPERLINK("https://us.haystackapp.io/roles/696728c049b60748f9032a00?src=linkedin&amp;urlHash=CiZT", "https://us.haystackapp.io/roles/696728c049b60748f9032a00?src=linkedin&amp;urlHash=CiZT")</f>
        <v/>
      </c>
      <c r="G27" t="inlineStr">
        <is>
          <t>California, United States</t>
        </is>
      </c>
      <c r="H27" t="inlineStr"/>
      <c r="I27" t="inlineStr">
        <is>
          <t>**Principal Product Manager \| California \| Hybrid** 
 We're working with the world’s most iconic storytelling powerhouse as they build a massive new digital universe in partnership with Epic Games on this exciting opportunity.
 This is a high\-impact leadership role where you will bridge the gap between world\-class IP and immersive gaming ecosystems like Fortnite. You will drive the strategy for seamless, story\-driven consumer journeys that blend physical and digital entertainment using cutting\-edge systems architecture and cross\-platform integration strategies.
**The Role** 
 • Lead the product vision and execution for a revolutionary digital universe, ensuring cohesive end\-to\-end consumer journeys between Fortnite and internal digital environments.
 • Define technical and operational requirements for complex platform integrations, managing data flows, APIs, and identity systems to create a unified brand experience.
 • Drive cross\-organizational collaboration between gaming leads, engineers, and creative storytellers to synchronize roadmaps and influence long\-range product planning.
 • Establish and monitor key performance indicators (KPIs) through deep analytics and consumer insights to drive iterative refinements and executive investment decisions.
 • Act as a subject matter expert on emerging technologies, interactive media, and digital rewards to inform future\-state cross\-platform experience strategies.
**What You'll Need** 
 • 10\+ years of Product Management experience with a track record of launching large\-scale, technology\-enabled consumer experiences or gaming ecosystems.
 • Deep technical fluency with experience influencing decisions regarding APIs, systems integration, and software development lifecycle (SDLC).
 • Proven expertise in Agile methodologies and collaboration tools including Jira, Confluence, Airtable, Smartsheet, and Miro.
 • Extensive experience navigating complex, matrixed organizations to drive alignment across senior stakeholders and competing business priorities.
 • A passion for immersive entertainment, interactive media, and the intersection of physical and digital consumer touchpoints.
**What's On Offer** 
 • Competitive base salary range of $188,400 to $252,600 per year plus bonus and long\-term incentive units.
 • Comprehensive healthcare, savings benefits, and unique educational opportunities.
 • Exclusive employee perks and "extras" that only a global leader in entertainment can provide.
 • The chance to shape the future of interactive storytelling and digital\-physical integration at a massive scale.
**Apply via Haystack today!**</t>
        </is>
      </c>
    </row>
    <row r="28">
      <c r="A28" t="inlineStr">
        <is>
          <t>li-4379186469</t>
        </is>
      </c>
      <c r="B28" t="inlineStr">
        <is>
          <t>Sr Product Manager</t>
        </is>
      </c>
      <c r="C28" t="inlineStr">
        <is>
          <t>The Walt Disney Company</t>
        </is>
      </c>
      <c r="D28" t="inlineStr">
        <is>
          <t>linkedin</t>
        </is>
      </c>
      <c r="E28">
        <f>HYPERLINK("https://www.linkedin.com/jobs/view/4379186469", "https://www.linkedin.com/jobs/view/4379186469")</f>
        <v/>
      </c>
      <c r="F28" t="inlineStr"/>
      <c r="G28" t="inlineStr">
        <is>
          <t>Orlando, FL</t>
        </is>
      </c>
      <c r="H28" t="inlineStr"/>
      <c r="I28" t="inlineStr">
        <is>
          <t>At Disney, we’re storytellers. We make the impossible, possible. The Walt Disney Company (TWDC) is a world\-class entertainment and technological leader. Walt’s passion was to continuously envision new ways to move audiences around the world—a passion that remains our touchstone in an enterprise that stretches from theme parks, resorts and a cruise line to sports, news, movies and a variety of other businesses. Uniting each endeavor is a commitment to creating and delivering unforgettable experiences — and we’re constantly looking for new ways to enhance these exciting experiences.
 Our team at Disney Experiences Technology creates world\-class immersive digital experiences for the Company’s premier vacation brands including Disney’s Parks \&amp; Resorts worldwide, Disney Cruise Line, Aulani, A Disney Resort \&amp; Spa, and Disney Vacation Club.
 Reporting to the Manager, Technology \- this Sr Product Manager role is part of the team responsible for working with site partners to develop, define, and execute the strategic direction of Contact Center, Cast Operations Apps, and commercial initiatives for U.S. Parks and Resorts.
 This role will be highly integrated with business and technology stakeholders throughout all phases of the product lifecycle to ensure initiatives deliver business and guest value.
 The ideal candidate is a proactive self\-starter with expertise in creating and executing product vision. If you thrive on taking ownership, driving action, and contributing to the growth of product organizations, we want to hear from you!
**What You’ll Do**
* Develop and manage the product vision and roadmap throughout the entire product delivery process.
* Serve as a passionate advocate for the product, both internally and externally while educating stakeholders and customers about product features, benefits, and value propositions.
* Define and monitor key performance metrics to drive product decisions, while identifying areas for optimization.
* Manage collaborative discussions to gain alignment and negotiate with our Business \&amp; product partners.
* Prioritize with our business, product, and engineering partners, managing complex discussions to drive alignment.
* Conduct market research to understand industry trends, competitive landscape, and customer needs.
* Execute discovery work for new capabilities, documenting current state and desired future state to guide the development process, synthesizing findings in a clear and compelling way.
* Lead requirement\-gathering, user story creation, user acceptance criteria, prioritization, and execution with cross\-functional teams, ensuring consistent communication with peers and leadership.
* Develop and maintain strong relationships with stakeholders and cross\-functional collaborators, including product, engineering, design, commercial, and customer support.
* Proactively identify potential risks, dependencies, and mitigation strategies to project timelines or deliverables.
* Lead sessions and creation of artifacts for Capability Mapping and functional design
**Technical Responsibilities**
* Experience in software development lifecycle (SDLC)
* Experience in Product Roadmap development including technical aspects including APIs and Integrations
* Business technical expertise in data analysis and visualization to tell stories, identify opportunities for technology innovation, and communicate them effectively for problem solving.
* Define and map how a piece of data translates between different systems.
* Creation of business sequence and process flow diagrams. Understand, and sometimes create, sequence diagrams and processes via process engineering.
**What You Will Need**
* Minimum of 5 years of related work experience in product management, technology delivery, or strategy development.
* Subject matter expertise in the generation and management of strategies and roadmaps, rooted in technology alignment with and enablement of business objectives.
* Experience leading initiatives that span several teams and functional areas, integrating diverse points of view toward a solution.
* Proven experience with the software delivery lifecycle.
* Proven problem\-solving abilities, gathering relevant partner inputs to drive resolution.
* Excellent written and verbal communication skills, including an ability to facilitate complex conversations and pitch innovative solutions.
* Advanced at writing business \&amp; functional requirements.
* Advanced knowledge and ability to use collaboration tools to document and communicate effectively.
* Advanced knowledge and ability to use visualization tools to simply illustrate and communicate complex concepts.
* Experience within the hospitality industry a plus.
**Required Education**
 Bachelor’s degree or equivalent work experience required
**Preferred Education**
 Degree in Computer Science, Engineering, Information Systems (IS).
 \#DISNEYTECH</t>
        </is>
      </c>
    </row>
    <row r="29">
      <c r="A29" t="inlineStr">
        <is>
          <t>li-4120824714</t>
        </is>
      </c>
      <c r="B29" t="inlineStr">
        <is>
          <t>Product Manager, Machine Learning</t>
        </is>
      </c>
      <c r="C29" t="inlineStr">
        <is>
          <t>Meta</t>
        </is>
      </c>
      <c r="D29" t="inlineStr">
        <is>
          <t>linkedin</t>
        </is>
      </c>
      <c r="E29">
        <f>HYPERLINK("https://www.linkedin.com/jobs/view/4120824714", "https://www.linkedin.com/jobs/view/4120824714")</f>
        <v/>
      </c>
      <c r="F29">
        <f>HYPERLINK("https://jsv3.recruitics.com/redirect?rx_cid=3239&amp;rx_jobId=a1K2K00000906KmUAI&amp;rx_url=https%3A%2F%2Fwww.metacareers.com%2Fjobs%2F691715269835265%2F%3Frx_campaign%3DLinkedin1%26rx_ch%3Dconnector%26rx_group%3D126320%26rx_id%3D8cd966eb-f016-11f0-9040-b98b1b929328%26rx_job%3Da1K2K00000906KmUAI%26rx_medium%3Dpost%26rx_r%3Dnone%26rx_source%3DLinkedin%26rx_ts%3D20260303T121208Z%26rx_vp%3Dslots%26utm_campaign%3DJob%252Bboard%26utm_medium%3Djobs%26utm_source%3DLIpaid&amp;urlHash=LQRF", "https://jsv3.recruitics.com/redirect?rx_cid=3239&amp;rx_jobId=a1K2K00000906KmUAI&amp;rx_url=https%3A%2F%2Fwww.metacareers.com%2Fjobs%2F691715269835265%2F%3Frx_campaign%3DLinkedin1%26rx_ch%3Dconnector%26rx_group%3D126320%26rx_id%3D8cd966eb-f016-11f0-9040-b98b1b929328%26rx_job%3Da1K2K00000906KmUAI%26rx_medium%3Dpost%26rx_r%3Dnone%26rx_source%3DLinkedin%26rx_ts%3D20260303T121208Z%26rx_vp%3Dslots%26utm_campaign%3DJob%252Bboard%26utm_medium%3Djobs%26utm_source%3DLIpaid&amp;urlHash=LQRF")</f>
        <v/>
      </c>
      <c r="G29" t="inlineStr">
        <is>
          <t>Bellevue, WA</t>
        </is>
      </c>
      <c r="H29" t="inlineStr"/>
      <c r="I29" t="inlineStr">
        <is>
          <t>Meta Product Managers work with cross\-functional teams of engineers, designers, data scientists and researchers to build products. We are looking for extremely entrepreneurial Product Managers with Machine Learning expertise who value moving quickly, and can help innovate and coherently drive product initiatives across the company.
 Product Manager, Machine Learning Responsibilities:
* Display strong leadership, organizational and execution skills
* Is the primary driver for identifying significant opportunities, and driving product vision, strategies and roadmaps in the context of broader organizational strategies and goals
* Incorporate data, research and market analysis to inform product strategies and roadmaps
* Leads and motivates a team of engineers and other cross\-functional representatives, and maintains team health
* Understand Facebook’s strategic and competitive position and deliver products that are aligned with our mission and recognized best in the industry
* Maximize efficiency in a constantly evolving environment where the process is fluid and creative solutions are the norm
 Minimum Qualifications:
* 8\+ years product management or related industry experience with domain specific expertise in Machine Learning
* Requires a Bachelor's degree (or foreign degree equivalent) in Computer Science, Engineering, Information Systems, Analytics, Mathematics, Physics, Applied Sciences, or a related field and 2\+ years of experience in the following:
* Experience working in a technical environment with a broad, cross functional team to drive product vision, define product requirements, coordinate resources from other groups (design, legal, etc.), and guide the team through key milestones
* Experience delivering technical presentations
* Experience in analyzing complex, large\-scale data sets and making decisions based on data
* Experience in gathering requirements across broad areas and users, and converting and developing them into a product solution
* Displaying leadership, organizational and execution skills
* Proven communication skills
 Preferred Qualifications:
* Experience with leveraging ML/AI to build large scale consumer products.
* Experience going through a full product lifecycle, integrating customer feedback into product requirements, driving prioritization and pre/post\-launch execution.
* Experience defining vision and strategy for a product.
* Experience recruiting and leading a cross\-functional team of world\-class individuals.
* Enthusiastic and resilient in a constantly evolving environment where the process is fluid and creative solutions are the norm.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$173,000/year to $241,000/year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30">
      <c r="A30" t="inlineStr">
        <is>
          <t>li-4362223720</t>
        </is>
      </c>
      <c r="B30" t="inlineStr">
        <is>
          <t>Product Manager</t>
        </is>
      </c>
      <c r="C30" t="inlineStr">
        <is>
          <t>Profisee</t>
        </is>
      </c>
      <c r="D30" t="inlineStr">
        <is>
          <t>linkedin</t>
        </is>
      </c>
      <c r="E30">
        <f>HYPERLINK("https://www.linkedin.com/jobs/view/4362223720", "https://www.linkedin.com/jobs/view/4362223720")</f>
        <v/>
      </c>
      <c r="F30" t="inlineStr"/>
      <c r="G30" t="inlineStr">
        <is>
          <t>Alpharetta, GA</t>
        </is>
      </c>
      <c r="H30" t="inlineStr"/>
      <c r="I30" t="inlineStr">
        <is>
          <t>**Brief Description**
 Profisee is how enterprises finally solve the data quality issues that have been holding back their most strategic initiatives. Our AI\-first master data management (MDM) platform cleans, unifies, and improves critical enterprise data, providing the trusted foundation organizations need for AI, analytics, and digital transformation. Profisee delivers fast time\-to\-value with a low total cost of ownership. We operate directly in the United States, Europe, and Australia, and through a global network of certified partners.
**About The Role**
 We are looking for a Product Manager to join our product team and help shape the future of our MDM platform. In this role, you will own a significant area of our product, working closely with engineering, design, pre\-sales, customer success, and marketing to deliver capabilities that solve real enterprise data challenges. You will be expected to develop deep expertise in your product area, build strong relationships across the organization, and drive outcomes that matter to our customers and business.
 This is a hands\-on role in a growing company where Product Managers are expected to go beyond task management. You will conduct customer research, define product strategy, manage execution across agile engineering teams, and communicate the value of your work to internal and external stakeholders. You will be the go\-to person for your product domain, and the first to raise your hand when questions arise or problems need solving in your area.
 What You Will Do
 User\-Centric Mindset
* Develop a deep understanding of how enterprise customers use the Profisee platform across industries, company sizes, and use cases
* Conduct customer interviews, analyze support escalation patterns, and gather feedback from pre\-sales and customer success teams to identify user needs and pain points
* Translate user research into actionable product requirements that address what customers actually need, not just what they say they want
* Champion the voice of the customer in product decisions, ensuring that features and capabilities are designed around real\-world usage patterns
 Communication and Collaboration
* Clearly articulate product vision, requirements, and updates to engineering teams, leadership, and cross\-functional stakeholders
* Build strong working relationships across the organization including engineering, design, marketing, pre\-sales, customer success, and partner teams
* Collaborate with marketing on product positioning, release messaging, and go\-to\-market planning
* Serve as the primary point of contact and subject\-matter expert for your product area, proactively driving alignment and resolution when issues arise
* Contribute to documentation, enablement materials, and internal knowledge sharing to keep teams aligned on product strategy and direction
 Execution
* Own end\-to\-end delivery of product capabilities from discovery through launch, including scoping, sequencing, and managing timelines across agile engineering teams
* Write clear product specifications, user stories, and acceptance criteria that enable engineering teams to build with confidence
* Manage sprint planning, backlog prioritization, and release coordination to ensure on\-time, high\-quality delivery
* Maintain momentum across parallel workstreams without letting quality or clarity slip, demonstrating the pragmatism needed to ship enterprise software
* Track and communicate progress against roadmap commitments to stakeholders and leadership
 Business Outcomes
* Connect your day\-to\-day work to measurable business results including customer adoption, revenue impact, and strategic positioning
* Define and track key product metrics that demonstrate the value your work creates for customers and the business
* Participate in pre\-sales engagements by providing product expertise that helps translate platform capabilities into clear business value for prospects
* Identify opportunities to improve customer retention, expansion, and satisfaction through product improvements
* Communicate the business impact of your product work to senior leadership, connecting feature delivery to company strategy
 What We Are Looking For
**Required**
* 3\+ years of product management experience in a B2B SaaS environment, ideally with enterprise software products
* Demonstrated ability to own a product area end\-to\-end, from discovery and strategy through delivery and iteration
* Experience working with agile engineering teams, including sprint planning, backlog management, and cross\-functional coordination
* Strong written and verbal communication skills with the ability to influence stakeholders at all levels, from engineers to senior leadership
* A track record of conducting customer research and translating insights into product decisions that drive measurable outcomes
* Comfort operating in ambiguous environments where you are expected to take ownership and drive clarity
* Experience with data management, data quality, analytics, or related enterprise data domains
**Preferred**
* Experience with master data management (MDM), data governance, or data integration platforms
* Familiarity with the Microsoft ecosystem including Azure, Microsoft Fabric, Power BI, or Dynamics
* Technical background or working knowledge of database concepts, SQL, APIs, and cloud architecture
* Experience with AI/ML product features or AI\-first product strategies
* Prior experience supporting pre\-sales or customer\-facing engagements as part of the product role
* Experience working with global partner ecosystems including systems integrators and value\-added resellers
 What Success Looks Like
 In your first year, you will have developed meaningful product expertise in your domain and earned credibility with engineering, design, and go\-to\-market teams. You will be the person others look to when questions arise in your product area. You will have shipped capabilities that create real value for customers, and you will be able to articulate the business impact of your work clearly and confidently. Over time, you will grow from strong execution into strategic ownership, shaping not just what we build but why we build it and how it connects to the broader direction of the company.
 How We Work
 Our product team operates with a high degree of ownership. Product Managers are not project managers or ticket writers. You are expected to be a domain expert, a customer advocate, and a strategic thinker who can also roll up your sleeves and get things done.
 We value strong cross\-functional relationships and believe the best products come from teams where engineering, design, product, and go\-to\-market functions work closely together.
 We evaluate performance across four competencies: User\-Centric Mindset, Communication and Collaboration, Execution, and Business Outcomes. We invest in the growth and development of our team members and believe in providing honest, constructive feedback.</t>
        </is>
      </c>
    </row>
    <row r="31">
      <c r="A31" t="inlineStr">
        <is>
          <t>li-4368793189</t>
        </is>
      </c>
      <c r="B31" t="inlineStr">
        <is>
          <t>Staff Product Manager, Verily Me</t>
        </is>
      </c>
      <c r="C31" t="inlineStr">
        <is>
          <t>Verily</t>
        </is>
      </c>
      <c r="D31" t="inlineStr">
        <is>
          <t>linkedin</t>
        </is>
      </c>
      <c r="E31">
        <f>HYPERLINK("https://www.linkedin.com/jobs/view/4368793189", "https://www.linkedin.com/jobs/view/4368793189")</f>
        <v/>
      </c>
      <c r="F31" t="inlineStr"/>
      <c r="G31" t="inlineStr">
        <is>
          <t>San Bruno, CA</t>
        </is>
      </c>
      <c r="H31" t="inlineStr"/>
      <c r="I31" t="inlineStr">
        <is>
          <t>**Who We Are**
 Verily is a subsidiary of Alphabet that is using a data\-driven approach to change the way people manage their health and the way healthcare is delivered. Launched from Google X in 2015, our purpose is to bring the promise of precision health to everyone, every day. We are focused on generating and activating data from a variety of sources, including clinical, social, behavioral and the real world, to arrive at the best solutions for a person based on a comprehensive view of the evidence. Our unique expertise and capabilities in technology, data science and healthcare enable the entire healthcare ecosystem to drive better health outcomes.
**Description**
 Verily is recruiting a visionary and results\-oriented Staff Product Manager to lead our consumer\-facing product strategy for VerilyMe. Reporting to the VP of Product, Care Solutions, you will oversee the consumer\-facing application population, focusing on leveraging data and Artificial Intelligence (AI) to drive transformative impact.
 This role requires a leader with a strong Direct\-to\-Consumer (DTC) background in wellness, fitness, or health\-adjacent areas. You will define and drive the product roadmap to meet the evolving needs of our users, improve health outcomes, and align with the company's overall strategic objectives. You will collaborate closely with a group of talented product managers and work closely with engineering, data science, clinical leadership, and UX to deliver cutting\-edge solutions powered by AI and rich healthcare data.
**Responsibilities**
* Vision and Strategy: Must understand the market and consumer needs in order to develop and articulate a clear vision and strategy for the consumer population using VerilyMe, with an emphasis on using AI and data to personalize care and improve consumer outcomes.
* DTC Growth and Engagement: Collaborate across product teams to ensure prioritization and execution of features that drive user growth, onboarding, and long\-term engagement loops.
* User\-Centric Development: Champion a user\-centric approach to ensure consumer health solutions are intuitive, efficient, and provide meaningful value through AI\-driven insights and human in the loop clinical care.
* Data\-Driven Decision Making: Utilize analytics and AI\-driven insights to inform product decisions, measure performance, and identify areas for improvement in the consumer journey.
* Stakeholder Collaboration: Work across engineering, clinical, and marketing teams to ensure alignment on the strategy.
**Qualifications**
 Minimum Qualifications
* Bachelor's degree in a relevant field (e.g., Computer Science, Data Science, or related informatics).
* 8\+ years of experience in product management, with a significant focus on high\-engagement Direct\-to\-Consumer (DTC) software products. Prefer experience with wellness, fitness, or health\-adjacent and specifically freemium experience.
* Demonstrated success in growth and retention metrics (e.g., activation rates, retention curves, and DAU/MAU).
* Strong understanding of A/B testing, experimentation, and consumer analytics tools.
**Preferred Qualifications**
* Advanced degree (MBA, Master's, or PhD).
* Deep passion for consumer wellness and experience building engaging digital experiences for a general population.
* Familiarity with behavioral science principles and their application in digital products.
* Experience working in an agile development environment with the deployment of AI/ML models within consumer workflows.
* Strong communication skills to engage with executive leadership and cross\-functional teams on complex data topics.
 This role is eligible for Verily\-sponsored immigration support.
 The US base salary range for this full\-time position is $163,000\-$244,500 \+ bonus \+ benefits. Our salary ranges are determined by role, level, and location. The range displayed on each job posting reflects the minimum and maximum target for new hire salaries for the position across all US locations.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Verily Life Sciences LLC is an equal opportunity employer. Qualified applicants will receive consideration for employment without regard to race, color, religion, sex, sexual orientation, gender identity, national origin, disability or protected veteran status. For our EEO Policy Statement, please click here. If you'd like more information on your EEO rights under the law, please click here.
 If you have a need that requires accommodation, please let us know by completing our Accommodations for Applicants form.</t>
        </is>
      </c>
    </row>
    <row r="32">
      <c r="A32" t="inlineStr">
        <is>
          <t>li-4380363493</t>
        </is>
      </c>
      <c r="B32" t="inlineStr">
        <is>
          <t>Sr. Technical Product Manager</t>
        </is>
      </c>
      <c r="C32" t="inlineStr">
        <is>
          <t>Identity Digital Inc.</t>
        </is>
      </c>
      <c r="D32" t="inlineStr">
        <is>
          <t>linkedin</t>
        </is>
      </c>
      <c r="E32">
        <f>HYPERLINK("https://www.linkedin.com/jobs/view/4380363493", "https://www.linkedin.com/jobs/view/4380363493")</f>
        <v/>
      </c>
      <c r="F32" t="inlineStr"/>
      <c r="G32" t="inlineStr">
        <is>
          <t>Bellevue, WA</t>
        </is>
      </c>
      <c r="H32" t="inlineStr"/>
      <c r="I32" t="inlineStr">
        <is>
          <t>**Summary / Objective**
 The Sr. Technical Product Manager will help to develop plans that grow our 275\+ top\-level domains (TLDs) across existing markets while working to support the identification of new opportunities. Will use their deep background in all aspects of a business (product, analytics, finance, marketing) to take projects from the idea phase to implementation. In this role, you will rapidly assess the viability of new strategies and quantify their impact for executive stakeholders.
 This role reports to the VP of Product Strategy.
**What You'll Do**
* Work closely with the CRO and VP of Product to ensure plans and initiatives stay aligned with Identity Digital's vision
* Contribute to a TLD differentiation strategy and create the short and long term plans to bring these to market
* Build and enhance B2B product offerings in the enterprise space, inclusive of DPML, Global Block, Abuse Shield and others
* Build and optimize a product merchandising strategy for the long term optimization of TLD presentation \&amp; Pricing
* Utilize financial and statistical best practices in the evaluation of new projects and plans
* Lead competitive research analysis that helps refine and guide our approach to bringing top\-level domain strategies and products to market
* Coordinate with appropriate teams to develop and design reporting and analytic solutions for organizational excellence
* Contribute to the development of Identity Digital as a thought leader in the domain industry by writing content and participating in industry events
* Identify high risk / high reward test for registry products to find new growth opportunities
* Support the continued development of automated tools and processes to assist Sales and Channel
* Create detailed user stories, acceptance criteria, and product backlogs that account for both technical requirements and user experience considerations
* Contribute to a culture of collaboration with internal teams and remove roadblocks
* Identify, hire, and onboard talent as needed
* Set performance expectations, conduct regular evaluations, and provide feedback to team members to enhance productivity and development
* Identify training needs, coordinate professional development initiatives, and mentor team members to enhance skills and knowledge to deliver on tooling such as machine learning models \&amp; product merchandising services
* Actively models and promotes Identity Digital’s core values through day\-to\-day interactions, behaviors, and decision\-making
* Other duties as assigned
**Who You Are / What You Bring**
* 5\+ years experience in a Financial or Product Management role, or combination of education and experience
* Bachelor's degree in computer science or equivalent discipline is desired
* Indicate requirements that are job\-related and consistent with business necessity
* Proven track record in market positioning and competitive analysis for emerging technologies within ambiguous or undefined environments
* Proficiency in technical documentation, specifically writing business requirements, use cases, user stories, and designing application wireframes
* Technical expertise in SQL or Python to manipulate big data, with an additional preference for exposure to machine learning models
* Strong background in operational execution, including change management, analytical problem\-solving, and continuous process improvement
* Highly developed interpersonal skills and the ability to communicate complex program updates to cross\-functional stakeholders
* Advanced understanding of web technologies and a history of successfully delivering long\-term, technical initiatives
* Demonstrated success working autonomously in remote settings while maintaining seamless collaboration with a wider team
* Ability to travel as needed
* Ability to work across time zones as part of a global organization as needed
* Reliable transportation to the workplace
**Physical Requirements**
* Prolonged periods of sitting at a desk and working on a computer
* Must be able to lift up to 15 pounds at times
**Salary Range**
 The U.S. base salary range for this full\-time position is $127,000 \- $167,000 (flexibility based on experience) plus benefits as described below. In addition, the successful candidate will be eligible to receive other compensation from time to time in the form of discretionary and/or nondiscretionary bonuses and long\-term incentive plan. Actual compensation will be influenced by a candidate’s qualifications, internal employee equity considerations, and location. We will not ask for information about a candidate's current or past compensation for purposes of developing an offer of employment.
 US team members (and their spouses, domestic partners, and/or dependent children) are covered by generously subsidized medical, dental, and vision insurance which includes company contributions to a Health Savings Accounts. Team members are also covered by company\-paid life and disability insurance and have the option of participating in employee\-paid supplemental life, accidental death and dismemberment, critical illness, and accident insurance. In addition, team members can enroll in the company's 401(k) plan with up to a 5% match. You receive 15 days of paid vacation yearly, increasing to 20 days after one year. Additionally, you get 5 days of paid sick leave, 13 paid holidays, and 20 weeks of paid parental leave for birthing parents, 12 weeks for others. Also, there's an opportunity for tuition reimbursement for qualifying expenses.
 Note: Benefits programs are subject to eligibility requirements and may vary in certain locations.
**A Few Things To Know About Us**
 Identity Digital is an Equal Opportunity Employer and does not discriminate based on race, color, religion, sex, age, national origin, veteran status, marital status, sexual orientation, gender identity, disability or any other category prohibited by local, state or federal law. This policy applies to all aspects of employment, including recruitment, placement, promotion, transfer, demotion, compensation, benefits, social and recreational activities, and termination.
**Background Check Statement**
 At the time of an offer, you will be required to complete a background check. Any offer is contingent upon a satisfactory background check.
**Sponsorship Statement**
 Please note that work sponsorship for this position may not be available now or in the future. While we strive to support our candidates, not all roles will qualify. Eligibility will be reviewed on a case\-by\-case basis.
**Accommodation Statement**
 We are committed to the full inclusion of all qualified individuals. As part of this commitment, Identity Digital will ensure that persons with disabilities are provided reasonable accommodations. If reasonable accommodation is needed to participate in the job application or interview process, please contact our Recruiting Team at careers@identity.digital.</t>
        </is>
      </c>
    </row>
    <row r="33">
      <c r="A33" t="inlineStr">
        <is>
          <t>li-4370882249</t>
        </is>
      </c>
      <c r="B33" t="inlineStr">
        <is>
          <t>Technical Product Manager - Returns</t>
        </is>
      </c>
      <c r="C33" t="inlineStr">
        <is>
          <t>SKIMS</t>
        </is>
      </c>
      <c r="D33" t="inlineStr">
        <is>
          <t>linkedin</t>
        </is>
      </c>
      <c r="E33">
        <f>HYPERLINK("https://www.linkedin.com/jobs/view/4370882249", "https://www.linkedin.com/jobs/view/4370882249")</f>
        <v/>
      </c>
      <c r="F33" t="inlineStr"/>
      <c r="G33" t="inlineStr"/>
      <c r="H33" t="inlineStr"/>
      <c r="I33" t="inlineStr">
        <is>
          <t>SKIMS is a solutions\-oriented brand creating the next generation of underwear, loungewear, shapewear, and essentials. We are setting new standards by delivering technically innovative, comfort\-driven products with elevated design for everybody.
 At the intersection of culture, innovation, and commerce, SKIMS is a global brand redefining modern apparel. Our teams are built on creativity, collaboration, and operational excellence, and we are committed to fostering an inclusive, high\-performance environment where ambitious, curious, and values\-driven individuals can do the best work of their careers.
 As we continue to scale globally, our HQ teams play a critical role in shaping strategy, building world\-class infrastructure, and driving sustainable growth across markets.
 We are seeking a
 **Technical Product Manager, Returns** 
 to own the strategy, development, and optimization of return experiences across ecommerce and retail channels. This role will focus on back\-end integrations that enable seamless return flows—ensuring efficiency for operations teams, accurate financial reconciliation, and a frictionless experience for customers.
 The TPM will be responsible for return workflows spanning Narvar, Shopify, OMS, and NetSuite, with a strong emphasis on building and maintaining robust system integrations. This role will partner closely with the Digital Commerce Product Manager, who owns customer\-facing experiences, while this role ensures the supporting back\-end infrastructure and integrations with OMS, NetSuite, and logistics providers are reliable and scalable.
 Key Responsibilities
**Returns Experience \&amp; Integration Ownership**
* Optimize internal workflows for return initiation, RMA creation, inventory disposition, and refund processing.
* Manage integrations between Narvar, Shopify, OMS, NetSuite, and 3PL partners to support automated returns.
* Ensure accurate, real\-time flows of data for RMAs, refunds, inventory adjustments, and financial reconciliation.
* Partner with engineering and integration teams to modernize return workflows and reduce manual overhead.
**Reverse Logistics Strategy**
* Collaborate with Operations, Logistics, and 3PLs to design scalable return processing, routing, and restocking workflows.
* Identify opportunities for cost reduction, automation, and sustainability improvements (e.g., consolidation, donation,etc).
**Technical Product Leadership**
* Translate complex return requirements into technical specifications, user stories, and data flow diagrams.
* Partner with engineering to scope, prioritize, and deliver return system enhancements using Agile practices.
* Monitor and troubleshoot back\-end integrations with OMS, ERP, and 3PL systems.
**Cross\-Functional Collaboration**
* Partner with Digital Commerce PM on end\-to\-end return initiatives to ensure alignment between customer\-facing and operational systems.
* Work with CX, Finance, and Accounting to ensure accurate refund/credit processing and reconciliation.
* Lead pilots and process improvements in collaboration with warehouse and operations teams.
**Quality Assurance \&amp; Training**
* Support UAT and QA for return\-related features and integrations.
* Implement dashboards and reporting for return volumes, costs, and customer impact.
* Maintain detailed documentation of return flows, integrations, and policies.
* Provide training and onboarding materials for CX and Ops teams.
 Skills, Knowledge and Expertise
* 5–7 years of product management experience, ideally in ecommerce, retail systems, or reverse logistics.
* Hands\-on experience with Narvar (or Happy Returns or similar), Shopify, OMS, and NetSuite ERP.
* Strong understanding of return workflows: RMA creation, shipping labels, restocking, refurb/disposition, refund processing.
* Experience with integration platforms (e.g., Celigo) and API\-based workflows.
* Familiarity with 3PL integrations, warehouse systems, and reverse logistics strategies.
* Strong analytical skills with ability to balance CX, operational efficiency, and financial impact.
 Benefits, Culture and Perks
**Benefits And Culture**
* Up to 100% Company Paid Healthcare (medical, dental, vision)
* Kind Body Fertility Benefits
* 401(k) savings plan with up to 4% match
* Unlimited PTO
* Full Access to LinkedIn learning
* Employee Discounts
**Perks (HQ Location)**
* Free weekly catered lunch at HQ – M/T/W/Th
* Dog\-Friendly office on a Thursday and Friday
* Free Swag Giveaways
* Annual Holiday Party
* Annual Summer Party
* Invitations to pop\-ups and other company events
* Complimentary daily office snacks and beverages
 Compensation: $160,000 \- $170,000 / year</t>
        </is>
      </c>
    </row>
    <row r="34">
      <c r="A34" t="inlineStr">
        <is>
          <t>li-4378500432</t>
        </is>
      </c>
      <c r="B34" t="inlineStr">
        <is>
          <t>Senior Product Manager, Usage Data</t>
        </is>
      </c>
      <c r="C34" t="inlineStr">
        <is>
          <t>Tabs</t>
        </is>
      </c>
      <c r="D34" t="inlineStr">
        <is>
          <t>linkedin</t>
        </is>
      </c>
      <c r="E34">
        <f>HYPERLINK("https://www.linkedin.com/jobs/view/4378500432", "https://www.linkedin.com/jobs/view/4378500432")</f>
        <v/>
      </c>
      <c r="F34" t="inlineStr"/>
      <c r="G34" t="inlineStr">
        <is>
          <t>New York, NY</t>
        </is>
      </c>
      <c r="H34" t="inlineStr"/>
      <c r="I34" t="inlineStr">
        <is>
          <t>**Tabs** 
 is the leading AI\-native revenue platform for modern finance and accounting teams. Tabs agents automates the entire contract\-to\-cash lifecycle, including billing, collections, revenue recognition, and reporting, to help teams eliminate manual work and accelerate cash flow.
 High\-growth companies like
 **Cursor** 
 and
 **Statsig** 
 rely on Tabs to generate invoices directly from contracts, reconcile payments in real time, and automate ASC 606 compliance.
 Founded in 2023, Tabs has raised over $91 million from
 **Lightspeed Venture Partners** 
 ,
 **General Catalyst** 
 , and
 **Primary** 
 . The team is headquartered in New York and brings deep expertise in finance and AI.
**About The Role**
 We’re looking for a Senior Product Manager to own Tabs’ usage data products, the systems responsible for ingesting, processing, and summarizing usage data that power usage\-based billing and reporting.
 This is a high\-impact role at the intersection of product strategy, data infrastructure, and financial systems design. You’ll define the vision, roadmap, and execution strategy for how usage data flows through the Tabs platform, ensuring it is accurate, scalable, and reliable as our customers adopt increasingly sophisticated pricing models.
 You’ll have the opportunity to shape how finance and RevOps teams understand and trust their usage data, designing products that make complex metering and billing workflows simple, transparent, and automated.
 How We Work
* We work hard. One\-week sprints, weekly ship goals, and short feedback cycles. Built around intra\-month product releases.
* We work smart. Get in front of the customer, use both data and customer feedback to drive decisions, while keeping the bigger picture in mind.
* We work together. In\-office culture with people you want to work with. Lots of whiteboard space. Expense coffee, lunch, and dinner when in the office.
 What You’ll Do
* Own the strategy, roadmap, and delivery for Tabs’ usage data ingestion and summarization systems.
* Partner closely with engineering to design scalable, reliable, and fault\-tolerant data pipelines that support usage\-based billing at scale.
* Collaborate with design and cross\-functional teams to ensure usage data is intuitive, trustworthy, and easy for customers to reason about.
* Define how usage events are collected, validated, transformed, and surfaced across billing, analytics, and reporting workflows.
* Balance real\-time accuracy, performance, cost, and operational complexity when making product decisions.
* Define success metrics, monitor system health and data quality, and iterate based on outcomes and customer feedback.
* Bring clarity and structure to ambiguous, technically complex problem spaces.
**About You**
* 5\+ years of product management experience, ideally in data platforms, fintech, or SaaS environments.
* Experience building data products, including ingestion, transformation, and visualization of complex datasets.
* Experience working with usage data, metering, or event\-driven systems is a strong plus.
* Strong systems thinking with the ability to understand how multiple services and data flows interact.
* Highly analytical and comfortable using data to inform prioritization and evaluate outcomes.
* Excellent communicator who can align and influence technical and non\-technical stakeholders.
* Thrives in fast\-moving, high\-growth environments where priorities evolve quickly.
**Perks And Benefits (Full\-time Employees)**
* Competitive compensation and equity
* Unlimited PTO
* Up to 100% employer covered monthly healthcare premium (medical, dental, vision)
* Lunch provided via Sharebite, plus dinner for any later office days.
* Parental leave up to 12 weeks
* Tax free commuter and parking benefits
* Voluntary insurances (Life, Hospital, Critical Illness, Accident)
* Employee Assistance Program (Rightway)
* 401k
 Tabs is an equal opportunity employer. We welcome teammates of all identities and do not discriminate on the basis of race, ethnicity, religion, gender identity, sexual orientation, age, disability, veteran status, or any other protected characteristic. We’re committed to creating an environment where everyone can grow, contribute, and feel comfortable being themselves.
 Compensation Range: $180K \- $220K</t>
        </is>
      </c>
    </row>
    <row r="35">
      <c r="A35" t="inlineStr">
        <is>
          <t>li-4370469227</t>
        </is>
      </c>
      <c r="B35" t="inlineStr">
        <is>
          <t>Product Manager - Data Platform</t>
        </is>
      </c>
      <c r="C35" t="inlineStr">
        <is>
          <t>LineVision</t>
        </is>
      </c>
      <c r="D35" t="inlineStr">
        <is>
          <t>linkedin</t>
        </is>
      </c>
      <c r="E35">
        <f>HYPERLINK("https://www.linkedin.com/jobs/view/4370469227", "https://www.linkedin.com/jobs/view/4370469227")</f>
        <v/>
      </c>
      <c r="F35">
        <f>HYPERLINK("https://recruiting.paylocity.com/Recruiting/Jobs/Details/3906759&amp;urlHash=lnSQ", "https://recruiting.paylocity.com/Recruiting/Jobs/Details/3906759&amp;urlHash=lnSQ")</f>
        <v/>
      </c>
      <c r="G35" t="inlineStr">
        <is>
          <t>Boulder, CO</t>
        </is>
      </c>
      <c r="H35" t="inlineStr"/>
      <c r="I35" t="inlineStr">
        <is>
          <t>Hybrid (2\-4 days/week onsite). Boston, MA Headquarters or Boulder, CO Hub Office
**Build the data infrastructure that powers grid intelligence for the largest utilities —working directly with exceptional engineering teams to architect solutions that matter.**
 We are seeking a
 **Product Manager \- Data Platform** 
 to own our data platform evolution as we scale transmission optimization solutions for Fortune 500 utilities. You'll drive the conversion from cloud to secure on\-premise deployment, collaborating hands\-on with Data Engineering, Platform Engineering, and DevOps teams to solve complex technical challenges. If you love building products alongside engineers and want high\-impact ownership in a mission\-critical infrastructure space, join us at LineVision,
 *Built In Boston Best Places to Work* 
 !
 What will you do?
**Core Responsibilities And Key Performance Objectives**
* Own the product roadmap for LineVision's data platform, balancing cloud and on\-premise deployment strategies to meet diverse utility customer requirements
* Drive product development decisions for data architecture, collaborating with Data Engineering, Platform Engineering, DevOps, SRE, and QA teams to deliver secure, scalable solutions
* Define and track success metrics for the data platform through data\-driven research and customer insights
* Navigate utility customer security review processes, translating complex operational needs and IT constraints into technical requirements and user stories
* Lead security and compliance considerations throughout the product lifecycle, ensuring platform architecture meets utility requirements for on\-premise deployment and CEII handling protocols
**Within the first 3 months:**
* Complete discovery with utility customers to document on\-premise deployment requirements, IT constraints, security protocols, and compliance needs
* Partner with Data Engineering and Platform Engineering teams to finalize technical architecture and requirements for containerized on\-premise deployment
* Establish success metrics and reporting framework for data platform initiatives, providing regular updates to VP of Product and engineering leadership
**Within the first 6 months:**
* Deliver containerized deployment architecture supporting both cloud and on\-premise models with feature parity roadmap
* Launch beta on\-premise deployment at initial customer site, coordinating cross\-functionally on implementation
* Complete security review processes with at least two utility customers, establishing repeatable patterns for procurement and compliance conversations
**Within the first year:**
* Achieve production on\-premise deployments meeting customer deadlines and commitments
* Drive data pipeline efficiency improvements supporting future product capabilities and scale requirements
* Build trusted relationships with customer IT and operations teams, establishing LineVision as a strategic partner in their grid modernization initiatives
 How to succeed in this role
**Key Competencies**
* Critical Thinking \- Analyze data infrastructure problems independently and propose solutions. Demonstrate curiosity in exploring new approaches.
* Stakeholder Management \- Navigate complex utility customer environments, managing relationships with IT teams, operations stakeholders, and procurement organizations. Provide clear, concise updates appropriate for diverse audiences.
* Judgment \&amp; Decision Making \- Make informed product decisions balancing technical trade\-offs, customer requirements, security constraints, and business priorities. Understand how architecture choices cascade through deployment models, customer operations, and long\-term platform capabilities.
* Follow Through \- Execution \- Deliver quality products on time despite competing priorities and technical complexity. Hold self and teams accountable to milestones.
**Essential Skills**
* 3\-5 years of product management experience with accountability for driving engineering progress on small to mid\-sized products
* Strong understanding of data pipeline architecture, ETL processes, and data modeling with experience working with large volumes of real\-time time\-series data in production environments
* Deep knowledge of cloud and on\-premise deployment models, including containerization technologies (Docker, Kubernetes) and deployment automation
* Understanding of security best practices for data platforms in regulated industries, including handling sensitive enterprise data and compliance\-driven pipelines
* Ability to translate complex technical concepts for diverse audiences with outstanding collaboration skills across cross\-functional teams
**What Sets The Best Candidates Apart**
* Implications Thinking \- You deeply understand how product decisions cascade through systems. You can explain how a database choice affects both deployment models and customer operations, or how data pipeline architecture impacts security posture, performance, scalability, and maintenance burden.
* Engineering Foundation \- You have a strong technical background (engineering degree, IT experience, or equivalent) enabling substantive conversations with Data Engineering and Platform teams. You understand algorithms, data structures, and performance considerations for large\-scale data processing.
* Technical Toolkit \- Hands\-on familiarity with AWS services (Lambda, RDS, SQS, Glue, Athena), Python and SQL, data modeling and ETL frameworks (Apache Airflow or similar). You've worked with analytical tools (Tableau, Power BI) and understand how downstream consumption shapes pipeline design.
* Enterprise Deployment Experience \- You've successfully navigated complex enterprise procurement, security reviews, and compliance requirements with a track record executing migrations with attention to data integrity and system reliability in regulated environments.
**Reporting \&amp; Team Structure**
* Reports to the VP of Product, collaborating with 3 peer Product Managers primarily based in Boulder
* Works closely with Data Engineering, Platform Engineering, QA, DevOps, and SRE teams on technical development
**Interview Process**
* Apply Online
* Round 1: Phone screen
* Round 2: Hiring Manager Interview
* Round 3: Panel Interviews
+ Panel 1: Technical competency \&amp; data platform experience
+ Panel 2: Product skills, teamwork, culture fit, and stakeholder management
* Final Round: Leadership Team \&amp; Hiring Manager Sign\-Off
 What does joining LineVision mean for you?
* Impact. Your talent, time, and energy will critically impact our success in accelerating our mission of providing utilities with grid intelligence to enable affordable, reliable power.
* Ownership. You will hold broad responsibilities with high autonomy and trust in a communicative, collaborative, and fast\-paced environment.
* Flexibility. You will be empowered to maintain work\-life balance with trust\-based PTO and a flexible hybrid work schedule.
* Real World Innovation. You will join a motivated and high\-performing team working with cutting edge, patented technology to help solve key obstacles to meet the demands of an AI\-powered future.
 Who we are…
 LineVision is a grid\-enhancing technology company enabling electric utilities to deliver affordable, reliable power and accelerate the electrification of the global economy. Our grid intelligence platform delivers the most accurate, network\-wide dynamic line ratings and enables safer, more reliable grid operations with a combination of optical sensors and advanced environmental modeling. LineVision's global customer base includes eight of the ten largest US utilities, including National Grid, Southern Company, and Exelon.
 We are LineVisionaries:
* We are Innovators: we light the way with tenacious creativity and do good work.
* We are Empowered: With high trust and high autonomy, the floor is yours, and the opportunity is ours.
* We are Welcoming: Come as you are, our doors are open. We are better together.
* We are Trusted Partners: We elevate our customer champions through shared thought leadership. We deliver on commitments.
* We are All In: We are building a community of passionate individuals who want to dent the universe.
 At LineVision there's no such thing as a "perfect" candidate. We are looking for exceptional people who want to make a positive impact through their work and facilitate an organization where everyone can thrive. So whatever background you bring with you, please apply if this role would make you excited to come to work every day.
 Meet our team, and understand our mission: https://www.linevisioninc.com/about\-us
 Salary Description
 $130,000\-145,000/yr \+ 10% bonus \+ equity</t>
        </is>
      </c>
    </row>
    <row r="36">
      <c r="A36" t="inlineStr">
        <is>
          <t>li-4362272913</t>
        </is>
      </c>
      <c r="B36" t="inlineStr">
        <is>
          <t>Product Manager, AI Devices</t>
        </is>
      </c>
      <c r="C36" t="inlineStr">
        <is>
          <t>Imagen Technologies</t>
        </is>
      </c>
      <c r="D36" t="inlineStr">
        <is>
          <t>linkedin</t>
        </is>
      </c>
      <c r="E36">
        <f>HYPERLINK("https://www.linkedin.com/jobs/view/4362272913", "https://www.linkedin.com/jobs/view/4362272913")</f>
        <v/>
      </c>
      <c r="F36">
        <f>HYPERLINK("https://job-boards.greenhouse.io/imagentechnologies/jobs/8414555002?gh_src=392219e32us&amp;urlHash=x4ea", "https://job-boards.greenhouse.io/imagentechnologies/jobs/8414555002?gh_src=392219e32us&amp;urlHash=x4ea")</f>
        <v/>
      </c>
      <c r="G36" t="inlineStr"/>
      <c r="H36" t="inlineStr"/>
      <c r="I36" t="inlineStr">
        <is>
          <t>**About Imagen**
 Imagen Technologies is building the AI\-enabled radiology practice of the future. We operate the first vertically integrated medical practice \+ AI development platform focused on reducing diagnostic error and giving radiologists superpowers through industry\-leading AI solutions that we develop in\-house. With over $200m in funding from Google Ventures, Threshold Ventures, and some of the largest clinical networks in the country, we are rapidly expanding this platform across the U.S. — from 22 states and 2\.7m patients in 2025 to over 35 states and 5m\+ patients annually by 2027\. By the end of 2026, we anticipate having the 5th largest teleradiology practice in the U.S.
**About The Role**
 As the Product Manager for AI Devices, you will own the evolution of our AI\-enabled diagnostic workflows. Your mission is to bridge the gap between advanced AI capabilities and seamless physician experiences, ensuring use of our AI technology becomes the standard of care within our practice. You will be the primary driver of efficiency, using data to drive down unit costs while maintaining exceptional quality of care and physician satisfaction.
**Responsibilities**
* Own the AI\-Driven Roadmap: Define and manage the detailed product roadmaps for new AI products across X\-ray, CT, MRI, and Ultrasound—from initial concept through launch sequencing and ongoing iteration.
* Drive Modality Deployments: Lead end\-to\-end deployment of new AI products for each modality, coordinating cross\-functional readiness across AI, clinical quality, clinical operations, data, and engineering.
* Own Data Product Requirements: Partner closely with Data Engineering to define requirements for data quality, preprocessing pipelines, storage, and architecture that enable reliable model training and production performance.
* Facilitate Cross\-Functional Execution: Serve as the day\-to\-day connector between AI, clinical quality, clinical operations, and data teams—helping lead recurring forums to align on decisions, unblock issues, and maintain momentum.
* Manage Timelines and Resourcing: Build and maintain integrated timelines and resource plans, including headcount needs and key OPEX inputs (compute, storage, and data transfer), surfacing tradeoffs early.
* Build the User Feedback Loop: Establish a repeatable process to gather user feedback post\-deployment and translate it into a prioritized backlog of product improvements and experiments.
* Define and Analyze Performance Metrics: Establish KPIs and dashboards to evaluate product performance, quantify operational impact, and package results for leadership, board, investors, and marketing narratives.
**Qualifications**
* 3\-6 years of experience in product management, preferably with a focus on healthcare software/platform products.
* Problem\-Solving Mindset: A proven track record of breaking down complex problems and driving to elegant solutions.
* Technical Product Execution: Demonstrated experience in an agile/scrum development environment, with a strong ability to write clear requirements and manage a backlog.
* Technical AI Fluency: Sufficiently technical to understand system architectures and basic AI/Machine Learning concepts.
* Data \&amp; Analytics Mastery: Demonstrated ability to analyze complex datasets to derive actionable insights regarding user behavior and operational efficiency.
* Stakeholder Management: Exceptional ability to manage cross\-functional processes and communicate effectively with both high\-level stakeholders and engineering teams.
* Platform Leadership: Experience driving a platform backlog and setting quarterly roadmaps that align with broad company objectives.
* Healthcare Domain Knowledge: Familiarity with healthcare\-specific standards (DICOM, HL7\) and imaging systems (PACS, VNA) is highly preferred.
 Imagen Technologies is a remote\-first company and this job is conducted remotely.
*The base salary for the position is between $125,000 \- $175,000, plus equity, performance\-based bonus, and benefits. Please note that the range is a guideline, and individual total compensation will vary based on factors such as qualifications, skill level, competencies, and work location.*
*Imagen is committed to the principle of equal employment opportunity for all employees and applicants for employment and prohibits discrimination and harassment of any kind without regard to race, color, religion, age, sex, national origin, disability status, genetics, protected veteran status, sexual orientation, gender identity or expression, or any other characteristic protected by federal, state or local laws. Imagen will not tolerate discrimination or harassment based on any of these characteristics. This policy applies to all terms and conditions of employment, including recruiting, hiring, placement, promotion, termination, layoff, recall, transfer, leaves of absence, compensation, and training.*
*Imagen Technologies maintains a Substance Abuse and Testing policy. Being under the influence of alcohol or controlled substances while on the job or while conducting business on Imagen’s behalf is prohibited. Imagen reserves the right to test any applicant or employee for alcohol and/or drug use, subject to compliance with any applicable state and/or federal laws.*</t>
        </is>
      </c>
    </row>
    <row r="37">
      <c r="A37" t="inlineStr">
        <is>
          <t>li-4379195197</t>
        </is>
      </c>
      <c r="B37" t="inlineStr">
        <is>
          <t>Product Manager</t>
        </is>
      </c>
      <c r="C37" t="inlineStr">
        <is>
          <t>Haystack</t>
        </is>
      </c>
      <c r="D37" t="inlineStr">
        <is>
          <t>linkedin</t>
        </is>
      </c>
      <c r="E37">
        <f>HYPERLINK("https://www.linkedin.com/jobs/view/4379195197", "https://www.linkedin.com/jobs/view/4379195197")</f>
        <v/>
      </c>
      <c r="F37" t="inlineStr"/>
      <c r="G37" t="inlineStr">
        <is>
          <t>Texas, United States</t>
        </is>
      </c>
      <c r="H37" t="inlineStr"/>
      <c r="I37" t="inlineStr">
        <is>
          <t>**Group Product Manager \| Texas \| Hybrid** 
 We're working with a global leader in food distribution and supply chain innovation on this exciting opportunity. They are the backbone of the foodservice industry, leveraging cutting\-edge technology to move millions of products across the world every single day.
 This is a high\-impact leadership role where you will spearhead a portfolio of digital products within the Specialty Technology division. We are looking for a visionary strategist who can blend Agile product management with deep technical oversight to deliver scalable SaaS and cloud\-based enterprise solutions that redefine the customer experience.
**The Role** 
 • Lead and mentor a high\-performing team of Principal Product Managers, driving their professional development and ensuring alignment with corporate OKRs.
 • Own the end\-to\-end roadmap and execution for complex software products across Sales, Merchandising, and Operations domains.
 • Act as a strategic bridge between Tech and Business stakeholders, managing executive expectations and driving high\-level organizational alignment.
 • Tackle business risks and technical impediments head\-on, overseeing Daily Stand\-ups, Sprint Planning, and Retrospectives to ensure velocity and quality.
 • Drive the implementation of emerging technologies, focusing on robust Cloud Products, Enterprise Applications, and seamless Customer Experience (CX) integrations.
**What You'll Need** 
 • 10\+ years of experience in Product Management, Business Consulting, or high\-level software development leadership.
 • 3\+ years specifically in a leadership/people management role driving complex, large\-scale digital initiatives.
 • Proven expertise in Agile methodologies and the ability to navigate a complex, global matrix organization.
 • Deep functional knowledge of Cloud\-native platforms, SaaS architectures, and large\-scale Enterprise software implementation.
 • Exceptional communication skills with a track record of building trusted relationships with C\-suite stakeholders.
**What's On Offer** 
 • Opportunity to lead a massive digital transformation within a Fortune 100 enterprise environment.
 • Hybrid work flexibility (3\-4 days on\-site) in a collaborative, tech\-forward culture.
 • Direct influence over the strategy and execution of innovative products used by millions.
 • Competitive compensation and a clear path for executive leadership growth.
**Apply via Haystack today!**</t>
        </is>
      </c>
    </row>
    <row r="38">
      <c r="A38" t="inlineStr">
        <is>
          <t>li-4370472984</t>
        </is>
      </c>
      <c r="B38" t="inlineStr">
        <is>
          <t>Product Manager, Financial Products</t>
        </is>
      </c>
      <c r="C38" t="inlineStr">
        <is>
          <t>Alvys</t>
        </is>
      </c>
      <c r="D38" t="inlineStr">
        <is>
          <t>linkedin</t>
        </is>
      </c>
      <c r="E38">
        <f>HYPERLINK("https://www.linkedin.com/jobs/view/4370472984", "https://www.linkedin.com/jobs/view/4370472984")</f>
        <v/>
      </c>
      <c r="F38">
        <f>HYPERLINK("https://job-boards.greenhouse.io/alvys/jobs/5114732008?gh_src=67qlxnuw8us&amp;urlHash=iJ1H", "https://job-boards.greenhouse.io/alvys/jobs/5114732008?gh_src=67qlxnuw8us&amp;urlHash=iJ1H")</f>
        <v/>
      </c>
      <c r="G38" t="inlineStr"/>
      <c r="H38" t="inlineStr"/>
      <c r="I38" t="inlineStr">
        <is>
          <t>**Industry Insight**
 Transportation logistics is the foundational industry that powers everything we rely on daily, yet it remains a complex and fragmented domain ripe for technological revolution.
 **The US transportation logistics industry alone is an $800 billion market.** 
 Alvys is not just participating in this change; we are driving it as the fastest\-growing Transportation Management System (TMS) in history, uniquely positioned to truly transform this essential sector. Your role will be at the forefront of automating and standardizing a sector that moves trillions of dollars' worth of goods annually, predominantly by truck, but still lacks modern tools and solutions. Your leadership will help bridge this gap, bringing innovative technologies to a traditionally underserved and mission\-critical industry.
**About The Role**
 We’re looking for a
 **Product Manager** 
 to own the financial products suite at Alvys. You will be responsible for all accounts payable and accounts receivable workflows (covering Driver Settlements, Carrier Settlements, Invoicing, and Accounting) and for ensuring they operate reliably at enterprise scale. But this role goes far beyond maintaining the status quo. You will define and execute the product strategy that pushes our users to fundamentally rethink their financial operations in the age of AI.
**Key Responsibilities**
* Own the end\-to\-end product strategy and outcomes for Alvys’ financial suite, including Settlements, Invoicing, and Accounting.
* Marry customer insights with technical possibilities to ensure AP/AR workflows are increasingly AI\-native.
* Work closely with Engineering, Design, Sales, and Implementation to drive high\-velocity execution.
* Rapidly build prototypes using tools like Bolt to accelerate the product development lifecycle.
* Stay at the forefront of AI research and fintech trends to rethink how user roles evolve as AI automates routine tasks.
* Ensure all financial products are robust and meet the demands of enterprise\-scale customers.
**The Experience You Have**
* 5\+ years of product management experience.
* Analytical Foundation: BA/BS in a technical or analytical field (Computer Science, Engineering, Finance, Economics, or similar).
* Domain Expertise: Strong understanding of financial operations, fintech platforms, or B2B payment systems.
* Enterprise Scaling: Experience building and scaling products specifically for enterprise\-level customers.
* Excellent storytelling skills with the ability to articulate a product vision, translate constraints for stakeholders, and navigate the challenges of working in a low\-tech, low\-trust industry.
* Nice to have:
+ Experience building AI\-powered products
+ Familiarity with freight, logistics, and supply chain operations.
+ Experience at a high\-growth startup
+ Experience building financial products, fintech platforms, or payment systems (especially in B2B or logistics contexts)
**The Way You Work**
* High Ownership: You take pride in the financial suite's outcomes; you don’t wait for permission to solve problems or fix broken workflows.
* Systems Thinking: You think in complex systems and understand how financial operational reality must ground a bold product vision.
* Bias Toward Action: You ship with urgency and increasingly leverage AI tools to accelerate your "time to outcome."
* Collaborative Transparency: You build confidence in a low\-trust industry by being transparent, articulate, and highly collaborative across teams.
**Equal Employment Opportunity**
 Alvys is an equal opportunity employer and as such, we do not discriminate on the basis of race, color, religion, sex, sexual orientation, gender identity, national origin, age, disability, or any other characteristic protected by applicable laws.
 We are dedicated to growing a diverse team of highly talented people. We’re dedicated to building a workplace where we give each other the strategies, support, and space we each need to thrive—believing in and bringing out the best of everyone.
 If you require any accommodations during the recruitment process, whether it be alternate forms of material, accessible meeting rooms, etc., please let us know and we will work with you to meet your needs.
*For information about Alvys's privacy practices, see our* 
*Privacy Policy* 
*.*</t>
        </is>
      </c>
    </row>
    <row r="39">
      <c r="A39" t="inlineStr">
        <is>
          <t>li-4349339715</t>
        </is>
      </c>
      <c r="B39" t="inlineStr">
        <is>
          <t>Senior Product Manager</t>
        </is>
      </c>
      <c r="C39" t="inlineStr">
        <is>
          <t>SalesAi</t>
        </is>
      </c>
      <c r="D39" t="inlineStr">
        <is>
          <t>linkedin</t>
        </is>
      </c>
      <c r="E39">
        <f>HYPERLINK("https://www.linkedin.com/jobs/view/4349339715", "https://www.linkedin.com/jobs/view/4349339715")</f>
        <v/>
      </c>
      <c r="F39">
        <f>HYPERLINK("https://ats.rippling.com/salesai/jobs/938348bf-5d22-44dc-bf7d-6122221e09f1?jobSite=LinkedIn&amp;urlHash=g8Ds", "https://ats.rippling.com/salesai/jobs/938348bf-5d22-44dc-bf7d-6122221e09f1?jobSite=LinkedIn&amp;urlHash=g8Ds")</f>
        <v/>
      </c>
      <c r="G39" t="inlineStr">
        <is>
          <t>Indianapolis, IN</t>
        </is>
      </c>
      <c r="H39" t="inlineStr"/>
      <c r="I39" t="inlineStr">
        <is>
          <t>**About SalesAi**
 At
 ****SalesAi****
 , we’re revolutionizing the way companies sell and serve with cutting\-edge, AI\-driven technology. Our rapidly growing SaaS platform helps businesses seamlessly integrate AI into sales and support workflows—making operations smarter, faster, and more effective.
 We’ve grown to over
 ****$6M in ARR in under nine months****
 , thanks to a world\-class team that thrives on innovation, collaboration, and a drive to shape the future of AI. We believe AI should be simple, powerful, and accessible, and we’re building the tools to make that a reality.
 Join us to shape the future of AI solutions that are human\-centered, scalable, and transformative.
**About The Role**
 We’re looking for a strategic and execution\-focused Senior Product Manager to join our team. You’ll play a key role in defining the roadmap, collaborating across teams, and shipping products that drive real impact for our customers. You will be hands on and dig in deep with the trio of product, engineering, and user experience to drive your strategic vision to the market. You will be relentless in solving product market fit and validating your hunches through early and often experimentation. You have experience and technical savvy with solving software product solutions and can drive growth through delivering validated product slices with fast moving teams. If you're passionate about AI, SaaS, and solving real customer pain points, you’ll thrive at SalesAi.
**What You'll Do**
* Coach and mentor to enable high performing teams and drive product success.
* Establish growth opportunities to broaden your TOM. Identify new TAM and align the overarching product vision and strategy across multiple verticals. Going deep to solve customer pain points while delivering measurable and demonstrable business outcomes.
* Drive cross\-functional alignment by seeking out customer pains and gains from internal stakeholders.
* Identify specific gaps in retention and product market fit across multiple areas across multiple product ownership verticals. Create experiments and methods to rapidly solve for these gaps.
* Establish product KPIs and ensure accountability to performance while driving results from product research into the backlog for multiple development teams while managing the outcome launch strategies to ensure broader product evolution based on customer and business metrics.
* Drive multiple development teams by breaking down valuable work, coordinating delivery slices, and ensuring sprints deliver customer and business outcomes.
* Own the end\-to\-end product lifecycle for key product segments in the SalesAi platform coordinating smooth operations from go\-to\-market to product sunsetting and support.
* Engage with customers to gather insights, validate assumptions, and ensure product\-market fit.
* Analyze product performance and user behavior using data tools.
* Be the product champion of the trio of (Valuable, Usable, Feasible) with engineering and UX to drive clarity for customer pains and gains that turn into product outcomes to enable business goals.
* Be a player coach and contribute individually with work breakdown facilitation as well as strategic vision casting using tools such as Figma, Jira, Productboard, and others.
* Demonstrate a customer\-centric mindset across the organization by bringing clarifying value as the voice of the customer across multiple departments and stakeholders.
* Define the product direction and strategy for product areas within SalesAi leading your area of product roadmap by managing goals and financial and resource investments to scale in our market.
* Engage with customers to understand their strategies, end\-to\-end business processes, pain points, and priorities to inform product strategy and provide transparency into roadmaps/managing expectations.
* Partner closely with Engineering, UX, and other internal SalesAi teams to drive product and delivery success. Analyze landscape and industry trends to advance our products and drive innovation.
**What You Bring**
* 10\+ years of experience in product management, preferably in a SaaS or B2B environment.
* A demonstrable track record of new product development and scaled launch while experiencing “hockey stick” growth for validated product market fit.
* Strong understanding of agile product development and lifecycle management.
* Ability to translate technical capabilities into user\-friendly experiences.
* Experience working with cross\-functional teams (engineering, design, marketing, sales).
* Data\-driven mindset with a passion for experimentation and continuous improvement.
* Excellent communication, organizational, and stakeholder management skills.
* Bonus: Experience with AI/ML technologies or tools.
****Why you'll love working here****
**Benefits**
 At SalesAi, we believe your work should support your life—not the other way around. We offer a competitive, people\-first benefits package designed to help you thrive both on and off the clock:
* Flexible (Unlimited) PTO
* Hybrid Work Environment
* 10 Paid Holidays – Plus regular company\-sponsored events.
* Affordable Medical, Dental \&amp; Vision Insurance
* Employer\-Paid Life Insurance
* 401(k) with 4% Match
* Award\-Winning Culture – Voted a Top Culture Company in Indianapolis across multiple categories.</t>
        </is>
      </c>
    </row>
    <row r="40">
      <c r="A40" t="inlineStr">
        <is>
          <t>li-4380372501</t>
        </is>
      </c>
      <c r="B40" t="inlineStr">
        <is>
          <t>Product Manager</t>
        </is>
      </c>
      <c r="C40" t="inlineStr">
        <is>
          <t>Bright Horizons</t>
        </is>
      </c>
      <c r="D40" t="inlineStr">
        <is>
          <t>linkedin</t>
        </is>
      </c>
      <c r="E40">
        <f>HYPERLINK("https://www.linkedin.com/jobs/view/4380372501", "https://www.linkedin.com/jobs/view/4380372501")</f>
        <v/>
      </c>
      <c r="F40" t="inlineStr"/>
      <c r="G40" t="inlineStr">
        <is>
          <t>Newton Centre, MA</t>
        </is>
      </c>
      <c r="H40" t="inlineStr"/>
      <c r="I40" t="inlineStr">
        <is>
          <t>**Primary Purpose**
 The Product Manager is a dynamic, high\-energy Product Manager with a sound business acumen and passion for building great software. The ideal candidate thrives in a fast\-paced environment, loves solving complex problems, and is motivated by working on products that help people achieve their educational and family care goals while optimizing backend case management data and workflows. We’re looking for someone with a proven track record of being able to uncover product opportunities, propose solutions, plan, and deliver measurable results. This role interacts regularly with cross\-functional teams including Engineering and Operations and requires the ability to communicate succinctly and effectively.
**This is a hybrid position requiring 3 days a week onsite at our headquarters in Newton, MA.**
 Bright Horizons is a leading education and care company that helps employees thrive at work and at home by partnering with employers to offer high\-quality child care, elder care, and educational support. Our workplace reflects this commitment—with collaborative environments, meaningful benefits, and a culture that supports both career growth and personal well\-being. Whether you’re caring for children or powering the systems and partnerships that make it all possible, at Bright Horizons,
 **you’re the difference** 
 .
**Essential Functions/Responsibilities**
* Partner with business stakeholders to document and analyze current service workflows and identify opportunities for creating efficiencies.
* Define concierge workflows and supporting case‑management processes, including care‑plan creation and sharing, routing and escalation logic, SLAs, automation, reporting, and integration with adjacent applications.
* Gather and prioritize product requirements to create in support of product roadmap. Translate market requirements into functional specifications (user stories).
* Coordinate closely with Engineering to translate business requirements into scalable, high\-quality solutions.
* Define and prioritize a product backlog.
* Manage lifecycle of the product from market requirements to product release, implementation, adoption, and iteration.
* Communicate effectively with engineering, sales, marketing, implementation teams and leadership to ensure business and customer goals are met.
* Utilize data to understand customer needs and behaviors as well as business objectives and enable the team to transform that knowledge into product enhancements and new features.
* Define and track operational metrics impact.
* Conduct competitive research and analysis.
**Minimum Qualifications:**
* Bachelor's Degree
* 3 years of experience working in a Product role
+ In lieu of Product specific experience, 3 years working within a software delivery organization in an Engineering, Support, Business/Systems Analyst or UX design role, may be considered \- Required
**Preferred Qualifications:**
* Experience with SaaS\-based solutions preferred
* Experience working on workflow \-driven systems (e.g., CRM, case management, ticketing, service platforms, or operational tools)
* Managed healthcare, benefits, and/or outsourcing service experience a plus
* Experience with software project management tools, preferably Azure Dev Ops ADO
* Strong project management, organizational skills, and an understanding of how to develop functional requirements and user stories.
* History of proven results delivering high quality, customer\-driven products on time
* Exposure to contact center, concierge\-like service operations, or customer support environments preferred.
* Goal\-oriented, must be able to demonstrate success \- meeting and exceeding business objectives.
* Strong analytical and problem\-solving skills, ability to use data to spot and address risks and opportunities.
* Self\-starter with ability to drive decisions and lead projects from start to finish
* Exceptional decision\-making, prioritization, and time management skills.
* Strong written and verbal communication skills.
* Ability to build and maintain business relationships across all organizational levels, i.e. peers, vendors, clients
* Adaptability to work in a fast\-paced and constantly changing environment.
**At this time, Bright Horizons will not sponsor an applicant for employment authorization/visa for this position.**
 Be part of a community where people grow, futures are shaped, and lives are changed. We offer the rewards, opportunities, and support you deserve because making a difference goes both ways. We’re changing the world of work and family, and it starts with you. At Bright Horizons,
 *you’re the difference* 
 .
**Compensation:**
 The annual salary for this position is between $95,000\-$135,000\. The pay range listed here is what Bright Horizons in good faith anticipates offering for this job opening. Actual compensation offers within this range will depend on a variety of factors including experience, education and training, certifications, geography, and other relevant business or organizational factors.
**Benefits:**
 Bright Horizons offers the following benefits for this position, subject to applicable eligibility requirements:
* Medical, dental, and vision insurance
* Paid vacation, sick, holiday, and parental bonding leave
* 401(k) retirement plan
* Long\-term and short\-term disability insurance
* Life insurance
* Money\-saving discounts and financial planning tools
* Tuition assistance and education coaching
* Caregiving support and resources for the children and adults in your family
* Learn more at https://careers.brighthorizons.com/us/en/health\-and\-wellness
**Life at Bright Horizons:**
 At Bright Horizons, you’re more than your job title —
 ***you’re the difference***
 . Whether you’re nurturing a child’s first steps or supporting the systems behind the scenes, your work creates real impact. We’re a community that celebrates individuality, invests in your growth, and supports your whole self. Because when you thrive, so do the children, families, and clients we serve. Join us and help build a brighter future — for yourself and for others.
 Bright Horizons provides equal opportunity in all aspects of employment and does not discriminate against any individual on the basis of race, color, religion, sex, age, disability, sexual orientation, veteran status, national origin, genetic information, or any other characteristic protected under federal, state, or local law. Bright Horizons complies with the laws and regulations described in the following federal government resources:
 *Know Your Rights* 
 , Family and Medical Leave Act (FMLA) and Employee Polygraph Protection Act (EPPA).
 If you require assistance or a reasonable accommodation in completing these application materials or any aspect of the application and hiring process, please contact the recruitment helpdesk at 855\-877\-6866 or bhrecruit@brighthorizons.com. Determinations on requests for reasonable accommodation will be made on a case\-by\-case basis.</t>
        </is>
      </c>
    </row>
    <row r="41">
      <c r="A41" t="inlineStr">
        <is>
          <t>li-4314563110</t>
        </is>
      </c>
      <c r="B41" t="inlineStr">
        <is>
          <t>Principal Product Manager</t>
        </is>
      </c>
      <c r="C41" t="inlineStr">
        <is>
          <t>Pagaya</t>
        </is>
      </c>
      <c r="D41" t="inlineStr">
        <is>
          <t>linkedin</t>
        </is>
      </c>
      <c r="E41">
        <f>HYPERLINK("https://www.linkedin.com/jobs/view/4314563110", "https://www.linkedin.com/jobs/view/4314563110")</f>
        <v/>
      </c>
      <c r="F41">
        <f>HYPERLINK("https://job-boards.greenhouse.io/pagaya/jobs/7494881003&amp;urlHash=UsHU", "https://job-boards.greenhouse.io/pagaya/jobs/7494881003&amp;urlHash=UsHU")</f>
        <v/>
      </c>
      <c r="G41" t="inlineStr">
        <is>
          <t>New York, NY</t>
        </is>
      </c>
      <c r="H41" t="inlineStr"/>
      <c r="I41" t="inlineStr">
        <is>
          <t>**About Pagaya**
**Shape the Future of Finance
 Pagaya is building a leading artificial intelligence network to help our partners grow their businesses and better serve their customers.**
 Pagaya is a global technology company making life\-changing financial products and services available to more people nationwide, as it reshapes the financial services ecosystem. By using machine learning, a vast data network and a sophisticated AI\-driven approach, Pagaya provides comprehensive consumer credit and residential real estate solutions for its partners, their customers, and investors. Its proprietary API and capital solutions integrate into its network of partners to deliver seamless user experiences and greater access to the mainstream economy. Pagaya has offices in New York and Tel Aviv. For more information, visit pagaya.com.
**Let's create better outcomes together!**
**About The Role**
 Pagaya sits at the intersection of lenders, consumers, and investors in the consumer credit ecosystem. We are seeking a
 **Principal Product Manager** 
 to serve as a strategic and operational thought partner to the Chief Product Officer, driving cross\-product initiatives that scale Pagaya’s platform and deepen its value across personal loans, auto finance, and point\-of\-sale (POS) lending.
 This is a
 **senior individual contributor role** 
 — ideal for a highly accomplished product leader who thrives on connecting strategic insight with executional rigor. You’ll influence Pagaya’s product direction, partner with executives across Product, Engineering, Data Science, and Capital Markets, and own initiatives critical to the company’s growth trajectory.
**Responsibilities**
**Strategic Leadership \&amp; Influence**
* Partner directly with the Chief Product Officer to define and drive key strategic initiatives across Pagaya’s product ecosystem.
* Translate company and business objectives into actionable product strategies, frameworks, and roadmaps that guide execution across teams.
* Act as a trusted advisor to senior leadership on product direction, trade\-offs, and prioritization.
* Monitor market, regulatory, and competitive trends to identify opportunities for innovation and differentiation.
**Execution \&amp; Delivery**
* Lead complex, cross\-functional product initiatives — from concept to delivery — ensuring measurable business outcomes.
* Develop clear, data\-driven roadmaps aligned with growth, scalability, and partner success.
* Engage deeply with Engineering and Data Science to design, validate, and launch scalable systems and platforms.
* Use a metrics\-driven approach to define success, measure performance, and iterate quickly based on feedback and data insights.
**Customer, Partner \&amp; Market Focus**
* Collaborate with Pagaya’s partners — banks, fintechs, and investors — to understand needs, identify leverage points, and shape new opportunities.
* Distill customer insights and partner feedback into clear product requirements and strategic recommendations.
* Represent Pagaya’s product vision with credibility and impact in executive and external discussions.
* Work across Auto, Personal Loans, and Point of Sale. (OEM, Captives)
**Culture \&amp; Collaboration**
* Serve as a role model for product excellence — combining analytical depth, curiosity, and executional discipline.
* Drive a culture of collaboration, accountability, and innovation across Product, Engineering, and Business teams.
* Mentor emerging PMs and cross\-functional partners to elevate product thinking and strategic rigor.
**Requirements**
* 10\+ years of progressive product management experience, including time in high\-growth fintech or consumer lending environments (e.g., SoFi, Affirm, or similar).
* Proven success driving strategy and execution for complex, multi\-stakeholder products — ideally within lending, banking, or credit ecosystems.
* Strong executive presence and communication skills, with the ability to influence at all levels and synthesize complex ideas clearly.
* Deep technical fluency — able to engage confidently with engineering and data teams on architecture, scalability, and trade\-offs.
* Demonstrated ability to operate as a strategic IC: self\-directed, detail\-oriented, and able to move seamlessly between strategy and execution.
* Analytical and data\-driven mindset with a disciplined approach to decision\-making and prioritization.
* Bachelor’s degree required; advanced degree preferred.
* Based in or able to regularly travel to New York City.
*The pay ranges for New York\-based hires are commensurate with candidate experience.*
*Pay ranges for candidates working in locations other than New York may differ based on the cost of labor in that location.*
 Compensation Range for New York Based Hires
 $220,000—$260,000 USD
**Our Team**
 Pagaya was founded in 2016 by seasoned research, finance, and technology entrepreneurs with our head quarters located in NYC and Tel Aviv.
 We move fast and smart, identifying new opportunities and building end\-to\-end solutions from AI models and unique data sources. Every Pagaya team member is solving new and exciting challenges every day in a culture based on partnership, collaboration, and community.
**Join a team of builders who are working every day to enable better outcomes for our partners and their customers.**
**Our Values**
* Continuously Learn\- We challenge ourselves for the sake of getting better as individuals, as teams, and as an organization to deliver for our partners.
* Debate and Commit\- We respectfully and openly debate to strengthen our ideas and build shared conviction \- once we decide, we go all in, together.
* Dream Big and Act\- We boldly tackle complex problems, pressure\-test solutions in real\-time, and adapt with speed and energy.
* Advance Inclusion\- We create a world where everyone can win, designing systems that better represent people and generate sustainable value for our employees, partners and investors.
* Be Accountable Together\- We proudly own our actions and our results, taking initiative to ensure our work gets over the finish line as a team.
**More than just a job**
 We believe health, happiness, and productivity go hand\-in\-hand. That's why we're continually looking to enhance the ways we support you with benefits programs and perks that allow every Pagayan to do the best work of their life.</t>
        </is>
      </c>
    </row>
    <row r="42">
      <c r="A42" t="inlineStr">
        <is>
          <t>li-4370839414</t>
        </is>
      </c>
      <c r="B42" t="inlineStr">
        <is>
          <t>Principal Product Manager (Omnichannel CX)</t>
        </is>
      </c>
      <c r="C42" t="inlineStr">
        <is>
          <t>Nextiva</t>
        </is>
      </c>
      <c r="D42" t="inlineStr">
        <is>
          <t>linkedin</t>
        </is>
      </c>
      <c r="E42">
        <f>HYPERLINK("https://www.linkedin.com/jobs/view/4370839414", "https://www.linkedin.com/jobs/view/4370839414")</f>
        <v/>
      </c>
      <c r="F42" t="inlineStr"/>
      <c r="G42" t="inlineStr"/>
      <c r="H42" t="inlineStr"/>
      <c r="I42" t="inlineStr">
        <is>
          <t>**Build Amazing. Deliver Amazing. Live Amazing. Be Amazing.** 
 Senior Product Manager – Omnichannel Customer Experience
 We’re seeking a strategic, hands\-on Senior Product Manager to lead the evolution of our Omnichannel Customer Experience platform. You will drive the vision and execution for our next\-generation shared inbox, personal inbox, and digital channel integrations—transforming traditional contact center communication into intelligent, AI\-powered omnichannel engagement across voice, SMS, social, email, messaging platforms, and video.
 This role owns critical initiatives spanning ticket workflows, group messaging, social integrations, intelligent routing, and disposition management to improve agent productivity, customer satisfaction, and operational efficiency across all digital touchpoints.
 Key Responsibilities
 Strategic Ownership
* Define and execute the long\-term product strategy for Omnichannel CX, ensuring unified engagement across voice, digital messaging, social platforms, video, and emerging channels.
* Lead the dual\-inbox vision:
* **Shared Inbox** 
 for collaborative case management
* **Personal Inbox** 
 for focused agent productivity
* Evolving both into AI\-powered engagement hubs.
* Deeply understand the needs of agents, supervisors, and administrators, embedding voice\-of\-customer insights and competitive intelligence into roadmap decisions.
* Partner with Finance and Sales to inform packaging, bundling, and monetization strategy using data\-driven insights.
* Design consistent, scalable inbox paradigms across Twitter/X, Facebook Messenger, WhatsApp, SMS, email, and video.
 Execution \&amp; Delivery
 Translate strategy into a measurable, data\-informed roadmap delivering high\-impact capabilities, including:
* **Shared Inbox Enhancements**
* Split and Merge Ticket workflows
* Group SMS collaboration
* Team\-based case lifecycle management
* **Personal Inbox Optimization**
* Streamlined individual agent workspace
* Intelligent queue management
* UX\-first productivity enhancements
* **Omnichannel Intelligence**
* AI\-powered routing and real\-time contextual assignment
* Enhanced disposition widgets and lifecycle automation
* Roles and permissions across multi\-tiered accounts
* Drive rapid, consistent agent response experiences across all supported channels.
* Navigate dependencies across admin systems, backend services, UI frameworks, and media infrastructure.
* Partner closely with Engineering, Design, and GTM to deliver releases tied to clear OKRs and measurable customer impact.
* Lead phased rollouts, feature flag strategies, and post\-launch iteration through telemetry and experimentation.
* Balance innovation velocity with technical constraints, knowing when to leverage existing architecture versus drive net\-new development.
 Cross\-Functional Impact
* Act as the connective tissue across Product, Design, Engineering, Data Science, and GTM to deliver cohesive omnichannel experiences.
* Drive alignment on prioritization, effort sizing (Low/Medium/High), and release sequencing.
* Influence senior stakeholders with clear, data\-backed narratives.
* Coordinate with infrastructure teams on audio/video storage, streaming, encoding, and media processing requirements.
* Champion a culture of accountability, experimentation, and continuous improvement.
 Qualifications
* 6\+ years of SaaS Product Management experience, including 3\+ years leading enterprise\-grade contact center, CX, or omnichannel communications platforms.
* Demonstrated success delivering ticketing systems, shared/personal inbox platforms, or omnichannel engagement tools at scale.
 Deep Expertise In:
* Digital channel integrations (social APIs, messaging platforms, SMS/MMS, video platforms)
* Ticket lifecycle management, workflow engines, and intelligent routing
* Designing collaborative (shared inbox) and individual (personal inbox) agent workflows
* Rich media handling (audio/video attachments, storage, encoding, streaming, playback)
* Microservices architecture, APIs, and event\-driven systems
* Omnichannel routing logic, queue management, and workload distribution
* Compliance considerations (data privacy, TCPA for SMS, video recording consent and storage policies)
* Strong analytical mindset with experience in instrumentation and data\-driven prioritization.
* Proven ability to influence without authority across distributed teams and time zones.
* Experience with Agile methodologies, phased rollouts, and feature flag strategies.
* Bachelor’s degree in Engineering, Computer Science, Business, or related field; MBA preferred.
* Comfortable with occasional travel and cross\-functional collaboration.
 What Success Looks Like in 12 Months
* Defined and aligned a clear two\-year omnichannel vision and KPI\-driven roadmap.
* Launched 5\+ major roadmap initiatives with \&gt;80% on\-time delivery.
* Deployed differentiated shared and personal inbox capabilities with strong adoption metrics.
* Delivered measurable efficiency gains (20%\+ reduction in average handle time) via intelligent routing and advanced ticket workflows.
* Integrated 2\+ new digital channels with documented customer adoption.
* Improved attach rates and generated incremental ARR through omnichannel packaging.
* Established comprehensive instrumentation across channel usage, productivity, and feature adoption.
* Maintained \&lt;5% post\-launch defect rate and \&gt;90% feature flag rollout success.
* Enabled consistent two\-week sprint delivery cycles through strong cross\-functional execution.
**Why Join Us** 
* Be part of a fast\-growing company transforming the CX landscape with cutting\-edge omnichannel capabilities
* Drive the evolution of a platform serving thousands of contact center agents daily across hundreds of enterprise customers
* Own critical features in the product roadmap with direct revenue and customer satisfaction impact
* Work with a modern tech stack including microservices, event streaming, real\-time messaging, audio/video processing, and AI\-assisted workflows
**Nextiva DNA** 
 (Core Competencies)
 Nextiva’s most successful team members share common traits and behaviors:
* Drives Results: Action\-oriented with a passion for solving problems. They bring clarity and simplicity to ambiguous situations, challenge the status quo, and ask what can be done differently. They lead and drive change, celebrating success to build more success.
* Critical Thinker: Understands the "why" and identifies key drivers, learning from the past. They are fact\-based and data\-driven, forward\-thinking, and see problems a few steps ahead. They provide options, recommendations, and actions, understanding risks and dependencies.
* Right Attitude: They are team\-oriented, collaborative, competitive, and hate losing. They are resilient, able to bounce back from setbacks, zoom in and out, and get in the trenches to help solve important problems. They cultivate a culture of service, learning, support, and respect, caring for customers and teams.
**Total Rewards** 
 Our Total Rewards offerings are designed to allow Nexties to take care of themselves and their families so they can be their best, in and out of the office.
 Our compensation packages are tailored to each role and candidate's qualifications. We consider a wide range of factors, including skills, experience, training, and certifications, when determining compensation. We aim to offer competitive salaries or wages that reflect the value you bring to our team. Depending on the position, compensation may include base salary and/or hourly wages, incentives, or bonuses.
 The expected hiring range is $1300,00 \- $230,000\. A different level in the job hierarchy may apply to a specific candidate, resulting in a different hiring range.
* Health 🍏 \- Multiple health plan options to suit your needs, including medical, dental, vision, and telemedicine coverage
* Insurance 💼 \- Life, disability, and supplemental indemnity plans
* Work\-Life Balance ⚖️ \- Flexible Time Off (FTO) for salaried employees, PTO for hourly employees, Paid Sick Time (PST), paid parental bonding leave, and paid holidays
* Financial Security 💰 \- 401(k) with company match, Health Savings Accounts with company contributions, Dependent Care FSA
* Wellness 🤸 \- Employee Assistance Program and comprehensive wellness initiatives
* Growth 🌱 \- Access to ongoing learning and development opportunities and career advancement
 At Nextiva, we're committed to supporting our employees' health, well\-being, and professional growth. Join us and build a rewarding career!
*Nextiva is an equal opportunity employer. We celebrate diversity and are committed to creating an inclusive environment for all employees. We prohibit discrimination and harassment of any type without regard to race, color, religion, age, sex, national origin, disability status, genetics, protected veteran status, sexual orientation, gender identity or expression, or any other characteristic protected by federal, state or local laws. Nextiva participates in the E\-Verify Program where and as required by law. For additional information about E\-Verify visit USCIS* 
 .
 Founded in 2008, Nextiva has grown into a global leader trusted by over 100,000 businesses and 1M\+ users worldwide. Headquartered in Scottsdale, Arizona, and with teams across the globe, we're the future of customer experience and team collaboration through our AI\-powered, conversation\-centric platform
 Want to see what life at Nextiva is all about? Connect with us on Instagram, Instagram MX, YouTube, LinkedIn, and the Nextiva Blog.</t>
        </is>
      </c>
    </row>
    <row r="43">
      <c r="A43" t="inlineStr">
        <is>
          <t>li-4370598599</t>
        </is>
      </c>
      <c r="B43" t="inlineStr">
        <is>
          <t>Senior Product Manager, UI Platform</t>
        </is>
      </c>
      <c r="C43" t="inlineStr">
        <is>
          <t>Confluent</t>
        </is>
      </c>
      <c r="D43" t="inlineStr">
        <is>
          <t>linkedin</t>
        </is>
      </c>
      <c r="E43">
        <f>HYPERLINK("https://www.linkedin.com/jobs/view/4370598599", "https://www.linkedin.com/jobs/view/4370598599")</f>
        <v/>
      </c>
      <c r="F43">
        <f>HYPERLINK("https://jobs.ashbyhq.com/confluent/a6b7f564-638c-492a-9acc-e6aac9f2c100/application?utm_source=M553Wn6824&amp;src=LinkedInJobWrapping&amp;urlHash=PbwZ", "https://jobs.ashbyhq.com/confluent/a6b7f564-638c-492a-9acc-e6aac9f2c100/application?utm_source=M553Wn6824&amp;src=LinkedInJobWrapping&amp;urlHash=PbwZ")</f>
        <v/>
      </c>
      <c r="G43" t="inlineStr"/>
      <c r="H43" t="inlineStr"/>
      <c r="I43" t="inlineStr">
        <is>
          <t>We’re not just building better tech. We’re rewriting how data moves and what the world can do with it. With Confluent, data doesn’t sit still. Our platform puts information in motion, streaming in near real\-time so companies can react faster, build smarter, and deliver experiences as dynamic as the world around them.
 It takes a certain kind of person to join this team. Those who ask hard questions, give honest feedback, and show up for each other. No egos, no solo acts. Just smart, curious humans pushing toward something bigger, together.
 One Confluent. One Team. One Data Streaming Platform.
**About The Role**
 Confluent runs and supports many of the largest data streaming deployments in the world on behalf of our customers. Our user interfaces are used to manage these mission\-critical and extremely complicated deployments with ease and at scale. Customers need to be able to discover, monitor and create resources quickly and realize the value that Confluent can deliver to their use\-cases. This role will focus on the re\-usable shared experiences that drive user engagement and directly impact conversion to revenue. This includes notifications, search, navigation and many others! In addition, this role is expected to seize the opportunity to take our UI to new heights with various AI agent/chatbot experiences.
**What You Will Do**
* Set the strategy: Align UI investments with Confluent’s long term vision to put a data streaming platform at the center of every organization.
* Define the roadmap: Plot a course with your engineering counterparts that will realize the strategy.
* Understand our users: Conduct interviews and analyze usage data to define personas, user journeys, and key jobs to be done.
* Work across teams: Create shared understanding and direction across engineering, product, business development, support, sales, and marketing teams within Confluent and externally with our partners.
* Be responsible for the whole lifecycle: Drive multi\-company, cross\-functional initiatives from conception through initial delivery, and ongoing iteration after launch.
* Close the loop: Define quantitative and qualitative targets, measure performance against them, share results with stakeholders, and incorporate those learnings into the next development cycle.
* Manage complexity: Deliver value while handling the surprises and challenges of a quickly evolving product, ambitious partnership targets, and a rapidly growing organization.
**What You Will Bring**
* 5\+ years of product management experience
* Experience building and supporting user experience features for enterprise cloud products
* LLM or GenAI knowledge is a bonus, but not required
* Experience building, writing and defending a clear product roadmap and backlog backed by user stories and customer research.
* Excellent communication skills and experience working in a collaborative and consensus\-driven environment
* Ability to build relationships with co\-workers and customers located around the world.
* Demonstrated ability to drive business outcomes through product changes
* Multi\-cloud or hybrid experience is a plus
**Ready to build what's next? Let’s get in motion.**
**Come As You Are**
 Belonging isn’t a perk here. It’s the baseline. We work across time zones and backgrounds, knowing the best ideas come from different perspectives. And we make space for everyone to lead, grow, and challenge what’s possible.
 We’re proud to be an equal opportunity workplace. Employment decisions are based on job\-related criteria, without regard to race, color, religion, sex, sexual orientation, gender identity, national origin, disability, veteran status, or any other classification protected by law.
 Compensation Range: $193\.2K \- $227K</t>
        </is>
      </c>
    </row>
    <row r="44">
      <c r="A44" t="inlineStr">
        <is>
          <t>li-4312834321</t>
        </is>
      </c>
      <c r="B44" t="inlineStr">
        <is>
          <t>Sr. Product Manager, Growth</t>
        </is>
      </c>
      <c r="C44" t="inlineStr">
        <is>
          <t>CookUnity</t>
        </is>
      </c>
      <c r="D44" t="inlineStr">
        <is>
          <t>linkedin</t>
        </is>
      </c>
      <c r="E44">
        <f>HYPERLINK("https://www.linkedin.com/jobs/view/4312834321", "https://www.linkedin.com/jobs/view/4312834321")</f>
        <v/>
      </c>
      <c r="F44">
        <f>HYPERLINK("https://app.greenhouse.io/embed/job_app?token=6578000003&amp;gh_src=b716f5af3us&amp;urlHash=A55t", "https://app.greenhouse.io/embed/job_app?token=6578000003&amp;gh_src=b716f5af3us&amp;urlHash=A55t")</f>
        <v/>
      </c>
      <c r="G44" t="inlineStr"/>
      <c r="H44" t="inlineStr"/>
      <c r="I44" t="inlineStr">
        <is>
          <t>**About CookUnity**
 Food has lost its soul to modern convenience. And with it, it has lost the power to nourish, inspire, and connect us. So in 2018, CookUnity was founded as the first\-of\-its\-kind platform that connects the world with the source of truly great food: chefs. Today, CookUnity delivers 50 million meals a year from the industry’s best chefs to homes all over the country. Fresh. Ready\-to\-eat. And crafted with the passion that nourishes body and soul.
 Unwilling to stop there, CookUnity is expanding beyond delivery to become an ever\-innovating marketplace focused on our singular mission:
 **empower Chefs to nourish the world.**
 If that mission has you hungry in more ways than one, you’ve found the right job posting.
**About The Role**
 We’re hiring a Sr. Product Manager, Growth to reimagine and optimize our acquisition end\-to\-end funnel by driving a strategic roadmap and experiments — from landing page experience through trial and onboarding. This role will own key conversion metrics and drive product\-led strategies to optimize how users move from interest to checkout.
**What You’ll Do**
* Own and evolve the product roadmap for funnel conversion and flows
* Analyze user behavior and drop\-off points to identify opportunities to increase funnel efficiency
* Design and run A/B tests across acquisition touchpoints and in\-product experiences
* Lead the Funnel Design and Engineering squad to rapidly ship and iterate on improvements
* Work closely with Growth Marketing and First Impressions team to align funnel innovations with traffic strategies
* Collaborate with CRM and Lifecycle teams to ensure early customer communication supports key friction points and opportunities to re\-engage
* Lead cross\-functional squads focused on improving trial\-to\-paid conversion rates and all of the steps within the funnel
* Drive clear outcome metrics (e.g. trial conversion, early retention, CAC\-to\-LTV ratio)
* Surface insights and learnings regularly with key stakeholders and executive leadership
**What Success Looks Like**
* Meaningful lift in end\-to\-end funnel conversion rates and trial activation
* Shorter time to first meal and increased NPS during trial experience
* Scalable experimentation infrastructure that allows for rapid learning
* Cross\-functional alignment between product, marketing, and operations around funnel priorities
* Clear measurement framework tied to business impact and CAC efficiency
**What We’re Looking For**
* 7\+ years of product management or growth\-focused experience in a DTC, marketplace, or e\-commerce environment
* Strong analytical toolkit: Tableau; SQL fluency and comfort using analytics tools (Amplitude, Mixpanel, or similar)
* Proven track record designing and executing experiments across user journeys
* Ability to prioritize, move quickly, and deliver measurable results
* Empathy for customers and a passion for improving product experiences
* Excellent communication and collaboration skills with both technical and non\-technical partners
* Experience in subscription or funnel\-driven businesses is a major plus
**Technologies You’ll Use**
* Mixpanel, SiteSpect, and other solutions
* Snowflake, SQL, Looker, and internal data platforms
* Figma (with Design), Jira (with Eng), and Slack (with stakeholders and colleagues)
* Tableau
**Learn More About CookUnity**
 We believe great leadership starts with alignment on vision, values, and ways of working. To give you deeper insight into who we are and what we’re looking for, we invite you to explore:
 **CookUnity's Leadership Principles** 
 – The values and behaviors that guide how we operate, collaborate, and scale.
 We hope this provides valuable insight into our culture and product vision. If this excites you, we’d love to connect!
**Benefits**
 💸 Get paid in USD, Crypto, Euro, ARS. Whatever your choice! We use Deel to make things easier for you!
 🗺 Work remotely: design the life that you want
 ⛱ Enjoy 15 days of vacation each year from the start date
 🎄 16 fully paid Argentinean holidays
 🩺 Healthcare Benefit: Monthly stipend to use in your preferred healthcare provider
 🗓️ 5\- year Sabbatical: After 5 years with CookUnity, you get a 4\-week paid sabbatical
 🐣 Paid Family leave
 🕯 Compassionate Leave: 3\-5 days each time the need arises
 🧘🏽‍♀️ Customize the benefits that suit your needs! Access a range of perks tailored to you, including learning opportunities, wellness memberships, delivery apps, and more through our comprehensive benefit platform
 🧑‍🏫 Personalized English coach
 If you’re interested in this role, please submit your application, and if we think you might be a fit, we'll get in touch with you.
 **Thank you for your time!**
***CookUnity is an Equal Opportunity Employer** 
 . We are dedicated to creating a community of inclusion and an environment free from discrimination or harassment. All qualified applicants will receive consideration for employment without regard to race, color, religion, sex, age, sexual orientation, gender identity, national origin, citizenship status, protected veteran status, genetic information, or physical or mental disability.*
***A quick note for all candidates***
 We’ve Recently Seen An Increase In Recruitment Scams Across The Industry, And We Want To Make Sure You (and Your Data) Stay Safe While Applying To CookUnity. We Also Want You To Know That We Take This Seriously — Sometimes, As Part Of Our Process, We May Ask For a Brief “proof Of Humanity” To Confirm That We’re Connecting With a Real Person, Not An Impersonator. Here Are a Few Tips To Help You Protect Yourself And Know What To Expect From Us
* Apply only through our official channels. All open roles are listed on our official careers page: careers.cookunity.com
* Our recruiters are real people — and easy to verify. You can always find them on LinkedIn with verified profiles. If you’re unsure, feel free to reach out to us on our official LinkedIn Company Page.
* We only communicate through official CookUnity channels. That means emails ending in @cookunity.com and interviews held through official company platforms (Google Meet or Zoom) — never WhatsApp, Telegram, or SMS.
* We’ll never ask for payment or personal financial details. If anyone does, please don’t share any information and let us know right away.
*If something ever feels off or you’re unsure about a message, we’d much rather you double\-check with us. You can always contact us directly through any of our social media channels. We appreciate your interest in joining CookUnity — and
 **we care about keeping your experience (and safety) as genuine as possible.***</t>
        </is>
      </c>
    </row>
    <row r="45">
      <c r="A45" t="inlineStr">
        <is>
          <t>li-4370598600</t>
        </is>
      </c>
      <c r="B45" t="inlineStr">
        <is>
          <t>Senior Product Manager, UI Platform</t>
        </is>
      </c>
      <c r="C45" t="inlineStr">
        <is>
          <t>Confluent</t>
        </is>
      </c>
      <c r="D45" t="inlineStr">
        <is>
          <t>linkedin</t>
        </is>
      </c>
      <c r="E45">
        <f>HYPERLINK("https://www.linkedin.com/jobs/view/4370598600", "https://www.linkedin.com/jobs/view/4370598600")</f>
        <v/>
      </c>
      <c r="F45">
        <f>HYPERLINK("https://jobs.ashbyhq.com/confluent/a6b7f564-638c-492a-9acc-e6aac9f2c100/application?utm_source=M553Wn6824&amp;src=LinkedInJobWrapping&amp;urlHash=PbwZ", "https://jobs.ashbyhq.com/confluent/a6b7f564-638c-492a-9acc-e6aac9f2c100/application?utm_source=M553Wn6824&amp;src=LinkedInJobWrapping&amp;urlHash=PbwZ")</f>
        <v/>
      </c>
      <c r="G45" t="inlineStr">
        <is>
          <t>California, United States</t>
        </is>
      </c>
      <c r="H45" t="inlineStr"/>
      <c r="I45" t="inlineStr">
        <is>
          <t>We’re not just building better tech. We’re rewriting how data moves and what the world can do with it. With Confluent, data doesn’t sit still. Our platform puts information in motion, streaming in near real\-time so companies can react faster, build smarter, and deliver experiences as dynamic as the world around them.
 It takes a certain kind of person to join this team. Those who ask hard questions, give honest feedback, and show up for each other. No egos, no solo acts. Just smart, curious humans pushing toward something bigger, together.
 One Confluent. One Team. One Data Streaming Platform.
**About The Role**
 Confluent runs and supports many of the largest data streaming deployments in the world on behalf of our customers. Our user interfaces are used to manage these mission\-critical and extremely complicated deployments with ease and at scale. Customers need to be able to discover, monitor and create resources quickly and realize the value that Confluent can deliver to their use\-cases. This role will focus on the re\-usable shared experiences that drive user engagement and directly impact conversion to revenue. This includes notifications, search, navigation and many others! In addition, this role is expected to seize the opportunity to take our UI to new heights with various AI agent/chatbot experiences.
**What You Will Do**
* Set the strategy: Align UI investments with Confluent’s long term vision to put a data streaming platform at the center of every organization.
* Define the roadmap: Plot a course with your engineering counterparts that will realize the strategy.
* Understand our users: Conduct interviews and analyze usage data to define personas, user journeys, and key jobs to be done.
* Work across teams: Create shared understanding and direction across engineering, product, business development, support, sales, and marketing teams within Confluent and externally with our partners.
* Be responsible for the whole lifecycle: Drive multi\-company, cross\-functional initiatives from conception through initial delivery, and ongoing iteration after launch.
* Close the loop: Define quantitative and qualitative targets, measure performance against them, share results with stakeholders, and incorporate those learnings into the next development cycle.
* Manage complexity: Deliver value while handling the surprises and challenges of a quickly evolving product, ambitious partnership targets, and a rapidly growing organization.
**What You Will Bring**
* 5\+ years of product management experience
* Experience building and supporting user experience features for enterprise cloud products
* LLM or GenAI knowledge is a bonus, but not required
* Experience building, writing and defending a clear product roadmap and backlog backed by user stories and customer research.
* Excellent communication skills and experience working in a collaborative and consensus\-driven environment
* Ability to build relationships with co\-workers and customers located around the world.
* Demonstrated ability to drive business outcomes through product changes
* Multi\-cloud or hybrid experience is a plus
**Ready to build what's next? Let’s get in motion.**
**Come As You Are**
 Belonging isn’t a perk here. It’s the baseline. We work across time zones and backgrounds, knowing the best ideas come from different perspectives. And we make space for everyone to lead, grow, and challenge what’s possible.
 We’re proud to be an equal opportunity workplace. Employment decisions are based on job\-related criteria, without regard to race, color, religion, sex, sexual orientation, gender identity, national origin, disability, veteran status, or any other classification protected by law.
 Compensation Range: $193\.2K \- $227K</t>
        </is>
      </c>
    </row>
    <row r="46">
      <c r="A46" t="inlineStr">
        <is>
          <t>li-4374701688</t>
        </is>
      </c>
      <c r="B46" t="inlineStr">
        <is>
          <t>Product Manager</t>
        </is>
      </c>
      <c r="C46" t="inlineStr">
        <is>
          <t>TriWest Healthcare Alliance</t>
        </is>
      </c>
      <c r="D46" t="inlineStr">
        <is>
          <t>linkedin</t>
        </is>
      </c>
      <c r="E46">
        <f>HYPERLINK("https://www.linkedin.com/jobs/view/4374701688", "https://www.linkedin.com/jobs/view/4374701688")</f>
        <v/>
      </c>
      <c r="F46" t="inlineStr"/>
      <c r="G46" t="inlineStr">
        <is>
          <t>Phoenix, AZ</t>
        </is>
      </c>
      <c r="H46" t="inlineStr"/>
      <c r="I46" t="inlineStr">
        <is>
          <t>Profile
 We offer remote work opportunities in the following locations
 **ONLY** 
 : AK, AR, AZ, CO, DC, FL, HI, IA, ID, IL, KS, LA, MD, MN, MO, MT, NE, NV, NM, NC, ND, OK, OR, SC, SD, TN, TX, UT, VA, WA, WI, WY
**US Citizenship REQUIRED:** 
 Our Department of Defense contract requires US citizenship and a favorably adjudicated DOD background investigation for this position.
 Veterans, Reservists, Guardsmen and military family members are encouraged to apply!
**Job Summary**
 The Product Manager is responsible for supporting the development and execution of product strategies, managing the product lifecycle, and driving product innovation to meet customer needs and company objectives. The Product Manager will work closely with cross\-functional teams to ensure successful product delivery and customer adoption.
**Education \&amp; Experience**
**Required:**
* Bachelor's degree in business administration, engineering, marketing, or a related experience
* U.S. Citizen
* Must be able to receive a favorable Interim and adjudicated final Department of Defense (DoD) background investigation
* Proven experience in product management, with a track record of successfully launching and managing products from conception to implementation, to replacement/retirement
* Exceptional communication and interpersonal skills, with the ability to influence and collaborate effectively with stakeholders at all levels
* Proven experience bringing enterprise software products (locally deployed/SaaS/PaaS) to market
* Strong knowledge of workflow and product management processes and best practices
* Excellent project management and organizational skills
**Key Responsibilities**
* Develop and implement product management strategies for TriWest to include end\-user education and seamless integrations into current infrastructure.
* Conduct market research and gather customer feedback to identify opportunities and challenges.
* Stay informed about industry trends, technologies, and best practices to drive innovation and competitiveness.
* Manage the product lifecycle from concept to launch to sustainment to retirement.
* Define product roadmap, create and maintain product backlog, prioritize features, and allocate resources effectively to meet project deadlines.
* Monitor and analyze product performance metrics, user feedback, and market data to make data\-driven decisions and drive continuous improvement.
* Participate in sprint planning, review meetings, and retrospectives to drive product development.
* Make decisions on behalf of the business and provide guidance to the team on product features and functionality.
* Develop and maintain relationships with external vendors and partners.
**Competencies**
**Coaching / Training / Mentoring:** 
 Actively foster actions required for desired business outcomes through ongoing constructive feedback.
**Communication / People Skills:** 
 Excellent verbal, written, and presentation skills; ability to influence or persuade others under positive or negative circumstances; adapt to different styles; listen critically; collaborate.
**Computer Literacy:** 
 Ability to function in a multi\-system Microsoft environment using Word, Outlook, TriWest Intranet, the Internet, and department software applications.
**Empathy / Customer Service:** 
 Customer\-focused behavior; helping approach, including listening skills, patience, respect, and empathy for another's position.
**Independent Thinking / Self\-Initiative:** 
 Critical thinkers with ability to focus on things which matter most to achieving outcomes; commitment to task to produce outcomes without direction and to find necessary resources.
**Leadership:** 
 Successfully manage different styles of employees; provide clear direction and effective coaching.
**Multi\-Tasking / Time Management:** 
 Prioritize and manage actions to meet changing deadlines and requirements within a high volume, high stress environment.
**Organizational Skills:** 
 Ability to organize people or tasks, adjust to priorities, learn systems, within time constraints and with available resources; detail\-oriented.
**Problem Solving / Analysis:** 
 Ability to solve problems through systematic analysis of processes with sound judgment; has a realistic understanding of relevant issues.
**Team\-Building / Team Player:** 
 Influence the actions and opinions of others in a positive direction and build group commitment.
**Technical Skills:** 
 Proficient in Microsoft Office and Jira; negotiation, presentation, and proposal writing skills. Course design and delivery skills including knowledge of the principles and practices of adult learning theory and instructional design models for both traditional and CBT training modalities.
**Working Conditions**
**Working Conditions**
* Works in a standard office environment, with 20% \- 30% travel
* Availability to work non\-regular hours as required
* Extensive computer work with long periods of sitting
**Company Overview**
**Taking Care of Our Nation’s Heroes.**
**It’s Who We Are. It’s What We Do.**
 Do you have a passion for serving those who served?
**Join the TriWest Healthcare Alliance Team! We’re On a Mission to Serve®!**
 Our job is to make sure that America’s heroes get connected to health care in the community.
 At TriWest Healthcare Alliance, we’ve proudly been on that important mission since 1996\.
**Benefits**
 We’re more than just a health care company. We’re passionate about serving others! We believe in rewarding loyal, hard\-working people who are willing to learn as they grow. TriWest Healthcare Alliance values teamwork. Join our team, fulfill your responsibilities, and you may also be considered for frequent pay raises, overtime opportunities to earn even more, recognition and reward programs, and much more. Of course, we also offer a comprehensive and progressive compensation and benefits package that includes:
* Medical, Dental and Vision Coverage
* Paid time off
* 401(k) Retirement Savings Plan (with matching)
* Short\-term and long\-term disability, basic life, and accidental death and dismemberment insurance
* Tuition reimbursement
* Paid volunteer time
 TriWest job postings typically include a salary range,
 **which can vary based on the specific role and location** 
 , but generally this position ranges from around $123,000 \- $131,000 per year.
 Equal Employment Opportunity
 TriWest Healthcare Alliance is an equal employment opportunity employer. We are proud to have an inclusive work environment and know that a diverse team is a strength that will drive our success. To that end, TriWest strives to create an inclusive environment that supports diversity at every organizational level, and we highly encourage candidates from all backgrounds to apply. Applicants are considered for positions based on merit and without discrimination on the basis of race, color, religion, sex, sexual orientation, gender identity, national origin, age, disability or any other consideration made unlawful by applicable federal, state, or local laws.</t>
        </is>
      </c>
    </row>
    <row r="47">
      <c r="A47" t="inlineStr">
        <is>
          <t>li-4379994426</t>
        </is>
      </c>
      <c r="B47" t="inlineStr">
        <is>
          <t>Loan Servicing Product Manager, Associate</t>
        </is>
      </c>
      <c r="C47" t="inlineStr">
        <is>
          <t>Avant</t>
        </is>
      </c>
      <c r="D47" t="inlineStr">
        <is>
          <t>linkedin</t>
        </is>
      </c>
      <c r="E47">
        <f>HYPERLINK("https://www.linkedin.com/jobs/view/4379994426", "https://www.linkedin.com/jobs/view/4379994426")</f>
        <v/>
      </c>
      <c r="F47">
        <f>HYPERLINK("https://avant.wd503.myworkdayjobs.com/External_Careers/job/Chicago-HQ/Loan-Servicing-Product-Manager\u002d\u002dAssociate_JR100482?source=LinkedIn&amp;urlHash=PfsY", "https://avant.wd503.myworkdayjobs.com/External_Careers/job/Chicago-HQ/Loan-Servicing-Product-Manager\u002d\u002dAssociate_JR100482?source=LinkedIn&amp;urlHash=PfsY")</f>
        <v/>
      </c>
      <c r="G47" t="inlineStr"/>
      <c r="H47" t="inlineStr"/>
      <c r="I47" t="inlineStr">
        <is>
          <t>Do you want to help a rapidly ascending FinTech company drive its next phase of growth? If so, Avant is looking for you. We're building a best\-in\-class product organization, and there's a lot of opportunity to grow your skills and your career here. Come join us!
 Avant is looking for a Loan Servicing Product Manager, Associate who is ready to own and improve the systems and processes that power Avant's personal loan servicing platform. This is a hands\-on role — you won't just manage from a distance. You'll dig into the platform, understand how every workflow operates end\-to\-end, and drive improvements that directly impact borrower experience and business performance. You'll collaborate with a team of passionate Engineers, Designers, and Operations Managers, as well as many other cross\-functional partners to ensure our servicing platform runs efficiently, scales effectively, and delivers an exceptional customer experience.
 Associates at Avant are cross\-functional leaders, defining the goals not just for the customer experience and technology, but for our entire business. You'll need to understand the full lifecycle of a loan — from origination through payoff — and how servicing decisions impact credit performance, unit economics, and customer satisfaction.
 This position is based in Avant's downtown Chicago office, located in the Merchandise Mart. We highly value collaboration, and our hybrid schedule (Monday, Tuesday, Thursday in\-office) enables the flexibility to balance work and individual priorities.
**What You’ll Do At Avant**
* Own the loan servicing platform roadmap: Define and prioritize features, enhancements, and fixes across account management, customer communications, and collections.
* Get hands\-on with the platform: Develop deep expertise in how our servicing systems work — including the underlying data models, integrations, and business logic — so you can identify issues, propose solutions, and speak credibly with engineering teams.
* Partner with Engineering: Work closely with development teams in an agile environment to scope technical requirements, write detailed product requirements documents, and ensure high\-quality delivery.
* Analyze servicing performance: Use SQL and data tools to monitor key servicing KPIs (delinquency rates, payment success rates, customer contact rates, loss mitigation outcomes) and turn insights into product improvements.
* Understand the economics: Develop a strong understanding of how the loan product generates revenue, how servicing costs impact profitability, and how product decisions affect credit performance and capital efficiency.
* Optimize customer journeys: Map and improve borrower\-facing servicing experiences — including the mobile app, web dashboard, hardship programs, autopay enrollment, and account notifications — while balancing customer satisfaction with operational costs and risk management.
* Drive cross\-functional alignment: Partner closely with Risk, Finance, Operations, Compliance, and Customer Service to ensure servicing changes are operationally sound, compliant, and aligned with business strategy.
* Conduct competitive analysis: Research and benchmark competitor servicing capabilities, industry best practices, and regulatory trends to inform the product roadmap.
* Manage the product backlog: Prioritize and maintain a well\-groomed backlog, working with all departments to ensure they have what they need to be successful.
* Leverage AI and automation: Actively use AI tools for internal applications, workflow automation, and data analysis. Identify opportunities to integrate AI\-driven solutions into servicing to improve efficiency, reduce manual processes, and enhance decision\-making.
**Why You’re At Fit At Avant**
* Bachelor's degree in a relevant field (Business, Finance, Engineering, Computer Science, or related discipline).
* 2–4\+ years of experience in product management, fintech, financial services, or a high\-growth technology company — ideally with exposure to lending.
* Technical aptitude: Comfortable working with SQL to query data and validate hypotheses. Python experience is a plus, and familiarity with Databricks or similar data platforms is valued. You should understand APIs, system architecture concepts, and how software platforms are built. You don't need to write production code, but you should be able to read a technical spec and have an informed conversation with engineers.
* AI\-forward mindset: You actively use AI tools (ChatGPT, Claude, Copilot, etc.) in your daily workflow to move faster — whether that's drafting requirements, analyzing data, prototyping solutions, or automating repetitive tasks. At Avant, leveraging AI isn't optional; it's how we work.
* Strong understanding of (or eagerness to learn) the loan lifecycle — origination, underwriting, servicing, collections, and payoff — and how each stage connects.
* Demonstrated ability to think both strategically and tactically: you can articulate a long\-term vision and also roll up your sleeves to solve an immediate operational problem.
* Strong analytical skills with the ability to synthesize data into clear product recommendations that balance customer experience, risk, and profitability.
* Experience writing product requirements documents and delivering products in an agile development environment.
* Strong communication skills and ability to interface with multiple stakeholders across the organization, with an eye towards building cross\-functional collaboration and support.
* A builder's mindset — you are excited to improve systems, streamline processes, and create scalable solutions rather than simply maintaining the status quo.
* Passionate about building an inclusive and transparent financial services experience.
* Thrives under pressure and working to aggressive timelines.
**What Will Set You Apart**
* Experience with loan servicing platforms, payment processors, or collections systems.
* Experience with data visualization tools (Databricks or similar).
* Background in consulting, investment banking, or credit risk analysis.
 This role is based on our downtown Chicago Office, located in the Merchandise Mart. We highly value collaboration and our hybrid schedule (M, T, Th in\-office) enables flexibility to balance work and individual priorities.
**Compensation Range**
 The base salary range for this job is USD $85,000 \- USD $110,000/ Year
**Employees new to Avant typically come in below the midpoint of the pay range.** 
 The compensation range is based on the level outlined in the job posting, and compensation decisions are dependent on each applicant's experience, skills and abilities.
*\[If an outstanding applicant's experience and skill level is above or below the qualifications outlined in the job posting, we reserve the right to make an offer at a different level than the one listed in this job posting, which may have a different compensation range.]*
 This role is eligible for additional incentives, including an annual bonus. These rewards are allocated based on level, impact and performance in the role.
**Our Benefits Include**
* Choice of great Medical, Dental, and Vision Insurance Plan options
* 401(k) match
* Flexible Time Off
* Flexible Work Environment \- (i.e. Mon/Tues/Thurs in\-person)
* Generous Paid Parental Leave, Adoption Assistance and Post\-parental leave ramp\-up program
* Lunch Allowance (Fooda) and In\-office Snacks
* Summer Fridays
* Fun In\-Office and Virtual Social Events
* And who doesn’t love the swag
**Check out our** 
**Avant Blog** 
**!**
 We believe that a diverse set of backgrounds and experiences helps us create the most innovative solutions for our customers. We invite you to apply to our positions even if you do not meet 100% of the qualifications listed in the description. If you’re passionate about our mission and aligned to our values, we hope you’ll come contribute to our awesome culture.
**Why Avant Is The Place For You**
 At Avant, we believe our values make a difference:
**Authenticity.** 
 We show up to work as our whole selves and make sure others can too.
**Collaboration.** 
 We can only succeed when we do so as a team.
**Problem\-Solving.** 
 The harder the problem, the more satisfying the solution.
**Customer.** 
 We are all owners of the customer experience.
**Initiative.** 
 Plan. Adapt. Get Sh!t Done.
**We believe that great ideas come from anyone and anywhere, that everyone is an owner who drives change, and that we have more fun when we work together. We're problem solvers who love collaborating with intelligent and highly\-motivated people to reshape the face of digital banking. Avant offers terrific perks and benefits, fun social events with employees who actually like hanging out together, and a flexible growth environment where trying your hand at new projects and being the active owner of your career path is encouraged and supported.**
 To learn more about how Avant collects and uses your personal information, please see the Avant Privacy Policy.</t>
        </is>
      </c>
    </row>
    <row r="48">
      <c r="A48" t="inlineStr">
        <is>
          <t>li-4380306866</t>
        </is>
      </c>
      <c r="B48" t="inlineStr">
        <is>
          <t>Senior Product Manager, AI</t>
        </is>
      </c>
      <c r="C48" t="inlineStr">
        <is>
          <t>Postscript</t>
        </is>
      </c>
      <c r="D48" t="inlineStr">
        <is>
          <t>linkedin</t>
        </is>
      </c>
      <c r="E48">
        <f>HYPERLINK("https://www.linkedin.com/jobs/view/4380306866", "https://www.linkedin.com/jobs/view/4380306866")</f>
        <v/>
      </c>
      <c r="F48">
        <f>HYPERLINK("https://grnh.se/tl178v5z2us&amp;urlHash=qWXx", "https://grnh.se/tl178v5z2us&amp;urlHash=qWXx")</f>
        <v/>
      </c>
      <c r="G48" t="inlineStr">
        <is>
          <t>Boston, MA</t>
        </is>
      </c>
      <c r="H48" t="inlineStr"/>
      <c r="I48" t="inlineStr">
        <is>
          <t>Trusted by more than 18,000 Shopify and Shopify Plus stores—like Brooklinen, Ruggable, True Classic and Dr. Squatch—Postscript gives ecommerce brands the tools they need to run a world\-class SMS marketing program.
 We're on a mission to make SMS the number\-one revenue channel for ecommerce merchants by delivering an easy\-to\-use platform where they can grow their subscriber list, develop and test their messaging strategy, deliver excellent customer service, and drive sales and loyalty—all in one place. We believe SMS is the most important marketing and sales channel of the decade, and that vision drives everything we do.
 Postscript was founded in 2018 as a 100% remote organization. With more than 250 employees (and counting!), we're backed by Greylock, Y Combinator, and other top investors.
 Postscript is an SMS and messaging platform purpose\-built for ecommerce brands on Shopify. We make it easy for merchants to grow revenue, build loyalty, and engage customers through text messaging. Tens of thousands of Shopify stores use Postscript to drive meaningful relationships with their customers.
 We are building a brand\-new AI product and are looking for a
 **Senior Product Manager, AI** 
 to lead it from concept to market. This is a greenfield opportunity: you will define what the product is, who it serves, and how it works. You will partner with machine learning engineers, prompt engineers, product designers, and product engineers to ship an AI\-native experience that creates transformational value for Shopify merchants.
 All positions at Postscript are fully remote.
**Primary Duties**
* Own the end\-to\-end product lifecycle for a new AI product, from discovery through launch and iteration
* Define product vision, strategy, and roadmap grounded in deep customer understanding and AI/ML feasibility
* Partner with MLE and prompt engineering to evaluate AI model capabilities, define guardrails, and design human\-in\-the\-loop experiences
* Design and run rapid experiments to validate hypotheses about AI\-powered features and customer value
* Write clear product specs, success criteria, and evaluation frameworks for AI features (including accuracy, safety, and user trust metrics)
* Collaborate cross\-functionally with engineering, design, CSMs, and leadership to ship and iterate
* Develop and maintain a competitive understanding of the AI landscape in ecommerce/SMS
* Serve as the internal and external evangelist for the AI product vision
**What We'll Love About You**
* 5\+ years of product management experience, with 2\+ years working on AI/ML\-powered products
* Direct experience taking a product from zero\-to\-one (greenfield builds, not just incremental optimization)
* Experience in ecommerce SaaS, martech, or messaging platforms is highly preferred
* Deep technical fluency with AI/ML concepts: you can discuss model architectures, prompt engineering, evaluation metrics, and data pipelines with engineering partners
* Strong product intuition for when AI adds real value vs. when it doesn't — you are not an AI hype person, you are an AI pragmatist
* Demonstrated ability to ship fast, learn from data, and iterate — you prefer shipping v1 over perfecting a PRD
* Excellent written and verbal communication; you can make complex AI concepts accessible to merchants, CSMs, and executives
* Hands\-on experience using AI tools (ChatGPT, Claude, Copilot, etc.) to amplify your own PM work
**What You'll Love About Us**
* **Salary range of USD $150k\-$206k base plus significant equity (we do not have geo based salaries)**
* High growth startup \- plenty of room for you to directly impact the company and grow your career!
* Work from home (or wherever)
* Fun \- We're passionate and enjoy what we do
* Competitive compensation and opportunity for equity
* Flexible paid time off
* Health, dental, vision insurance
*For information about how we use your personal data, please see our U.S. Job Applicant Privacy Notice*
*You are welcome here. Postscript is an ever\-evolving place of equal employment for talented individuals.*</t>
        </is>
      </c>
    </row>
    <row r="49">
      <c r="A49" t="inlineStr">
        <is>
          <t>li-4380329798</t>
        </is>
      </c>
      <c r="B49" t="inlineStr">
        <is>
          <t>Senior Product Manager, AI/ML Platform Products</t>
        </is>
      </c>
      <c r="C49" t="inlineStr">
        <is>
          <t>GSK</t>
        </is>
      </c>
      <c r="D49" t="inlineStr">
        <is>
          <t>linkedin</t>
        </is>
      </c>
      <c r="E49">
        <f>HYPERLINK("https://www.linkedin.com/jobs/view/4380329798", "https://www.linkedin.com/jobs/view/4380329798")</f>
        <v/>
      </c>
      <c r="F49">
        <f>HYPERLINK("https://jobs.gsk.com/jobs/431261?lang=en-us&amp;source=LinkedIn&amp;urlHash=YoAh", "https://jobs.gsk.com/jobs/431261?lang=en-us&amp;source=LinkedIn&amp;urlHash=YoAh")</f>
        <v/>
      </c>
      <c r="G49" t="inlineStr">
        <is>
          <t>Cambridge, MA</t>
        </is>
      </c>
      <c r="H49" t="inlineStr"/>
      <c r="I49" t="inlineStr">
        <is>
          <t>**Site Name:** 
 200 CambridgePark Drive, Upper Providence
**Posted Date:** 
 Mar 2 2026
 The Onyx Research Data Tech organization represents a major investment by GSK R\&amp;D and Digital \&amp; Tech, designed to deliver a step\-change in our ability to leverage data, knowledge, and prediction to find new medicines. We are a full\-stack shop consisting of product and portfolio leadership, data engineering, infrastructure and DevOps, data / metadata / knowledge platforms, and AI/ML and analysis platforms, all geared toward:
* Building a next\-generation data experience for GSK’s scientists, engineers, and decision\-makers, increasing productivity and reducing time spent on “data mechanics”
* Providing best\-in\-class AI/ML and data analysis environments to accelerate our predictive capabilities and attract top\-tier talent
* Aggressively engineering our data at scale to unlock the value of our combined data assets and predictions in real\-time
 Onyx Product Management is at the heart of our mission, ensuring that everything from our infrastructure, to platforms, to end\-user facing data assets and environments is designed to maximize our impact on R\&amp;D. The Product Management team partners with R\&amp;D stakeholders and Onyx leadership to develop a strategic roadmap for all customer\-facing aspects of Onyx, including data assets, ontology, Knowledge Graph / semantic search, data / computing / analysis platforms, and data\-powered / LLM\-enabled applications.
 We are seeking an experienced Senior Product Manager to lead the strategy and delivery of AI/ML platform products – the core platform that powers AI/ML model training and deployment across GSK R\&amp;D. This role is central to establishing a unified, scalable, and governed enterprise approach to AI/ML, ensuring that R\&amp;D teams can efficiently build, evaluate, and operationalize models and ultimately deliver new medicines for our patients.
**Key responsibilities include:**
**Ownership \&amp; Strategy**
* Own and drive the product vision, roadmap, and adoption of the AI/ML Platform, delivering core capabilities for model training, fine\-tuning, evaluation, deployment, monitoring, and lifecycle management.
* Define the strategic direction for foundational AI/ML tooling and ensure platform capabilities meet the needs of diverse R\&amp;D model development workflows and scientific applications.
**Customer \&amp; Stakeholder Engagement**
* Conduct ongoing customer discovery with scientists and AI/ML practitioners to identify emerging needs and translate them into actionable product requirements.
* Lead technical product discussions with engineering and scientific leaders to clarify objectives and shape platform direction.
**Product Planning \&amp; Delivery**
* Collaborate with stakeholders to define platform features, requirements, and success criteria aligned with scientific use cases and business goals.
* Drive agile product execution with engineering and program teams, owning prioritization, backlog management, and delivery of high\-quality platform releases.
**Platform Integration \&amp; Governance**
* Ensure seamless integration with the Data Platform to enable shared data standards and consistent data/model lifecycle management.
* Coordinate and align product roadmap with R\&amp;D platforms to ensure interoperability, governance alignment, and a unified enterprise data, compute, AI, and application ecosystem.
**Launch, Adoption \&amp; Optimization**
* Lead platform launches and change\-management activities to ensure clear communication, training, and successful adoption across R\&amp;D.
* Monitor platform usage and performance, analyze feedback and telemetry, and drive continuous improvements to enhance usability, reliability, and scientific impact.
**Why you?**
**Basic Qualifications:**
 We are looking for professionals with these required skills to achieve our goals:
* PhD \+ 2 years, Masters \+ 4 years, or Bachelors \+ 6 years
* 4\+ years of experience in product management with a proven track record of delivering AI\-powered applications (0\-to\-1 or scaled products) that solve concrete business or scientific problems in an enterprise or regulated environment.
* Experience defining product strategy for modern applications, including experience working closely with data scientists, ML engineers, and domain experts to shape model requirements, model evaluation frameworks, and end\-to\-end user workflows.
* Experience with AI/ML fundamentals, including understanding of model development lifecycles, data pipelines, feature engineering, and MLOps practices—paired with the ability to translate business needs into technical requirements.
* Experience integrating AI models into user\-facing products, including UX workflows, decision\-support tools, automation flows, or scientific applications used by R\&amp;D teams.
* Experience driving adoption, change management, and measurable business impact for AI solutions across diverse R\&amp;D user groups.
**Preferred Qualifications:**
 If you have the following characteristics, it would be a plus:
* Direct product management experience building and launching AI/ML\-powered applications, including decision\-support tools, workflow automation, scientific insight generation, or predictive modeling used by R\&amp;D, clinical, or operational teams.
* Hands\-on experience collaborating with data scientists or ML engineers to define problem statements, model requirements, evaluation approaches, and ML deployment workflows prior to—or alongside—transitioning into product management.
* Familiarity with modern ML and transformer\-based architectures, with the ability to evaluate trade\-offs between off\-the\-shelf models, open\-source models, and domain\-specific fine\-tuned models depending on performance, regulatory, and data constraints.
* Experience developing products that analyze or surface complex, unstructured scientific data, including biomedical text, omics data, imaging, or knowledge graphs.
* Working knowledge of bioinformatics, computational biology, or cheminformatics, and a clear vision for how AI\-driven applications can accelerate research workflows and scientific decision\-making.
* Product experience shaping end\-to\-end ML\-driven workflows, including feature pipelines, model serving, monitoring, human\-in\-the\-loop review, and domain\-specific UX requirements for scientific users.
* Hands\-on experience with product management and collaboration tools such as Confluence, Jira, Miro, Monday, or Notion for roadmap, documentation, and cross\-functional planning.
* Previous experience in life sciences or biopharma R\&amp;D is a strong plus.
 \#GSK\-LI \#R\&amp;DTechProject
* If you are based in Cambridge, MA; Waltham, MA; Rockville, MD; or San Francisco, CA, the annual base salary for new hires in this position ranges $147,675 to $246,125\.
 The US salary ranges take into account a number of factors including work location within the US market, the candidate’s skills, experience, education level and the market rate for the role. In addition, this position offers an annual bonus and eligibility to participate in our share based long term incentive program which is dependent on the level of the role. Available benefits include health care and other insurance benefits (for employee and family), retirement benefits, paid holidays, vacation, and paid caregiver/parental and medical leave.
 If salary ranges are not displayed in the job posting for a specific country, the relevant compensation will be discussed during the recruitment process.
 Please visit GSK US Benefits Summary to learn more about the comprehensive benefits program GSK offers US employees.
**Why GSK?**
**Uniting science, technology and talent to get ahead of disease together.**
 GSK is a global biopharma company with a purpose to unite science, technology and talent to get ahead of disease together. We aim to positively impact the health of 2\.5 billion people by the end of the decade, as a successful, growing company where people can thrive. We get ahead of disease by preventing and treating it with innovation in specialty medicines and vaccines. We focus on four therapeutic areas: respiratory, immunology and inflammation; oncology; HIV; and infectious diseases – to impact health at scale.
 People and patients around the world count on the medicines and vaccines we make, so we’re committed to creating an environment where our people can thrive and focus on what matters most. Our culture of being ambitious for patients, accountable for impact and doing the right thing is the foundation for how, together, we deliver for patients, shareholders and our people.
 Should you require any adjustments to our process to assist you in demonstrating your strengths and capabilities contact us at HR.AmericasSC\-CS@gsk.com where you can also request a call.
 Please note should your inquiry not relate to adjustments, we will not be able to support you through these channels. However, we have created a Recruitment FAQ guide. Click the link where you will find answers to multiple questions we receive
 GSK is an Equal Opportunity Employer. This ensures that all qualified applicants will receive equal consideration for employment without regard to race, color, religion, sex (including pregnancy, gender identity, and sexual orientation), parental status, national origin, age, disability, genetic information (including family medical history), military service or any basis prohibited under federal, state or local law.
**Important notice to Employment businesses/ Agencies**
 GSK does not accept referrals from employment businesses and/or employment agencies in respect of the vacancies posted on this site. All employment businesses/agencies are required to contact GSK's commercial and general procurement/human resources department to obtain prior written authorization before referring any candidates to GSK. The obtaining of prior written authorization is a condition precedent to any agreement (verbal or written) between the employment business/ agency and GSK. In the absence of such written authorization being obtained any actions undertaken by the employment business/agency shall be deemed to have been performed without the consent or contractual agreement of GSK. GSK shall therefore not be liable for any fees arising from such actions or any fees arising from any referrals by employment businesses/agencies in respect of the vacancies posted on this site.
 Please note that if you are a US Licensed Healthcare Professional or Healthcare Professional as defined by the laws of the state issuing your license, GSK may be required to capture and report expenses GSK incurs, on your behalf, in the event you are afforded an interview for employment. This capture of applicable transfers of value is necessary to ensure GSK’s compliance to all federal and state US Transparency requirements. For more information, please visit the Centers for Medicare and Medicaid Services (CMS) website at https://openpaymentsdata.cms.gov/</t>
        </is>
      </c>
    </row>
    <row r="50">
      <c r="A50" t="inlineStr">
        <is>
          <t>li-4378894275</t>
        </is>
      </c>
      <c r="B50" t="inlineStr">
        <is>
          <t>VP, Secured Installment Product Manager</t>
        </is>
      </c>
      <c r="C50" t="inlineStr">
        <is>
          <t>Synchrony</t>
        </is>
      </c>
      <c r="D50" t="inlineStr">
        <is>
          <t>linkedin</t>
        </is>
      </c>
      <c r="E50">
        <f>HYPERLINK("https://www.linkedin.com/jobs/view/4378894275", "https://www.linkedin.com/jobs/view/4378894275")</f>
        <v/>
      </c>
      <c r="F50">
        <f>HYPERLINK("https://SynchronyFinancial.contacthr.com/151240231?source=LinkedIn&amp;urlHash=kfvo", "https://SynchronyFinancial.contacthr.com/151240231?source=LinkedIn&amp;urlHash=kfvo")</f>
        <v/>
      </c>
      <c r="G50" t="inlineStr">
        <is>
          <t>Alpharetta, GA</t>
        </is>
      </c>
      <c r="H50" t="inlineStr"/>
      <c r="I50" t="inlineStr">
        <is>
          <t>JOB\_POSTING\-3\-79799\-1
**Job Description**
**Role Summary/Purpose**
 At Synchrony, we enable commerce by delivering the leading financial ecosystem that connects our partners and our customers through world\-class technology, products, and capabilities. Our partners and customers are at the forefront of everything that we do.
 We are looking for a customer and partner obsessed Product Manager that is focused on delivering best in class products within the Secured Installment Loan market. As a critical member of the Product organization, the Secured Installment Product Manager will own the customer need while developing and leading the product roadmap to achieve customer, partner, and business objectives. This role requires being the customer, market, and product subject matter expert, using data to identify opportunities, gaining alignment with the organization and key stakeholders, and leading the development of technology\-driven, innovative solutions and enhancements. The ideal candidate is comfortable with ambiguity, thrives in a fast\-moving agile environment, collaborates effectively across teams, and acts as an owner by proactively taking initiative.
***We’re proud to offer you flexibility. At Synchrony, our way of working allows you to have the option to work from home near one of our Hubs or come into one of our offices. Occasionally you will be required to commute or travel for in person engagement activities such as business or team meetings, training and culture events.***
* Field Sales and some Commercial team roles may have varied location requirements based upon partner obligations or preferences.
**Essential Functions/Responsibilities**
* Manage, develop, and drive Synchrony’s Secured Installment product; provide visionary leadership and strategic direction for the Secured Installment loan portfolio to meet business growth, profitability, and customer needs
* Own the entire product development lifecycle, from initial ideation, market research and cost/benefit analysis through business requirements gathering, wing\-to\-wing experience, build and testing.
* Translate customer insights, competitive landscape, and market trends into innovative product features and enhancements that improve customer acquisition, engagement, and retention.
* Define clear product requirements and user stories, collaborating closely with technology and design teams to ensure timely and high\-quality delivery.
* Engage with our agile product development processes, working with product technology, user experience designers, engineers, and data scientists to continuously refine the product based on user feedback and data analytics.
* Drive cross\-functional collaboration and alignment to ensure features are prioritized effectively against other initiates
* Partner with risk and underwriting teams to embed innovative credit decisioning models and fraud detection technologies within the product framework.
* Collaborate with marketing and sales teams to design go\-to\-market plans that effectively communicate product benefits and value propositions.
* Liaise closely with Business Development to ensure consumer products are accurately represented in RFP responses, develop compelling business cases aligned with optimal product strategies, and provide guidance to new business implementation teams to ensure successful build and launch of products for new portfolios
* Manage and optimize product performance via KPIs and analytics, making data\-driven decisions to enhance product profitability and customer satisfaction.
* Proactively engage with Compliance and Legal to ensure adherence with all external and internal compliance and regulatory requirements
* Lead cross\-functional teams, in a matrixed environment, through project plans that include major milestones, critical risk indicators, measures of success and contingencies.
* Stay abreast of industry developments, competitive landscape, and emerging technologies impacting secured installment lending.
* Act as a key liaison with executive leadership and external partners on product performance, strategy, and competitive positioning.
* Perform special assignments \&amp; other duties as required.
**Qualifications/Requirements**
* Bachelor's Degree or, in lieu of a degree, a high school diploma and 10 years of marketing or product experience in the credit card or financial services industries
* Minimum of 6 years marketing or product expertise that includes:
+ A proven track record of launching new products or applications with demonstrated business impact
+ Ability to influence and coordinate multi\-functional teams
+ Effective verbal and written communication skills across functions and multiple levels of leadership
* Ability and flexibility to travel for business as required
**Desired Qualifications**
* Credit card, consumer finance or financial services industry experience
* Experience within Secured Installment Loan industry; understanding of dealer dynamic in the Outdoor and Powersports Industries.
* Demonstrated ability to manage complex initiatives and projects in a matrixed environment.
* Outstanding communications, relationship building, influencing and collaboration skills.
* Strategic thinking with ability to develop and implement actionable plans to drive business results.
* 5\+ years marketing or product innovation/management experience
* 5\+ years managing people and teams
* Strong background working with clients, reporting on performance and delivering results.
* Demonstrated project management skills.
* Advanced problem\-solving skills with the ability to develop innovative solutions in a fast\-changing environment.
* P\&amp;L experience with solid understanding of business financials
* Current on financial services, payments industry trends, competitors, emerging technologies and companies
* Strong technical knowledge (financial services)
* Product commercialization experience, marketing and communications expertise
**Grade/Level: 12**
 The salary range for this position is
 **110,000\.00 \- 185,000\.00** 
 USD Annual and is eligible for an annual bonus based on individual and company performance.
 Actual compensation offered within the posted salary range will be based upon work experience, skill level or knowledge.
 Salaries are adjusted according to market in CA, NY Metro and Seattle.
**Eligibility Requirements**
* You must be 18 years or older
* You must have a high school diploma or equivalent
* You must be willing to take a drug test, submit to a background investigation and submit fingerprints as part of the onboarding process
* You must be able to satisfy the requirements of Section 19 of the Federal Deposit Insurance Act.
* New hires (Level 4\-7\) must have 9 months of continuous service with the company before they are eligible to post on other roles. Once this new hire time in position requirement is met, the associate will have a minimum 6 months’ time in position before they can post for future non\-exempt roles. Employees, level 8 or greater, must have at least 18 months’ time in position before they can post. All internal employees must consistently meet performance expectations and have approval from your manager to post (or the approval of your manager and HR if you don’t meet the time in position or performance expectations).
 Legal authorization to work in the U.S. is required. We will not sponsor individuals for employment visas, now or in the future, for this job opening. All qualified applicants will receive consideration for employment without regard to race, color, religion, sex, sexual orientation, gender identity, national origin, disability, or veteran status.
**Our Commitment**
 When you join us, you’ll be part of an inclusive culture where your individual skills, experience, and voice are not only heard – but valued. Together, we’re building a future where we can all belong, connect, and turn ideals into action. More than 50% of our workforce is engaged in our Employee Resource Groups (ERGs), where community and passion intersect to offer a safe space to learn and grow.
 This starts when you choose to apply for a role at Synchrony. We ensure all qualified applicants will receive consideration for employment without regard to age, race, color, religion, gender, sexual orientation, gender identity, national origin, disability, or veteran status. We’re proud to have an award\-winning culture for all.
**Reasonable Accommodation Notice**
* Federal law requires employers to provide reasonable accommodation to qualified individuals with disabilities. Please tell us if you require a reasonable accommodation to apply for a job or to perform your job. Examples of reasonable accommodation include making a change to the application process or work procedures, providing documents in an alternate format, using a sign language interpreter, or using specialized equipment.
* If you need special accommodations, please call our Career Support Line so that we can discuss your specific situation. We can be reached at 1\-866\-301\-5627\. Representatives are available from 8am – 5pm Monday to Friday, Central Standard Time
**Job Family Group**
 Marketing</t>
        </is>
      </c>
    </row>
    <row r="51">
      <c r="A51" t="inlineStr">
        <is>
          <t>li-4363483088</t>
        </is>
      </c>
      <c r="B51" t="inlineStr">
        <is>
          <t>Senior Product Manager, Generative AI, Google Cloud</t>
        </is>
      </c>
      <c r="C51" t="inlineStr">
        <is>
          <t>Google</t>
        </is>
      </c>
      <c r="D51" t="inlineStr">
        <is>
          <t>linkedin</t>
        </is>
      </c>
      <c r="E51">
        <f>HYPERLINK("https://www.linkedin.com/jobs/view/4363483088", "https://www.linkedin.com/jobs/view/4363483088")</f>
        <v/>
      </c>
      <c r="F51" t="inlineStr"/>
      <c r="G51" t="inlineStr">
        <is>
          <t>San Francisco, CA</t>
        </is>
      </c>
      <c r="H51" t="inlineStr"/>
      <c r="I51" t="inlineStr">
        <is>
          <t>Applicants in San Francisco: Qualified applications with arrest or conviction records will be considered for employment in accordance with the San Francisco Fair Chance Ordinance for Employers and the California Fair Chance Act.
 In accordance with Washington state law, we are highlighting our comprehensive benefits package, which is available to all eligible US based employees. Benefits for this role include:
 Health, dental, vision, life, disability insurance
 Retirement Benefits: 401(k) with company match
 Paid Time Off: 20 days of vacation per year, accruing at a rate of 6\.15 hours per pay period for the first five years of employment
 Sick Time: 40 hours/year (statutory, where applicable); 5 days/event (discretionary)
 Maternity Leave (Short\-Term Disability \+ Baby Bonding): 28\-30 weeks
 Baby Bonding Leave: 18 weeks
 Holidays: 13 paid days per year
 Note: By applying to this position you will have an opportunity to share your preferred working location from the following:
 **Sunnyvale, CA, USA; San Francisco, CA, USA; Seattle, WA, USA; Kirkland, WA, USA** 
 .
 **Minimum qualifications:**
* Bachelor's degree or equivalent practical experience.
* 8 years of experience in product management or related technical role.
* 3 years of experience taking technical products from conception to launch (e.g., ideation to execution, end\-to\-end, 0 to 1, etc).
* Experience with the domain area of Generative AI or Large Language Models.
**Preferred qualifications:**
* Master's degree in a technology or business related field.
* 5 years of experience working cross\-functionally with engineering, UX/UI, sales finance, and other stakeholders.
* 5 years of experience in a business function or role (e.g., strategic marketing, business operations, consulting).
* 4 years of experience in a role preparing and delivering technical presentations to senior leadership.
* 3 years of experience in software development or engineering.
* 3 years of people management experience with direct reports, and in technical leadership.
**About The Job**
 At Google, we put our users first. The world is always changing, so we need Product Managers who are continuously adapting and excited to work on products that affect millions of people every day.
 In this role, you will work cross\-functionally to guide products from conception to launch by connecting the technical and business worlds. You can break down complex problems into steps that drive product development.
 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
 You will work closely with our product teams to innovate, incubate and prototype how to evolve and transform our Google Cloud Platform (GCP) products to provide Generative AI driven experiences and solutions. You will incubate, prototype, and iterate in this space to quickly bring new ideas to production. This includes staying on top of the latest technology and techniques for Generative AI to continue to evolve our approaches.solve their most critical business problems.
 Google Cloud accelerates every organization’s ability to digitally transform its business and industry. We deliver enterprise\-grade solutions that leverage Google’s cutting\-edge technology, and tools that help developers build more sustainably. Customers in more than 200 countries and territories turn to Google Cloud as their trusted partner to enable growth and solve their most critical business problems.
 The US base salary range for this full\-time position is $183,000\-$271,000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Lead PRDs by collaborating with partner teams (e.g., engineers, PgMs, UX) during product design and development to implement the requirements to turn PRDs into OKRs for multiple teams.
* Own and define project roadmaps.
* Drive development and secure buy\-in for a product vision that identifies, defines, and supports the overall product narrative and direction, achieving an outcome that is greater than the sum of its parts.
* Manage validation of market size and opportunity (e.g., user\-based, strategic opportunity, revenue).
* Lead and harmonize processes to define, identify, collect, and track appropriate product or business metrics, both quantitative and qualitative for new or existing products or business ventures.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52">
      <c r="A52" t="inlineStr">
        <is>
          <t>li-4378884486</t>
        </is>
      </c>
      <c r="B52" t="inlineStr">
        <is>
          <t>VP, Secured Installment Product Manager</t>
        </is>
      </c>
      <c r="C52" t="inlineStr">
        <is>
          <t>Synchrony</t>
        </is>
      </c>
      <c r="D52" t="inlineStr">
        <is>
          <t>linkedin</t>
        </is>
      </c>
      <c r="E52">
        <f>HYPERLINK("https://www.linkedin.com/jobs/view/4378884486", "https://www.linkedin.com/jobs/view/4378884486")</f>
        <v/>
      </c>
      <c r="F52" t="inlineStr"/>
      <c r="G52" t="inlineStr">
        <is>
          <t>Charlotte, NC</t>
        </is>
      </c>
      <c r="H52" t="inlineStr"/>
      <c r="I52" t="inlineStr">
        <is>
          <t>JOB\_POSTING\-3\-79799\-2
**Job Description**
**Role Summary/Purpose**
 At Synchrony, we enable commerce by delivering the leading financial ecosystem that connects our partners and our customers through world\-class technology, products, and capabilities. Our partners and customers are at the forefront of everything that we do.
 We are looking for a customer and partner obsessed Product Manager that is focused on delivering best in class products within the Secured Installment Loan market. As a critical member of the Product organization, the Secured Installment Product Manager will own the customer need while developing and leading the product roadmap to achieve customer, partner, and business objectives. This role requires being the customer, market, and product subject matter expert, using data to identify opportunities, gaining alignment with the organization and key stakeholders, and leading the development of technology\-driven, innovative solutions and enhancements. The ideal candidate is comfortable with ambiguity, thrives in a fast\-moving agile environment, collaborates effectively across teams, and acts as an owner by proactively taking initiative.
***We’re proud to offer you flexibility. At Synchrony, our way of working allows you to have the option to work from home near one of our Hubs or come into one of our offices. Occasionally you will be required to commute or travel for in person engagement activities such as business or team meetings, training and culture events.***
* Field Sales and some Commercial team roles may have varied location requirements based upon partner obligations or preferences.
**Essential Functions/Responsibilities**
* Manage, develop, and drive Synchrony’s Secured Installment product; provide visionary leadership and strategic direction for the Secured Installment loan portfolio to meet business growth, profitability, and customer needs
* Own the entire product development lifecycle, from initial ideation, market research and cost/benefit analysis through business requirements gathering, wing\-to\-wing experience, build and testing.
* Translate customer insights, competitive landscape, and market trends into innovative product features and enhancements that improve customer acquisition, engagement, and retention.
* Define clear product requirements and user stories, collaborating closely with technology and design teams to ensure timely and high\-quality delivery.
* Engage with our agile product development processes, working with product technology, user experience designers, engineers, and data scientists to continuously refine the product based on user feedback and data analytics.
* Drive cross\-functional collaboration and alignment to ensure features are prioritized effectively against other initiates
* Partner with risk and underwriting teams to embed innovative credit decisioning models and fraud detection technologies within the product framework.
* Collaborate with marketing and sales teams to design go\-to\-market plans that effectively communicate product benefits and value propositions.
* Liaise closely with Business Development to ensure consumer products are accurately represented in RFP responses, develop compelling business cases aligned with optimal product strategies, and provide guidance to new business implementation teams to ensure successful build and launch of products for new portfolios
* Manage and optimize product performance via KPIs and analytics, making data\-driven decisions to enhance product profitability and customer satisfaction.
* Proactively engage with Compliance and Legal to ensure adherence with all external and internal compliance and regulatory requirements
* Lead cross\-functional teams, in a matrixed environment, through project plans that include major milestones, critical risk indicators, measures of success and contingencies.
* Stay abreast of industry developments, competitive landscape, and emerging technologies impacting secured installment lending.
* Act as a key liaison with executive leadership and external partners on product performance, strategy, and competitive positioning.
* Perform special assignments \&amp; other duties as required.
**Qualifications/Requirements**
* Bachelor's Degree or, in lieu of a degree, a high school diploma and 10 years of marketing or product experience in the credit card or financial services industries
* Minimum of 6 years marketing or product expertise that includes:
+ A proven track record of launching new products or applications with demonstrated business impact
+ Ability to influence and coordinate multi\-functional teams
+ Effective verbal and written communication skills across functions and multiple levels of leadership
* Ability and flexibility to travel for business as required
**Desired Qualifications**
* Credit card, consumer finance or financial services industry experience
* Experience within Secured Installment Loan industry; understanding of dealer dynamic in the Outdoor and Powersports Industries.
* Demonstrated ability to manage complex initiatives and projects in a matrixed environment.
* Outstanding communications, relationship building, influencing and collaboration skills.
* Strategic thinking with ability to develop and implement actionable plans to drive business results.
* 5\+ years marketing or product innovation/management experience
* 5\+ years managing people and teams
* Strong background working with clients, reporting on performance and delivering results.
* Demonstrated project management skills.
* Advanced problem\-solving skills with the ability to develop innovative solutions in a fast\-changing environment.
* P\&amp;L experience with solid understanding of business financials
* Current on financial services, payments industry trends, competitors, emerging technologies and companies
* Strong technical knowledge (financial services)
* Product commercialization experience, marketing and communications expertise
**Grade/Level: 12**
 The salary range for this position is
 **110,000\.00 \- 185,000\.00** 
 USD Annual and is eligible for an annual bonus based on individual and company performance.
 Actual compensation offered within the posted salary range will be based upon work experience, skill level or knowledge.
 Salaries are adjusted according to market in CA, NY Metro and Seattle.
**Eligibility Requirements**
* You must be 18 years or older
* You must have a high school diploma or equivalent
* You must be willing to take a drug test, submit to a background investigation and submit fingerprints as part of the onboarding process
* You must be able to satisfy the requirements of Section 19 of the Federal Deposit Insurance Act.
* New hires (Level 4\-7\) must have 9 months of continuous service with the company before they are eligible to post on other roles. Once this new hire time in position requirement is met, the associate will have a minimum 6 months’ time in position before they can post for future non\-exempt roles. Employees, level 8 or greater, must have at least 18 months’ time in position before they can post. All internal employees must consistently meet performance expectations and have approval from your manager to post (or the approval of your manager and HR if you don’t meet the time in position or performance expectations).
 Legal authorization to work in the U.S. is required. We will not sponsor individuals for employment visas, now or in the future, for this job opening. All qualified applicants will receive consideration for employment without regard to race, color, religion, sex, sexual orientation, gender identity, national origin, disability, or veteran status.
**Our Commitment**
 When you join us, you’ll be part of an inclusive culture where your individual skills, experience, and voice are not only heard – but valued. Together, we’re building a future where we can all belong, connect, and turn ideals into action. More than 50% of our workforce is engaged in our Employee Resource Groups (ERGs), where community and passion intersect to offer a safe space to learn and grow.
 This starts when you choose to apply for a role at Synchrony. We ensure all qualified applicants will receive consideration for employment without regard to age, race, color, religion, gender, sexual orientation, gender identity, national origin, disability, or veteran status. We’re proud to have an award\-winning culture for all.
**Reasonable Accommodation Notice**
* Federal law requires employers to provide reasonable accommodation to qualified individuals with disabilities. Please tell us if you require a reasonable accommodation to apply for a job or to perform your job. Examples of reasonable accommodation include making a change to the application process or work procedures, providing documents in an alternate format, using a sign language interpreter, or using specialized equipment.
* If you need special accommodations, please call our Career Support Line so that we can discuss your specific situation. We can be reached at 1\-866\-301\-5627\. Representatives are available from 8am – 5pm Monday to Friday, Central Standard Time
**Job Family Group**
 Marketing</t>
        </is>
      </c>
    </row>
    <row r="53">
      <c r="A53" t="inlineStr">
        <is>
          <t>li-4370476840</t>
        </is>
      </c>
      <c r="B53" t="inlineStr">
        <is>
          <t>Product Manager II, Cross Product Safety, YouTube</t>
        </is>
      </c>
      <c r="C53" t="inlineStr">
        <is>
          <t>Google</t>
        </is>
      </c>
      <c r="D53" t="inlineStr">
        <is>
          <t>linkedin</t>
        </is>
      </c>
      <c r="E53">
        <f>HYPERLINK("https://www.linkedin.com/jobs/view/4370476840", "https://www.linkedin.com/jobs/view/4370476840")</f>
        <v/>
      </c>
      <c r="F53">
        <f>HYPERLINK("https://careers.google.com/jobs/results/82138958661591750-product-manager-ii/?src=Online/LinkedIn/linkedin_us&amp;utm_source=linkedin&amp;utm_medium=jobposting&amp;utm_campaign=contract&amp;urlHash=vLbh", "https://careers.google.com/jobs/results/82138958661591750-product-manager-ii/?src=Online/LinkedIn/linkedin_us&amp;utm_source=linkedin&amp;utm_medium=jobposting&amp;utm_campaign=contract&amp;urlHash=vLbh")</f>
        <v/>
      </c>
      <c r="G53" t="inlineStr">
        <is>
          <t>Mountain View, CA</t>
        </is>
      </c>
      <c r="H53" t="inlineStr"/>
      <c r="I53" t="inlineStr">
        <is>
          <t>Note: By applying to this position you will have an opportunity to share your preferred working location from the following:
 **San Bruno, CA, USA; Mountain View, CA, USA** 
 .
 **Minimum qualifications:**
* Bachelor's degree or equivalent practical experience.
* 5 years of experience in product management or related technical role.
* 2 years of experience in taking products from conception to launch (e.g., ideation to execution, 0 to 1, etc.) specifically in Trust and Safety domain or infrastructure and platform solutions.
**Preferred qualifications:**
* Experience working with cross\-functional teams, including policy development, operations, and feature teams, within a T\&amp;S or adjacent organization.
* Experience driving cross\-functional initiatives involving multiple product teams.
* Familiarity with ML and detection, setting policies and compliance, understanding of systems and platforms, or knowledge of APIs.
* Ability to influence and communicate cross\-functionally with all levels of management.
* Excellent problem\-solving, communication, and presentation skills with the ability to operate in a changing, constantly evolving, and collaborative environment.
**About The Job**
 At Google, we put our users first. The world is always changing, so we need Product Managers who are continuously adapting and excited to work on products that affect millions of people every day.
 In this role, you will work cross\-functionally to guide products from conception to launch by connecting the technical and business worlds. You can break down complex problems into steps that drive product development.
 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
 Cross Product Safety (XPS) at YouTube (YT) enables YouTube innovation by allowing features to launch safely and responsibly in a fast and easy way.
 This team advanced Machine Learning (ML) teams employing Large Language Model (LLM) and ML technologies to keep YT safe. This role will interface with these expert engineering teams to develop the Trust and Safety (T\&amp;S) capabilities as needed for the new features.
 In this role, you will have a front seat to innovation alongside high visibility with executive leadership in an effort to ensure all new features are designed to be safe for the YouTube community. You will take the pivotal responsibility of developing a goal, strategy, and roadmap for platform\-level product ideas to improve the new feature onboarding to T\&amp;S.
 At YouTube, we believe that everyone deserves to have a voice, and that the world is a better place when we listen, share, and build community through our stories. We work together to give everyone the power to share their story, explore what they love, and connect with one another in the process. Working at the intersection of cutting\-edge technology and boundless creativity, we move at the speed of culture with a shared goal to show people the world. We explore new ideas, solve real problems, and have fun — and we do it all together.
 The US base salary range for this full\-time position is $156,000\-$229,000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Evaluate the risk landscape of emerging YouTube features, identifying potential vulnerabilities and outlining impact assessments to ensure user safety from the outset.
* Design and implement comprehensive Trust and Safety (T\&amp;S) plans for new features where required, ensuring all initiatives meet and exceed our stringent safety standards and policy requirements.
* Drive the successful execution of safety plans through seamless collaboration with Feature teams, T\&amp;S Product and Engineering teams, Product Operations, Technical Program Managers, and other key stakeholders.
* Develop the goal and strategy for platform\-level product roadmaps that can improve the T\&amp;S efficiencies overall resulting in faster onboarding times for the Feature teams.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54">
      <c r="A54" t="inlineStr">
        <is>
          <t>li-4378885461</t>
        </is>
      </c>
      <c r="B54" t="inlineStr">
        <is>
          <t>VP, Secured Installment Product Manager</t>
        </is>
      </c>
      <c r="C54" t="inlineStr">
        <is>
          <t>Synchrony</t>
        </is>
      </c>
      <c r="D54" t="inlineStr">
        <is>
          <t>linkedin</t>
        </is>
      </c>
      <c r="E54">
        <f>HYPERLINK("https://www.linkedin.com/jobs/view/4378885461", "https://www.linkedin.com/jobs/view/4378885461")</f>
        <v/>
      </c>
      <c r="F54">
        <f>HYPERLINK("https://SynchronyFinancial.contacthr.com/151240255?source=LinkedIn&amp;urlHash=IqMO", "https://SynchronyFinancial.contacthr.com/151240255?source=LinkedIn&amp;urlHash=IqMO")</f>
        <v/>
      </c>
      <c r="G54" t="inlineStr">
        <is>
          <t>Lake Mary, FL</t>
        </is>
      </c>
      <c r="H54" t="inlineStr"/>
      <c r="I54" t="inlineStr">
        <is>
          <t>JOB\_POSTING\-3\-79799\-7
**Job Description**
**Role Summary/Purpose**
 At Synchrony, we enable commerce by delivering the leading financial ecosystem that connects our partners and our customers through world\-class technology, products, and capabilities. Our partners and customers are at the forefront of everything that we do.
 We are looking for a customer and partner obsessed Product Manager that is focused on delivering best in class products within the Secured Installment Loan market. As a critical member of the Product organization, the Secured Installment Product Manager will own the customer need while developing and leading the product roadmap to achieve customer, partner, and business objectives. This role requires being the customer, market, and product subject matter expert, using data to identify opportunities, gaining alignment with the organization and key stakeholders, and leading the development of technology\-driven, innovative solutions and enhancements. The ideal candidate is comfortable with ambiguity, thrives in a fast\-moving agile environment, collaborates effectively across teams, and acts as an owner by proactively taking initiative.
***We’re proud to offer you flexibility. At Synchrony, our way of working allows you to have the option to work from home near one of our Hubs or come into one of our offices. Occasionally you will be required to commute or travel for in person engagement activities such as business or team meetings, training and culture events.***
* Field Sales and some Commercial team roles may have varied location requirements based upon partner obligations or preferences.
**Essential Functions/Responsibilities**
* Manage, develop, and drive Synchrony’s Secured Installment product; provide visionary leadership and strategic direction for the Secured Installment loan portfolio to meet business growth, profitability, and customer needs
* Own the entire product development lifecycle, from initial ideation, market research and cost/benefit analysis through business requirements gathering, wing\-to\-wing experience, build and testing.
* Translate customer insights, competitive landscape, and market trends into innovative product features and enhancements that improve customer acquisition, engagement, and retention.
* Define clear product requirements and user stories, collaborating closely with technology and design teams to ensure timely and high\-quality delivery.
* Engage with our agile product development processes, working with product technology, user experience designers, engineers, and data scientists to continuously refine the product based on user feedback and data analytics.
* Drive cross\-functional collaboration and alignment to ensure features are prioritized effectively against other initiates
* Partner with risk and underwriting teams to embed innovative credit decisioning models and fraud detection technologies within the product framework.
* Collaborate with marketing and sales teams to design go\-to\-market plans that effectively communicate product benefits and value propositions.
* Liaise closely with Business Development to ensure consumer products are accurately represented in RFP responses, develop compelling business cases aligned with optimal product strategies, and provide guidance to new business implementation teams to ensure successful build and launch of products for new portfolios
* Manage and optimize product performance via KPIs and analytics, making data\-driven decisions to enhance product profitability and customer satisfaction.
* Proactively engage with Compliance and Legal to ensure adherence with all external and internal compliance and regulatory requirements
* Lead cross\-functional teams, in a matrixed environment, through project plans that include major milestones, critical risk indicators, measures of success and contingencies.
* Stay abreast of industry developments, competitive landscape, and emerging technologies impacting secured installment lending.
* Act as a key liaison with executive leadership and external partners on product performance, strategy, and competitive positioning.
* Perform special assignments \&amp; other duties as required.
**Qualifications/Requirements**
* Bachelor's Degree or, in lieu of a degree, a high school diploma and 10 years of marketing or product experience in the credit card or financial services industries
* Minimum of 6 years marketing or product expertise that includes:
+ A proven track record of launching new products or applications with demonstrated business impact
+ Ability to influence and coordinate multi\-functional teams
+ Effective verbal and written communication skills across functions and multiple levels of leadership
* Ability and flexibility to travel for business as required
**Desired Qualifications**
* Credit card, consumer finance or financial services industry experience
* Experience within Secured Installment Loan industry; understanding of dealer dynamic in the Outdoor and Powersports Industries.
* Demonstrated ability to manage complex initiatives and projects in a matrixed environment.
* Outstanding communications, relationship building, influencing and collaboration skills.
* Strategic thinking with ability to develop and implement actionable plans to drive business results.
* 5\+ years marketing or product innovation/management experience
* 5\+ years managing people and teams
* Strong background working with clients, reporting on performance and delivering results.
* Demonstrated project management skills.
* Advanced problem\-solving skills with the ability to develop innovative solutions in a fast\-changing environment.
* P\&amp;L experience with solid understanding of business financials
* Current on financial services, payments industry trends, competitors, emerging technologies and companies
* Strong technical knowledge (financial services)
* Product commercialization experience, marketing and communications expertise
**Grade/Level: 12**
 The salary range for this position is
 **110,000\.00 \- 185,000\.00** 
 USD Annual and is eligible for an annual bonus based on individual and company performance.
 Actual compensation offered within the posted salary range will be based upon work experience, skill level or knowledge.
 Salaries are adjusted according to market in CA, NY Metro and Seattle.
**Eligibility Requirements**
* You must be 18 years or older
* You must have a high school diploma or equivalent
* You must be willing to take a drug test, submit to a background investigation and submit fingerprints as part of the onboarding process
* You must be able to satisfy the requirements of Section 19 of the Federal Deposit Insurance Act.
* New hires (Level 4\-7\) must have 9 months of continuous service with the company before they are eligible to post on other roles. Once this new hire time in position requirement is met, the associate will have a minimum 6 months’ time in position before they can post for future non\-exempt roles. Employees, level 8 or greater, must have at least 18 months’ time in position before they can post. All internal employees must consistently meet performance expectations and have approval from your manager to post (or the approval of your manager and HR if you don’t meet the time in position or performance expectations).
 Legal authorization to work in the U.S. is required. We will not sponsor individuals for employment visas, now or in the future, for this job opening. All qualified applicants will receive consideration for employment without regard to race, color, religion, sex, sexual orientation, gender identity, national origin, disability, or veteran status.
**Our Commitment**
 When you join us, you’ll be part of an inclusive culture where your individual skills, experience, and voice are not only heard – but valued. Together, we’re building a future where we can all belong, connect, and turn ideals into action. More than 50% of our workforce is engaged in our Employee Resource Groups (ERGs), where community and passion intersect to offer a safe space to learn and grow.
 This starts when you choose to apply for a role at Synchrony. We ensure all qualified applicants will receive consideration for employment without regard to age, race, color, religion, gender, sexual orientation, gender identity, national origin, disability, or veteran status. We’re proud to have an award\-winning culture for all.
**Reasonable Accommodation Notice**
* Federal law requires employers to provide reasonable accommodation to qualified individuals with disabilities. Please tell us if you require a reasonable accommodation to apply for a job or to perform your job. Examples of reasonable accommodation include making a change to the application process or work procedures, providing documents in an alternate format, using a sign language interpreter, or using specialized equipment.
* If you need special accommodations, please call our Career Support Line so that we can discuss your specific situation. We can be reached at 1\-866\-301\-5627\. Representatives are available from 8am – 5pm Monday to Friday, Central Standard Time
**Job Family Group**
 Marketing</t>
        </is>
      </c>
    </row>
    <row r="55">
      <c r="A55" t="inlineStr">
        <is>
          <t>li-4346507504</t>
        </is>
      </c>
      <c r="B55" t="inlineStr">
        <is>
          <t>Senior Product Manager, Applications</t>
        </is>
      </c>
      <c r="C55" t="inlineStr">
        <is>
          <t>Govini</t>
        </is>
      </c>
      <c r="D55" t="inlineStr">
        <is>
          <t>linkedin</t>
        </is>
      </c>
      <c r="E55">
        <f>HYPERLINK("https://www.linkedin.com/jobs/view/4346507504", "https://www.linkedin.com/jobs/view/4346507504")</f>
        <v/>
      </c>
      <c r="F55">
        <f>HYPERLINK("https://job-boards.greenhouse.io/govini/jobs/4069468009?gh_src=03yn673x9us&amp;urlHash=nlCB", "https://job-boards.greenhouse.io/govini/jobs/4069468009?gh_src=03yn673x9us&amp;urlHash=nlCB")</f>
        <v/>
      </c>
      <c r="G55" t="inlineStr">
        <is>
          <t>Arlington, VA</t>
        </is>
      </c>
      <c r="H55" t="inlineStr"/>
      <c r="I55" t="inlineStr">
        <is>
          <t>**Company Description**
 Govini transforms Defense Acquisition from an outdated manual process to a software\-driven strategic advantage for the United States. Our flagship product, Ark, supports Supply Chain, Science and Technology, Production, Sustainment, Logistics, and Modernization teams with AI\-enabled Applications and best\-in\-class data to more rapidly imagine, develop, and field the capabilities we need. Today, the national security community and every branch of the military rely on Govini to enable faster and more informed Acquisition decisions.
**Job Description**
 We are seeking a product\-oriented leader to lead the integration of new capabilities into our existing Applications within the Ark platform. This is an individual contributor role responsible for prioritizing, rationalizing and integrating existing prototypes into our production Applications. As the product owner, you are accountable for delivering valuable and differentiated solutions at scale, end to end, within our Ark platform.
 Govini’s application\-aligned product managers are responsible for thinking broadly across the communities we serve and delivering solutions that provide value to a wide range of customers. They partner with account\-aligned PMs, as well as our engagement and implementation teams, to broadly scale “in\-the\-field” solutions and improve the configurability and adaptability of our platform. In this role, you will partner with customer\-aligned PMs to integrate prototype workflows and capabilities into full production within the Ark. You should be highly motivated by the market adoption of the solutions you successfully launch.
 In order to do this job well, you must possess exceptional judgment when it comes to identifying opportunities to deliver customer value in a productized way, as well as in the relative prioritization of those opportunities. You must work effectively cross\-functionally in often ambiguous circumstances, distilling market opportunities to a clear set of objectives and solutions, and articulating the value of those solutions both internally and externally.
 In a typical week, a product manager could expect to:
* Spend several days on site with users, seeking to understand how users across a variety of accounts utilize Ark to relieve pain points and triangulate the commonalities to build new valuable workflows in the Ark.
* Draft clear and compelling articulation of customer problems, and what a good solution to those problems would look like in the Ark.
* Partner with the sales team to help assess opportunities and understand the degree to which customer requirements align with product capabilities and roadmap
* Define how those solutions deliver value across a wide range of customer environments and determine what features are necessary to support broad adoption of the solution.
* Collaborate with engineering and design teams to deliver the most promising capabilities.
 This is a full\-time team member position, working in the office at our Arlington, VA location.
 This role may require up to 50% travel.
 Scope of Responsibilities
* For new product features, define the addressable market size, the competitive landscape, the near term sales opportunities, and alignment with the overall product strategy
* Validate concepts using the value proposition canvas/business model canvas, build a comprehensive business case, and communicate and defend the prioritization internally
* Partner with internal engineering and data science teams to scope the expected associated investment costs/timelines, and ensure that the business can deliver on scope, contractual obligations, and agreed\-upon timelines
* Facilitate market introduction of new features/functions while balancing tradeoffs of risk, cost, and speed
* Ensure smooth integration of prototyped features/functions into Ark for utilization across customer accounts
**Qualifications**
* U.S. Citizenship is required
* Bachelor’s degree in business or technology\-related field
**Required Skills**
* 5\+ years in a product or software role, including experience with enterprise software (B2B or B2G)
* Strong value orientation, understanding of what matters for our customers, and why
* Self\-starter, owner mentality
* Ability to thrive in a fast\-paced, dynamic work environment
* Exceptional written and oral communication skills across all levels of the business
**Desired Skills**
* Current possession of a U.S. security clearance, or the ability to obtain one with our sponsorship
* Experience in or exposure to the nuances of a startup or other entrepreneurial environment
* Experience in or around DoD, in particular, the Department of the Army or the Department of the Air Force
* Full product lifecycle experience, from early idea through production and maintenance
* Familiarity with the value proposition canvas and/or business model canvas frameworks
* Advanced degree in a business or technical field
*We firmly believe that past performance is the best indicator of future performance. If you thrive while building solutions to complex problems, are a self\-starter, and are passionate about making an impact in global security, we’re eager to hear from you.*
**Govini is an Equal Opportunity Employer. All qualified applicants will receive consideration for employment without regard to race, color, religion, sex, national origin, sexual orientation, gender identity, disability and protected veterans status or any other characteristic protected by law.**</t>
        </is>
      </c>
    </row>
    <row r="56">
      <c r="A56" t="inlineStr">
        <is>
          <t>li-4370406167</t>
        </is>
      </c>
      <c r="B56" t="inlineStr">
        <is>
          <t>Group Product Manager, Data Integration</t>
        </is>
      </c>
      <c r="C56" t="inlineStr">
        <is>
          <t>Google</t>
        </is>
      </c>
      <c r="D56" t="inlineStr">
        <is>
          <t>linkedin</t>
        </is>
      </c>
      <c r="E56">
        <f>HYPERLINK("https://www.linkedin.com/jobs/view/4370406167", "https://www.linkedin.com/jobs/view/4370406167")</f>
        <v/>
      </c>
      <c r="F56" t="inlineStr"/>
      <c r="G56" t="inlineStr">
        <is>
          <t>Sunnyvale, CA</t>
        </is>
      </c>
      <c r="H56" t="inlineStr"/>
      <c r="I56" t="inlineStr">
        <is>
          <t>In accordance with Washington state law, we are highlighting our comprehensive benefits package, which is available to all eligible US based employees. Benefits for this role include:
* Health, dental, vision, life, disability insurance
* Retirement Benefits: 401(k) with company match
* Paid Time Off: 20 days of vacation per year, accruing at a rate of 6\.15 hours per pay period for the first five years of employment
* Sick Time: 40 hours/year (statutory, where applicable); 5 days/event (discretionary)
* Maternity Leave (Short\-Term Disability \+ Baby Bonding): 28\-30 weeks
* Baby Bonding Leave: 18 weeks
* Holidays: 13 paid days per year
**Minimum qualifications:**
* Bachelor's degree or equivalent practical experience.
* 10 years of experience in product management or a related technical role.
* 5 years of experience taking technical products from conception to launch (e.g., ideation to execution, end\-to\-end, 0 to 1, etc.).
* Experience developing or launching products or technologies within databases, analytics, big data, or a related area.
**Preferred qualifications:**
* Master's degree in a technology or business related field.
* 7 years of experience working cross\-functionally with engineering, UX/UI, sales finance, and other stakeholders.
* 5 years of experience in a role preparing and delivering technical presentations to executive leadership.
* Experience managing or mentoring executive product managers and leading large cross\-functional teams.
* Experience in lakehouse architectures, apache spark, enterprise data warehouses, ETL/ELT, and data governance.
* Ability to navigate ambiguity and define 0 to 1 strategies for emerging technologies, specifically Generative AI, data mesh, and autonomous data operations.
**About The Job**
 At Google, we put our users first. The world is always changing, so we need Product Managers who are continuously adapting and excited to work on products that affect millions of people every day.
 In this role, you will work cross\-functionally to guide products from conception to launch by connecting the technical and business worlds. You can break down complex problems into steps that drive product development.
 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
 In this role, you will not just build a product; you will define the future of the data economy. You will institutionalize a culture of radical customer empathy, ensuring that our multi\-year strategy is built on a deep understanding of the customer’s evolving needs in an AI\-first world. You will lead the transformation of the market, guiding a team to deliver the best platform that doesn't just integrate data, but fundamentally automates and accelerates the path to intelligence for global enterprises.
 Google Cloud accelerates every organization’s ability to digitally transform its business and industry. We deliver enterprise\-grade solutions that leverage Google’s cutting\-edge technology, and tools that help developers build more sustainably. Customers in more than 200 countries and territories turn to Google Cloud as their trusted partner to enable growth and solve their most critical business problems.
 The US base salary range for this full\-time position is $227,000\-$320,000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Own the comprehensive 3\-5 year goal for the Data Integration business. Synthesize market trends, AI advancements, and customer insights to make strategic bets that drive long\-term growth and market leadership.
* Lead the strategic direction for high\-performance data engineering, specifically leading the adoption of Lakehouse architectures and Apache Spark. Define how our platform converges data warehouses and data lakes, ensuring exceptional interoperability and performance for massive\-scale processing workloads.
* Lead the strategy for infusing Generative AI and automation across the entire integration stack. Define how our platform leverages AI to disrupt legacy ETL patterns, creating self\-healing pipelines and autonomous data engineering capabilities that set new industry standards.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57">
      <c r="A57" t="inlineStr">
        <is>
          <t>li-4364216302</t>
        </is>
      </c>
      <c r="B57" t="inlineStr">
        <is>
          <t>Senior Product Manager - unannounced IP</t>
        </is>
      </c>
      <c r="C57" t="inlineStr">
        <is>
          <t>2K</t>
        </is>
      </c>
      <c r="D57" t="inlineStr">
        <is>
          <t>linkedin</t>
        </is>
      </c>
      <c r="E57">
        <f>HYPERLINK("https://www.linkedin.com/jobs/view/4364216302", "https://www.linkedin.com/jobs/view/4364216302")</f>
        <v/>
      </c>
      <c r="F57" t="inlineStr"/>
      <c r="G57" t="inlineStr"/>
      <c r="H57" t="inlineStr"/>
      <c r="I57" t="inlineStr">
        <is>
          <t>Who We Are
 2K is headquartered in Novato, California and is a wholly owned label of Take\-Two Interactive Software, Inc. (NASDAQ: TTWO). Founded in 2005, 2K Games is a global video game company, publishing titles developed by some of the most influential game development studios in the world. Our studios responsible for developing 2K’s portfolio of world\-class games across multiple platforms, include Visual Concepts, Firaxis, Hangar 13, CatDaddy, Cloud Chamber, 31st Union, and HB Studios. Our portfolio of titles is expanding due to our global strategic plan, building and acquiring exciting studios whose content continues to inspire all of us! 2K publishes titles in today’s most popular gaming genres, including sports, shooters, action, role\-playing, strategy, casual, and family entertainment.
 Our team of engineers, marketers, artists, writers, data scientists, producers, thinkers and doers, are the professional publishing stewards of our growing library of critically\-acclaimed franchises such as NBA 2K, 2K PGA, Battleborn, BioShock, Borderlands, The Quarry, The Darkness, Mafia, Sid Meier’s Civilization, Marvel’s Midnight Suns, WWE 2K, and XCOM.
 At 2K, we pride ourselves on creating an inclusive work environment, which means encouraging our teams to
 ***Come as You Are***
 and do your best work! We encourage ALL applicants to explore our global positions, even if they don’t meet every requirement for the role. If you're interested in the job and think you have what it takes to work at 2K, we encourage you to apply!
**What We Need**
 We are looking for a
 **Senior Product Manager** 
 to join the 2K Product team to work on a new IP. Your role will be to help strategically understand market trends, advocate and ground our decisions in our player, and prioritize what makes a winning title in a competitive gaming landscape. You will work closely with studios and product leadership to develop, guide, implement, and optimize the Live Services strategies supporting our new IPs' creative vision.
**What You Will Do**
 Closely partner with development and publishing teams to drive, define and deliver product \&amp; business strategy for unannounced projects, including:
* Collaborate with studio and publishing teams to build Product Needs for in\-game features and core gameplay, focused on player engagement, interest, satisfaction and how those relate to business outcomes. Effectively partner with studio and publishing teams to guide and support prioritization, tradeoffs and value.
* Use data, insights (research), and user testing to build a deep understanding of player behaviors, engagement patterns, content preferences, and player trust.
* Partner with Monetization and Commercial to connect player satisfaction and business value to create win\-win scenarios for both
* Define Product imperatives and needs, market fit and testable hypothesis for a both successful game and Live Service updates.
* Team up with marketing to connect our product offering to our marketing strategy so we reach the right players with the right promise
* Market Intelligence – Deliver research and thought leadership on the industry landscape, trends, competitor products, and recommendations that help us grow and evolve our thinking.
* Be the Product Champion – Share insights, processes, and lessons learned with other studio \&amp; publishing teams.
* Be the Player Advocate – Deeply understand and advocate for the player’s perspective; be their advocate in the room who understands them and speaks up for them to make sure we’re authentically serving our players.
**What Will Make You a Great Fit**
* 5\+ years of experience, including product management, production, live ops, game design, or other related fields within Live Service / Competitive games
* Deep understanding of and passion for competitive games, player motivations, and market trends, with the ability to deconstruct what drives successful live games and the risks and opportunities within them
* Strong shooter background professionally or recreationally, with the ability to deconstruct, analyze and synthesize market trends across data and personal experience lenses
* A data\-informed strategic thinker who is able to balance business priorities, customer perspective, resources, capacity, and partner needs to drive clear decisions.
* Excellent interpersonal, written, and verbal communication skills, with a collaborative, alignment\-building approach that emphasizes influence, clarity, and shared understanding
* Strong understanding of service\-based products and methodologies, including drivers of performance, player needs/sensitivities and content models.
* Able to thrive in ambiguous environments and enjoy creating clarity
* Comfortable operating in ambiguous environments, proactively identifying risks and opportunities early and working to mitigate issues before they become problems
**Bonus Points**
* Experience working on multiplayer competitive games in Product Management, Game Design, Production, Insights, or Strategy
* Proficiency with business intelligence tools and comfortable building models to explore opportunities while working closely with analytics
 As an equal opportunity employer, we are committed to ensuring that qualified individuals with disabilities are provided reasonable accommodation to participate in the job application or interview process, perform their essential job functions, and receive other benefits and privileges of employment. Please contact us if you need a reasonable accommodation.
**Please note that 2K Games and its studios never use instant messaging apps or personal email accounts to contact prospective employees or conduct interviews and when emailing, only use 2K.com accounts.**
 The pay range for this position in California at the start of employment is expected to be between $109,800 and $162,480 per Year. However, base pay offered is based on market location, and may vary further depending on individualized factors for job candidates, such as job\-related knowledge, skills, experience, and other objective business considerations. Subject to those same considerations, the total compensation package for this position may also include other elements, including a bonus and/or equity awards, in addition to a full range of medical, financial, and/or other benefits. Details of participation in these benefit plans will be provided if an employee receives an offer of employment. If hired, employee will be in an 'at\-will position' and the company reserves the right to modify base salary (as well as any other discretionary payment or compensation or benefit program) at any time, including for reasons related to individual performance, company or individual department/team performance, and market factors.</t>
        </is>
      </c>
    </row>
    <row r="58">
      <c r="A58" t="inlineStr">
        <is>
          <t>li-4380334199</t>
        </is>
      </c>
      <c r="B58" t="inlineStr">
        <is>
          <t>Product Owner</t>
        </is>
      </c>
      <c r="C58" t="inlineStr">
        <is>
          <t>TEKsystems</t>
        </is>
      </c>
      <c r="D58" t="inlineStr">
        <is>
          <t>linkedin</t>
        </is>
      </c>
      <c r="E58">
        <f>HYPERLINK("https://www.linkedin.com/jobs/view/4380334199", "https://www.linkedin.com/jobs/view/4380334199")</f>
        <v/>
      </c>
      <c r="F58" t="inlineStr"/>
      <c r="G58" t="inlineStr">
        <is>
          <t>Stamford, CT</t>
        </is>
      </c>
      <c r="H58" t="inlineStr"/>
      <c r="I58" t="inlineStr">
        <is>
          <t>Description
 As a Product Owner you'll be at the forefront of transforming digital experiences in a dynamic and innovative environment! As a critical member of our team, you'll prioritize and shape the product backlog, turning visionary ideas into actionable user stories that deliver tangible value.
 Responsibilities
* Define, refine, and prioritize the backlog for the delivery team.
* Develop clear and actionable user stories for the delivery team to implement.
* Communicate team capacity and workload to stakeholders.
* Collaborate with the Product Manager in developing and planning product strategy.
* Manage features and user stories from initiation through to acceptance.
* Sign\-off on completed features and communicate any trade\-offs made during the development cycle to leadership and stakeholders.
* Continuously refine the product backlog to ensure tasks are well\-defined.
* Identify and communicate risks and dependencies to keep projects on track.
* Participate in and prepare for product planning sessions, including Daily Stand\-Up, Refinement, Sprint Planning, and Quarterly Planning.
* Create release communications and conduct product demonstrations.
* Provide guidance and direction to the delivery team.
* Keep stakeholders informed with regular status updates.
* Identify opportunities for product enhancements and team efficiency improvements
 Job Type \&amp; Location
 This is a Contract position based out of Stamford, CT.
 Pay And Benefits
 The pay range for this position is $45\.00 \- $60\.00/hr.
 Eligibility requirements apply to some benefits and may depend on your job classification and length of employment. Benefits are subject to change and may be subject to specific elections, plan, or program terms. If eligible, the benefits available for this temporary role may include the following:
* Medical, dental \&amp; vision
* Critical Illness, Accident, and Hospital
* 401(k) Retirement Plan – Pre\-tax and Roth post\-tax contributions available
* Life Insurance (Voluntary Life \&amp; AD\&amp;D for the employee and dependents)
* Short and long\-term disability
* Health Spending Account (HSA)
* Transportation benefits
* Employee Assistance Program
* Time Off/Leave (PTO, Vacation or Sick Leave) Workplace Type This is a hybrid position in Stamford,CT. Application Deadline This position is anticipated to close on Mar 16, 2026\. h4\&gt;About TEKsystems: We're partners in transformation. We help clients activate ideas and solutions to take advantage of a new world of opportunity. We are a team of 80,000 strong, working with over 6,000 clients, including 80% of the Fortune 500, across North America, Europe and Asia. As an industry leader in Full\-Stack Technology Services, Talent Services, and real\-world application, we work with progressive leaders to drive change. That's the power of true partnership. TEKsystems is an Allegis Group company.
 The company is an equal opportunity employer and will consider all applications without regards to race, sex, age, color, religion, national origin, veteran status, disability, sexual orientation, gender identity, genetic information or any characteristic protected by law.
 About TEKsystems And TEKsystems Global Services
 We’re a leading provider of business and technology services. We accelerate business transformation for our customers. Our expertise in strategy, design, execution and operations unlocks business value through a range of solutions. We’re a team of 80,000 strong, working with over 6,000 customers, including 80% of the Fortune 500 across North America, Europe and Asia, who partner with us for our scale, full\-stack capabilities and speed. We’re strategic thinkers, hands\-on collaborators, helping customers capitalize on change and master the momentum of technology. We’re building tomorrow by delivering business outcomes and making positive impacts in our global communities. TEKsystems and TEKsystems Global Services are Allegis Group companies. Learn more at TEKsystems.com.
 The company is an equal opportunity employer and will consider all applications without regard to race, sex, age, color, religion, national origin, veteran status, disability, sexual orientation, gender identity, genetic information or any characteristic protected by law.</t>
        </is>
      </c>
    </row>
    <row r="59">
      <c r="A59" t="inlineStr">
        <is>
          <t>li-4379178788</t>
        </is>
      </c>
      <c r="B59" t="inlineStr">
        <is>
          <t>Senior Product Manager, Cloud TPU</t>
        </is>
      </c>
      <c r="C59" t="inlineStr">
        <is>
          <t>Google</t>
        </is>
      </c>
      <c r="D59" t="inlineStr">
        <is>
          <t>linkedin</t>
        </is>
      </c>
      <c r="E59">
        <f>HYPERLINK("https://www.linkedin.com/jobs/view/4379178788", "https://www.linkedin.com/jobs/view/4379178788")</f>
        <v/>
      </c>
      <c r="F59">
        <f>HYPERLINK("https://careers.google.com/jobs/results/107589237271864006-senior-product-manager/?src=Online/LinkedIn/linkedin_us&amp;utm_source=linkedin&amp;utm_medium=jobposting&amp;utm_campaign=contract&amp;urlHash=13r3", "https://careers.google.com/jobs/results/107589237271864006-senior-product-manager/?src=Online/LinkedIn/linkedin_us&amp;utm_source=linkedin&amp;utm_medium=jobposting&amp;utm_campaign=contract&amp;urlHash=13r3")</f>
        <v/>
      </c>
      <c r="G59" t="inlineStr">
        <is>
          <t>Sunnyvale, CA</t>
        </is>
      </c>
      <c r="H59" t="inlineStr"/>
      <c r="I59" t="inlineStr">
        <is>
          <t>**Minimum qualifications:**
* Bachelor's degree or equivalent practical experience.
* 8 years of experience in product management or related technical role.
* 3 years of experience taking technical products from conception to launch (e.g., ideation to execution, end\-to\-end, 0 to 1, etc.).
**Preferred qualifications:**
* Master's degree in a technology or business related field.
* 5 years of experience working cross\-functionally with engineering, UX/UI, sales finance, and other stakeholders.
* 5 years of experience in a business function or role (e.g., marketing, business operations, consulting).
* 4 years of experience in a role preparing and delivering technical presentations to executive leadership.
* 3 years of experience in software development or engineering.
* 3 years of people management experience with direct reports, and in technical leadership.
**About the job** 
 At Google, we put our users first. The world is always changing, so we need Product Managers who are continuously adapting and excited to work on products that affect millions of people every day.
 In this role, you will work cross\-functionally to guide products from conception to launch by connecting the technical and business worlds. You can break down complex problems into steps that drive product development.
 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
 As a Senior Product Manager, you will be responsible for providing product outlook as well as driving customer strategy around Google’s custom Cloud TPU ML infrastructure, for external and internal customers. You will provide critical insights into the fundamental business aspects of developing and maintaining the Google Cloud Accelerator offerings and hardware portfolio. You will bridge technical and business elements to enable us to deliver solutions that delight customers and meet critical business objectives.
 In this role, you will utilize hardware product experience, and be creative and analytical to bring innovative infrastructure solutions to market. You will use communication skills and work cross\-functionally with hardware, software, and research teams to realize product goals and enable key Cloud TPU customers.Google Cloud accelerates every organization’s ability to digitally transform its business and industry. We deliver enterprise\-grade solutions that leverage Google’s technology, and tools that help developers build more sustainably. Customers in more than 200 countries and territories turn to Google Cloud as their trusted partner to enable growth and solve their most critical business problems.
 The US base salary range for this full\-time position is $183,000\-$271,000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Drive new capabilities for the TPU instances, and the full accelerator portfolio in cloud including intercepting new technologies, roadmap planning, business generation forecasting, ecosystem, and customer adoption.
* Collaborate across hardware, software, research, and product teams to achieve long\-term product goals, while tracking industry dynamics and innovation trends across workloads and hardware.
* Work cross\-functionally to assess and select critical problems to be solved with ML infrastructure, build multi\-year roadmaps aligned with long\-term data center, edge, and infrastructure strategies, and secure executive support.
* Define and drive the product outlook, strategy, and roadmap for AI/ML inference on Cloud TPUs and GPUs, with a focus on customer adoption and business generation growth.
* Own the end\-to\-end product life\-cycle, from strategy and Product Requirements Document (PRDs) to launch and performance monitoring, ensuring an excellent product experience.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60">
      <c r="A60" t="inlineStr">
        <is>
          <t>li-4251553688</t>
        </is>
      </c>
      <c r="B60" t="inlineStr">
        <is>
          <t>Senior Product Manager, Fund Accounting</t>
        </is>
      </c>
      <c r="C60" t="inlineStr">
        <is>
          <t>Juniper Square</t>
        </is>
      </c>
      <c r="D60" t="inlineStr">
        <is>
          <t>linkedin</t>
        </is>
      </c>
      <c r="E60">
        <f>HYPERLINK("https://www.linkedin.com/jobs/view/4251553688", "https://www.linkedin.com/jobs/view/4251553688")</f>
        <v/>
      </c>
      <c r="F60" t="inlineStr"/>
      <c r="G60" t="inlineStr"/>
      <c r="H60" t="inlineStr"/>
      <c r="I60" t="inlineStr">
        <is>
          <t>**About Juniper Square**
 Our mission is to unlock the full potential of private markets. Privately owned assets like commercial real estate, private equity, and venture capital make up half of our financial ecosystem yet remain inaccessible to most people. We are digitizing these markets, and as a result, bringing efficiency, transparency, and access to one of the most productive corners of our financial ecosystem. If you care about making the world a better place by making markets work better through technology – all while contributing as a member of a values\-driven organization – we want to hear from you.
 Juniper Square offers employees a variety of ways to work, ranging from a fully remote experience to working full\-time in one of our physical offices. We invest heavily in digital\-first operations, allowing our teams to collaborate effectively across 27 U.S. states, 2 Canadian Provinces, India, Luxembourg, and England. We also have physical offices in San Francisco, New York City, Mumbai and Bangalore for employees who prefer to work in an office some or all of the time.
**About Your Role**
 Juniper Square’s platform is used by customers throughout the lifecycle of private market funds: from marketing offerings and soliciting leads, managing client relations with investors, and digital signing of contracts and terms, to reporting on investment financials/performance and recording transactions.
 We’re looking for an experienced product manager to help transform fund administration in the private markets. You’ll join our growing team to bring manual offline workflows into AI\-native digital experiences. In this role, you will develop a deep understanding of our customers, their business problems, and their workflows as well as the dynamics at play within private markets. You will leverage these insights to drive the full product lifecycle from high level roadmap definition and stakeholder alignment all the way through execution, GTM, and delivery of value to customers. You will be among the first product managers in the industry to bring AI to the private markets.
 We are a highly collaborative team, and you will be working very closely with senior leadership, product managers, customers, customer success, sales, engineers, and designers throughout the phases of software development.
 This role would benefit from in\-person collaboration in San Francisco, where many of our product management, design, and engineering personnel are based, although we also welcome exceptional candidates from elsewhere in the United States and Canada.
**What You’ll Do**
* Entrepreneurially define how AI will transform back\-office fund administration operations, both internally and externally, for private investment funds.
* Develop your roadmap by balancing competing needs between features, stability and performance.
* Develop deep empathy for the needs and pain points of our customers and our internal teams, by close collaboration with colleagues from our fund accounting, investor services, product, and go\-to\-market teams as well as customers themselves.
* Ship features and improvements frequently and iteratively, planning projects, documenting requirements, and motivating those building solutions with an understanding of the “why” and the “what” to inspire their ownership of the “how”.
* Work cross\-functionally with our fund accounting and investor services teams to roll out new capabilities and drive adoption.
**Qualifications**
**Must‑Have**
* 5\+ years of end‑to‑end product ownership in B2B SaaS or fintech, shipping data‑intensive, workflow‑heavy products to internal teams and external clients.
* Demonstrated autonomy: able to set vision, build roadmaps, define KPIs, and execute with minimal guidance while coordinating engineers, data scientists, designers, and accountants.
* Strong technical foundation (CS, Engineering, Math, or equivalent practical experience
* Proven track record of iterative delivery: rapid discovery, hypothesis‑driven experimentation, and tight feedback loops that improve user experience, efficiency, and gross margins.
* User‑experience mindset: skilled at distilling complex back‑office processes into intuitive UIs that reduce cognitive load and error rates.
**Nice to Have**
* Hands‑on experience in private‑markets fund administration, fund accounting, or investment operations (e.g., PE/VC, credit, real‑estate).
* Fluency with accounting concepts and data models; comfortable interviewing fund accountants, mapping their workflows, and translating edge‑case logic into product requirements.
* Applied AI background: shipped products that leverage, or an understanding of, LLMs, classification models, or agent‑based automations to replace manual work.
* Familiarity with fund accounting platforms (Investran, eFront, Allvue, etc.) and their data structures, or with general‑ledger / ERP integrations.
* Experience driving process re‑engineering or change‑management programs that boost adoption of newly launched internal or customer‑facing tools.
 At Juniper Square, we believe building a diverse workforce and an inclusive culture makes us a better company. If you think this job sounds like a fit, we encourage you to apply even if you don’t meet all the qualifications.
**Compensation**
 Compensation for this position includes a base salary, equity, and a variety of benefits. The U.S. base salary range for this role is $150,000 \- $190,000\. Actual base salaries will be based on candidate\-specific factors, including experience, skillset, and location, and local minimum pay requirements as applicable.
**Benefits Include**
* Health, dental, and vision care for you and your family
* Life insurance and disability coverage
* Mental wellness coverage
* Fertility and growing family support
* Unlimited vacation in addition to company\-paid holidays
* Paid family leave, medical leave, and bereavement leave policies
* 401k retirement savings plan
* Healthcare FSA and commuter benefits programs
* Allowance to customize your work and technology setup at home
* Annual professional development stipend</t>
        </is>
      </c>
    </row>
    <row r="61">
      <c r="A61" t="inlineStr">
        <is>
          <t>li-4370607396</t>
        </is>
      </c>
      <c r="B61" t="inlineStr">
        <is>
          <t>Data Product Manager</t>
        </is>
      </c>
      <c r="C61" t="inlineStr">
        <is>
          <t>Aristocrat Interactive</t>
        </is>
      </c>
      <c r="D61" t="inlineStr">
        <is>
          <t>linkedin</t>
        </is>
      </c>
      <c r="E61">
        <f>HYPERLINK("https://www.linkedin.com/jobs/view/4370607396", "https://www.linkedin.com/jobs/view/4370607396")</f>
        <v/>
      </c>
      <c r="F61" t="inlineStr"/>
      <c r="G61" t="inlineStr">
        <is>
          <t>Franklin, TN</t>
        </is>
      </c>
      <c r="H61" t="inlineStr"/>
      <c r="I61" t="inlineStr">
        <is>
          <t>Join Aristocrat to deliver top\-tier entertainment using modern technology and outstanding content. As a Data Product Manager in our Core Product team, you will craft our data strategy and develop groundbreaking solutions for analytics.
 Seeking a passionate, ambitious individual adept at crafting data\-driven products. You will coordinate developing data products spanning our central data lake, modern reporting, analytical tools, and automation. Join our team dedicated to delivering insightful analytics and digitalization for efficient processes across the group and our customers.
***This role is remote to start, but will transition to a hybrid schedule once our office location is established. (For Boston office ONLY)***
**What You'll Do** 
* Be a data expert with a deep understanding of data producers, ELT/ETL processes, data consumers, data quality, data architecture, analytics, machine learning, and cloud services.
* Lead the entire data product lifecycle, including product roadmap development, frequent communication with clients, and translating business needs into PRDs, Features, and User Stories.
* Collaborate with data engineers and QA teams to finalize the delivery and launch of innovative products.
* Collaborate closely with the rest of the product organization on new initiatives to facilitate early requirement gathering.
* Contribute to the overall data architecture by investigating data assets, technical platforms, integrations, and processes across functions.
* Be a hands\-on product manager, deeply involved in the day\-to\-day operations of the data engineering team.
* Coordinate implementation and release workflows to ensure strict adherence to deadlines.
* Run the Agile framework, including daily stand\-ups, sprint planning, and retrospectives.
* Work with Marketing to provide Data \&amp; BI platform awareness and guides both internally and externally.
**What We're Looking For** 
* Managed data products with 1\+ year of experience, specializing in data \&amp; analytics solutions (Data Lake/DWH/Cloud Service).
* Experience in a similar role within the iGaming industry, with Sportsbook Data and BI experience being highly beneficial.
* BA/B.Sc. in Industrial Engineering, Economics, Information Systems, Computer Science/Engineering, Information Technology, or another quantitative field.
* Understanding of how product use cases affect data modeling, data infrastructure, and data analytics.
* Working experience with Snowflake and Azure SQL Data Warehouse.
* Demonstrating proven experience in leading the development of data products by using ELT and Data Streams.
* Outstanding communication skills in English and strong problem\-solving abilities.
* Ability to multitask and meet deadlines in a fast\-paced environment.
* Demonstrated track record of delivering significant Business Intelligence through reports, dashboards, and visualizations using platforms such as Power BI, Tableau, Looker, Qlik Sense, or Sisense.
* Experience with product management tools, including Jira, Trello, TFS/Azure DevOps Server, and Monday.com.
**Company Summary**
**Aristocrat Interactive**
 Aristocrat Interactive is Aristocrat Leisure Limited’s (ASX:ALL) regulated online Real Money Gaming (RMG) business and was formed in 2024 when the Anaxi and NeoGames businesses (Anaxi, NeoGames, Aspire Global, BtoBet, and Pariplay) came together.  The business is an industry leader in content and technology solutions for online RMG, with a full\-service offering that includes content, proprietary technology platforms and a range of value added services across iLottery, iGaming and Online Sports Betting (OSB).
**About Aristocrat**
 Aristocrat Leisure Limited (ASX: ALL) is a leading gaming content creation company powered by technology to deliver industry\-leading casino games together with mobile games and online real money games, collectively entertaining millions of players worldwide, every day. Headquartered in Sydney, Australia, Aristocrat has three operating business units, spanning regulated land\-based gaming (Aristocrat Gaming), social casino (Product Madness) and regulated online real money (Aristocrat Interactive). Our team of over 8,500 people across the globe are united by our company mission to
 *bring joy to life through the power of play* 
 .
**Our Values** 
* All about the Player
* Talent Unleashed
* Collective Brilliance
* Good Business Good Citizen
**Travel Expectations**
 None
**Pay Range**
 $110,049 \- $204,376 per year
 Our goal is to pay a market competitive salary focusing near the median of our pay ranges. However, final offers for all positions will be based on several factors such as experience level, education, skills, work location, and internal pay equity.
 This position offers a comprehensive benefits package, including health, dental, and vision insurance, paid time off, and a 401(k) plan with employer matching, more details available at https://atibenefits.com/.
**Additional Information**
 This role is subject to mandatory background screening and regulatory approvals. As part of your employment with Aristocrat, you may be required to complete a criminal background check, submit fingerprints, and obtain licenses or registrations with applicable gaming regulatory authorities.
 Aristocrat operates in a highly regulated environment and holds licenses in over 340 gaming jurisdictions worldwide. To meet our global compliance obligations, you will be required to provide the disclosure of relevant personal and background information to government agencies, sovereign nations/tribal regulators, and other applicable gaming regulatory bodies. This is a condition of Aristocrat’s gaming licenses. The specific information required may vary depending on the jurisdiction and project assignment.
*At this time, we are unable to sponsor work visas for this position. Candidates must be authorized to work in the job posting location for this position on a full\-time basis without the need for current or future visa sponsorship.*</t>
        </is>
      </c>
    </row>
    <row r="62">
      <c r="A62" t="inlineStr">
        <is>
          <t>li-4326461166</t>
        </is>
      </c>
      <c r="B62" t="inlineStr">
        <is>
          <t>Senior Technical Product Manager</t>
        </is>
      </c>
      <c r="C62" t="inlineStr">
        <is>
          <t>Boost Mobile</t>
        </is>
      </c>
      <c r="D62" t="inlineStr">
        <is>
          <t>linkedin</t>
        </is>
      </c>
      <c r="E62">
        <f>HYPERLINK("https://www.linkedin.com/jobs/view/4326461166", "https://www.linkedin.com/jobs/view/4326461166")</f>
        <v/>
      </c>
      <c r="F62">
        <f>HYPERLINK("https://jobs.echostar.com/jobs/95810?lang=en-us&amp;iis=JOB+SLOTS&amp;iisn=LINKEDIN+JOBS&amp;mode=apply&amp;urlHash=VNT3", "https://jobs.echostar.com/jobs/95810?lang=en-us&amp;iis=JOB+SLOTS&amp;iisn=LINKEDIN+JOBS&amp;mode=apply&amp;urlHash=VNT3")</f>
        <v/>
      </c>
      <c r="G62" t="inlineStr">
        <is>
          <t>Littleton, CO</t>
        </is>
      </c>
      <c r="H62" t="inlineStr"/>
      <c r="I62" t="inlineStr">
        <is>
          <t>**Company Summary**
 EchoStar is reimagining the future of connectivity. Our business reach spans satellite television service, live\-streaming and on\-demand programming, smart home installation services, mobile plans and products.
 Today, our brands include Boost Mobile, DISH TV, Gen Mobile, Hughes and Sling TV.
**Department Summary**
 Our Technology teams challenge the status quo and reimagine capabilities across industries. Whether through research and development, technology innovation or solution engineering, our people play vital roles in connecting consumers with the products and platforms of tomorrow.
**Job Duties And Responsibilities**
**Candidates must be willing to participate in at least one in\-person interview, which may include a live whiteboarding or technical assessment session.**
**Key Responsibilities**
* Develop and maintain a data\-driven roadmap that sequences features and architectural improvements, leading initiative and epic creation with well\-defined scope, acceptance criteria, and technical dependencies
* Define and oversee product architecture for complex initiatives, collaborating with engineering to design APIs, microservices, and event\-driven workflows that align with scalability and reliability goals
* Utilize system diagrams, sequence diagrams, ERDs, and testing verification frameworks to ensure technical clarity, architectural correctness, and alignment with platform capabilities
* Serve as the primary technical representative for strategic partners, leading requirements negotiation and integration planning to ensure seamless onboarding.
* Drive end\-to\-end product delivery from concept to launch, collaborating with GTM, legal, and operations teams to ensure business case validation and operational readiness
* Monitor development progress against architectural blueprints, facilitate design reviews, and champion a metrics\-driven culture focused on performance, customer outcomes, and business impact
**Skills, Experience And Requirements**
**Education and Experience:**
* Bachelor’s degree or higher in Computer Science, Engineering, or a related technical field from an accredited university
* 5\+ years of combined experience as a Technical Product Manager, Product Manager, or Systems/Product Architect
**Skills And Qualifications**
* Strong knowledge of cloud platforms with experience building scalable software products using API integration patterns, microservices, and backend system design
* Ability to create and interpret engineering\-level documentation and contribute meaningfully to architecture discussions
* Proven ability to deliver executive\-level communication and presentations, specifically translating complex requirements into clear narratives
* Demonstrated expertise in mobile and web application development, data flows, and distributed architectures
* Experience negotiating requirements and delivering in partner\-facing environments across business and technical units
* Proven ability to operate in complex, cross\-functional environments as a problem solver with minimal supervision
**Preferred Skills**
* Master's Degree in Business, Engineering, or similar field from an accredited university
* Proven experience managing integrations across diverse external partners, including telecom carriers, MVNOs, and OEMs
* Exposure to 5G, eSIM, network services, device provisioning, or value\-added services
* Experience performing Product Management duties in both large\-scale corporate environments and fast\-paced startup ecosystems
**Salary Ranges**
 Compensation: $96,250\.00/Year \- $137,500\.00/Year
**Benefits**
 We offer versatile health perks, including flexible spending accounts, HSA, a 401(k) Plan with company match, ESPP, career opportunities, and a flexible time away plan; all benefits can be viewed here: DISH Benefits.
 The base pay range shown is a guideline. Individual total compensation will vary based on factors such as qualifications, skill level, and competencies; compensation is based on the role's location and is subject to change based on work location.
 Candidates need to successfully complete a pre\-employment screen, which may include a drug test and DMV check. Our company is committed to fostering an inclusive and equitable workplace where every individual has the opportunity to succeed. We are dedicated to providing individuals with criminal or arrest records a fair chance of employment in accordance with local, state, and federal laws.
 The posting will be active for a minimum of 3 days. The active posting will continue to extend by 3 days until the position is filled.
 We pride ourselves on developing and promoting talent as an Equal Employment Opportunity Employer. All qualified applicants will receive consideration for employment without regard to race, color, religion, sex, sexual orientation, gender identity, national origin, disability, or protected veteran status. EchoStar will accommodate the sincerely held religious beliefs of employees if such accommodations are not undue hardships and are otherwise within the bounds of applicable law. All qualified applicants with arrest or conviction records will be considered for employment in accordance with local, state, and federal law. You may redact any information that identifies age, date of birth, or dates of school/graduation from your application documents before submission and throughout our application process.
 EchoStar will provide reasonable accommodation to otherwise qualified job applicants and employees with known physical or mental disabilities, unless doing so poses an undue hardship on the Company, poses a direct threat of substantial harm to others, or is otherwise not required by law. EchoStar has a more detailed Accommodation Policy that applies to employees. EchoStar endeavors to make echostar.com and jobs.echostar.com accessible to users. Please contact leaves@dish.com if you would like to discuss the accessibility of our website or need assistance completing the application process. This contact information is for accommodation requests only; do not use this contact information to inquire about the status of applications.
 Click the links to access the following statements: EEO Policy Statement, Pay Transparency, EEOC Know Your Rights (English/Spanish)</t>
        </is>
      </c>
    </row>
    <row r="63">
      <c r="A63" t="inlineStr">
        <is>
          <t>li-4369201701</t>
        </is>
      </c>
      <c r="B63" t="inlineStr">
        <is>
          <t>Product Manager (Agent Experience)</t>
        </is>
      </c>
      <c r="C63" t="inlineStr">
        <is>
          <t>Cinch Home Services</t>
        </is>
      </c>
      <c r="D63" t="inlineStr">
        <is>
          <t>linkedin</t>
        </is>
      </c>
      <c r="E63">
        <f>HYPERLINK("https://www.linkedin.com/jobs/view/4369201701", "https://www.linkedin.com/jobs/view/4369201701")</f>
        <v/>
      </c>
      <c r="F63" t="inlineStr"/>
      <c r="G63" t="inlineStr">
        <is>
          <t>Boca Raton, FL</t>
        </is>
      </c>
      <c r="H63" t="inlineStr"/>
      <c r="I63" t="inlineStr">
        <is>
          <t>The
 **Product Manager \- Agent Experience** 
 will be part of a high\-performance technology team responsible for delivering industry\-leading customer experience platforms. This role owns the end\-to\-end
 **product experience for contact center agents supporting our customer experience** 
 , leveraging
 **NICE CXone capabilities, Salesforce Service Cloud** 
 and custom applications to enable efficient, consistent, and high\-quality customer interactions.
**Qualifications** 
* 5\+ years of experience in product management or a related field
**Experience/Other Requirements** 
* Strong ability to independently deliver and make decisions with decreasing need for guidance.
* Proven experience in stakeholder management and cross\-functional collaboration.
* Excellent communication and documentation skills (e.g., requirements documents, business cases).
* Ability to balance customer needs, business priorities, and technical feasibility.
* Familiarity with Agile methodologies and experience as a Product Owner is a plus.
* Strong analytical mindset and ability to leverage business data in decision\-making.
* Ability to work independently and as part of a team; participate in determining objectives of assignment; plan, schedule, and arrange activities to accomplish objectives.
* Proficient at preparing the following documents: Scope Documents, User Stories, Use Cases, Functional Specification, Process Flow Diagrams, Gap Analysis.
* Proven ability to collaborate with internal/external technical peers and business partners.
* Advanced proficiency in MS Office (Word, PowerPoint, Excel, Visio).
**Education** 
* Bachelor's degree or equivalent experience
**Summary of Responsibilities** 
* Own measurable outcomes for the agent and customer experience by proactively identifying opportunities to move key business metrics across the end\-to\-end journey.
* Define success metrics and demonstrate strong data fluency, partnering on instrumentation, interpreting results, and translating insights into product decisions.
* Partner with engineering and design to deeply understand problems, explore solution options and innovation opportunities, and validate ideas through discovery before committing to delivery.
* Serve as the accountable Product Owner for an Agile team, ensuring backlog health, clear priorities, and that stories and acceptance criteria remain anchored to outcomes and measurable success.
* Apply strong value\-versus\-effort judgment to incoming requests and initiatives, making clear, data\-informed prioritization, sequencing, and tradeoff recommendations
* Develop a deep understanding of the CX and agent technology ecosystem to ensure that capabilities live in the right place to drive a seamless, efficient experience, avoiding point solutions.
* Drive product strategy, balancing near\-term impact with long\-term evolution and scale
* Collaborate with vendors, including NICE and Salesforce partners, to evaluate capabilities, manage integrations, influence platform roadmaps where possible, and ensure we are maximizing value.
* Facilitate cross\-functional feature discussions with engineering, operations, legal, finance, and compliance to ensure feasibility, alignment, and successful delivery.
* Contribute to annual and quarterly planning, ensuring planned work supports company objectives and operational goals.</t>
        </is>
      </c>
    </row>
    <row r="64">
      <c r="A64" t="inlineStr">
        <is>
          <t>li-4378879283</t>
        </is>
      </c>
      <c r="B64" t="inlineStr">
        <is>
          <t>Product Owner</t>
        </is>
      </c>
      <c r="C64" t="inlineStr">
        <is>
          <t>Jobs via Dice</t>
        </is>
      </c>
      <c r="D64" t="inlineStr">
        <is>
          <t>linkedin</t>
        </is>
      </c>
      <c r="E64">
        <f>HYPERLINK("https://www.linkedin.com/jobs/view/4378879283", "https://www.linkedin.com/jobs/view/4378879283")</f>
        <v/>
      </c>
      <c r="F64">
        <f>HYPERLINK("https://click.appcast.io/t/YyZDOgZmgWBmSSGUFWdyYSyJOCnwsshemKT2TXwtx4I=&amp;urlHash=XehL", "https://click.appcast.io/t/YyZDOgZmgWBmSSGUFWdyYSyJOCnwsshemKT2TXwtx4I=&amp;urlHash=XehL")</f>
        <v/>
      </c>
      <c r="G64" t="inlineStr"/>
      <c r="H64" t="inlineStr"/>
      <c r="I64" t="inlineStr">
        <is>
          <t>Dice is the leading career destination for tech experts at every stage of their careers. Our client, Bayforce, is seeking the following. Apply via Dice today!
* NO 3rd Parties or Sponsorship! Must be w2hrly!
**Role Title:** 
 Product Owner
**Duration:** 
 until EOY
**Preferred Location:** 
 Remote with travel to NY as needed (once a quarter)
**Role Description:**
 We are seeking a Product Owner to manage data transformation, and data flow management across production, build, and BAU environments. This role requires a hands\-execution PO responsibilities, Scrum Master responsibilities so familiarity with agile practices, and collaboration across technical and business teams. You will be responsible for managing product backlogs, supporting cross\-functional teams through the development lifecycle, and ensuring successful data ingestion and delivery for enterprise applications.
 Key Responsibilities:
* Own and manage product backlogs, including prioritization, refinement, and sprint planning in agile (Scrum/Kanban) environments
* Work closely with development, QA, and business stakeholders during build, system testing, and user acceptance testing phases
* Lead and participate in agile ceremonies (daily standups, retrospectives, demos, etc.)
* Collaborate with users and stakeholders to gather and document requirements, write user stories, and define acceptance criteria
* Ensure alignment of features and data flow across customer journeys and interdependent systems
* Oversee and validate data sourcing, mapping, transformation, and integration into enterprise applications
* Support documentation and collaboration using Jira, Confluence, and Microsoft Office tools
* Drive continuous improvement by applying lean principles and product design best practices
**Requirements:**
* 5\+ years of experience as a Product Owner Recent experience as a PO within the banking industry
**Oracle Experience Is Preferred Not Required**
 Scrum Master experience is required
 Hands\-on experience with Jira, Confluence, SQL, and Microsoft Office tools
 Familiarity with Agile frameworks (Scrum and Kanban) and lean principles
* Proven ability to work across development, QA, and business teams to deliver technical solutions
* Excellent communication and collaboration skills The ideal candidate is organized, task\-focused, and interested in learning application details without immediate leadership ambitions.</t>
        </is>
      </c>
    </row>
    <row r="65">
      <c r="A65" t="inlineStr">
        <is>
          <t>li-4380321336</t>
        </is>
      </c>
      <c r="B65" t="inlineStr">
        <is>
          <t>Senior Product Manager - Technical, Elevated shopping, éShop</t>
        </is>
      </c>
      <c r="C65" t="inlineStr">
        <is>
          <t>Amazon</t>
        </is>
      </c>
      <c r="D65" t="inlineStr">
        <is>
          <t>linkedin</t>
        </is>
      </c>
      <c r="E65">
        <f>HYPERLINK("https://www.linkedin.com/jobs/view/4380321336", "https://www.linkedin.com/jobs/view/4380321336")</f>
        <v/>
      </c>
      <c r="F65">
        <f>HYPERLINK("https://www.amazon.jobs/jobs/3193631/senior-product-manager\u002d\u002dtechnical-elevated-shopping-shop?cmpid=SPLICX0248M&amp;utm_source=linkedin.com&amp;utm_campaign=cxro&amp;utm_medium=social_media&amp;utm_content=job_posting&amp;ss=paid&amp;urlHash=T-Pc", "https://www.amazon.jobs/jobs/3193631/senior-product-manager\u002d\u002dtechnical-elevated-shopping-shop?cmpid=SPLICX0248M&amp;utm_source=linkedin.com&amp;utm_campaign=cxro&amp;utm_medium=social_media&amp;utm_content=job_posting&amp;ss=paid&amp;urlHash=T-Pc")</f>
        <v/>
      </c>
      <c r="G65" t="inlineStr">
        <is>
          <t>Seattle, WA</t>
        </is>
      </c>
      <c r="H65" t="inlineStr"/>
      <c r="I65" t="inlineStr">
        <is>
          <t>**Description**
 Join us in reinventing the Premium and Luxury online shopping experience! This role offers an opportunity to disrupt and redefine the way customers buy Premium and Luxury products online. Are you interested in using the latest advances in machine learning, computer vision, and big\-data technologies to build online customer experiences that can equal or even surpass an in\-store experience? The Elevated Shopping team is reinventing the shopping experience for Premium and Luxury customers, transforming Amazon into the most trusted high\-end online shopping destination. We see innovative visual experiences and best in class content as table stakes for our Premium and Luxury shoppers. This is your chance to get in on the ground floor to build something entirely new and transform an industry! To achieve our vision, we think big and tackle technological challenges every day. We need builders and disruptors who are not afraid to innovate! Our architecture and development processes support rapid experimentation, global deployments, and self\-service capabilities that allow us to scale better.
 We are seeking a tenured Product Manager with a deep technical background and a successful history of delivering high\-impact, multi\-organizational, and multi\-year initiatives. This role is critical for driving the Premium Shopping Experience for Amazon.
 Key job responsibilities
* Manage product end\-to\-end lifecycles, from customer research, through strategic and roadmap planning, to experimentation, launch, product adoption and customer feedback
* Partner with UX designers and software developers to deliver products based on roadmaps you create
* Launch the vision, strategy, and roadmap and influence key stakeholders to align and deliver on that vision
* Implement the go\-to\-market plan and execution, working to ensure that internal teams have what they need to be successful
* Define goals and monitor key performance metrics to identify opportunities and improve product performance
* Focus on areas where the business strategy has not yet been defined.
 A day in the life
* Effectively partner with all levels of leadership. You are adept at building consensus. You are able to represent, verbally and in writing, complex decisions, trade\-offs, and potential solutions clearly to leaders up to 3 levels above to help them understand the decisions they have to make and what options they have.
* You influence organization priorities, system owners, business, and technology direction.
* You manage cross\-functional communication to ensure all stakeholders are informed and needs aligned.
**About The Team**
 The Elevated Shopping (eShop) team mission is to serve premium and luxury customers and brands with personalized, seamless, and delightful experiences that reflect their discerning tastes and elevate online retail to a new standard of excellence. We combine state of the art technology, scientific precision, and breathtaking studio photography to create exceptional customer experiences.
**Basic Qualifications**
* Bachelor's degree
* Experience owning/driving roadmap strategy and definition
* Experience with feature delivery and tradeoffs of a product
* Experience contributing to engineering discussions around technology decisions and strategy related to a product
* Experience managing technical products or online services
* Experience in representing and advocating for a variety of critical customers and stakeholders during executive\-level prioritization and planning
**Preferred Qualifications**
* Experience owning feature delivery and tradeoffs of a product
* 5\+ years of product or program management, product marketing, business development or technology experience
* Usage of generative AI tools to enhance workflow efficiency, with a willingness to learn effective prompting and evaluation practices.
* Ability to recognize opportunities where generative AI could enhance products, workflows, or customer experiences.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WA, Seattle \- 151,200\.00 \- 204,600\.00 USD annually
**Company** 
 \- Amazon.com Services LLC
 Job ID: A3193631</t>
        </is>
      </c>
    </row>
    <row r="66">
      <c r="A66" t="inlineStr">
        <is>
          <t>li-4370414800</t>
        </is>
      </c>
      <c r="B66" t="inlineStr">
        <is>
          <t>Market Data Product Manager – Vice President</t>
        </is>
      </c>
      <c r="C66" t="inlineStr">
        <is>
          <t>Morgan Stanley</t>
        </is>
      </c>
      <c r="D66" t="inlineStr">
        <is>
          <t>linkedin</t>
        </is>
      </c>
      <c r="E66">
        <f>HYPERLINK("https://www.linkedin.com/jobs/view/4370414800", "https://www.linkedin.com/jobs/view/4370414800")</f>
        <v/>
      </c>
      <c r="F66" t="inlineStr"/>
      <c r="G66" t="inlineStr">
        <is>
          <t>Chicago, IL</t>
        </is>
      </c>
      <c r="H66" t="inlineStr"/>
      <c r="I66" t="inlineStr">
        <is>
          <t>Wealth Management Platforms
 Chicago
 Morgan Stanley Wealth Management is seeking a Market Data Product Manager to help drive end\-to\-end product execution for market data platform capabilities that support clients and advisor experiences, with accountability for roadmap delivery, operational excellence, and cross\-functional alignment that enables growth across Wealth Management offerings.
 The individual in this role will be responsible for defining, building, and reviewing end\-to\-end market data delivery experiences for a variety of products at Morgan Stanley / E\*TRADE. The applicant should bring a strong product management skillset with key focus on providing a best\-in\-class end user experience, understanding the competitive landscape, and the ability to drive improvements. Partnership and collaboration with a variety of groups across the firm will be key to success.
**About Morgan Stanley**
 Morgan Stanley is a leading global financial services firm providing a wide range of investment banking, securities, investment management and wealth management services. The Firm’s employees serve clients worldwide including corporations, governments and individuals from more than 1,200 offices in 43 countries.
 Morgan Stanley is committed to helping its employees build meaningful careers and we strive to be a place for people to learn, achieve and grow.
 Department Overview
 In the Wealth Management division, we help people, businesses and institutions build, preserve, and manage wealth so they can pursue their financial goals
 Wealth Management (WM) Platforms manages industry\-leading platforms, across all WM channels and client segments, to provide a unified digital experience, unlock growth, and deliver efficiencies for Advisors, Clients, and Institutions. WM Platforms consists of nine sub\-teams including: Field Experience \&amp; Platforms, Digital Client Experience \&amp; Platforms, Workplace Platforms, Automation \&amp; Workflow Solutions, Digital Trading \&amp; Investing, UX Design \&amp; Research, Strategy \&amp; Execution. Business Control \&amp; Support, and the Chief Operating Office.
**What You’ll Do In The Role**
* Disciplined Product Management: Lead the product development life cycle, including problem definition, solution discovery, and post launch results optimization. Data driven approach to decisions informed by usage, client feedback, competitive and business intelligence.
* Roadmap Development \&amp; Management: Build and maintain prioritized feature backlog in jira and define product roadmap by partnering closely with key stakeholders, including technology, service, UX, Legal, Risk, compliance and digital and platform product teams to align on impact and delivery timelines.
* Strategic Prioritization: Priority management with a sound metrics driven framework for a balanced approach to trade\-offs between value add and resource investment.
* Stakeholder management: Collaborate with stakeholders from business, technology, UX, customer service, Ops, and legal \&amp; compliance to elicit requirements.
* Risk Management: Identify potential risk and issues that may impact roadmap delivery and develop mitigation strategies to address them proactively.
* Business Reviews: Orchestrate business reviews and update forums for the project progress and delivery. Responsible for planning, material creation, preparation, execution, and follow through of discussion items
**Skills Required**
* 9\.5 years of transferrable experience across work and higher education
* Deep understanding of Price \&amp; Reference Data Feeds and Data sources, including Options, Equities, Bonds, FX, Futures and digital assets
* Perspective and insight into retail online customer investing needs, as well as the Market Data \&amp; Tools that support those needs.
* Proven track\-record managing multiple projects, with demonstrated ability to deliver exceptional results under tight timelines.
* Proven experience in building and maintaining a Market data plant oriented towards Wealth Management services
* Demonstrated track record of delivering new innovative fintech, digital products, solutions, or applications preferred
* Exceptional communication and relationship building skills: Ability to interact at multiple levels of the organization and tailor messaging appropriately. Strong presentation and PowerPoint skills.
* Demonstrates effective leadership and discipline within a dynamic work environment.
* Ability to communicate business goals and functional requirements effectively to any audience within the enterprise.
* Demonstrated ability to work autonomously and build strong relationships with internal clients and data providers \-\- e.g., exchanges, vendors.
* Skilled at defining business and functional requirements for all sizes of software development projects.
* Experience with and knowledge of all aspects of the software development life cycle.
* Experience in working in an agile development environment.
* Strong communication skills to clearly convey perspectives and analysis to stakeholders
* Bachelor's degree is required
**What You Can Expect From Morgan Stanley**
 At Morgan Stanley, we raise, manage and allocate capital for our clients – helping them reach their goals. We do it in a way that’s differentiated – and we’ve done that for 90 years. Our values \- putting clients first, doing the right thing, leading with exceptional ideas, committing to diversity and inclusion, and giving back \- aren’t just beliefs, they guide the decisions we make every day to do what's best for our clients, communities and more than 80,000 employees in 1,200 offices across 42 countries. At Morgan Stanley, you’ll find an opportunity to work alongside the best and the brightest, in an environment where you are supported and empowered. Our teams are relentless collaborators and creative thinkers, fueled by their diverse backgrounds and experiences. We are proud to support our employees and their families at every point along their work\-life journey, offering some of the most attractive and comprehensive employee benefits and perks in the industry. There’s also ample opportunity to move about the business for those who show passion and grit in their work.
 To learn more about our offices across the globe, please copy and paste https://www.morganstanley.com/about\-us/global\-offices into your browser.
 Salary range for the position: $110,000 and $190,000 per year. The successful candidate may be eligible for an annual discretionary incentive compensation award. The successful candidate may be eligible to participate in the relevant business unit’s incentive compensation plan, which also may include a discretionary bonus component. Morgan Stanley offers a full spectrum of benefits, including Medical, Prescription Drug, Dental, Vision, Health Savings Account, Dependent Day Care Savings Account, Life Insurance, Disability and Other Insurance Plans, Paid Time Off (including Sick Leave consistent with state and local law, Parental Leave and 20 Vacation Days annually), 10 Paid Holidays, 401(k), and Short/Long Term Disability, in addition to other special perks reserved for our employees. Please visit mybenefits.morganstanley.com to learn more about our benefit offerings.
 Morgan Stanley's goal is to build and maintain a workforce that is diverse in experience and background but uniform in reflecting our standards of integrity and excellence. Consequently, our recruiting efforts reflect our desire to attract and retain the best and brightest from all talent pools. We want to be the first choice for prospective employees.
 It is the policy of the Firm to ensure equal employment opportunity without discrimination or harassment on the basis of race, color, religion, creed, age, sex, sex stereotype, gender, gender identity or expression, transgender, sexual orientation, national origin, citizenship, disability, marital and civil partnership/union status, pregnancy, veteran or military service status, genetic information, or any other characteristic protected by law.
 Morgan Stanley is an equal opportunity employer committed to diversifying its workforce (M/F/Disability/Vet).</t>
        </is>
      </c>
    </row>
    <row r="67">
      <c r="A67" t="inlineStr">
        <is>
          <t>li-4297740919</t>
        </is>
      </c>
      <c r="B67" t="inlineStr">
        <is>
          <t>Staff Product Manager, Content Experience</t>
        </is>
      </c>
      <c r="C67" t="inlineStr">
        <is>
          <t>Databricks</t>
        </is>
      </c>
      <c r="D67" t="inlineStr">
        <is>
          <t>linkedin</t>
        </is>
      </c>
      <c r="E67">
        <f>HYPERLINK("https://www.linkedin.com/jobs/view/4297740919", "https://www.linkedin.com/jobs/view/4297740919")</f>
        <v/>
      </c>
      <c r="F67">
        <f>HYPERLINK("https://databricks.com/company/careers/open-positions/job?gh_jid=8041821002&amp;gh_src=62a881d62&amp;urlHash=_pXO", "https://databricks.com/company/careers/open-positions/job?gh_jid=8041821002&amp;gh_src=62a881d62&amp;urlHash=_pXO")</f>
        <v/>
      </c>
      <c r="G67" t="inlineStr">
        <is>
          <t>Seattle, WA</t>
        </is>
      </c>
      <c r="H67" t="inlineStr"/>
      <c r="I67" t="inlineStr">
        <is>
          <t>RDQ426R242
 Databricks is a powerful, technical platform used by a diverse and growing range of personas, from data scientists and engineers to analysts and business leaders, to developers. To help these users succeed, we need world\-class content that is timely, contextual, accurate, and helps users achieve their goals. This leads to faster adoption, lower support costs, and higher customer satisfaction. Achieving this impact requires a strategic shift: treating
 **content as part of the product** 
 .
 We’re looking for a
 **Product Manager** 
 to lead our
 **Content Experience** 
 strategy. In this role, you will own how users discover, learn from, and act on content: across documentation, in\-product help, AI\-assisted guidance, and beyond. You’ll help define the future of content at Databricks by making it a first\-class product experience and integrating content development into product development.
**What You’ll Do**
* Own the content experience end\-to\-end. You’ll be responsible for how users of Databricks find and engage with content — both in external documentation and within the product itself — making sure it’s helpful, intuitive, and actionable.
* Drive strategic improvements to content tooling and workflows. You’ll define how we author, manage, and deliver content at scale, collaborating with engineering, tech writing, design, and AI teams to improve speed, consistency, and quality.
* Build an architecture of participation. You’ll design systems and tools that enable context experts — from engineers to field teams — to contribute directly to content in ways that are sustainable and scalable.
* Integrate AI to transform content experiences. You’ll partner with our AI platform teams to apply generative AI to the authoring, delivery, and user experience of content — reimagining everything from documentation search to intelligent assistance.
* Define metrics that matter. You’ll track content engagement, time\-to\-task, support deflection, and user satisfaction — and use these signals to drive ongoing prioritization and iteration.
* Collaborate cross\-functionally. You’ll partner closely with engineering, UX, product, tech writing, developer relations, field teams, and customers to ensure the content experience supports our platform’s broad and growing user base.
**What We Look For**
* 7\+ years of product management experience, with a proven track record of leading cross\-functional initiatives and delivering high\-impact user experiences
* Deep understanding of developer tools, data platforms, or technical products with large surface areas
* A strong systems mindset — comfortable designing scalable workflows, content architectures, and tooling integrations
* Experience with developer documentation, content platforms, or product onboarding is a plus
* Strong customer empathy and an obsession with helping users succeed
* Familiarity with AI technologies (especially LLMs) and how they can be applied to content workflows and user guidance
* Experience working with technical and non\-technical contributors in a collaborative content ecosystem
**Pay Range Transparency**
 Databricks is committed to fair and equitable compensation practices. The pay range(s) for this role is listed below and represents the expected salary range for non\-commissionable roles or on\-target earnings for commissionable roles. Actual compensation packages are based on several factors that are unique to each candidate, including but not limited to job\-related skills, depth of experience, relevant certifications and training, and specific work location. Based on the factors above, Databricks anticipates utilizing the full width of the range. The total compensation package for this position may also include eligibility for annual performance bonus, equity, and the benefits listed above. For more information regarding which range your location is in visit our page here.
 Zone 2 Pay Range
 $171,000—$235,200 USD
**About Databricks**
 Databricks is the data and AI company. More than 10,000 organizations worldwide — including Comcast, Condé Nast, Grammarly, and over 50% of the Fortune 500 — rely on the Databricks Data Intelligence Platform to unify and democratize data, analytics and AI. Databricks is headquartered in San Francisco, with offices around the globe and was founded by the original creators of Lakehouse, Apache Spark™, Delta Lake and MLflow. To learn more, follow Databricks on Twitter, LinkedIn and Facebook.
**Benefits**
 At Databricks, we strive to provide comprehensive benefits and perks that meet the needs of all of our employees. For specific details on the benefits offered in your region, please visit https://www.mybenefitsnow.com/databricks.
**Our Commitment to Diversity and Inclusion**
 At Databricks, we are committed to fostering a diverse and inclusive culture where everyone can excel. We take great care to ensure that our hiring practices are inclusive and meet equal employment opportunity standards. Individuals looking for employment at Databricks are considered without regard to age, color, disability, ethnicity, family or marital status, gender identity or expression, language, national origin, physical and mental ability, political affiliation, race, religion, sexual orientation, socio\-economic status, veteran status, and other protected characteristics.
**Compliance**
**If access to export\-controlled technology or source code is required for performance of job duties, it is within Employer's discretion whether to apply for a U.S. government license for such positions, and Employer may decline to proceed with an applicant on this basis alone.**</t>
        </is>
      </c>
    </row>
    <row r="68">
      <c r="A68" t="inlineStr">
        <is>
          <t>li-4264486227</t>
        </is>
      </c>
      <c r="B68" t="inlineStr">
        <is>
          <t>Sr Product Manager, Video Infrastructure &amp; Data</t>
        </is>
      </c>
      <c r="C68" t="inlineStr">
        <is>
          <t>Vivint</t>
        </is>
      </c>
      <c r="D68" t="inlineStr">
        <is>
          <t>linkedin</t>
        </is>
      </c>
      <c r="E68">
        <f>HYPERLINK("https://www.linkedin.com/jobs/view/4264486227", "https://www.linkedin.com/jobs/view/4264486227")</f>
        <v/>
      </c>
      <c r="F68">
        <f>HYPERLINK("https://careers.nrgenergy.com/SMARTHOMES/job/Sr-Product-Manager%2C-Video-Infrastructure-&amp;-Data-UT-84043/1307218300/?utm_source=LINKEDIN&amp;utm_medium=referrer&amp;urlHash=N8Pr", "https://careers.nrgenergy.com/SMARTHOMES/job/Sr-Product-Manager%2C-Video-Infrastructure-&amp;-Data-UT-84043/1307218300/?utm_source=LINKEDIN&amp;utm_medium=referrer&amp;urlHash=N8Pr")</f>
        <v/>
      </c>
      <c r="G68" t="inlineStr">
        <is>
          <t>Lehi, UT</t>
        </is>
      </c>
      <c r="H68" t="inlineStr"/>
      <c r="I68" t="inlineStr">
        <is>
          <t>Welcome to the intersection of energy and home services. At NRG, we’re driven by our passion to create a smarter, cleaner and more connected future.
 Vivint Smart Home, an NRG owned company, is a leading smart home company in the United States, dedicated to redefining the home experience with intelligent products and services. We find purpose in proactively protecting and keeping our customers connected to home, no matter where they are. Join the Smart Home team to create smarter, safer and more sustainable homes.
**Summary**
 Vivint is seeking a Senior Product Manager to join our Protect Team, focusing on Infrastructure across our Video, Camera, Services, and Security Experience product lines. This critical role will serve as the team’s authority on understanding product performance, user satisfaction, and engagement across platforms through deeper data insights. You will identify issues, gaps, and opportunities across our product ecosystem—driving competitive benchmarking, supporting foundational architectural improvements, and unlocking pathways to improve overall user experience.
 You’ll work closely with product leaders, engineers, designers, data analysts, and customer\-facing teams to ensure our solutions are data\-informed, scalable, and deliver outstanding value to our users. To learn more, dive deeper into Vivint’s products here .
**Primary Responsibilities**
* Ensure alignment across product verticals, driving cross\-functional execution for architectural initiatives that span hardware, embedded, platform, and mobile experiences.
* Drive foundational infrastructure initiatives across video and camera products that improve product scalability, maintainability, and cross\-product cohesion.
* Develop product strategy and roadmap for outdoor camera Wi\-Fi bridge devices, both hardware and software.
* Own data strategy for the Protect Team, working with data scientist partners to define dashboards, metrics, and tools that highlight product health, adoption, and competitive benchmarks.
* Be the expert on Protect Team product metrics, consistently driving and refining dashboards that provide insight into customer needs, performance gaps, and quality benchmarks for software and hardware releases.
* Partner with engineering and design to discover, define, scope, and deliver changes that impact performance, stability, or data accessibility across Protect Team product lines.
* Establish product KPIs to measure user satisfaction, engagement, churn, latency, uptime, and feature performance across devices and services.
* Collaborate with stakeholders to identify root causes of product pain points and drive prioritization of resolution.
* Create clear, data\-supported product documents to align stakeholders and guide development teams.
**Required Skills**
* Experience delivering platform or infrastructure improvements in partnership with technical, business, and design stakeholders.
* Ability to drive vision and roadmap for performance and quality improvements through architectural and cross\-platform changes.
* Excellent written and verbal communication skills with the ability to influence cross\-functional partners.
* Experience launching consumer software and/or hardware products.
* Strong analytical background with hands\-on experience in data analysis, statistics, or mathematics.
* Proficient with data tools such as Tableau, Mixpanel, Memfault, or similar BI/telemetry platforms.
* Able to partner with data analysts on complex datasets and translate them into intuitive stories and actions.
* Collaborative, curious, and comfortable working across multiple product domains and technical layers.
**Required Education/Experience**
* 2–4 years of experience in product management, analytics, or data\-driven product role.
* Bachelor’s degree in a technical, quantitative, or business\-related field (e.g., Math, Business, Statistics, Computer Science, Engineering, Economics).
* Prior experience in connected devices, IoT, or security products is a plus but not required.
* Demonstrated ability to work with engineers and data teams to bring product ideas to life.
* Experience contributing to product strategies through insights and data storytelling.
 Learn about the Vivint Culture and why it’s a great place to grow your career!
 Here are some highlighted perks you should ask us about:
* Free daily lunch and drinks on site
* Paid holidays and flexible paid time away
* Employee /Friends/Family Discounts
* Onsite health clinic, gym, gaming tables
* Medical/dental/vision/life coverage \&amp; 24/7 Medical Hotline
* 401(k) \+ Employer Match
* Employee Resource Groups
**Working Conditions**
**This job operates in a professional office environment. This role routinely uses standard office equipment such as computers, phones, photocopiers, filing cabinets and fax machines.**
**Safety**
**Vivint enforces a safety culture whereby all employees have the responsibility for continuously developing and maintaining a safe working environment. Each new employee is responsible for completing all training requirements. Additionally, the employee must accept they have responsibility for maintaining the safety of themselves, their co\-workers, and the public. Employee must adhere to all written and verbal instructions, promptly report and correct all hazards or unsafe conditions, question non\-standard operations or unmitigated hazards, and provide feedback to management on all safety issues.**
 ty issues.
 NRG Energy is committed to a drug and alcohol\-free workplace. To the extent permitted by law and any applicable collective bargaining agreement, employees are subject to periodic random drug testing, and post\-accident and reasonable suspicion drug and alcohol testing. EOE AA M/F/Vet/Disability. Level, Title and/or Salary may be adjusted based on the applicant's experience or skills.
 Official description on file with Talent.</t>
        </is>
      </c>
    </row>
    <row r="69">
      <c r="A69" t="inlineStr">
        <is>
          <t>li-4376099146</t>
        </is>
      </c>
      <c r="B69" t="inlineStr">
        <is>
          <t>Senior Manager, Data Product Manager</t>
        </is>
      </c>
      <c r="C69" t="inlineStr">
        <is>
          <t>Visa</t>
        </is>
      </c>
      <c r="D69" t="inlineStr">
        <is>
          <t>linkedin</t>
        </is>
      </c>
      <c r="E69">
        <f>HYPERLINK("https://www.linkedin.com/jobs/view/4376099146", "https://www.linkedin.com/jobs/view/4376099146")</f>
        <v/>
      </c>
      <c r="F69">
        <f>HYPERLINK("https://jobs.smartrecruiters.com/Visa/744000111112282-senior-manager-data-product-manager?source=LinkedIn&amp;urlHash=z0TO", "https://jobs.smartrecruiters.com/Visa/744000111112282-senior-manager-data-product-manager?source=LinkedIn&amp;urlHash=z0TO")</f>
        <v/>
      </c>
      <c r="G69" t="inlineStr">
        <is>
          <t>San Francisco, CA</t>
        </is>
      </c>
      <c r="H69" t="inlineStr"/>
      <c r="I69" t="inlineStr">
        <is>
          <t>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The Senior Manager, Data Product Manager role responsible for defining product strategy, direction, and outcomes for cross\-domain initiatives within the Finance Data Platform. This role owns the product development lifecycle for platform\-level data products from concept and prioritization through delivery and adoption while working in close partnership with Domain Data Product leaders, Data Architecture \&amp; Modeling, Data Governance, Engineering, and Program/Project Management.
 This role establishes the engagement model for how Finance partners with the Finance Data Platform and ensures product clarity, technical alignment, and AI\-readiness across all initiatives.
**Key Responsibilities:**
**Product Strategy \&amp; Product Development Lifecycle:**
* Own and drive the end\-to\-end Product Development Lifecycle (PDLC) for Finance Data Platform initiatives: discovery, definition, build, validation, and adoption.
* Define product vision, value propositions, success metrics, and phased roadmaps for cross\-domain data products.
* Clearly articulate product scope, user stories, and acceptance criteria that reflect Finance business outcomes and technical standards.
* Drive product strategy aligned to Finance priorities, platform maturity, and AI enablement goals.
**Engagement Model Ownership:**
* Define and operationalize the engagement model for how Finance teams interact with the Finance Data Platform (intake, prioritization, delivery, and adoption).
* Serve as the primary point of coordination for cross\-domain Finance initiatives that span Revenue, Expense, Deals, FP\&amp;A, Controllership, Tax, and Treasury.
* Ensure Finance stakeholders understand what the platform delivers, how to engage, and what standards apply.
**Partnership with Program / Project Management:**
* Partner closely with Program and Project Managers by providing:
* clear product priorities and sequencing
* well\-defined scope and acceptance criteria
* dependency context and decision clarity
* Participate in planning and alignment forums to ensure shared understanding of product intent.
* Support program updates with product context and outcome\-based narratives.
 This role does not manage delivery tracking or tooling but ensures delivery teams have strong product direction.
**Director\-Level \&amp; Cross\-Domain Coordination:**
* Work across Domain Data Product Directors to align shared initiatives and resolve cross\-domain dependencies.
* Partner with the Director – Finance Data Architecture \&amp; Modeling to ensure semantic consistency, canonical models, and interoperability.
* Collaborate with the Director – Finance Data Governance to ensure all products meet governance, quality, and certification standards.
**Technical Product Leadership:**
* Engage deeply in technical design discussions and validate feasibility of product requirements.
* Bring strong hands\-on understanding of:
* Spark SQL
* Hadoop ecosystems (Hive, HDFS, Spark)
* Databricks (Delta Lake, Unity Catalog)
* Snowflake (performance optimization, data sharing)
* Ensure products are designed for scale, performance, auditability, and downstream analytics (Tableau, Power BI).
**AI Enablement \&amp; Advanced Analytics:**
* Drive AI\-readiness of Finance data products through strong feature definition and data quality standards.
* Leverage prior experience enabling AI/ML in products using tools such as:
* Databricks MLflow
* Databricks Feature Store
* AWS SageMaker
* Snowflake Cortex
* OpenAI / Azure OpenAI
* Vector databases (e.g., Pinecone, FAISS)
* Partner with Architecture and Governance leaders to ensure explainability, lineage, and responsible AI usage.
* Translate AI capabilities into tangible Finance use cases (forecasting, anomaly detection, insights automation).
**Executive Communication \&amp; Product Storytelling:**
* Develop and deliver executive\-ready presentations articulating:
* product strategy
* tradeoffs and sequencing
* progress and outcomes
* AI enablement value
* Influence senior Finance and Technology leaders through clear, structured storytelling.
* Represent the Finance Data Platform in leadership forums with confidence and clarity.
 This is a hybrid position. Expectation of days in office will be confirmed by your hiring manager.
**Qualifications**
**Basic Qualifications:**
* 8 or more years of relevant work experience with a Bachelor’s Degree or at least 5 years of experience with an Advanced Degree (e.g. Masters, MBA, JD, MD) or 2 years of work experience with a PhD
* 8\-12\+ years in Data Product Management, Data Platform, or Finance Analytics roles.
* Proven success operating as an individual driving cross\-functional initiatives.
* **Demonstrated ownership of product development lifecycles for data or platform products.**
**Preferred Qualifications:**
* 9 or more years of relevant work experience with a Bachelor’s Degree or 7 or more relevant years of experience with an Advanced Degree (e.g. Masters, MBA, JD, MD) or 3 or more years of experience with a PhD
**Technical Skills:**
* Strong hands\-on expertise with Spark SQL.
* Experience with Hadoop, Databricks, and Snowflake in enterprise environments.
* Solid understanding of cloud data architectures (AWS preferred).
* Familiarity with BI and analytics tooling (Tableau, Power BI).
**AI \&amp; Advanced Analytics:**
* Hands\-on or product\-level experience enabling AI/ML features in data products.
* Familiarity with modern AI/ML platforms and GenAI tools as listed above.
**Leadership \&amp; Communication:**
* Exceptional presentation and communication skills.
* Ability to drive product strategy and alignment at Director and VP levels.
* Strong decision\-making, prioritization, and influence skills.
**Additional Information**
**Work Hours:**
 Varies upon the needs of the department.
**Travel Requirements:**
 This position requires travel 5\-10% of the time.
**Mental/Physical Requirements:**
 This position will be performed in an office setting. The position will require the incumbent to sit and stand at a desk, communicate in person and by telephone, frequently operate standard office equipment, such as telephones and computers.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
 Visa will consider for employment qualified applicants with criminal histories in a manner consistent with applicable local law, including the requirements of Article 49 of the San Francisco Police Code.
**U.S. APPLICANTS ONLY: The estimated salary range for this position is $134,800 to $240,100 USD per year, which may include potential sales incentive payments (if applicable). Salary may vary depending on job\-related factors which may include knowledge, skills, experience, and location. In addition, this position may be eligible for bonus and equity. Visa has a comprehensive benefits package for which this position may be eligible that includes Medical, Dental, Vision, 401 (k), FSA/HSA, Life Insurance, Paid Time Off, and Wellness Program.**</t>
        </is>
      </c>
    </row>
    <row r="70">
      <c r="A70" t="inlineStr">
        <is>
          <t>li-4368446554</t>
        </is>
      </c>
      <c r="B70" t="inlineStr">
        <is>
          <t>Product Manager, Identity and Access Management</t>
        </is>
      </c>
      <c r="C70" t="inlineStr">
        <is>
          <t>athenahealth</t>
        </is>
      </c>
      <c r="D70" t="inlineStr">
        <is>
          <t>linkedin</t>
        </is>
      </c>
      <c r="E70">
        <f>HYPERLINK("https://www.linkedin.com/jobs/view/4368446554", "https://www.linkedin.com/jobs/view/4368446554")</f>
        <v/>
      </c>
      <c r="F70">
        <f>HYPERLINK("https://click.appcast.io/t/H7EknHa_t7pocvHQLUFUBvLwhjcD6KvgQ0yIWwG_tTQ=?Source=LinkedIn&amp;urlHash=flh4", "https://click.appcast.io/t/H7EknHa_t7pocvHQLUFUBvLwhjcD6KvgQ0yIWwG_tTQ=?Source=LinkedIn&amp;urlHash=flh4")</f>
        <v/>
      </c>
      <c r="G70" t="inlineStr">
        <is>
          <t>Maine, United States</t>
        </is>
      </c>
      <c r="H70" t="inlineStr"/>
      <c r="I70" t="inlineStr">
        <is>
          <t>Join us as we work to create a thriving ecosystem that delivers accessible, high\-quality, and sustainable healthcare for all.
**Role Summary**
 Join athenahealth as a Product Manager based in Boston, MA, working in a hybrid environment. This role offers the opportunity to lead product initiatives in access control frameworks for users, applications, and agents using innovative AI methodologies. This position provides exposure and collaboration with a wide range of R\&amp;D stakeholders and will report directly to leadership of the Identity and Access Management product zone.
**Team Summary**
 The team is responsible for a centralized authorization framework that governs access decisions across athenaOne’s entire healthcare IT ecosystem. This framework ensures that only authorized providers, patients, applications, and agents can access specific workflows, actions, and data. The team plays a critical role in maintaining security and compliance while enabling seamless user experiences across multiple healthcare applications. With a focus on fine\-grained access and agentic security, the team innovates in both AI\-driven product development and defense against AI\-enabled threats to support athenahealth’s mission of simplifying healthcare complexity.
**Essential Job Responsibilities**
* Lead product planning and execution for access control features, ensuring alignment with business goals and customer needs.
* Communicate product vision, progress, and outcomes effectively to stakeholders through presentations and reports.
* Collaborate with cross\-functional teams including engineering, UX/UI, security, and compliance stakeholders to define and deliver new features.
* Evolve product management practices empowered by AI, encompassing research, prototyping, implementation, communications, stakeholder coordination, monitoring, and maintenance.
* Analyze system workflows and usability to identify opportunities for improvement and innovation.
**Additional Job Responsibilities**
* Support continuous improvement initiatives by analyzing product performance metrics and user feedback.
* Participate in industry research and competitive analysis to inform product strategy.
* Assist in defining product roadmaps and long\-term strategic planning.
* Engage with vendors as needed to support product integrations.
* Contribute to documentation and training materials for internal audiences.
* Stay current with emerging trends in AI security, product management methodologies, and identity and access management technologies.
**Expected Education \&amp; Experience**
* Bachelor’s degree in Business, Artificial Intelligence, Computer Science, Engineering, or a related field.
* 5 to 7 years of product management experience, preferably in identity and access management or related technology domains.
* Proven leadership skills without direct authority, with experience influencing cross\-functional teams.
* Strong communication and presentation skills tailored to diverse stakeholder groups.
* Demonstrated track record of reliable feature delivery in Agile (or similar) environments.
* Prior ownership of products involving APIs (REST or GraphQL), API gateways and management, and/or developer experience.
* Familiarity with policy decision/enforcement patterns (PDP/PEP), fine\-grained authorization, multi\-tenant authorization.
* Some experience with AI product management, including prototyping and testing features with the help of, or incorporating, AI.
* Proficiency in requirements gathering, workflow analysis, usability analysis, and system analysis.
***Expected Compensation***
 $121,000 \- $207,000
*The base salary range shown reflects the full range for this role from minimum to maximum. At athenahealth, base pay depends on multiple factors, including job\-related experience, relevant knowledge and skills, how your qualifications compare to others in similar roles, and geographical market rates. Base pay is only one part of our competitive Total Rewards package \- depending on role eligibility, we offer both short and long\-term incentives by way of an annual discretionary bonus plan, variable compensation plan, and equity plans.*
**About Athenahealth**
***Our vision:***
*In an industry that becomes more complex by the day, we stand for simplicity. We offer IT solutions and expert services that eliminate the daily hurdles preventing healthcare providers from focusing entirely on their patients — powered by our vision to create a thriving ecosystem that delivers accessible, high\-quality, and sustainable healthcare for all.*
***Our company culture:***
*Our talented* 
*employees — or athenistas, as we call ourselves — spark the innovation and passion needed to accomplish our vision. We are a diverse group of dreamers and do\-ers with unique knowledge, expertise, backgrounds, and perspectives. We unite as mission\-driven problem\-solvers with a deep desire to achieve our vision and make our time here count. Our award\-winning culture is built around shared values of inclusiveness, accountability, and support.*
***Our DEI commitment:***
*Our vision of accessible, high\-quality, and sustainable healthcare for all requires addressing the inequities that stand in the way. That's one reason we prioritize diversity, equity, and inclusion in every aspect of our business, from attracting and sustaining a diverse workforce to maintaining an inclusive environment for athenistas, our partners, customers and the communities where we work and serve.*
**What We Can Do For You**
*Along with health and financial benefits, athenistas enjoy perks specific to each location, including commuter support, employee assistance programs, tuition assistance, employee resource groups, and collaborative* 
*workspaces* 
 —
 *some offices even welcome dogs.*
*We also encourage a better work\-life balance for athenistas with our flexibility. While we know in\-office collaboration is critical to our vision, we recognize that not all work needs to be done within an office environment,* 
*full\-time. With consistent communication and digital collaboration tools, athenahealth* 
*enables* 
*employees to find a balance that feels fulfilling and productive for each individual situation.*
*In addition to our traditional benefits and perks, we sponsor events throughout the year, including book clubs, external speakers, and hackathons. We provide athenistas with a company culture based on learning, the support of an engaged team, and an inclusive environment where all employees are valued.*
*Learn more about our culture and benefits here: athenahealth.com/careers*
*https://www.athenahealth.com/careers/equal\-opportunity*</t>
        </is>
      </c>
    </row>
    <row r="71">
      <c r="A71" t="inlineStr">
        <is>
          <t>li-4376081897</t>
        </is>
      </c>
      <c r="B71" t="inlineStr">
        <is>
          <t>Senior Manager, Data Product Manager</t>
        </is>
      </c>
      <c r="C71" t="inlineStr">
        <is>
          <t>Visa</t>
        </is>
      </c>
      <c r="D71" t="inlineStr">
        <is>
          <t>linkedin</t>
        </is>
      </c>
      <c r="E71">
        <f>HYPERLINK("https://www.linkedin.com/jobs/view/4376081897", "https://www.linkedin.com/jobs/view/4376081897")</f>
        <v/>
      </c>
      <c r="F71">
        <f>HYPERLINK("https://jobs.smartrecruiters.com/Visa/744000111114991-senior-manager-data-product-manager?source=LinkedIn&amp;urlHash=-D-r", "https://jobs.smartrecruiters.com/Visa/744000111114991-senior-manager-data-product-manager?source=LinkedIn&amp;urlHash=-D-r")</f>
        <v/>
      </c>
      <c r="G71" t="inlineStr">
        <is>
          <t>San Francisco, CA</t>
        </is>
      </c>
      <c r="H71" t="inlineStr"/>
      <c r="I71" t="inlineStr">
        <is>
          <t>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The Senior Manager, Data Product Manager role responsible for defining product strategy, direction, and outcomes for cross\-domain initiatives within the Finance Data Platform. This role owns the product development lifecycle for platform\-level data products from concept and prioritization through delivery and adoption while working in close partnership with Domain Data Product leaders, Data Architecture \&amp; Modeling, Data Governance, Engineering, and Program/Project Management.
 This role establishes the engagement model for how Finance partners with the Finance Data Platform and ensures product clarity, technical alignment, and AI\-readiness across all initiatives.
**Key Responsibilities:**
**Product Strategy \&amp; Product Development Lifecycle:**
* Own and drive the end\-to\-end Product Development Lifecycle (PDLC) for Finance Data Platform initiatives: discovery, definition, build, validation, and adoption.
* Define product vision, value propositions, success metrics, and phased roadmaps for cross\-domain data products.
* Clearly articulate product scope, user stories, and acceptance criteria that reflect Finance business outcomes and technical standards.
* Drive product strategy aligned to Finance priorities, platform maturity, and AI enablement goals.
**Engagement Model Ownership:**
* Define and operationalize the engagement model for how Finance teams interact with the Finance Data Platform (intake, prioritization, delivery, and adoption).
* Serve as the primary point of coordination for cross\-domain Finance initiatives that span Revenue, Expense, Deals, FP\&amp;A, Controllership, Tax, and Treasury.
* Ensure Finance stakeholders understand what the platform delivers, how to engage, and what standards apply.
**Partnership with Program / Project Management:**
* Partner closely with Program and Project Managers by providing:
* clear product priorities and sequencing
* well\-defined scope and acceptance criteria
* dependency context and decision clarity
* Participate in planning and alignment forums to ensure shared understanding of product intent.
* Support program updates with product context and outcome\-based narratives.
 This role does not manage delivery tracking or tooling but ensures delivery teams have strong product direction.
**Director\-Level \&amp; Cross\-Domain Coordination:**
* Work across Domain Data Product Directors to align shared initiatives and resolve cross\-domain dependencies.
* Partner with the Director – Finance Data Architecture \&amp; Modeling to ensure semantic consistency, canonical models, and interoperability.
* Collaborate with the Director – Finance Data Governance to ensure all products meet governance, quality, and certification standards.
**Technical Product Leadership:**
* Engage deeply in technical design discussions and validate feasibility of product requirements.
* Bring strong hands\-on understanding of:
* Spark SQL
* Hadoop ecosystems (Hive, HDFS, Spark)
* Databricks (Delta Lake, Unity Catalog)
* Snowflake (performance optimization, data sharing)
* Ensure products are designed for scale, performance, auditability, and downstream analytics (Tableau, Power BI).
**AI Enablement \&amp; Advanced Analytics:**
* Drive AI\-readiness of Finance data products through strong feature definition and data quality standards.
* Leverage prior experience enabling AI/ML in products using tools such as:
* Databricks MLflow
* Databricks Feature Store
* AWS SageMaker
* Snowflake Cortex
* OpenAI / Azure OpenAI
* Vector databases (e.g., Pinecone, FAISS)
* Partner with Architecture and Governance leaders to ensure explainability, lineage, and responsible AI usage.
* Translate AI capabilities into tangible Finance use cases (forecasting, anomaly detection, insights automation).
**Executive Communication \&amp; Product Storytelling:**
* Develop and deliver executive\-ready presentations articulating:
* product strategy
* tradeoffs and sequencing
* progress and outcomes
* AI enablement value
* Influence senior Finance and Technology leaders through clear, structured storytelling.
* Represent the Finance Data Platform in leadership forums with confidence and clarity.
 This is a hybrid position. Expectation of days in office will be confirmed by your hiring manager.
**Qualifications**
**Basic Qualifications:**
* 8 or more years of relevant work experience with a Bachelor’s Degree or at least 5 years of experience with an Advanced Degree (e.g. Masters, MBA, JD, MD) or 2 years of work experience with a PhD
* 8\-12\+ years in Data Product Management, Data Platform, or Finance Analytics roles.
* Proven success operating as an individual driving cross\-functional initiatives.
* **Demonstrated ownership of product development lifecycles for data or platform products.**
**Preferred Qualifications:**
* 9 or more years of relevant work experience with a Bachelor’s Degree or 7 or more relevant years of experience with an Advanced Degree (e.g. Masters, MBA, JD, MD) or 3 or more years of experience with a PhD
**Technical Skills:**
* Strong hands\-on expertise with Spark SQL.
* Experience with Hadoop, Databricks, and Snowflake in enterprise environments.
* Solid understanding of cloud data architectures (AWS preferred).
* Familiarity with BI and analytics tooling (Tableau, Power BI).
**AI \&amp; Advanced Analytics:**
* Hands\-on or product\-level experience enabling AI/ML features in data products.
* Familiarity with modern AI/ML platforms and GenAI tools as listed above.
**Leadership \&amp; Communication:**
* Exceptional presentation and communication skills.
* Ability to drive product strategy and alignment at Director and VP levels.
* Strong decision\-making, prioritization, and influence skills.
**Additional Information**
**Work Hours:**
 Varies upon the needs of the department.
**Travel Requirements:**
 This position requires travel 5\-10% of the time.
**Mental/Physical Requirements:**
 This position will be performed in an office setting. The position will require the incumbent to sit and stand at a desk, communicate in person and by telephone, frequently operate standard office equipment, such as telephones and computers.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
 Visa will consider for employment qualified applicants with criminal histories in a manner consistent with applicable local law, including the requirements of Article 49 of the San Francisco Police Code.
**U.S. APPLICANTS ONLY: The estimated salary range for this position is $134,800 to $240,100 USD per year, which may include potential sales incentive payments (if applicable). Salary may vary depending on job\-related factors which may include knowledge, skills, experience, and location. In addition, this position may be eligible for bonus and equity. Visa has a comprehensive benefits package for which this position may be eligible that includes Medical, Dental, Vision, 401 (k), FSA/HSA, Life Insurance, Paid Time Off, and Wellness Program.**</t>
        </is>
      </c>
    </row>
    <row r="72">
      <c r="A72" t="inlineStr">
        <is>
          <t>li-4370407179</t>
        </is>
      </c>
      <c r="B72" t="inlineStr">
        <is>
          <t>Senior Product Manager, Cloud infrastructure</t>
        </is>
      </c>
      <c r="C72" t="inlineStr">
        <is>
          <t>Google</t>
        </is>
      </c>
      <c r="D72" t="inlineStr">
        <is>
          <t>linkedin</t>
        </is>
      </c>
      <c r="E72">
        <f>HYPERLINK("https://www.linkedin.com/jobs/view/4370407179", "https://www.linkedin.com/jobs/view/4370407179")</f>
        <v/>
      </c>
      <c r="F72" t="inlineStr"/>
      <c r="G72" t="inlineStr">
        <is>
          <t>Seattle, WA</t>
        </is>
      </c>
      <c r="H72" t="inlineStr"/>
      <c r="I72" t="inlineStr">
        <is>
          <t>In accordance with Washington state law, we are highlighting our comprehensive benefits package, which is available to all eligible US based employees. Benefits for this role include:
* Health, dental, vision, life, disability insurance
* Retirement Benefits: 401(k) with company match
* Paid Time Off: 20 days of vacation per year, accruing at a rate of 6\.15 hours per pay period for the first five years of employment
* Sick Time: 40 hours/year (statutory, where applicable); 5 days/event (discretionary)
* Maternity Leave (Short\-Term Disability \+ Baby Bonding): 28\-30 weeks
* Baby Bonding Leave: 18 weeks
* Holidays: 13 paid days per year
 Note: By applying to this position you will have an opportunity to share your preferred working location from the following:
 **Seattle, WA, USA; Kirkland, WA, USA; Sunnyvale, CA, USA** 
 .
 **Minimum qualifications:**
* Bachelor's degree or equivalent practical experience.
* 8 years of experience in product management or related technical role.
* 3 years of experience taking technical products from conception to launch (e.g., ideation to execution, end\-to\-end, 0 to 1, etc).
**Preferred qualifications:**
* Master's degree in a technology or business related field.
* Experience working in a cross\-functional organization and influencing executives.
* Knowledge of cloud regions, data centers, zones, and cloud/AI infrastructure and regional architecture.
* Understanding of local and global customer requirements, including infrastructure, AI, cloud services, capacity, latency, data residency, and regulatory needs.
* Excellent data analysis skills and impeccable business judgment.
* Excellent product management, business acumen, problem\-solving, and stakeholder management skills, with exceptional attention to detail.
**About The Job**
 At Google, we put our users first. The world is always changing, so we need Product Managers who are continuously adapting and excited to work on products that affect millions of people every day.
 In this role, you will work cross\-functionally to guide products from conception to launch by connecting the technical and business worlds. You can break down complex problems into steps that drive product development.
 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
 Google Cloud Platform (GCP) is changing the way the world uses cloud computing by exposing our infrastructure and solutions to companies of all sizes, everywhere. The Infrastructure and Solutions Group (ISG) is a GCP product area with a mission to delight customers through the world’s most and trusted cloud infrastructure and solutions, powered by AI.
 This role is part of the ISG Cloud Expansion Product team, a cross\-functional team working closely with data center, capacity, services, and other product and engineering teams, as well as with customers and business teams. We are looking for a Product Manager (PM) who has in\-depth experience with hyper\-scale cloud regions, data centers, cloud capacity, cloud customer requirements, and AI infrastructure product management.
 Google Cloud accelerates every organization’s ability to digitally transform its business and industry. We deliver enterprise\-grade solutions that leverage Google’s cutting\-edge technology, and tools that help developers build more sustainably. Customers in more than 200 countries and territories turn to Google Cloud as their trusted partner to enable growth and solve their most critical business problems.
 The US base salary range for this full\-time position is $183,000\-$271,000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Work with partner Engineering, Infrastructure, Product teams to develop and deliver regional infrastructure products like cloud regions and zones.
* Work with business and customers to understand customer’s cloud and AI requirements (e.g., infrastructure, location, services, regulatory, latency, or uptime needs).
* Develop Product Requirements Document (PRDs), data center infrastructure specifications, and cross\-functionally align on those.
* Discuss cloud regions, zones, infrastructure architectures, requirements, and AI services directly with customers and business teams.
* Represent regional infrastructure product requirements to cross\-functional executives, achieving technical and business alignment.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73">
      <c r="A73" t="inlineStr">
        <is>
          <t>li-4370923617</t>
        </is>
      </c>
      <c r="B73" t="inlineStr">
        <is>
          <t>Senior Staff Product Manager – QuickBooks Growth</t>
        </is>
      </c>
      <c r="C73" t="inlineStr">
        <is>
          <t>Intuit</t>
        </is>
      </c>
      <c r="D73" t="inlineStr">
        <is>
          <t>linkedin</t>
        </is>
      </c>
      <c r="E73">
        <f>HYPERLINK("https://www.linkedin.com/jobs/view/4370923617", "https://www.linkedin.com/jobs/view/4370923617")</f>
        <v/>
      </c>
      <c r="F73">
        <f>HYPERLINK("https://dsp.prng.co/ZjXQPeb&amp;urlHash=lnY1", "https://dsp.prng.co/ZjXQPeb&amp;urlHash=lnY1")</f>
        <v/>
      </c>
      <c r="G73" t="inlineStr">
        <is>
          <t>Mountain View, CA</t>
        </is>
      </c>
      <c r="H73" t="inlineStr"/>
      <c r="I73" t="inlineStr">
        <is>
          <t>**Overview**
 Intuit is the global financial technology platform that powers prosperity for the people and communities we serve. With approximately 100 million customers worldwide using products such as TurboTax, Credit Karma, QuickBooks, and Mailchimp, we believe that everyone should have the opportunity to prosper. We never stop working to find new, innovative ways to make that possible.
 Come join a world\-class growth team to create experiences that power prosperity for small businesses.
 The QuickBooks Product Growth team is leading a company\-level strategic bet on new engines for customer growth and long\-term monetization. As a Senior Staff Product Manager, Growth, you will lead a significant portion of this initiative, owning key acquisition, engagement, and free\-to\-paid conversion experiences that help scale a large base of active customers and monetize them over time.
 This role sits at the intersection of product, marketing, data, and engineering. You will lead a dedicated cross\-functional pod and partner closely with other Product Managers, as well as with leaders across the organization, to execute against a bold, growth\-first strategy. This is a high\-visibility role focused on driving meaningful impact within a broader company\-level effort, with the opportunity to shape how QuickBooks grows its customer base over the next several years.
**Responsibilities**
 Lead Key Growth and Monetization Initiatives
* Lead strategy and execution for a core set of acquisition, engagement, and free\-to\-paid conversion experiences within QuickBooks.
* Balance bold customer acquisition with disciplined learning, working in partnership with other PMs to support long\-term monetization.
* Translate company\-level growth objectives into clear product bets, priorities, and tradeoffs across your owned surfaces and flows.
 Drive Acquisition, Engagement, and Monetization
* Partner closely with Marketing to design and optimize acquisition paths across channels (web, paid media, partnerships, cross\-sell).
* Build engagement experiences that turn signups into active, retained users.
* Own and optimize Free → Paid monetization experiences, including paywalls, upgrade flows, and services monetization (e.g., payments).
 Lead Cross\-Functional Execution
* Guide a dedicated pod of engineers, product designers, and data scientists to deliver high\-impact product work.
* Work across organizational boundaries to influence teams without direct authority, unblock dependencies, and drive progress.
* Align stakeholders across Product, Marketing, Engineering, Data Science, and Commercial leadership around a shared plan.
 Operate with Data and Learning at the Core
* Partner deeply with Data Science and Analytics to define success metrics, evaluate tradeoffs, and guide decisions.
* Use experimentation and cohort analysis to understand user behavior, engagement, and monetization over time.
* Focus not just on short\-term wins, but on building durable growth systems and repeatable playbooks.
 Be a Growth Leader
* Serve as a thought leader for product\-led growth within QuickBooks and across Intuit.
* Help shape how the Product Growth function scales by setting standards for rigor, velocity, and cross\-functional collaboration.
**Qualifications**
 Experience \&amp; Impact
* 8\+ years of product management experience, ideally in growth, platform, or consumer/SMB products.
* Proven track record owning complex product initiatives that span acquisition, engagement, and monetization.
* Experience operating in ambiguity and driving large, cross\-functional efforts forward.
* Strong understanding of marketing concepts, acquisition channels, and go\-to\-market strategy.
 Leadership \&amp; Influence
* Ability to lead through influence rather than authority in a matrixed organization.
* Strong communication skills, with the ability to align senior stakeholders and navigate complex organizational dynamics.
* Bias for action, paired with sound judgment and strategic thinking.
 Customer \&amp; Business Acumen
* Deep customer empathy, particularly for SMBs and early\-stage businesses.
* Strong intuition for how product decisions translate into business outcomes over time.
* Comfort making tradeoffs that balance short\-term metrics with long\-term value creation.
**Preferred Qualifications**
* Experience with free\-to\-paid, marketplace, or product\-led growth models.
* Background in financial technology, B2B software, or SMB\-focused products.
* Familiarity with experimentation frameworks, lifecycle marketing, and personalization.
 Intuit provides a competitive compensation package with a strong pay for performance rewards approach. This position may be eligible for a cash bonus, equity rewards and benefits, in accordance with our applicable plans and programs (see more about our compensation and benefits at Intuit®: Careers \| Benefits). Pay offered is based on factors such as job\-related knowledge, skills, experience, and work location. To drive ongoing fair pay for employees, Intuit conducts regular comparisons across categories of ethnicity and gender. The expected base pay range for this position is:
 Bay Area California: $196,500 \- 266,000</t>
        </is>
      </c>
    </row>
    <row r="74">
      <c r="A74" t="inlineStr">
        <is>
          <t>li-4370462922</t>
        </is>
      </c>
      <c r="B74" t="inlineStr">
        <is>
          <t>Forward Deployed Product Manager</t>
        </is>
      </c>
      <c r="C74" t="inlineStr">
        <is>
          <t>Glean</t>
        </is>
      </c>
      <c r="D74" t="inlineStr">
        <is>
          <t>linkedin</t>
        </is>
      </c>
      <c r="E74">
        <f>HYPERLINK("https://www.linkedin.com/jobs/view/4370462922", "https://www.linkedin.com/jobs/view/4370462922")</f>
        <v/>
      </c>
      <c r="F74" t="inlineStr"/>
      <c r="G74" t="inlineStr">
        <is>
          <t>New York, NY</t>
        </is>
      </c>
      <c r="H74" t="inlineStr"/>
      <c r="I74" t="inlineStr">
        <is>
          <t>**About Glean**
 Glean is the Work AI platform that helps everyone work smarter with AI. What began as the industry’s most advanced enterprise search has evolved into a full\-scale Work AI ecosystem, powering intelligent Search, an AI Assistant, and scalable AI agents on one secure, open platform. With over 100 enterprise SaaS connectors, flexible LLM choice, and robust APIs, Glean gives organizations the infrastructure to govern, scale, and customize AI across their entire business \- without vendor lock\-in or costly implementation cycles.
 At its core, Glean is redefining how enterprises find, use, and act on knowledge. Its Enterprise Graph and Personal Knowledge Graph map the relationships between people, content, and activity, delivering deeply personalized, context\-aware responses for every employee. This foundation powers Glean’s agentic capabilities \- AI agents that automate real work across teams by accessing the industry’s broadest range of data: enterprise and world, structured and unstructured, historical and real\-time. The result: measurable business impact through faster onboarding, hours of productivity gained each week, and smarter, safer decisions at every level.
 Recognized by Fast Company as one of the World’s Most Innovative Companies (Top 10, 2025\), by CNBC’s Disruptor 50, Bloomberg’s AI Startups to Watch (2026\), Forbes AI 50, and Gartner’s Tech Innovators in Agentic AI, Glean continues to accelerate its global impact. With customers across 50\+ industries and 1,000\+ employees in more than 25 countries, we’re helping the world’s largest organizations make every employee AI\-fluent, and turning the superintelligent enterprise from concept into reality.
 If you’re excited to shape how the world works, you’ll help build systems used daily across Microsoft Teams, Zoom, ServiceNow, Zendesk, GitHub, and many more \- deeply embedded where people get things done. You’ll ship agentic capabilities on an open, extensible stack, with the craft and care required for enterprise trust, as we bring Work AI to every employee, in every company.
**The Opportunity**
 You'll join as a founding member of Glean's forward deployed team and operate with the autonomy and accountability of a founder. Your job is to discover and build Glean's next generation of product surfaces, working directly with the C\-suite of the world's most influential companies and with Glean's own executive team.
 Glean is a fully horizontal AI platform \- and that scope is what makes this role unique. You won't be configuring existing products or optimizing within defined constraints. You'll identify the biggest unsolved business problems at our most strategic customers, build entirely new products to solve them, and in doing so shape what Glean becomes. The best of what you build ships to every Glean customer in the world. You get founder\-level ownership with Glean's resources, relationships, and scale behind you.
**What You'll Do**
**Discover and build Glean's next product surfaces:** 
 Your primary job is 0\-to\-1 product creation. You'll identify where Glean's platform can be extended to solve problems no product currently solves, design the solution, and ship it \- working in a pod with forward deployed engineers to move from ambiguous customer problem to product in production.
**Lead deep opportunity discovery:** 
 Before you design anything, you go deep on the business. What's structurally broken? What does the leadership team actually lose sleep over? Where is the biggest concentration of unsolved value? You'll form a strong point of view before you ever open a design tool, and pressure\-test it directly with the executives who have to live with the outcome
**Trusted C\-suite Advisor:** 
 You'll earn trust at the highest levels of your customer organizations \- not as a vendor, but as the person who understands their business well enough to build for it. You'll set the product vision for what Glean can become inside their organization and be accountable for whether it gets there.
**Scale what works:** 
 Once something works, you'll make it repeatable \- contributing to playbooks and helping the broader team build on what you've learned.
**Who You Are**
 You think like a founder. When you walk into a customer, you're not looking for a use case to fit an existing solution \- you're diagnosing the business, forming a hypothesis about where the real value is, and figuring out what needs to exist that doesn't yet. You're as comfortable in a strategic discussion with a CEO as you are iterating on a build with an engineer. You've shipped actual products that real people use, that drove real outcomes \- and you want to do it at a higher level of ambition.
**What We're Looking For**
**0\-to\-1 product track record.** 
 You've built products from scratch that others have used. You can point to something that didn't exist before you showed up.
**Deep technical fluency.** 
 You can shape the product vision and architectures, work directly with engineers on building \&amp; implementation, and make credible design decisions. You've shipped AI\-powered solutions in the real world, not just designed them.
**Business acumen.** 
 You lead discovery with a point of view, not a list of questions. You can identify where there is opportunity in a business and connect that to a product hypothesis quickly.
**Executive credibility.** 
 You've built real trust with senior stakeholders by being right about important things and delivering on what you committed to.
**Product taste.** 
 You design products people actually want to use. You think about the end user's experience with the same rigor you bring to the underlying architecture.
**Comfort with ambiguity.** 
 You define the problem as often as you solve it, and you're energized by that.
**Nice to Have**
* Experience as a founder, a top\-tier consulting firm or in product at a high\-growth technology company.
* A technical degree in CS, engineering, math, or a related field.
* Deep familiarity with LLMs, retrieval systems, and evaluation frameworks.
* Experience driving technology adoption inside large enterprises.
**Location:**
* This role is hyrbid (3\-4 days a week in our NYC office)
* This role will require travel 25\-50% of the time
**Compensation \&amp; Benefits**
 The standard compensation range for this position is $170,000\-$280,000 annually plus equity. Compensation offered will be determined by factors such as location, level, job\-related knowledge, skills, and experience. Certain roles may be eligible for variable compensation, equity, and benefits.
 We offer a comprehensive benefits package including competitive compensation, Medical, Vision, and Dental coverage, generous time\-off policy, and the opportunity to contribute to your 401k plan to support your long\-term goals. When you join, you'll receive a home office improvement stipend, as well as an annual education and wellness stipends to support your growth and wellbeing. We foster a vibrant company culture through regular events, and provide healthy lunches daily to keep you fueled and focused.
 We are a diverse bunch of people and we want to continue to attract and retain a diverse range of people into our organization. We're committed to an inclusive and diverse company. We do not discriminate based on gender, ethnicity, sexual orientation, religion, civil or family status, age, disability, or race</t>
        </is>
      </c>
    </row>
    <row r="75">
      <c r="A75" t="inlineStr">
        <is>
          <t>li-4378198239</t>
        </is>
      </c>
      <c r="B75" t="inlineStr">
        <is>
          <t>Product Owner/ Software Manager</t>
        </is>
      </c>
      <c r="C75" t="inlineStr">
        <is>
          <t>Leidos</t>
        </is>
      </c>
      <c r="D75" t="inlineStr">
        <is>
          <t>linkedin</t>
        </is>
      </c>
      <c r="E75">
        <f>HYPERLINK("https://www.linkedin.com/jobs/view/4378198239", "https://www.linkedin.com/jobs/view/4378198239")</f>
        <v/>
      </c>
      <c r="F75">
        <f>HYPERLINK("https://careers.leidos.com/jobs/17353607-product-owner-slash-software-manager?tm_job=R-00175999-OTHLOC-PL-2D1270&amp;tm_event=view&amp;tm_company=2502&amp;bid=56&amp;urlHash=n9p2", "https://careers.leidos.com/jobs/17353607-product-owner-slash-software-manager?tm_job=R-00175999-OTHLOC-PL-2D1270&amp;tm_event=view&amp;tm_company=2502&amp;bid=56&amp;urlHash=n9p2")</f>
        <v/>
      </c>
      <c r="G75" t="inlineStr">
        <is>
          <t>Huntsville, AL</t>
        </is>
      </c>
      <c r="H75" t="inlineStr"/>
      <c r="I75" t="inlineStr">
        <is>
          <t>**Description**
**Looking for an opportunity to make an impact?**
 At Leidos, we deliver innovative solutions through the efforts of our diverse and talented people who are dedicated to our customers’ success. We empower our teams, contribute to our communities, and operate sustainably. Everything we do is built on a commitment to do the right thing for our customers, our people, and our community. Our Mission, Vision, and Values guide the way we do business.
**Are you ready for your next challenge?**
 Leidos’ Defense Systems Mission Assurance organization is seeking an
 **Agile Software Product Owner** 
 to join our Space Systems team in
 **Huntsville, AL** 
 . This role will primarily support the
 **Wide Field of View (WFOV)** 
 program—an optical payload on a missile warning and tracking satellite. You will play a critical role in shaping, prioritizing, and delivering mission\-critical software capabilities that support complex spaceflight and ground systems.
**What’s in it for you?**
 We are looking for Product Owners who thrive in fast\-paced environments and are passionate about delivering high\-impact software solutions to demanding customers. While experience supporting space systems and working within organizations such as
 **SDA, RCO, DARPA, or other DoD space programs** 
 is highly valued, we are most excited about candidates who have demonstrated success translating mission needs into actionable, high\-quality software delivered on aggressive timelines.
 If this sounds like the kind of environment where you can thrive, keep reading!
**About Leidos Defense Systems**
 The Leidos Defense Systems Sector delivers a diverse portfolio of systems, solutions, and services across land, sea, air, space, and cyberspace for customers worldwide. Our work includes enterprise and mission IT, intelligence systems, command and control, geospatial and data analytics, cybersecurity, logistics, training, and intelligence operations support. We solve the world’s toughest security challenges in support of “can’t fail” missions.
**Ready to make an impact? Share your resume with us today!**
 As an
 **Agile Software Product Owner** 
 of the Ground Software Team on this program, you will serve as the primary interface between stakeholders, customers, and the development team. You will be responsible for defining and prioritizing product features, maintaining the product backlog, and ensuring delivered software meets mission, technical, and quality requirements. Working within an Agile / DevSecOps framework, this role supports all phases of the software development lifecycle, including capability definition, backlog refinement, sprint planning, system integration, and delivery acceptance. You will partner closely with software engineers, systems engineers, test teams, and program leadership to ensure alignment between mission objectives and software execution.
**THE CHALLENGE (primary Responsibilities)**
* Owning and managing the product backlog, including writing, refining, and prioritizing user stories and acceptance criteria.
* Translating customer, mission, and system requirements into clear, actionable software requirements for Agile development teams.
* Serving as the primary voice of the customer to the development team, ensuring delivered capabilities meet operational and mission needs.
* Participating in Agile ceremonies including sprint planning, backlog refinement, daily standups, reviews, and retrospectives.
* Collaborating with multi\-disciplinary teams including software, firmware, electrical, optical, systems, and test engineers across multiple programs.
* Supporting development of embedded software, ground support software, test software, and simulation environments (SWIL/HWIL) from a requirements and prioritization perspective.
* Coordinating with systems engineering and integration \&amp; test teams to support end\-to\-end verification and validation.
* Reviewing completed work and formally accepting or rejecting features based on defined acceptance criteria.
* Supporting release planning and roadmap development aligned with program milestones.
* Operating within CI/CD and DevSecOps environments to enable reliable and timely software delivery.
**WHAT SETS YOU APART (basic Qualifications)**
 We’re looking for Agile Software Product Owners possessing the following foundational skills and experience:
* Bachelor’s degree in Engineering, Computer Science, Mathematics, Physics, or related technical field with 12\+ years of relevant experience.
* 3\+ years of experience serving as a Product Owner, Technical Product Manager, or equivalent Agile role supporting software development.
* Strong understanding of Agile principles and the Scrum framework, including backlog management and sprint execution.
* Experience working with multi\-domain engineering teams, including software, firmware, electrical, optical, systems, and test engineers.
* Ability to understand technical software concepts well enough to make informed prioritization and trade decisions.
* Experience supporting embedded software, mission systems, or space/defense programs.
* Familiarity with DevOps / DevSecOps practices, CI/CD pipelines, and version control tools such as GitLab.
* Strong communication skills with the ability to engage effectively with technical teams, leadership, and external stakeholders.
* Experience supporting SDA, MDA, AFRL, or U.S. Air Force space programs is highly desirable.
* Must able to work out of the San Diego OR Huntsville facility
* U.S. Citizen and must be able to obtain and maintain a DoD SECRET clearance.
**Preferred Qualifications**
* Knowledge of embedded software development and challenges.
* Knowledge of adaptive image processing, trackers, RTOS’s a plus.
* Knowledge of configuration management, document control.
* Knowledge of Jira, Azure Devops, etc.
 If you're looking for comfort, keep scrolling. At Leidos, we outthink, outbuild, and outpace the status quo — because the mission demands it. We're not hiring followers. We're recruiting the ones who disrupt, provoke, and refuse to fail. Step 10 is ancient history. We're already at step 30 — and moving faster than anyone else dares.
**Original Posting**
 February 17, 2026
 For U.S. Positions: While subject to change based on business needs, Leidos reasonably anticipates that this job requisition will remain open for at least 3 days with an anticipated close date of no earlier than 3 days after the original posting date as listed above.
**Pay Range**
 Pay Range $131,300\.00 \- $237,350\.00
 The Leidos pay range for this job level is a general guideline onlyand not a guarantee of compensation or salary. Additional factors considered in extending an offer include (but are not limited to) responsibilities of the job, education, experience, knowledge, skills, and abilities, as well as internal equity, alignment with market data, applicable bargaining agreement (if any), or other law.
**About Leidos**
 Leidos is an industry and technology leader serving government and commercial customers with smarter, more efficient digital and mission innovations. Headquartered in Reston, Virginia, with 47,000 global employees, Leidos reported annual revenues of approximately $16\.7 billion for the fiscal year ended January 3, 2025\. For more information, visit www.Leidos.com.
**Pay And Benefits**
 Pay and benefits are fundamental to any career decision. That's why we craft compensation packages that reflect the importance of the work we do for our customers. Employment benefits include competitive compensation, Health and Wellness programs, Income Protection, Paid Leave and Retirement. More details are available at www.leidos.com/careers/pay\-benefits.
**Securing Your Data**
 Beware of fake employment opportunities using Leidos’ name. Leidos will never ask you to provide payment\-related information during any part of the employment application process (i.e., ask you for money), nor will Leidos ever advance money as part of the hiring process (i.e., send you a check or money order before doing any work). Further, Leidos will only communicate with you through emails that are generated by the Leidos.com automated system – never from free commercial services (e.g., Gmail, Yahoo, Hotmail) or via WhatsApp, Telegram, etc. If you received an email purporting to be from Leidos that asks for payment\-related information or any other personal information (e.g., about you or your previous employer), and you are concerned about its legitimacy, please make us aware immediately by emailing us at LeidosCareersFraud@leidos.com.
 If you believe you are the victim of a scam, contact your local law enforcement and report the incident to the U.S. Federal Trade Commission.
**Commitment to Non\-Discrimination**
 All qualified applicants will receive consideration for employment without regard to sex, race, ethnicity, age, national origin, citizenship, religion, physical or mental disability, medical condition, genetic information, pregnancy, family structure, marital status, ancestry, domestic partner status, sexual orientation, gender identity or expression, veteran or military status, or any other basis prohibited by law. Leidos will also consider for employment qualified applicants with criminal histories consistent with relevant laws.</t>
        </is>
      </c>
    </row>
    <row r="76">
      <c r="A76" t="inlineStr">
        <is>
          <t>li-4370954421</t>
        </is>
      </c>
      <c r="B76" t="inlineStr">
        <is>
          <t>Principal Product Manager, Technical, WW Sustainability</t>
        </is>
      </c>
      <c r="C76" t="inlineStr">
        <is>
          <t>Amazon</t>
        </is>
      </c>
      <c r="D76" t="inlineStr">
        <is>
          <t>linkedin</t>
        </is>
      </c>
      <c r="E76">
        <f>HYPERLINK("https://www.linkedin.com/jobs/view/4370954421", "https://www.linkedin.com/jobs/view/4370954421")</f>
        <v/>
      </c>
      <c r="F76">
        <f>HYPERLINK("https://www.amazon.jobs/jobs/3176441/principal-product-manager-technical-ww-sustainability?cmpid=SPLICX0248M&amp;utm_source=linkedin.com&amp;utm_campaign=cxro&amp;utm_medium=social_media&amp;utm_content=job_posting&amp;ss=paid&amp;urlHash=4-rD", "https://www.amazon.jobs/jobs/3176441/principal-product-manager-technical-ww-sustainability?cmpid=SPLICX0248M&amp;utm_source=linkedin.com&amp;utm_campaign=cxro&amp;utm_medium=social_media&amp;utm_content=job_posting&amp;ss=paid&amp;urlHash=4-rD")</f>
        <v/>
      </c>
      <c r="G76" t="inlineStr">
        <is>
          <t>New York, United States</t>
        </is>
      </c>
      <c r="H76" t="inlineStr"/>
      <c r="I76" t="inlineStr">
        <is>
          <t>**Description**
 Join us at the forefront of Amazon's sustainability initiatives to work on environmental and social advancements to support Amazon's long term worldwide sustainability strategy. At Amazon, we're working to be the most customer\-centric company on earth. To get there, we need exceptionally talented, bright, and driven people.
 The Worldwide Sustainability (WWS) organization capitalizes on Amazon’s scale and speed to build a more resilient and sustainable company. We manage our social and environmental impacts globally, and drive solutions that enable our customers, businesses, and the world to become more sustainable.
 You'll operate with a startup mindset—moving fast, taking calculated risks, and building from first principles in an environment where ambiguity is the norm and invention is the expectation. You'll thrive in uncertain, evolving environments where experimentation and learning from failures are essential to breakthrough innovation.
 You'll dive deep into varied technical domains, build strategic partnerships to accelerate discovery\-to deployment, and set technical standards that define how Amazon approaches sustainability science product development.
 You'll invent mechanisms that translate breakthrough science into scalable pilots and Amazon workflows, establishing best practices that compound impact across the organization.
 This is a high\-visibility role requiring the ability to influence technical direction across Amazon, drive alignment with senior leadership on multi\-year investments, and serve as a thought leader bridging science, product, and business strategy.
 Key job responsibilities
 You are the single\-threaded owner for product strategy and business outcomes, defining where Amazon invests, why investments matter, and how products scale over 3–5 years. You'll work backwards from internal customers and business goals, partner with science, engineering, applied science, finance, and operations teams, and drive senior leadership alignment on priorities and tradeoffs.
 You'll own product roadmaps delivering breakthrough sustainability solutions across energy systems, thermal management, chemical processes, and materials innovation—from early\-stage validation through operational pilots to full\-scale adoption by partner business units. You'll define clear customer value propositions and business cases articulating how products drive adoption, operational efficiency, risk reduction, or sustainability outcomes.
 You'll lead portfolio prioritization and tradeoff decisions, distinguishing one\-way vs. two\-way doors and reallocating resources to maximize business and customer impact. You'll partner with science, engineering, and AI/ML leaders to shape product direction, assess feasibility and scalability, and ensure technical solutions align with customer needs—without owning scientific research or acting as a domain authority.
 You'll drive executive alignment through high\-quality narratives enabling senior leadership decisions on multi\-year investments. You'll define and inspect mechanisms tracking product adoption, business impact, and sustainability outcomes, using data to course\-correct strategy and roadmap. You'll influence across organizations without authority, aligning senior leaders and stakeholders around coherent product strategies.
 You'll invent and standardize product mechanisms (intake and prioritization models, pilot\-to\-scale decision criteria, adoption playbooks) enabling repeatable success. You'll mentor and develop senior PMs, raising the bar for business judgment, working\-backwards discipline, and strategic product thinking organization\-wide.
**About The Team**
 This Principal PM\-T role demands operating at the intersection of technical capabilities and customer needs across materials science, chemical engineering, thermal systems, AI/ML, pilot design, and partnerships.
 You'll own a portfolio of solutions with company\-wide impact, working with scientists and engineers across diverse domains, AI/ML teams, TPMs, and business unit stakeholders to orchestrate pilots and drive adoption at scale.
**Basic Qualifications**
* 10\+ years of technical product or program management experience
* Bachelor's degree in engineering, physical sciences, or related technical field
* Experience owning/driving roadmap strategy and definition for portfolios with 3\-5 year horizons
* Experience with staged technology readiness models (Technology Readiness Level (TRL)\-style gating) and
* designing/executing pilot programs
* Experience contributing to scientific and engineering discussions around technology decisions and strategy
* Experience in representing and advocating for critical stakeholders during executive\-level prioritization and planning
**Preferred Qualifications**
* MS/PhD in materials science, chemistry, chemical engineering, mechanical engineering, product development, or
* related technical field
* Principal Product Manager – Tech (PMT),
* Experience with AI/ML systems, data strategy, and model\-driven product development
* Experience managing strategic partnerships with research institutions, vendors, and testing facilities
* Experience influencing senior leadership through data\-driven insights and setting technical direction across multiple
* organizations
* Experience working with and influencing scientists and engineers across matrixed organizations
* Demonstrated ability to thrive in ambiguous, fast\-paced environments with willingness to experiment and learn from
* failures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\- 206,900\.00 \- 279,900\.00 USD annually
 USA, NY, New York \- 197,900\.00 \- 267,800\.00 USD annually
 USA, WA, Seattle \- 179,900\.00 \- 243,400\.00 USD annually
**Company** 
 \- Amazon.com Services LLC
 Job ID: A3176441</t>
        </is>
      </c>
    </row>
    <row r="77">
      <c r="A77" t="inlineStr">
        <is>
          <t>li-4380179415</t>
        </is>
      </c>
      <c r="B77" t="inlineStr">
        <is>
          <t>Staff Product Manager, Growth – SEO</t>
        </is>
      </c>
      <c r="C77" t="inlineStr">
        <is>
          <t>Snap Inc.</t>
        </is>
      </c>
      <c r="D77" t="inlineStr">
        <is>
          <t>linkedin</t>
        </is>
      </c>
      <c r="E77">
        <f>HYPERLINK("https://www.linkedin.com/jobs/view/4380179415", "https://www.linkedin.com/jobs/view/4380179415")</f>
        <v/>
      </c>
      <c r="F77">
        <f>HYPERLINK("https://wd1.myworkdaysite.com/en-US/recruiting/snapchat/snap/job/Los-Angeles-California/Staff-Product-Manager\u002d\u002dGrowth\u002d\u002d-SEO_R0044786-1?source=LinkedIn&amp;urlHash=Dhib", "https://wd1.myworkdaysite.com/en-US/recruiting/snapchat/snap/job/Los-Angeles-California/Staff-Product-Manager\u002d\u002dGrowth\u002d\u002d-SEO_R0044786-1?source=LinkedIn&amp;urlHash=Dhib")</f>
        <v/>
      </c>
      <c r="G77" t="inlineStr">
        <is>
          <t>Los Angeles, CA</t>
        </is>
      </c>
      <c r="H77" t="inlineStr"/>
      <c r="I77"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 The Company’s three core products are Snapchat, a visual messaging app that enhances your relationships with friends, family, and the world; Lens Studio, an augmented reality platform that powers AR across Snapchat and other services; and its AR glasses, Spectacles.
 The Product team uses creativity, insights, and operational excellence to steer our product vision across Snap. Our designers, data scientists, and product managers work in a highly collaborative environment to build the products and experiences that unite our community in new and unique ways.
 We’re looking for a
 **Staff Product Manager, Growth – SEO** 
 to join our Product team at Snap Inc.!
**What you'll do:**
* Develop the product vision, strategy, and roadmap for high‑impact SEO growth areas across logged out web surfaces, including topic and content pages, creator and profile experiences, and entry points that connect search traffic into core Snapchat use cases.
* Own the end‑to‑end organic acquisition and reactivation funnel from search impression to DAU, defining and tracking KPIs such as unbranded search traffic, index coverage, click‑through rates, time spent and conversion to new and returning active users.
* Partner closely with cross‑functional teams to scale content labeling, retrieval, ranking, and experimentation systems that power SEO.
* Build alignment across the company on the SEO vision and roadmap with senior leadership and executives, as well as partners in Product, Engineering, Marketing, Communications, Finance, and other growth channels.
* Use data insights, user research, competitive analysis, and design thinking to continuously identify, size, and prioritize new SEO opportunities that materially improve organic traffic and MAU.
* Drive the team’s roadmaps and execution end‑to‑end — from strategy and planning to PRDs, design, technical implementation, experimentation, and launch — authoring clear documentation and sharing results and learnings across Snap.
* Ensure SEO investments balance short‑term traffic wins with building a durable, scalable technical foundation that can support 10–50x growth in pages and traffic over time.
**Knowledge, Skills, Abilities:**
* Deep understanding of search engine optimization, including technical SEO (crawlability, indexability, site architecture, performance), content strategy, and offsite/link‑building practices.
* Experience with web and mobile app architecture and how it intersects with SEO, including CDNs, rendering strategies, and structured data.
* Proficiency with SEO and analytics tools such as Google Search Console, Google Analytics, and other industry‑standard platforms, along with experimentation frameworks and funnel analysis.
* Highly impact‑focused, with a demonstrated history of leading teams to deliver concrete, measurable results on growth or SEO‑related metrics at massive scale.
* Extremely proactive, with a track record of initiating and driving complex cross‑functional projects with minimal guidance.
* Ability to think creatively and approach problems with system‑level thinking, especially in large‑scale content, ranking, and growth systems.
**Minimum Qualifications:**
* Bachelor’s degree or equivalent years of experience.
* 8\+ years of product management experience at a consumer or enterprise technology company.
* 3\+ years of domain experience working on growth and/or SEO in a product management role.
**Preferred Qualifications:**
* 5\+ years of domain experience working on growth, SEO, or adjacent acquisition channels (e.g., app store optimization, content discovery) in a product management role.
* Hands‑on experience with data analysis (e.g., SQL, BigQuery, Looker) to evaluate ROI of growth and SEO initiatives at scale.
* BA/BS in Computer Science, Engineering, or a related technical field.
* Experience working on large‑scale content, search, or recommendations systems, ideally in consumer social, UGC, or media products.
* A passion for Snapchat and our mission to empower people to express themselves, live in the moment, learn about the world, and have fun together!
 If you have a disability or special need that requires accommodation, please don’t be shy and provide us some information.
 "Default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
 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
 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
 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
**Compensation**
 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
 Zone A (CA, WA, NYC):
 The base salary range for this position is $229,000\-$343,000 annually.
 Zone B:
 The base salary range for this position is $218,000\-$326,000 annually.
 Zone C:
 The base salary range for this position is $195,000\-$292,000 annually.
 This position is eligible for equity in the form of RSUs.</t>
        </is>
      </c>
    </row>
    <row r="78">
      <c r="A78" t="inlineStr">
        <is>
          <t>li-4277834183</t>
        </is>
      </c>
      <c r="B78" t="inlineStr">
        <is>
          <t>Product Owner- Operations</t>
        </is>
      </c>
      <c r="C78" t="inlineStr">
        <is>
          <t>SS&amp;C Technologies</t>
        </is>
      </c>
      <c r="D78" t="inlineStr">
        <is>
          <t>linkedin</t>
        </is>
      </c>
      <c r="E78">
        <f>HYPERLINK("https://www.linkedin.com/jobs/view/4277834183", "https://www.linkedin.com/jobs/view/4277834183")</f>
        <v/>
      </c>
      <c r="F78" t="inlineStr"/>
      <c r="G78" t="inlineStr">
        <is>
          <t>Windsor, CT</t>
        </is>
      </c>
      <c r="H78" t="inlineStr"/>
      <c r="I78" t="inlineStr">
        <is>
          <t>As a leading financial services and healthcare technology company based on revenue, SS\&amp;C is headquartered in Windsor, Connecticut, and has 27,000\+ employees in 35 countries. Some 20,000 financial services and healthcare organizations, from the world's largest companies to small and mid\-market firms, rely on SS\&amp;C for expertise, scale, and technology.
**Job Description**
**Product Owner\- Operations**
**Locations** 
 : Boston, MA / Windsor, CT / Evansville, IN \| Hybrid
**Get To Know Us:**
 We are a fast\-paced, dynamic team leading innovation in investment operations technology. Our mission is to develop, maintain, implement, and expand
 **Singularity** 
 , our next\-generation cloud\-based AI\-powered platform for investment managers and insurers. Singularity provides
 **integrated accounting, operational processing, and advanced analytics** 
 for a broad range of asset types, leveraging
 **machine learning, automation, and scalable architecture** 
 to drive efficiency and accuracy in investment operations.
**Why You Will Love It Here!**
* Flexibility: Hybrid Work Model and Business Casual Dress Code, including jeans
* Your Future: 401k Matching Program, Professional Development Reimbursement
* Work/Life Balance: Flexible Personal/Vacation Time Off, Sick Leave, Paid Holidays
* Your Wellbeing: Medical, Dental, Vision, Employee Assistance Program, Parental Leave
* Wide Ranging Perspectives: Committed to Celebrating the Variety of Backgrounds, Talents and Experiences of Our Employees
* Training: Hands\-On, Team\-Customized, including SS\&amp;C University
* Extra Perks: Discounts on fitness clubs, travel and more!
**What You Will Get To Do:**
* Develop and execute operations product strategy, driving automation and reconciliation improvements within Singularity.
* Analyze market opportunities and assess industry direction to enhance machine learning capabilities and operational efficiency.
* Lead product design initiatives leveraging Azure DevOps, Confluence, Balsamiq and other tools to improve workflow and process automation.
* Partner with technical architecture, development, and data science teams to optimize machine learning models for reconciliation and operational workflows.
* Define and maintain the product backlog, ensuring alignment with business goals and industry trends.
* Collaborate with cross\-functional teams to ensure seamless integration of operational automation tools into the investment accounting platform.
* Provide thought leadership in reconciliation strategies, leveraging machine learning\-driven solutions and automation technologies to enhance efficiency.
* Influence operational design to drive continuous process improvements and enhanced user experience.
**What You Will Bring:**
* Deep understanding of investment operation, reconciliations, and automation strategies.
* Experience with machine learning applications in financial operations.
* Strong proficiency in Azure DevOps, Confluence, Balsamiq and other similar product design tools.
* Knowledge of core investment processing workflows related to market traded securities classes including, but not limited to Asset Backed, Fixed Income, Equities, Futures and Privates.
* Experience improving operational efficiency through technology solutions.
* Demonstrated ability to lead product teams and collaborate with technology and business stakeholders.
* Strong analytical and strategic thinking skills, with a data\-driven approach to decision\-making.
* Minimally requires a Bachelor’s degree and 6 years of related experience or Master’s degree and 4 years of related experience.
 Thank you for your interest in SS\&amp;C! If applicable, to further explore this opportunity, please apply directly with us through our Careers page on our corporate website: www.ssctech.com/careers.
 \#CA\-MB
 Salary range for the position: 110000 USD to 150000 USD.
 Unless explicitly requested or approached by SS\&amp;C Technologies, Inc. or any of its affiliated companies, the company will not accept unsolicited resumes from headhunters, recruitment agencies, or fee\-based recruitment services.
 SS\&amp;C offers excellent benefits including health, dental, 401k plan, tuition and professional development reimbursement plan.
 SS\&amp;C Technologies is an Equal Employment Opportunity employer and does not discriminate against any applicant for employment or employee on the basis of race, color, religious creed, gender, age, marital status, sexual orientation, national origin, disability, veteran status or any other classification protected by applicable discrimination laws.</t>
        </is>
      </c>
    </row>
    <row r="79">
      <c r="A79" t="inlineStr">
        <is>
          <t>li-4379142011</t>
        </is>
      </c>
      <c r="B79" t="inlineStr">
        <is>
          <t>Technical Product Manager</t>
        </is>
      </c>
      <c r="C79" t="inlineStr">
        <is>
          <t>Jobs via Dice</t>
        </is>
      </c>
      <c r="D79" t="inlineStr">
        <is>
          <t>linkedin</t>
        </is>
      </c>
      <c r="E79">
        <f>HYPERLINK("https://www.linkedin.com/jobs/view/4379142011", "https://www.linkedin.com/jobs/view/4379142011")</f>
        <v/>
      </c>
      <c r="F79">
        <f>HYPERLINK("https://click.appcast.io/t/tkYbexODoxFfvdu7n9S1Pe09BuYeGl94EOfj246rH4g=&amp;urlHash=WWOs", "https://click.appcast.io/t/tkYbexODoxFfvdu7n9S1Pe09BuYeGl94EOfj246rH4g=&amp;urlHash=WWOs")</f>
        <v/>
      </c>
      <c r="G79" t="inlineStr">
        <is>
          <t>Irving, TX</t>
        </is>
      </c>
      <c r="H79" t="inlineStr"/>
      <c r="I79" t="inlineStr">
        <is>
          <t>Dice is the leading career destination for tech experts at every stage of their careers. Our client, XFORIA Inc, is seeking the following. Apply via Dice today!
 Job title: Technical Product Manager
 Irving, TX \- 5 days onsite
 12 months
 Job details:
* Develop a deep understanding and empathy for our users (consumers, merchants \&amp; operators) and use this knowledge to identify and solve problems
* Conduct, and analyze feedback from stakeholders, market research, customer research, usability testing, and UAT to ensure we’re designing the correct solutions.
* Work with senior management to create and execute on the product roadmap by working across multiple functions.
* Work closely with software engineers to ensure products and releases are launched correctly and on schedule.
* Make creative recommendations to expand product base and vision and suggest ways to track product use and impact on end users.
* Produce and review product requirements documents, wireframes, prototypes and write specifications for new features and changes.
* A Bachelor’s degree in a related field.
* At least 5 years of product management \&amp; UX experience.
* Practical experience in managing tech platforms, with a good foundation in Micro service architecture, APIs, and SQL etc.
* At least 2 years in leading product teams
* Experience as a team lead working with other disciplines to identify, scope, and execute critical projects.
* Strong analytical ability and experience making data\-based decisions that elevate teams, members, and products.
* Strong communication skills and emotional intelligence.
* A doer who builds trust within teams and creates excitement about the challenges we plan to tackle.</t>
        </is>
      </c>
    </row>
    <row r="80">
      <c r="A80" t="inlineStr">
        <is>
          <t>li-4378853854</t>
        </is>
      </c>
      <c r="B80" t="inlineStr">
        <is>
          <t>Product Owner / Scrum Master - Credit/Lending</t>
        </is>
      </c>
      <c r="C80" t="inlineStr">
        <is>
          <t>Jobs via Dice</t>
        </is>
      </c>
      <c r="D80" t="inlineStr">
        <is>
          <t>linkedin</t>
        </is>
      </c>
      <c r="E80">
        <f>HYPERLINK("https://www.linkedin.com/jobs/view/4378853854", "https://www.linkedin.com/jobs/view/4378853854")</f>
        <v/>
      </c>
      <c r="F80" t="inlineStr"/>
      <c r="G80" t="inlineStr">
        <is>
          <t>Irving, TX</t>
        </is>
      </c>
      <c r="H80" t="inlineStr"/>
      <c r="I80" t="inlineStr">
        <is>
          <t>Dice is the leading career destination for tech experts at every stage of their careers. Our client, AgreeYa Solutions, is seeking the following. Apply via Dice today!
**Job Title:** 
**Product Owner / Scrum Master \- Credit/Lending**
**Job Location:** 
**Irving, TX / Phoenix, AZ \| Onsite 5 days a week**
**Description:**
 AgreeYa is a global Systems Integrator and is seeking an
 **Product Owner / Scrum Master** 
 to join our growing team. In this role, you will drive product vision and backlog prioritization while facilitating Agile ceremonies, removing impediments, and ensuring successful sprint delivery through close collaboration with cross\-functional teams and stakeholders.
**Job Responsibilities**
* Own and drive the product vision, roadmap, and backlog for credit\-related initiatives.
* Translate business requirements into clear, actionable user stories and acceptance criteria.
* Collaborate closely with stakeholders, business teams, and technology teams to deliver high\-quality solutions.
* Act as the primary liaison between business and development teams.
* Lead backlog grooming, sprint planning, review, and retrospective sessions.
* Ensure product features align with regulatory, compliance, and risk standards within the credit domain.
* Monitor product performance and continuously optimize based on feedback and data.
**Required Qualifications**
* Strong expertise in the Credit domain, Commercial Credit experience.
* Hands\-on experience as Scrum master
* Domain knowledge on underwriting
* Understand Credit Models like PD Models (Probability of Default) and CD Models (Credit Deterioration)
* Knows Rare Risk Framework
* Understanding of Current Expected Credit Loss (CECL) Models standard requires financial institutions to recognize expected credit losses over the life of Loan
* Hands\-on experience managing product backlogs and working closely with Scrum teams
* Proven experience as a Product Owner in Agile/Scrum environments
* Solid understanding of credit lifecycle, underwriting, risk assessment, and compliance processes
* Excellent stakeholder management and communication skills
* Strong analytical and problem\-solving abilities
**Preferred Qualifications**
* Certified Scrum Product Owner (CSPO) or equivalent Agile certification
**Education**
* Bachelor s degree in Computer Science, Information Technology, or a related technical field.
 AgreeYa is a global systems integrator delivering competitive advantage for its customers through software, solutions, and services. Established in 1999, AgreeYa is headquartered in Folsom, California, with a global footprint and a team of more than 2,200 staff across offices. AgreeYa works with 500\+ organizations ranging from Fortune 100 firms to small and large businesses across industries such as Telecom, Banking, Financial Services \&amp; Insurance, Healthcare, Utility \&amp; Energy, Technology, Public sector, Pharma \&amp; Biotech, and others. Please visit us at for more information.
 AgreeYa is an equal opportunity employer. We evaluate qualified applicants without regard to race, color, religion, gender identity, sexual orientation, national origin, disability, veteran status or other protected characteristics. Visit our website to learn about our Career \&amp; Culture.</t>
        </is>
      </c>
    </row>
    <row r="81">
      <c r="A81" t="inlineStr">
        <is>
          <t>li-4360436105</t>
        </is>
      </c>
      <c r="B81" t="inlineStr">
        <is>
          <t>Principal Program Manager - Product Innovation</t>
        </is>
      </c>
      <c r="C81" t="inlineStr">
        <is>
          <t>Boost Mobile</t>
        </is>
      </c>
      <c r="D81" t="inlineStr">
        <is>
          <t>linkedin</t>
        </is>
      </c>
      <c r="E81">
        <f>HYPERLINK("https://www.linkedin.com/jobs/view/4360436105", "https://www.linkedin.com/jobs/view/4360436105")</f>
        <v/>
      </c>
      <c r="F81" t="inlineStr"/>
      <c r="G81" t="inlineStr">
        <is>
          <t>Littleton, CO</t>
        </is>
      </c>
      <c r="H81" t="inlineStr"/>
      <c r="I81" t="inlineStr">
        <is>
          <t>**Company Summary**
 EchoStar is reimagining the future of connectivity. Our business reach spans satellite television service, live\-streaming and on\-demand programming, smart home installation services, mobile plans and products.
 Today, our brands include Boost Mobile, DISH TV, Gen Mobile, Hughes and Sling TV.
**Department Summary**
 Our Retail Wireless team, serving our Boost Mobile and Gen Mobile brands, is redefining consumer expectations through new platforms, new business models and new ways of thinking. Equipped with a passion for change and the power to drive it, we continue to push boundaries and be a disruptive force in the market.
**Job Duties And Responsibilities**
 At Boost Mobile, we’re building the future of consumer wireless, and innovation is at the core of our success – but without the right structure, even the best ideas can get lost in the shuffle. As an Principal Innovation Program Manager, you will be the driving force behind our ability to capture, develop, and launch groundbreaking ideas that propel us ahead of the competition.
 This is a game\-changer role where you’ll be building the foundation for innovation success – creating the processes, tools and strategies that transform ideas into real business impact. You’ll work with brilliant minds across the company, enforce stage\-gates to keep ideas on track, and showcase the wins that inspire our organization to push boundaries.
 If you love shaping the future, optimizing for results, and leading high\-impact innovation initiatives, this is your opportunity to make a mark.
**Key Responsibilities**
* Architect and continuously improve Boost Mobile’s innovation pipeline – ensuring we capture big ideas with big impact
* Design, refine, and optimize processes and tools to keep our innovation system fast, efficient, and high\-performing
* Oversee the entire innovation funnel, ensuring that ideas progress smoothly through structured stage\-gates and are aligned with Boost Mobile’s strategic goals
* Partner with our business divisions and external technology firms to evaluate early\-stage ideas, proof\-of\-concepts, and prototypes for potential application to Boost Mobile’s consumer market
* Define, track, and report on key innovation performance metrics, ensuring leadership understands progress, challenges, and successes
* Collaborate with product, engineering, marketing and operations teams to bring innovation ideas to life in a way that benefits Boost Mobile’s consumers
* Showcase successes with engaging newsletters, reports, and presentations to ensure leadership and cross\-functional teams stay informed and engaged
**Skills, Experience And Requirements**
**Education and Experience:**
* Bachelor's or advanced degree (ie Master's or Doctorate) from an accredited college or university required, MBA is strongly preferred
* PMP certification is preferred, or equivalent experience in managing large, complex programs across business units and shared service groups
* 10\+ years of program management experience managing consumer\-facing innovation programs from concept to launch;
* 5\+ years of experience building and managing an innovation pipeline, and designing proprietary KPIs to track overall health of innovation
* 5\+ years of experience presenting complex programs and strategic insights to C\-suite executives and senior leadership with clarity and influence
**Skills And Qualifications**
* You don’t just execute projects – you architect innovation engines that drive real business impact; you see the big picture and know how to build structured systems that fuel future growth
* You have experience managing and optimizing innovation funnels, tracking what works, and ensuring that high\-impact ideas don’t fall through the cracks
* You don’t rely on intuition alone; you love to measure; you track key innovation KPIs, measure progress at every stage, and make insightful, data\-backed recommendations to leadership
* You know how to sell the story of innovation, rallying cross\-functional teams, gaining executive buy\-in, and keeping stakeholders engaged in the process
* You’re not just about ideas– you drive execution; you know how to align teams, enforce stage\-gates, and push concepts toward real\-world implementation
* You excel at working with product, engineering, and strategy teams, ensuring innovation efforts translate into real consumer impact; you’re a force multiplier, not a silo
* You aren’t slowed down by challenges; they energize you; you thrive in ambiguity and have the grit, creativity, and drive to navigate complex problems and deliver results
 Visa sponsorship not available for this role
**Salary Ranges**
 Compensation: $110,110\.00/Year \- $157,300\.00/Year
**Benefits**
 We offer versatile health perks, including flexible spending accounts, HSA, a 401(k) Plan with company match, ESPP, career opportunities, and a flexible time away plan; all benefits can be viewed here: DISH Benefits.
 The base pay range shown is a guideline. Individual total compensation will vary based on factors such as qualifications, skill level, and competencies; compensation is based on the role's location and is subject to change based on work location.
 Candidates need to successfully complete a pre\-employment screen, which may include a drug test and DMV check. Our company is committed to fostering an inclusive and equitable workplace where every individual has the opportunity to succeed. We are dedicated to providing individuals with criminal or arrest records a fair chance of employment in accordance with local, state, and federal laws.
 The posting will be active for a minimum of 3 days. The active posting will continue to extend by 3 days until the position is filled.
 We pride ourselves on developing and promoting talent as an Equal Employment Opportunity Employer. All qualified applicants will receive consideration for employment without regard to race, color, religion, sex, sexual orientation, gender identity, national origin, disability, or protected veteran status. EchoStar will accommodate the sincerely held religious beliefs of employees if such accommodations are not undue hardships and are otherwise within the bounds of applicable law. All qualified applicants with arrest or conviction records will be considered for employment in accordance with local, state, and federal law. You may redact any information that identifies age, date of birth, or dates of school/graduation from your application documents before submission and throughout our application process.
 EchoStar will provide reasonable accommodation to otherwise qualified job applicants and employees with known physical or mental disabilities, unless doing so poses an undue hardship on the Company, poses a direct threat of substantial harm to others, or is otherwise not required by law. EchoStar has a more detailed Accommodation Policy that applies to employees. EchoStar endeavors to make echostar.com and jobs.echostar.com accessible to users. Please contact leaves@dish.com if you would like to discuss the accessibility of our website or need assistance completing the application process. This contact information is for accommodation requests only; do not use this contact information to inquire about the status of applications.
 Click the links to access the following statements: EEO Policy Statement, Pay Transparency, EEOC Know Your Rights (English/Spanish)</t>
        </is>
      </c>
    </row>
    <row r="82">
      <c r="A82" t="inlineStr">
        <is>
          <t>li-4363642744</t>
        </is>
      </c>
      <c r="B82" t="inlineStr">
        <is>
          <t>Lead Product Manager, Legal Matter Management</t>
        </is>
      </c>
      <c r="C82" t="inlineStr">
        <is>
          <t>Uber</t>
        </is>
      </c>
      <c r="D82" t="inlineStr">
        <is>
          <t>linkedin</t>
        </is>
      </c>
      <c r="E82">
        <f>HYPERLINK("https://www.linkedin.com/jobs/view/4363642744", "https://www.linkedin.com/jobs/view/4363642744")</f>
        <v/>
      </c>
      <c r="F82" t="inlineStr"/>
      <c r="G82" t="inlineStr">
        <is>
          <t>New York, NY</t>
        </is>
      </c>
      <c r="H82" t="inlineStr"/>
      <c r="I82" t="inlineStr">
        <is>
          <t>**About The Role**
 Uber's Legal Operations team is seeking an experienced Senior Product Manager to lead our Legal Matter Management (MM) program and platform. This role requires a unique combination of product development expertise and deep legal domain knowledge to serve 600\+ active users while delivering elegant, user\-centric, AI\-powered solutions that enhance strategic decision\-making.
 This role requires a strategic and innovative thinker with strong analytical and problem\-solving skills, someone who can define product strategy with a broad, long\-term vision while also being hands\-on and execution\-focused to deliver impactful results. A passion for driving innovation and continuous improvement is essential to succeed in this dynamic environment. The ideal candidate will partner closely with a diverse range of stakeholders, including senior leaders across Legal, IT, and other cross\-functional teams, to drive a program charter that addresses the complex, multi\-regional, and cross\-disciplinary needs of the CLO.
**Key Responsibilities**
* 1\. Define and maintain the product roadmap for the Legal Matter Management Platform in Salesforce, leveraging data\-driven product development practices to prioritize features that deliver maximum value to legal teams.
* Own the overall execution and delivery of roadmap initiatives, ensuring timely and effective outcomes.
* Lead a cross\-functional team, including program managers, business analysts, solution architects, Salesforce developers and other engineering resources, through matrixed reporting structures, to achieve program goals.
* Transform complex user requirements into elegant, user\-friendly, and delightful solutions that accelerate platform adoption and enhance data integrity.
* Establish and apply scalable product development frameworks that drive strategic prioritization, operational excellence, and consistent, high\-impact feature delivery.
* Collaborate with technical teams to develop AI\-driven orchestration and predictive analytics capabilities that enable proactive case strategy, leveraging internal precedent and external legal intelligence to generate actionable insights.
* Engage regularly with senior leadership and cross\-functional stakeholders across the CLO organization to align on strategic priorities and support informed program decisions.
* Build consensus among stakeholders with varying levels of legal and technical expertise.
* Drive platform adoption and uphold data quality standards across all user segments.
* Define and implement KPIs to measure platform performance and business impact.
* Oversee governance, security, and compliance to meet program, legal and regulatory standards.
* Manage vendor relationships and external technology partnerships to maximize value and ensure delivery of program objectives.
**Basic Qualifications**
* Bachelors Degree and 7\+ years of Product Management experience with 5\+ years focus in legal product development.
* Demonstrated use of data\-driven and user\-centric product development practices to scale legal products across a large, global client base.
* Demonstrated experience with roadmap planning and MVP strategy, driving execution and change management to drive product adoption and support company priorities.
* Experience with deploying AI models, and predictive modeling to inform proactive legal strategies.
* Experience managing direct and matrixed teams to achieve program goals.
**Preferred Qualifications**
* Experience with Legal Matter Management platforms (e.g., Salesforce, Onit, Mitratech, TeamConnect, Legal Tracker, or similar) with strong focus on litigation case management and workflows.
* Working experience with at least one core platform: Salesforce (Sales Cloud/Service Cloud/Platform, Lightning, Flows) or comparable low\-code / SaaS (e.g., Dynamics 365, ServiceNow) with ability to evaluate build vs. buy.
* Strong data modeling for legal entities: matters, clients, outside counsel, invoices, time entries, legal holds, documents, retention schedules, privilege tags, and audit trails.
* Knowledge of legal analytics, case precedent analysis, and legal intelligence to inform case strategy.
* Superior analytical and legal skills, mature judgment, innovative thinking and a desire to take the initiative and think two steps ahead.
* Strong, team\-oriented collaborator, with confidence and flexibility to perform in nimble, rapidly changing and growing environments, as well as build relationships and gain credibility.
* Passionate about your work and a desire to have a big impact.
* Embody the highest standards of integrity, ethics and accountability.
* Enthusiasm about Uber and our mission!
 For Austin, TX\-based roles: The base salary range for this role is USD$194,000 per year \- USD$216,000 per year. For New York, NY\-based roles: The base salary range for this role is USD$216,000 per year \- USD$240,000 per year. For San Francisco, CA\-based roles: The base salary range for this role is USD$216,000 per year \- USD$240,000 per year. For Seattle, WA\-based roles: The base salary range for this role is USD$216,000 per year \- USD$240,000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83">
      <c r="A83" t="inlineStr">
        <is>
          <t>li-4380334232</t>
        </is>
      </c>
      <c r="B83" t="inlineStr">
        <is>
          <t>Senior Associate, Product Manager - Rewards</t>
        </is>
      </c>
      <c r="C83" t="inlineStr">
        <is>
          <t>Capital One</t>
        </is>
      </c>
      <c r="D83" t="inlineStr">
        <is>
          <t>linkedin</t>
        </is>
      </c>
      <c r="E83">
        <f>HYPERLINK("https://www.linkedin.com/jobs/view/4380334232", "https://www.linkedin.com/jobs/view/4380334232")</f>
        <v/>
      </c>
      <c r="F83" t="inlineStr"/>
      <c r="G83" t="inlineStr">
        <is>
          <t>New York, NY</t>
        </is>
      </c>
      <c r="H83" t="inlineStr"/>
      <c r="I83" t="inlineStr">
        <is>
          <t>The Loyalty Platform powers our customer loyalty ecosystem, governing the end\-to\-end lifecycle of how cardholders earn and redeem rewards. We sit at the intersection of high\-scale transaction processing and complex benefit configuration. In a highly regulated environment, our platform ensures that every point earned is accurate and every redemption executed is seamless.
 We are looking for a strong product manager who is passionate about driving customer value via an industry\-leading loyalty program. This person will help execute our Loyalty platform strategy, acting as the bridge between customer needs and platform innovation, ensuring we stay focused on what matters most to our internal and external customers.
 The ideal candidate for this role has a mix of product and development experiences. Familiarity with cloud computing, working in white space, and experience balancing big\-picture strategy with day\-to\-day execution is desired. Exposure working with a loyalty platform is a strong bonus.
****In this role, you’ll learn the essentials of being a product manager, and we’ll invest in you to grow in four key areas** 
 :**
* Human Centered
+ You’ll collaborate with tech teams to build comprehensive acceptance criteria, identifying and elevating any need for additional research to define future feature design
+ You'll breakdown business epics into features and further into user stories, driving your team towards lowest effort or Minimal Viable Product (MVP) for a valid feature test
* Business Focused
+ Demonstrating a growth mindset, you’ll effectively use hypothesis\-driven assessment of data to ensure your product or feature delivers on real business needs
+ You’ll own and prioritize feature development roadmaps, ensuring all necessary processes and procedures are followed to manage risk
* Technology Driven
+ You’ll work autonomously in an agile environment, to conduct research and develop features that utilize new and evolving technology
+ You’ll collaborate with designers, technologists, data scientists and subject\-matter experts to build cutting edge solutions to help customers
+ You’ll deliver well\-managed product platforms for customers by seeking to understand technology trends and architecture strategy
* Transformational Leadership
+ By actively participating in horizontal forums, you’ll harness a network of trusted relationships among tech teams, designers, key internal stakeholders and partner teams
+ You’ll articulate a succinct product roadmap to deliver business value and share with with stakeholders, elevating your team’s results and becoming a product matter expert
****We want you if you are:****
* Intellectually Curious. You ask why, you explore, you're not afraid to blurt out your crazy idea or follow an email chain for weeks to find someone with an answer. Comfortable with ambiguity, a hunger to learn and a seeker of new challenges
* Communicator \&amp; Influencer. You can communicate complex ideas clearly regardless of your audience. Our team knows their priorities and why they’re doing what they’re doing. You always can rally associates to work with you
* Do\-er. You’re biased toward action, you try things and sometimes you fail. You can get around roadblocks and stay focused on your goals. You’re well organized, able to multitask and able to prioritize your work
* Passionate \&amp; Customer Focus. You care about growing others and bringing them together around what’s possible. You get a thrill from the journey of building and shipping products, and you have a desire and ability to connect with our external or internal customers to fully understand their needs
* Learner. You have an appetite to learn new things or new technologies all while exhibiting humbleness when the time comes to ask for help
* Team Player. You enjoy working with diverse people and driving the team toward a common goal. You have the ability to put the team before yourself and establish long\-lasting relationships
****Basic Qualifications:****
* Bachelor’s degree or military experience
* At least 1 year of product management experience or at least 1 year of experience in product design, agile delivery, business analysis, data science, or software engineering
****Preferred Qualifications:****
* Bachelor’s degree in computer science or engineering
* 1\+ years translating business strategy or analysis into consumer facing digital products
* 1\+ years of experience working on core product platforms powering digital experiences
* 1\+ years working with cross functional teams as a product owner in an agile development process
**At this time, Capital One will not sponsor a new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McLean, VA: $111,200 \- $126,900 for Sr. Associate, Product Management
 New York, NY: $121,300 \- $138,400 for Sr. Associate, Product Management
 Richmond, VA: $101,100 \- $115,400 for Sr. Associate, Product Management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84">
      <c r="A84" t="inlineStr">
        <is>
          <t>li-4380186333</t>
        </is>
      </c>
      <c r="B84" t="inlineStr">
        <is>
          <t>CMC / Technical Operations Program Manager - Associate Director</t>
        </is>
      </c>
      <c r="C84" t="inlineStr">
        <is>
          <t>Sobi - Swedish Orphan Biovitrum AB (publ)</t>
        </is>
      </c>
      <c r="D84" t="inlineStr">
        <is>
          <t>linkedin</t>
        </is>
      </c>
      <c r="E84">
        <f>HYPERLINK("https://www.linkedin.com/jobs/view/4380186333", "https://www.linkedin.com/jobs/view/4380186333")</f>
        <v/>
      </c>
      <c r="F84" t="inlineStr"/>
      <c r="G84" t="inlineStr">
        <is>
          <t>San Diego, CA</t>
        </is>
      </c>
      <c r="H84" t="inlineStr"/>
      <c r="I84" t="inlineStr">
        <is>
          <t>**Company Description**
***Statistics show that women and underrepresented groups tend to apply to jobs only if they meet 100% of the qualifications. Sobi encourages you to change that statistic and apply. Rarely do candidates meet 100% of the qualifications. We look forward to your application!***
 At Sobi, each person brings their unique talents to work as a team and make a difference. We are dedicated to developing and delivering innovative therapies to improve the lives of people who live with a rare disease. Our edge comes from our team of people and our commitment to patients.
 Our Mission And Culture At Sobi North America Get Us Excited To Come To Work Every Day, But Here Are a Few More Reasons To Join Our Team
* Competitive compensation for your work
* Generous time off policy
* Opportunity to broaden your horizons by attending popular conferences
* Emphasis on work/life balance
* Collaborative and team\-oriented environment
* Making a positive impact to help ultra\-rare disease patients who are in need of life saving treatments
**Job Description**
**Location Requirement:**
 This position may be based on either the
 **U.S. West Coast (ideally near San Diego, CA)** 
 or the
 **East Coast (ideally near Raleigh, NC or Boston, MA)** 
 . The role requires
 **periodic travel between both locations** 
 to support cross‑site collaboration and business needs.
 The CMC / Technical Operations Program Manager \- Associate Director is responsible for:
* Lead an international cross\-functional technical CMC team, associated functions like Quality and impacted CMO/CLOs to deliver all required technical documentation supporting an approvable NDA Module 3 and translate technical \&amp; regulatory strategies into execution.
* Project manage all key CMC deliverables, incl underlaying reports, coordinate team interactions ensuring team meetings have structure and purpose, documents clear decisions/actions and communicates them to team members and relevant stakeholders, holds team members accountable for functional delivery of plans
* Assure integrated program plans are in place including cross\-functional interdependencies, in particular:
* Facilitates the setting and tracking of program objectives and priorities and monitors program progress against approved project plans (ensures we deliver on time and on budget)
* Coordinates the identification and mitigation of program issues and risks, assures risk mitigation plans
* Build holistic, scientifically sound and relevant scenarios as decision proposal at all governance levels
* Coordinate the review process of technical documents (ie, protocols, reports, master and executed batch records, change controls, deviations, etc.)
* Coordinates the preparation for governance and executive management program presentations in close collaboration with the leadership team
* Responsible for program budget and long\-term projections – budget planning and tracking, and evaluates project resource requirements: highlights resource gaps and works to ensure they are addressed
* Follow the invoices and confirm the corresponding work execution to the budget owner
* Other job related tasks
**Qualifications**
 \&gt; 10 years of pharmaceutical industry experience, there of: Significant hands\-on experience in CMC Development and Program/ Project Management roles in complex environments and experience in working with cross\-functional teams in the pharmaceutical industry, preferably in a global setting
* Excellent Project management skills: Decision\- and action\-oriented to facilitate quick decisions in alignment with all stakeholders, with ability to organize, prioritize and follow\-up
* Experience in managing detailed program timelines to ensure timely delivery of key milestones and keeping oversight on complex projects budgets).
* Identify and evaluate risks associated with project activities and take appropriate actions to control or mitigate risks.
 Skills/Knowledge/Languages
* Scientific and technical background of CMC development and manufacturing in drug substance small molecule, no\-sterile products.
* Demonstrable experience of working in cross functional team with ability to multitask, prioritize and be an effective decision maker
* High level of flexibility and effectiveness in cross\-functional, international, and cross\-regional environments.
* Proven ability to adapt to an ever\-changing business environment.
* Fluent in English, intermediate to full proficiency in Chinese is a plus.
 Personal Attributes
* Strategy and operational excellence minded with the ability to quickly define key program priorities, risks and issues, and lead teams in focusing on urgencies and solutions of greatest importance
* Outstanding relationship building and communication skills, including ability to navigate throughout the organization and with individuals at all levels both internally and with external partners
* Ability to lead, manage, develop, and motivate others in a matrix organization and in a changing environment
* Structured and analytical
**Additional Information**
**Compensation and Total Rewards at Sobi**
 At Sobi, we are dedicated to providing our employees with a comprehensive and industry\-competitive total rewards package. Our compensation philosophy is designed to recognize and reward talent, ensuring that your contributions are valued and reflected in your overall rewards.
 The base salary range for this role is $
 **153,000\-$211,000** 
 . Each individual offer will be determined based on several factors, including your experience, qualifications, and location. Additionally, this role is eligible for both short\-term and long\-term bonuses, as outlined in the plan details.
 All Sobi employees need to demonstrate behaviors in line with Sobi's core values: Care, Ambition, Urgency, Ownership and Partnership. Are you ready to be on the Sobi team? Come join a culture that empowers every person to be the person that makes a difference for rare disease.
**Why Join Us?**
 We are a global company with over 1,900 employees in more than 30 countries and are committed to the societies where we operate. With a deeply skilled management team directing our day\-to\-day wins, and a Board with a stellar track record, we’re ready to take on the world’s diseases, ailments and adversity. Our people believe they have the power to make a positive impact in others’ lives because that’s exactly what we do here. If you’re seeking a career that taps into your talents in a way that makes the world a better, healthier place, we just may have a job for you.
 We know our employees are our most valuable asset, and our culture conveys that. We offer a competitive benefits package, to support the health and happiness of our staff.
**Sobi Culture**
 At Sobi, we refuse to accept the status quo. This is because we have witnessed first\-hand the challenges facing those affected by rare diseases, and have used this knowledge to shape our business to find new ways of helping them.
 As a specialized biopharmaceutical company, we are dedicated to rare diseases. And we see this focus as a strength. By effectively turning our research into ground\-breaking treatments, we help make medicine more accessible and open up more possibilities for patients and more opportunities for those caring for them. This has been our approach since day one, but we know we can’t change the world of rare diseases on our own. Accomplishing this requires strong partnerships with patients, partners and stakeholders across the entire value chain. Together, we define how our business can create solutions that serve the needs of those affected by rare diseases while facilitating sustainable growth.
**An Equal Opportunity Employer**
 Sobi is an Equal Opportunity Employer and prohibits discrimination and harassment of any kind. All employment decisions at Sobi are based on business needs, job requirements and individual qualifications, without regard to race, color, religion or belief, national, social or ethnic origin, sex (including pregnancy), age, physical, mental or sensory disability, HIV Status, sexual orientation, gender identity, protected veterans and/or expression, marital, civil union or domestic partnership status, past or present military service, family medical history or genetic information, family or parental status, or any other status or protected groups by the laws or regulations in the locations where we operate.
*If you are a qualified individual with a disability or a disabled veteran, you may request a reasonable accommodation if you are unable or limited in your ability to use or access this website to apply for a vacancy as a result of your disability. You can request reasonable accommodations by sending an email to irina.conc@sobi.com*
 Know Your Rights</t>
        </is>
      </c>
    </row>
    <row r="85">
      <c r="A85" t="inlineStr">
        <is>
          <t>li-4379133205</t>
        </is>
      </c>
      <c r="B85" t="inlineStr">
        <is>
          <t>UX Product Owner</t>
        </is>
      </c>
      <c r="C85" t="inlineStr">
        <is>
          <t>Jobs via Dice</t>
        </is>
      </c>
      <c r="D85" t="inlineStr">
        <is>
          <t>linkedin</t>
        </is>
      </c>
      <c r="E85">
        <f>HYPERLINK("https://www.linkedin.com/jobs/view/4379133205", "https://www.linkedin.com/jobs/view/4379133205")</f>
        <v/>
      </c>
      <c r="F85" t="inlineStr"/>
      <c r="G85" t="inlineStr">
        <is>
          <t>Juno Beach, FL</t>
        </is>
      </c>
      <c r="H85" t="inlineStr"/>
      <c r="I85" t="inlineStr">
        <is>
          <t>RESPONSIBILITIES:
 Kforce has a client in Juno Beach, FL that is seeking a UX Product Owner responsible for organizing digital experience project requirements, design deliverables, reviews and approvals, and handoff to IT in addition to serving as a critical member of agile development teams.
 Summary:
 As the UX Product Owner, you'll be responsible for signing of on front end user stories, participating in daily stand ups and backlog grooming sessions, UAT signoff and production release sign off. This is an exciting opportunity for a detailed oriented and organized candidate to learn and grow in UX and large, technical project management skills while contributing to the creation of exciting experiences for internal and external users. Successful candidates will be adept at building partnerships and will be curious and willing to roll up their sleeves to truly understand the problems we are tasked with solving. This is a strategic role that requires individuals with a drive to do more than check the box.
 Responsibilities:
* Requirements gathering: Work with business stakeholders and IT partners to understand scope of deliverables, requirements, process, existing application screenshots, timelines and other details
* Coordinate timelines: Set up internal and stakeholder design reviews, working back with attendees to navigate busy calendars against tight deliverable timelines
* Attend stand ups and daily sessions: Participate in daily stand ups to manage deliverables against expectations, attend backlog grooming sessions to understand focus and needs, and coordinate/listen in on technical collaboration and solutioning sessions to understand feasibility of design solutions and pivot where necessary
* Documentation: Update project trackers with current statuses, add deliverables and other documents like proposal decks and demo decks, provide signoffs in Jira and enter defects during UAT
 REQUIREMENTS:
* Bachelor's degree
* Detail\-oriented with strong analytical and problem solving skills
* Experience managing cross functional and collaborative projects
* Ability to manage multiple projects in a dynamic environment
* Strong communications and interpersonal skills
* Agile or UX certifications a plus
 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
 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
 Note: Pay is not considered compensation until it is earned, vested and determinable. The amount and availability of any compensation remains in Kforce's sole discretion unless and until paid and may be modified in its discretion consistent with the law.
 This job is not eligible for bonuses, incentives or commissions.
 Kforce is an Equal Opportunity/Affirmative Action Employer. All qualified applicants will receive consideration for employment without regard to race, color, religion, sex, pregnancy, sexual orientation, gender identity, national origin, age, protected veteran status, or disability status.
 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t>
        </is>
      </c>
    </row>
    <row r="86">
      <c r="A86" t="inlineStr">
        <is>
          <t>li-4370609209</t>
        </is>
      </c>
      <c r="B86" t="inlineStr">
        <is>
          <t>Program Manager, Mapping Operations</t>
        </is>
      </c>
      <c r="C86" t="inlineStr">
        <is>
          <t>Waymo</t>
        </is>
      </c>
      <c r="D86" t="inlineStr">
        <is>
          <t>linkedin</t>
        </is>
      </c>
      <c r="E86">
        <f>HYPERLINK("https://www.linkedin.com/jobs/view/4370609209", "https://www.linkedin.com/jobs/view/4370609209")</f>
        <v/>
      </c>
      <c r="F86">
        <f>HYPERLINK("https://careers.withwaymo.com/jobs?gh_jid=7430184&amp;gh_src=e2a2625d1us&amp;urlHash=TTrJ", "https://careers.withwaymo.com/jobs?gh_jid=7430184&amp;gh_src=e2a2625d1us&amp;urlHash=TTrJ")</f>
        <v/>
      </c>
      <c r="G86" t="inlineStr">
        <is>
          <t>Mountain View, CA</t>
        </is>
      </c>
      <c r="H86" t="inlineStr"/>
      <c r="I86" t="inlineStr">
        <is>
          <t>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saving thousands of lives now lost to traffic crashes. The Waymo Driver powers Waymo’s fully autonomous ride\-hail service and can also be applied to a range of vehicle platforms and product use cases. The Waymo Driver has provided over ten million rider\-only trips, enabled by its experience autonomously driving over 100 million miles on public roads and tens of billions in simulation across 15\+ U.S. states.
 The Mapping Operations team is responsible for building, validating, and continuously improving the high\-definition maps that power Waymo’s autonomous driving system. The team ensures that the vehicle has an accurate, up\-to\-date understanding of the world by transforming raw sensor data into reliable, production\-ready map assets.
 MapOps sits at the intersection of autonomous driving, data operations, and quality assurance, partnering closely with Engineering, ML, and Product teams to support safe, scalable deployment across new and existing markets.
**You Will**
* Lead deep dives into map quality issues to identify organizational breakdowns, workflow vulnerabilities, and metric anomalies. You will move beyond surface\-level fixes to understand fundamental root causes and generate robust, scalable solutions.
* Serve as the connector between Engineering/Product and Operations. You will prioritize and contextualize operational escalations for technical stakeholders while simultaneously translating complex logic into clear, watertight, and executable guidance for Mapping Operators.
* Manage progress on multiple disparate initiatives, ensuring next steps are clear and deadlines are aligned. You will maintain momentum by proactively revitalizing stale workstreams and closing the loop with clear summaries upon completion.
* Scrutinize data trends to back up assertions and explore anomalies. You will keep analyses structured and reproducible, leveraging tooling to find creative solutions or developing heuristics to surmount roadblocks when perfect data isn't available.
**You Have**
* Bachelor's degree or equivalent practical experience.
* 2\+ years of experience in operations, analytics, or project management, with a track record of driving process improvements.
* Advanced proficiency with data. You are highly comfortable organizing large datasets, utilizing complex formulas, and creating structured models to derive insights in Google Sheets or Excel.
* Exceptional communication skills. You can distill complex technical logic into clear, impossible\-to\-misunderstand instructions for non\-technical audiences.
* Comfort with ambiguity. You have a history of making pragmatic decisions and maintaining momentum even when data is incomplete or processes are undefined.
**We Prefer**
* Experience with SQL. You can write basic queries to retrieve data and answer your own questions without relying on an analyst.
* Familiarity with Mapping concepts. You understand the basics of spatial data (lat/long, polygons) or have used map editing tools.
* Vendor Management experience. You have previously created guidelines or managed quality/workflows for outsourced or contingent teams.
 The expected base salary range for this full\-time position across US locations is listed below. Actual starting pay will be based on job\-related factors, including exact work location, experience, relevant training and education, and skill level. Your recruiter can share more about the specific salary range for the role location or, if the role can be performed remote, the specific salary range for your preferred location, during the hiring process.
 Waymo employees are also eligible to participate in Waymo’s discretionary annual bonus program, equity incentive plan, and generous Company benefits program, subject to eligibility requirements.
 Salary Range
 $48\.56—$61\.06 USD</t>
        </is>
      </c>
    </row>
    <row r="87">
      <c r="A87" t="inlineStr">
        <is>
          <t>li-4379167299</t>
        </is>
      </c>
      <c r="B87" t="inlineStr">
        <is>
          <t>Sr Product Manager, Visualization Experiences</t>
        </is>
      </c>
      <c r="C87" t="inlineStr">
        <is>
          <t>Jobs via Dice</t>
        </is>
      </c>
      <c r="D87" t="inlineStr">
        <is>
          <t>linkedin</t>
        </is>
      </c>
      <c r="E87">
        <f>HYPERLINK("https://www.linkedin.com/jobs/view/4379167299", "https://www.linkedin.com/jobs/view/4379167299")</f>
        <v/>
      </c>
      <c r="F87">
        <f>HYPERLINK("https://click.appcast.io/t/6MGeaCw8zgunevUx1eMKjLuc7siomwxXLsTGZCcdbU8=&amp;urlHash=LhaZ", "https://click.appcast.io/t/6MGeaCw8zgunevUx1eMKjLuc7siomwxXLsTGZCcdbU8=&amp;urlHash=LhaZ")</f>
        <v/>
      </c>
      <c r="G87" t="inlineStr">
        <is>
          <t>San Jose, CA</t>
        </is>
      </c>
      <c r="H87" t="inlineStr"/>
      <c r="I87" t="inlineStr">
        <is>
          <t>RESPONSIBILITIES:
 Kforce's client in San Jose, CA is looking for a Senior Product Manager, Visualization Experiences to lead the development and enhancement of visualization experiences for their eCommerce platform and native mobile apps.
 Overview:
 This role requires a deep understanding of both user\-centered design and technical implementation to create intuitive, engaging, and innovative ways for users to interact with products in a digital space. You will collaborate closely with cross\-functional teams, including engineering, design, marketing, and data analytics, to deliver high\-impact solutions that drive business growth and improve the overall customer experience.
 Duties/Day to Day Overview:
* Define and execute the roadmap for visualization experiences, including AR/VR, room planners, product customization, and other immersive experiences across both eCommerce and native mobile applications
* Collaborate with leadership and other stakeholders to set the long\-term vision and strategy for how visualization features can drive user engagement and business KPIs
* Stay up to date with emerging trends in eCommerce, augmented reality (AR), and mobile app technologies to continuously innovate and evolve the product experience
 Cross\-functional Leadership \&amp; Collaboration:
* Work closely with cross\-functional teams to deliver features on time and within scope
* Serve as the primary product expert, helping to guide the team in decision\-making, user experience improvements, and problem\-solving
* Lead user research efforts to understand customer needs and pain points related to product visualization, working closely with UX/UI designers to create intuitive and engaging experiences
* Translate user insights into clear product requirements and user stories for design and engineering teams
* Ensure seamless integration of visualization features with the overall eCommerce user journey, from discovery to purchase, ensuring high conversion rates and customer satisfaction
 REQUIREMENTS:
* 5\+ years of experience in product management, with a focus on visualization technologies (e.g., AR/VR, 3D, CAD, room planners, and product configurators) in eCommerce or mobile apps
* Proven track record of delivering successful products and features, particularly in the realm of immersive digital experiences (e.g., AR/VR, product visualization, etc.)
* Strong experience in leading cross\-functional teams and managing product development end\-to\-end
* Deep understanding of mobile app development processes, user\-centered design principles, and how to implement engaging product experiences
* Strong analytical and problem\-solving skills; Ability to use data to inform decisions and prioritize initiatives
* Excellent communication and presentation skills, with the ability to articulate complex concepts to both technical and non\-technical audiences
* Ability to manage multiple projects simultaneously, with a high level of attention to detail and organization
* Proficient in using project management tools (e.g., Jira, Confluence, Asana) and product analytics tools (e.g., Google Analytics, Mixpanel, Amplitude)
* Familiarity with Agile/Scrum methodologies and working in a fast\-paced, iterative environment
* Familiarity with AR/VR, 3D modeling, and interactive visualization tools used in eCommerce and mobile applications (WebGL is \#1 priority, other tools include Unity, Three.js, ARKit \&amp; ARCore)
* Baseline knowledge of their other tools like Blender and Babylon.js engine
* Solid understanding of the technical aspects of mobile app development (iOS/Android) and web\-based applications, especially as they pertain to performance and user experience
* Knowledge of the eCommerce ecosystem, including best practices for UI/UX design, A/B testing, and conversit recommendations, virtual try\-ons)
 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
 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
 Note: Pay is not considered compensation until it is earned, vested and determinable. The amount and availability of any compensation remains in Kforce's sole discretion unless and until paid and may be modified in its discretion consistent with the law.
 This job is not eligible for bonuses, incentives or commissions.
 Kforce is an Equal Opportunity/Affirmative Action Employer. All qualified applicants will receive consideration for employment without regard to race, color, religion, sex, pregnancy, sexual orientation, gender identity, national origin, age, protected veteran status, or disability status.
 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t>
        </is>
      </c>
    </row>
    <row r="88">
      <c r="A88" t="inlineStr">
        <is>
          <t>li-4379408960</t>
        </is>
      </c>
      <c r="B88" t="inlineStr">
        <is>
          <t>Program Manager</t>
        </is>
      </c>
      <c r="C88" t="inlineStr">
        <is>
          <t>Brooksource</t>
        </is>
      </c>
      <c r="D88" t="inlineStr">
        <is>
          <t>linkedin</t>
        </is>
      </c>
      <c r="E88">
        <f>HYPERLINK("https://www.linkedin.com/jobs/view/4379408960", "https://www.linkedin.com/jobs/view/4379408960")</f>
        <v/>
      </c>
      <c r="F88" t="inlineStr"/>
      <c r="G88" t="inlineStr"/>
      <c r="H88" t="inlineStr"/>
      <c r="I88" t="inlineStr">
        <is>
          <t>**Program Manager** 
**Seattle, WA (Remote)** 
**Compensation Range: $130,000 \- $160,000** 
**Job Intro:** 
 As a member of our client's Program Management team, you will play a critical role in the definition, prioritization, and execution of new product features and strategic programs. You will work closely with their Product Managers, UX team and customers to flesh out detailed requirements for engineering teams. You will review the output of their development teams for alignment with acceptance criteria. You will prioritize work for their development teams and preside over their Agile processes ensuring maximum efficiency of the teams. You will also work with their engineering leaders to ensure we allocate bandwidth for their critical engineering initiatives and that those efforts are properly balanced with product objectives. Additionally, you will be responsible for engagement and reporting to all project stakeholders.
**Essential Functions:** 
* Engage with Product Managers to understand and flesh out the product initiatives they are sponsoring
* Write detailed Agile stories for the development teams including detailed requirements and acceptance criteria
* Engage with UI designers and software architects to ensure our teams understand both what and how they need to implement new features
* Ensure our teams have an adequate understanding of company and industry standards and policies and adhere to them in their deliverables.
* Lead sprint planning and backlog refinement sessions with the team
* Facilitate a daily stand\-up call with the team to ensure they stay on track with sprint deliverables
* Work to resolve impediments quickly to ensure our teams can maximize their productivity.
* Track issues and risks and drive solutions to mitigate them
* Maintain a backlog of work and participate in report outs and feedback sessions with stakeholders.
* Evaluate execution efficiencies and work with process stakeholders to drive continuous improvements
* Collaborate closely with engineering management on the execution of our programs
**Position Requirements:** 
* Bachelor’s degree in computer science, engineering, business management, or a related field
* Minimum of 5 years of experience in software engineering
* Minimum of 2 years of experience in product or program management
* Experience as an Agile Product Owner
* Experience as an Agile Scrum Master
* Strong written and verbal communication skills
* Experience working with globally dispersed teams
* Experience with managing programs that span multiple teams and stakeholders
* Experience with Cloud based solutions
**Desired Qualifications:** 
* Experience with Azure DevOps
* Experience with healthcare applications
* Experience with document workflow
* Certification in Agile processes such as Certified Scrum Master or Certified Product Owner
**Additional employee benefits at our client:** 
* 401K plan w/ 6% company match (vests immediately)
* Flex\-Time off \+ sick time
* 10 company holidays
* Full suite of health benefits (Medical, Dental, Vision)– employee only coverage covered at 100% (no employee cost). For employees \+ dependents, employer covers 60% of premiums.
* Voluntary insurance options:
* Pet insurance
* Employee Life and AD\&amp;D
* Spousal Life and AD\&amp;D
* Child Life and AD\&amp;D
* Paid Parental Leave program
* Free unlimited ORCA card (Seattle area residents)
* Employee Rewards and Recognition through NectarHR
* Unlimited access to Udemy for Business</t>
        </is>
      </c>
    </row>
    <row r="89">
      <c r="A89" t="inlineStr">
        <is>
          <t>li-4380120258</t>
        </is>
      </c>
      <c r="B89" t="inlineStr">
        <is>
          <t>Sr. Technical Program Manager, Employee Experience (Hybrid - Seattle, WA)</t>
        </is>
      </c>
      <c r="C89" t="inlineStr">
        <is>
          <t>Nordstrom</t>
        </is>
      </c>
      <c r="D89" t="inlineStr">
        <is>
          <t>linkedin</t>
        </is>
      </c>
      <c r="E89">
        <f>HYPERLINK("https://www.linkedin.com/jobs/view/4380120258", "https://www.linkedin.com/jobs/view/4380120258")</f>
        <v/>
      </c>
      <c r="F89">
        <f>HYPERLINK("https://careers.nordstrom.com/sr-technical-program-manager-employee-experience-hybrid-seattle-wa/job/134B54B7DEF3C6E2311805C205426A19?source=LinkedIn&amp;urlHash=L4Ng", "https://careers.nordstrom.com/sr-technical-program-manager-employee-experience-hybrid-seattle-wa/job/134B54B7DEF3C6E2311805C205426A19?source=LinkedIn&amp;urlHash=L4Ng")</f>
        <v/>
      </c>
      <c r="G89" t="inlineStr">
        <is>
          <t>Seattle, WA</t>
        </is>
      </c>
      <c r="H89" t="inlineStr"/>
      <c r="I89" t="inlineStr">
        <is>
          <t>A Technical Program Manager Senior is part of a key team of Technology professionals managing technical programs that deliver significant business value to Nordstrom and its customers. The Technical Program Manager Senior partners with internal stakeholders and external vendors to develop, design, build, and launch technology solutions. This position interacts with people in both business and technical roles to create specifications and resolve issues with an eye toward continuous improvement. This position works across departments and functional lines on a variety of programs that range in scope, risk, and complexity.
 As part of the Employee Experience Technology organization, this Senior Technical Program Manager will support our Endpoint Platform Services team. This team builds, configures, and secures Windows, Mac, and Mobile endpoints across Nordstrom, enabling scalable, secure, and productive technology experiences for employees through platform modernization, automation, and strategic lifecycle management.
**A day in the life…**
* Combines understanding of the standards, concepts and principles of program management to solve practical needs of the business, while independently managing small to moderate programs
* Proactively manages work execution through program dependencies, risks, schedules, budgets and understands the importance of requirements gathering, prioritization, and clear stakeholder communication
* Utilizes Agile and Waterfall development concepts, planning and ceremonies
* Uses data to report status, performance and communicates using fact\-based and relevant data
* Possesses awareness and practical experience with technology (e.g. Cloud, APIs, services, Windows stack, open source, database technologies, etc.)
* Applies engineering lifecycle knowledge to feature design, task estimation, design review, story creation, triage, schedule and performance standards
**Key Responsibilities**
* Program Leadership: Own end\-to\-end program execution for the full backlog of initiatives, ensuring alignment with company objectives and endpoint modernization strategies.
* Program Planning: Partner with business, product, and technology leaders to document the technical delivery of roadmap, defining deliverables, milestones, and dependencies.
* Stakeholder Management: Collaborate with senior executives, business units, product managers, and technical teams to understand the needs, drive delivery, and communicate effectively.
* Risk Management: Identify risks, develop mitigation strategies, and proactively address challenges to ensure program continuity and success.
* Technical Integration: Partner with engineering teams to manage system data migrations, and overall technical design, ensuring compliance with architecture standards and security protocols.
* Change Management: Ensure Change Management plans have been developed and aligned in the overall timeline to tech milestones. Supports development and facilitation of any technical change management needs.
**You own this if you have…**
* Bachelor's Degree in Information Technology, Computer Science, Data Science or related experience required
* 5\+ years of Project or Program Management experience
* 5\+ years of demonstrated successful program delivery
* Management of programs with cross\-functional stakeholders
* An understanding of SDLC methodologies
* Experience translating technical requirements into plans
* Experience translating business requirements into executable technical tasks
**We’ve got you covered…**
**Benefits**
 Our employees are our most important asset and that’s reflected in our benefits. Nordstrom is proud to offer a variety of benefits to support employees and their families, including:
* Medical/Vision, Dental, Retirement and Paid Time Away
* Life Insurance and Disability
* Merchandise Discount and EAP Resources
 A few more important points...
 The job posting highlights the most critical responsibilities and requirements of the job. It’s not all\-inclusive. There may be additional duties, responsibilities and qualifications for this job.
 For Los Angeles or San Francisco applicants: Nordstrom is required to inform you that we conduct background checks after conditional offer and consider qualified applicants with criminal histories in a manner consistent with legal requirements per Los Angeles, Cal. Muni. Code 189\.04 and the San Francisco Fair Chance Ordinance. For additional state and location specific notices, please refer to the Legal Notices document within the FAQ section of the Nordstrom Careers site.
 Applicants with disabilities who require assistance or accommodation should contact the nearest Nordstrom location, which can be identified at www.nordstrom.com.
 Please be mindful that there may be legal notices and requirements related to this job posting that are specific to your state. Review the Career Site FAQ’s for relevant information and guidelines.
 © 2022 Nordstrom, Inc
 Current Nordstrom employees: To apply, log into Workday, click the Careers button and then click Find Jobs.
 Nordstrom keeps job postings open for at least one day after the posting date.
**Pay Range Details**
 The pay range(s) below has been provided in compliance with state specific laws. Pay ranges may be different for other locations.
 Pay offers are dependent on the location, as well as job\-related knowledge, skills, and experience.
 $142,000\.00 \- $220,500\.00 Annual
 This position may be eligible for performance\-based incentives/bonuses. Benefits include 401k, medical/vision/dental/life/disability insurance options, PTO accruals, Holidays, and more. Eligibility requirements may apply based on location, job level, classification, and length of employment. Learn more in the Nordstrom Benefits Overview by copying and pasting the following URL into your browser: https://careers.nordstrom.com/pdfs/Ben\_Overview\_17\-19\.pdf</t>
        </is>
      </c>
    </row>
    <row r="90">
      <c r="A90" t="inlineStr">
        <is>
          <t>li-4379187518</t>
        </is>
      </c>
      <c r="B90" t="inlineStr">
        <is>
          <t>Program Manager III, Retail Strategy, Devices and Services</t>
        </is>
      </c>
      <c r="C90" t="inlineStr">
        <is>
          <t>Google</t>
        </is>
      </c>
      <c r="D90" t="inlineStr">
        <is>
          <t>linkedin</t>
        </is>
      </c>
      <c r="E90">
        <f>HYPERLINK("https://www.linkedin.com/jobs/view/4379187518", "https://www.linkedin.com/jobs/view/4379187518")</f>
        <v/>
      </c>
      <c r="F90" t="inlineStr"/>
      <c r="G90" t="inlineStr">
        <is>
          <t>Mountain View, CA</t>
        </is>
      </c>
      <c r="H90" t="inlineStr"/>
      <c r="I90" t="inlineStr">
        <is>
          <t>Note: By applying to this position you will have an opportunity to share your preferred working location from the following:
 **New York, NY, USA; Mountain View, CA, USA** 
 .
 **Minimum qualifications:**
* Bachelor's degree or equivalent practical experience.
* 5 years of experience in program or project management.
* Experience in the retail industry, environments, and programs (e.g., commercial strategy, carrier dynamics, consumer services/experiences, purchase journey, traffic generation, inventory management).
* Experience working with consumer electronics or hardware.
**Preferred qualifications:**
* 5 years of experience managing cross\-functional or cross\-team projects.
* Experience managing large budgets and executing retail profit and loss (P\&amp;L) strategies, margins, and promotional mechanics.
* Knowledge of global retail trends, carrier dynamics, and the engaged landscape of the premium smartphone and smart home markets.
* Ability to build data\-driven business cases that result in significant shifts in corporate strategy or resource allocation.
**About The Job**
 A problem isn’t truly solved until it’s solved for all. That’s why Googlers build products that help create opportunities for everyone, whether down the street or across the globe. As a Program Manager at Google, you’ll lead complex, multi\-disciplinary projects from start to finish — working with stakeholders to plan requirements, manage project schedules, identify risks, and communicate clearly with cross\-functional partners across the company. Your projects will often span offices, time zones, and hemispheres. It's your job to coordinate the players and keep them up to date on progress and deadlines.
 In this role, you are a primary architect of Google’s physical retail commercial strategy. You own the goal for how the Google ecosystem Pixel, Nest, and Fitbit is sold and experienced in our flagship and partner environments. This is a high\-impact role requiring a blend of commercial acumen, operational discipline, and visionary thinking. You will lead the end\-to\-end strategy for business initiatives, defining the "north star" for how we drive conversion and premium customer experiences. You don't just work cross\-functionally; you lead the cross\-functional narrative, aligning Directors and Vice Presidents (VPs) across Product, Marketing, and Finance to ensure our retail investments drive brand and sustainable business growth.
 Google's mission is to organize the world's information and make it universally accessible and useful. Our Devices \&amp; Services team combines the best of Google AI, Software, and Hardware to create radically helpful experiences for users. We research, design, and develop new technologies and hardware to make our user's interaction with computing faster, seamless, and more powerful. Whether finding new ways to capture and sense the world around us, advancing form factors, or improving interaction methods, the Devices \&amp; Services team is making people's lives better through technology.
 The US base salary range for this full\-time position is $147,000\-$216,000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Define and lead the multi\-year business activation roadmap. Identify market opportunities and white spaces to launch high\-impact programs that redefine retail excellence.
* Design incentive structures and commercial levers that drive attach rate and conversion goals. You own the Return on Investment (ROI) of your programs and are responsible for business\-critical Key Performance Indicators (KPIs).
* Act as the lead for New Product Introductions (NPI). You are responsible for the global retail "Concept\-to\-Consumer" framework, ensuring consistent and scalable launches.
* Influence product roadmaps by providing the retail customer to engineering and product teams. You ensure that our hardware is built with retail "promote\-through" in mind.
* Identify systemic inefficiencies in the retail life\-cycle and build scalable, automated solutions to improve the speed\-to\-market for all retail initiatives.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91">
      <c r="A91" t="inlineStr">
        <is>
          <t>li-4373026627</t>
        </is>
      </c>
      <c r="B91" t="inlineStr">
        <is>
          <t>Program Manager ($70,000-$120,000)</t>
        </is>
      </c>
      <c r="C91" t="inlineStr">
        <is>
          <t>Cnect</t>
        </is>
      </c>
      <c r="D91" t="inlineStr">
        <is>
          <t>linkedin</t>
        </is>
      </c>
      <c r="E91">
        <f>HYPERLINK("https://www.linkedin.com/jobs/view/4373026627", "https://www.linkedin.com/jobs/view/4373026627")</f>
        <v/>
      </c>
      <c r="F91" t="inlineStr"/>
      <c r="G91" t="inlineStr">
        <is>
          <t>Dallas, TX</t>
        </is>
      </c>
      <c r="H91" t="inlineStr"/>
      <c r="I91" t="inlineStr">
        <is>
          <t>**Job Description** 
 The Program Manager will serve as the operational backbone of key company initiatives. This role is responsible for translating strategic priorities into structured plans, managing timelines, maintaining documentation, and ensuring consistent follow\-through across teams.
 This is not a visionary or high\-sales leadership role. Instead, it is ideal for a steady, detail\-oriented professional who thrives in structured environments, values accuracy, and ensures nothing falls through the cracks.
 The successful candidate will bring process rigor, risk awareness, and calm execution to complex, multi\-departmental programs.
 Cnect is building scalable, technology\-driven solutions that require disciplined execution, operational clarity, and cross\-functional coordination. As we grow, we need structured leadership to ensure initiatives are implemented thoroughly, consistently, and with precision.
 We are looking for: 
* High attention to detail
* Strong follow\-through
* Preference for structure and clarity
* Steady, methodical pace
* Comfort operating within defined systems
* Low need for public recognition
* Risk\-aware and compliance\-minded
 This role is not suited for:
* Highly dominant, fast\-moving disruptors
* Big\-picture\-only thinkers who dislike documentation
* Individuals who prefer constant change and ambiguity
**Qualifications** 
* 5\+ years experience in program management, operations, or implementation roles
* Strong documentation and process development skills
* Experience managing cross\-functional timelines
* Proficiency with project management tools (Asana, Monday, Jira, ClickUp, etc.)
* Strong written communication skills
* Ability to work independently within structured systems
 Preferred:
* Experience in technology\-enabled businesses
* Background in compliance\-heavy or operationally complex environments
**Responsibilities** 
* Prepare consistent, structured reporting for leadership
* Maintain dashboards and tracking systems
* Monitor KPIs and identify deviations from plan
* Develop and maintain SOPs for recurring initiatives
* Identify process inefficiencies and recommend structured improvements
* Ensure programs meet regulatory, contractual, or internal compliance requirements
* Conduct audits of program execution to maintain quality standards
* Facilitate organized communication between departments
* Document decisions, action items, and accountability
* Ensure alignment between stakeholders without requiring heavy persuasion or influence
* Build structured project plans with clear milestones, dependencies, and timelines
* Maintain program documentation and ensure version control
* Track progress against deliverables and escalate risks appropriately
* Ensure all initiatives follow defined operational standards
**Benefits** 
* Competitive Salary
* Health Insurance
* Dental \&amp; Vision Insurance
* Paid Time Off
* Holidays</t>
        </is>
      </c>
    </row>
    <row r="92">
      <c r="A92" t="inlineStr">
        <is>
          <t>li-4379192433</t>
        </is>
      </c>
      <c r="B92" t="inlineStr">
        <is>
          <t>Lead Technical Program Manager, Supply Strategy and Portfolio Planning</t>
        </is>
      </c>
      <c r="C92" t="inlineStr">
        <is>
          <t>Google</t>
        </is>
      </c>
      <c r="D92" t="inlineStr">
        <is>
          <t>linkedin</t>
        </is>
      </c>
      <c r="E92">
        <f>HYPERLINK("https://www.linkedin.com/jobs/view/4379192433", "https://www.linkedin.com/jobs/view/4379192433")</f>
        <v/>
      </c>
      <c r="F92">
        <f>HYPERLINK("https://careers.google.com/jobs/results/142246943290991302-lead-technical-program-manager/?src=Online/LinkedIn/linkedin_us&amp;utm_source=linkedin&amp;utm_medium=jobposting&amp;utm_campaign=contract&amp;urlHash=jhN8", "https://careers.google.com/jobs/results/142246943290991302-lead-technical-program-manager/?src=Online/LinkedIn/linkedin_us&amp;utm_source=linkedin&amp;utm_medium=jobposting&amp;utm_campaign=contract&amp;urlHash=jhN8")</f>
        <v/>
      </c>
      <c r="G92" t="inlineStr">
        <is>
          <t>San Francisco, CA</t>
        </is>
      </c>
      <c r="H92" t="inlineStr"/>
      <c r="I92" t="inlineStr">
        <is>
          <t>Applicants in San Francisco: Qualified applications with arrest or conviction records will be considered for employment in accordance with the San Francisco Fair Chance Ordinance for Employers and the California Fair Chance Act.
 In accordance with Washington state law, we are highlighting our comprehensive benefits package, which is available to all eligible US based employees. Benefits for this role include:
* Health, dental, vision, life, disability insurance
* Retirement Benefits: 401(k) with company match
* Paid Time Off: 20 days of vacation per year, accruing at a rate of 6\.15 hours per pay period for the first five years of employment
* Sick Time: 40 hours/year (statutory, where applicable); 5 days/event (discretionary)
* Maternity Leave (Short\-Term Disability \+ Baby Bonding): 28\-30 weeks
* Baby Bonding Leave: 18 weeks
* Holidays: 13 paid days per year
 Note: By applying to this position you will have an opportunity to share your preferred working location from the following:
 **Sunnyvale, CA, USA; Kirkland, WA, USA; San Francisco, CA, USA** 
 .
 **Minimum qualifications:**
* Bachelor's degree in a technical field, or equivalent practical experience.
* 8 years of experience in program management.
* 8 years of experience in the design and planning of data center infrastructure.
**Preferred qualifications:**
* Master's degree or PhD in a quantitative field.
* 8 years of experience managing cross\-functional or cross\-team projects.
* Ability to develop strategy, define and drive programs and processes through ambiguity to address significant business challenges.
* Ability to navigate ambiguity to define and drive cross\-functional programs in large, complex work groups, including upwards of team members and stakeholders that span multiple teams/organizations.
* Excellent execution, organizational, and stakeholder management skills.
**About The Job**
 Google's projects, like our users, span the globe and require managers to keep the big picture in focus while being able to dive into the unique engineering challenges we face daily. As a Technical Program Manager at Google, you lead complex, multi\-disciplinary engineering projects using your engineering expertise. You plan requirements with internal customers and usher projects through the entire project lifecycle. This includes managing project schedules, identifying risks and clearly communicating them to project stakeholders. You're equally at home explaining your team's analyses and recommendations to executives as you are discussing the technical trade\-offs in product development with engineers.
 Using your extensive technical and leadership expertise, you manage projects of various size and scope, identifying future opportunities, improving processes and driving the technical directions of your programs.
 As our products and services scale the globe, the Global Infrastructure and Energy (GIE) team works behind the scenes as a dynamic team within Google responsible for delivering the infrastructure capacity needed to support Google's rapidly growing product portfolio. The Supply Strategy and Portfolio Planning (SSP) team sits within GIE, and we manage a portfolio of infrastructure projects, ensuring that Google's services have the resources they need to operate seamlessly and reliably. In this role, you will performs location strategy, regional planning and portfolio management to determine where, why, and how much infrastructure assets Google needs to seamlessly scale into the future. You will provides decision\-making frameworks with underlying foundation to enable high\-quality decisions at scale, faster and with less risk to meet the needs of Google’s business.
 Google Cloud accelerates every organization’s ability to digitally transform its business and industry. We deliver enterprise\-grade solutions that leverage Google’s cutting\-edge technology, and tools that help developers build more sustainably. Customers in more than 200 countries and territories turn to Google Cloud as their trusted partner to enable growth and solve their most critical business problems.
 The US base salary range for this full\-time position is $183,000\-$271,000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Design and develop models for location strategy given land, energy and networking constraints. Understand business tradeoffs and translate to input and modeling requirements. Produce and maintain model results with explainability and traceability.
* Drive business requirements definition, design data ecosystems, lead and coordinate development to analyze multitudes of data sources reflecting various layers of demand granularities across data center and networking stack.
* Lead design and execution of modeling ecosystem, data collection, model design, tradeoff and constraints analysis, evaluation, model tracking and decision making.
* Manage execution of scalable models and data foundations in collaboration with software engineers and supply planning teams. Create communication channels across various teams.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93">
      <c r="A93" t="inlineStr">
        <is>
          <t>li-4380106230</t>
        </is>
      </c>
      <c r="B93" t="inlineStr">
        <is>
          <t>Sr. Associate, Product Manager - Risk Management, Model One</t>
        </is>
      </c>
      <c r="C93" t="inlineStr">
        <is>
          <t>Capital One</t>
        </is>
      </c>
      <c r="D93" t="inlineStr">
        <is>
          <t>linkedin</t>
        </is>
      </c>
      <c r="E93">
        <f>HYPERLINK("https://www.linkedin.com/jobs/view/4380106230", "https://www.linkedin.com/jobs/view/4380106230")</f>
        <v/>
      </c>
      <c r="F93">
        <f>HYPERLINK("https://dsp.prng.co/KXYxzIb&amp;urlHash=2gwH", "https://dsp.prng.co/KXYxzIb&amp;urlHash=2gwH")</f>
        <v/>
      </c>
      <c r="G93" t="inlineStr">
        <is>
          <t>Richmond, VA</t>
        </is>
      </c>
      <c r="H93" t="inlineStr"/>
      <c r="I93" t="inlineStr">
        <is>
          <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
**Do you dream of well\-designed and intuitive products and customer experiences? Do you want to be the one who introduces change to help tens of millions of customers make smarter financial choices? Do you want to change the way people manage their money? If you answered yes to all of these questions, then product management at Capital One may be a fit for you.**
****About the Credit \&amp; Financial Risk Management Product Team:****
* Design and build software to help us improve credit risk management practices
* Work with design and technology partners to research, ideate, and deliver new features and functionality that address associate needs
* Help the business to build the right product and provide support through change management
* Prioritize the product backlog by regularly refining intent to maximize business and customer outcomes and efficiency
**This role will be working on the Model One product team.Model One is an existing full\-stack application that provides the core technology for model risk management at Capital One. We are on a multi\-year technology journey to transform the user experience and make it easier to record, manage, and analyze data and activities related to models and model\-related objects.**
****In this role, you’ll learn the essentials of being a product manager, and we’ll invest in you to grow in five key areas:****
* Human Centered
+ You’ll collaborate with tech teams to build comprehensive acceptance criteria, identifying and elevating any need for additional research to define future feature design
+ You'll breakdown business epics into features and further into user stories, driving your team towards lowest effort or Minimal Viable Product (MVP) for a valid feature test
* Business Focused
+ Demonstrating a growth mindset, you’ll effectively use hypothesis\-driven assessment of data to ensure your product or feature delivers on real business needs
+ You’ll own and prioritize feature development roadmaps, ensuring all necessary processes and procedures are followed to manage risk
* Technology Driven
+ You’ll work autonomously in an agile environment, to conduct research and develop features that utilize new and evolving technology
+ You’ll collaborate with designers, technologists, data scientists and subject\-matter experts to build cutting edge solutions to help customers
+ You’ll deliver well\-managed product platforms for customers by seeking to understand technology trends and architecture strategy
* Integrated Problem Solving
+ Develop and champion a bold vision that drives meaningful outcomes by embracing the art of the possible
+ Build frameworks for complex decision making that enable effective debate and accelerate getting to the right answer
* Transformational Leadership
+ By actively participating in horizontal forums, you’ll harness a network of trusted relationships among tech teams, designers, key internal stakeholders and partner teams
+ You’ll articulate a succinct product roadmap to deliver business value and share with with stakeholders, elevating your team’s results and becoming a product matter expert
**We want you if you are:**
* Intellectually Curious. You ask why, you explore, you're not afraid to blurt out your crazy idea or follow an email chain for weeks to find someone with an answer. Comfortable with ambiguity, a hunger to learn and a seeker of new challenges
* Communicator \&amp; Influencer. You can communicate complex ideas clearly regardless of your audience. Our team knows their priorities and why they’re doing what they’re doing. You always can rally associates to work with you
* Do\-er. You’re biased toward action, you try things and sometimes you fail. You can get around roadblocks and stay focused on your goals. You’re well organized, able to multitask and able to prioritize your work
* Passionate \&amp; Customer Focus. You care about growing others and bringing them together around what’s possible. You get a thrill from the journey of building and shipping products, and you have a desire and ability to connect with our external or internal customers to fully understand their needs
* Learner. You have an appetite to learn new things or new technologies all while exhibiting humbleness when the time comes to ask for help
* Team Player. You enjoy working with diverse people and driving the team toward a common goal. You have the ability to put the team before yourself and establish long\-lasting relationships
**Basic Qualifications:**
* Bachelor’s degree or military experience
* At least 1 year of product management experience or at least 1 year of experience in product design, agile delivery, business analysis, data science, or software engineering
**Preferred Qualifications:**
* Bachelor’s degree in Computer Science or Engineering
* 1\+ years translating business strategy or analysis into consumer facing digital products
* 1\+ years of experience working on data products and platforms powering digital experiences
* 1\+ years working with cross functional teams as a product owner in an agile development process
****At this time, Capital One will not sponsor a new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McLean, VA: $111,200 \- $126,900 for Sr. Associate, Product Management
 Richmond, VA: $101,100 \- $115,400 for Sr. Associate, Product Management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94">
      <c r="A94" t="inlineStr">
        <is>
          <t>li-4379169386</t>
        </is>
      </c>
      <c r="B94" t="inlineStr">
        <is>
          <t>Sales Enablement Program Manager</t>
        </is>
      </c>
      <c r="C94" t="inlineStr">
        <is>
          <t>Pinnacle Method Consulting</t>
        </is>
      </c>
      <c r="D94" t="inlineStr">
        <is>
          <t>linkedin</t>
        </is>
      </c>
      <c r="E94">
        <f>HYPERLINK("https://www.linkedin.com/jobs/view/4379169386", "https://www.linkedin.com/jobs/view/4379169386")</f>
        <v/>
      </c>
      <c r="F94">
        <f>HYPERLINK("https://www.talentify.io/job/sales-enablement-program-manager-san-mateo-california-us-remote-jobs-am9icg9zddpkemvwawqqnukmrfvub5ni?utm_source=linkedin&amp;utm_medium=Xml&amp;utm_campaign=booc-linkedin&amp;tdd=dDEsaDEsajFxNzNqbixyMyxlcHJvNjlhNjg2ZmVkZDA3NjAxNTE4NTgwNw&amp;urlHash=_a2-", "https://www.talentify.io/job/sales-enablement-program-manager-san-mateo-california-us-remote-jobs-am9icg9zddpkemvwawqqnukmrfvub5ni?utm_source=linkedin&amp;utm_medium=Xml&amp;utm_campaign=booc-linkedin&amp;tdd=dDEsaDEsajFxNzNqbixyMyxlcHJvNjlhNjg2ZmVkZDA3NjAxNTE4NTgwNw&amp;urlHash=_a2-")</f>
        <v/>
      </c>
      <c r="G94" t="inlineStr"/>
      <c r="H94" t="inlineStr"/>
      <c r="I94" t="inlineStr">
        <is>
          <t>Pinnacle Method Consulting's mission is to help job seekers reach their career peak by accessing top\-tier opportunities. We are not a staffing firm or agency. Pinnacle Method does not hire for these roles—we systematically source and verify them from premier employers.
 Employer Industry: Technology and Software Development
**Why Consider This Job Opportunity**
* Salary up to $114,000
* Opportunity for career advancement and growth within the organization
* Flexible remote work option available, with a hybrid schedule for local candidates
* Competitive compensation package, including equity and commission plans
* Supportive work environment that values diversity and inclusion
* Chance to make a significant impact on sales performance and enablement processes
**What To Expect (Job Responsibilities)**
* Own and manage end\-to\-end sales enablement programs, including onboarding, product launches, and skill reinforcement
* Collaborate with Sales Leadership, Product, Marketing, Legal, and RevOps to align enablement with business priorities
* Design and deliver training experiences based on adult learning principles and develop enablement assets
* Measure and iterate enablement effectiveness using various performance metrics, partnering with RevOps for assessments
* Maintain scalable enablement systems and ensure consistency and usability across all enablement resources
**What Is Required (Qualifications)**
* 3\+ years of experience in sales enablement, revenue enablement, or related roles
* Proven experience managing enablement programs from concept through rollout
* Strong understanding of B2B sales motions and deal progression
* Experience working cross\-functionally with Sales, Marketing, and other departments
* Strong prioritization and project management skills in fast\-paced environments
**How To Stand Out (Preferred Qualifications)**
* Experience supporting quota\-carrying sales teams (SMB, MM, or Enterprise)
* Familiarity with enablement platforms (e.g., Highspot, Seismic) and LMS tools
* Background in instructional design or adult learning methodologies
* Experience measuring enablement impact beyond completion metrics
* Experience in high\-growth SaaS or go\-to\-market environments
 \#SalesEnablement \#CareerOpportunity \#RemoteWork \#CompetitiveCompensation \#DiversityAndInclusion
 We prioritize candidate privacy and champion equal\-opportunity employment. Central to our mission is our partnership with companies that share this commitment. We aim to foster a fair, transparent, and secure hiring environment for all. If you encounter any employer not adhering to these principles, please bring it to our attention immediately.
 We are not the EOR (Employer of Record) for this position. Our role in this specific opportunity is to connect outstanding candidates with a top\-tier employer.
 \#PinnacleMethodConsulting</t>
        </is>
      </c>
    </row>
    <row r="95">
      <c r="A95" t="inlineStr">
        <is>
          <t>li-4380372411</t>
        </is>
      </c>
      <c r="B95" t="inlineStr">
        <is>
          <t>Staff Technical Program Manager - RMG</t>
        </is>
      </c>
      <c r="C95" t="inlineStr">
        <is>
          <t>Moloco</t>
        </is>
      </c>
      <c r="D95" t="inlineStr">
        <is>
          <t>linkedin</t>
        </is>
      </c>
      <c r="E95">
        <f>HYPERLINK("https://www.linkedin.com/jobs/view/4380372411", "https://www.linkedin.com/jobs/view/4380372411")</f>
        <v/>
      </c>
      <c r="F95" t="inlineStr"/>
      <c r="G95" t="inlineStr">
        <is>
          <t>Menlo Park, CA</t>
        </is>
      </c>
      <c r="H95" t="inlineStr"/>
      <c r="I95" t="inlineStr">
        <is>
          <t>**About Moloco:**
 Moloco builds some of the most powerful AI advertising solutions in the world. Our name—short for "machine learning company"—reflects our core mission: democratizing access to the advanced AI that has historically been reserved for tech giants. Led by machine learning pioneers who built some of the most successful ad systems at Google, including YouTube's monetization engine and key search advertising technologies, we're transforming how businesses grow and compete in the digital economy.
 Built with AI from day one, Moloco’s planet\-scale machine learning platform powers a suite of solutions for advertising growth and monetization.
 **Moloco Ads** 
 is an AI\-powered platform that delivers real business outcomes for mobile app marketers through performance\-based user acquisition.
 **Moloco Commerce Media** 
 and
 **Streaming Monetization** 
 solutions enable retailers, marketplaces, and streaming platforms to build revenue\-generating ad businesses that balance user experience and advertiser performance.
 Moloco is headquartered in Silicon Valley, with offices in Seattle, New York, San Francisco, Seoul, Beijing, Singapore, Bangalore, Gurgaon, Tokyo, Shanghai, London, Tel Aviv, and Berlin.
 Moloco is a truly rewarding place to work and in an exciting period of growth, which you could be a part of. Join us today and apply now!
**The Opportunity:**
* Be the connective tissue across the organization to keep engineering, product, leadership, and stakeholders aligned on priorities, schedule, risks, and progress.
* Own and drive cross\-team initiatives from conception to completion.
* Create and manage cross\-team roadmaps, schedule, risks, and issues.
* Own security, privacy, compliance, and operational excellence initiatives.
* Establish scalable, repeatable, and efficient processes and schedules.
* Be a force multiplier by continually improving engineering, product, and operational efficiency across the organization.
* Help grow the TPM function.
**Who We’re Looking For:**
* You love working on technical initiatives to build and manage Ad Tech products for ECommerce
* You don’t just work with engineering, you’re embedded into the team, shepherding their programs end\-to\-end.
**How Do I Know if the Role is Right For Me?**
* Experience working with senior leadership, including C\-level leaders.
* Excellent oral and written communication skills
* Ability to effectively collaborate and drive consensus with all levels and teams across the company.
* Integral contributor to the development and operational readiness of large scale cloud products.
* Experience managing projects, risks, and dependencies with Product, Engineering, GTM, and cross\-functional teams.
* Experience building scalable, sustainable processes and coordinating release schedules across multiple organizations.
* Experience in agile software development methodologies including deploying best practices and SDLC processes.
* 5\+ years of technical program management or engineering management experience.
* 7\+ years of experience working directly with software, cloud, or data engineering teams.
* Bachelor's degree in computer science, engineering or a related technical discipline.
**Preferred Experience:**
* Prior experience in ECommerce and Adtech
* Passionate for learning about technologies and products
**Our Compensation And Benefits (for United States Residents Only)**
 In accordance with various state laws, the range provided is a reasonable estimate of the base compensation for this role. The actual amount may be higher or lower based on non\-discriminatory factors such as experience, knowledge, skills, and abilities. We also offer a competitive benefits package.
 Base Pay Range:
 $195,200—$245,000 USD
**Moloco Thrive: Benefits and Well\-Being:**
 We take care of you and create the conditions for you to do the best work of your career. Through a lens of inclusion, we offer innovative benefits that empower our employees to take care of themselves and their families so they can do the best work of their lives.
**Moloco Values:**
* Lead with Humility: Everyone’s voice is respected, valued, and heard. With humility, we become more open and accessible to each other. We win, lose, and learn together. Accountability and feedback are essential to our success.
* Uncapped Growth Mindset: We see all situations as opportunities to learn, grow, and improve as individuals and as an organization. We seek diverse perspectives, encourage curiosity, and promote experimentation to push the boundaries of what’s possible.
* Create Real Value: We pursue the most impactful opportunities with rigor and integrity. We take intelligent risks and make disciplined trade\-offs to maintain deep focus. We help our customers win by delivering durable value.
* Go Further Together: We’re one team working towards one mission and vision. We collaborate proactively and inclusively, involving the right people at the right time and in the right way. We strive to create a more equitable workplace. We won’t let each other fail.
**Additional Resources:**
* Moloco Company Blog
* Moloco Leadership
* Moloco Newsroom
**Equal Opportunity:**
 Creating a diverse workforce and a culture of inclusion and belonging is core to our existence. To reach our goals, diversity of talent and thought is a critical component of how we operate as an organization. Our workforce is our superpower, and we know that fostering a culture of inclusion, authenticity, and belonging gives us the greatest opportunity to achieve our vision to become the scaling engine for the Internet economy.
 Moloco is an equal opportunity employer. We highly value diversity in our current and future employees and do not discriminate (including in our hiring and promotion practices) on the basis of race, color, creed, religion, national origin, age, sex and gender, gender expression and identity, sexual orientation, marital status, ancestry, physical or mental disability, military or veteran status, or any other characteristic protected by law.
**Candidate Privacy Notice:**
 Your privacy matters to us. By applying, you acknowledge that you’ve reviewed our Candidate Privacy Notice.</t>
        </is>
      </c>
    </row>
    <row r="96">
      <c r="A96" t="inlineStr">
        <is>
          <t>li-4379170266</t>
        </is>
      </c>
      <c r="B96" t="inlineStr">
        <is>
          <t>Test Strategy Leader / Product Owner for Testing - Tucson ,AZ - Hybrid role</t>
        </is>
      </c>
      <c r="C96" t="inlineStr">
        <is>
          <t>Jobs via Dice</t>
        </is>
      </c>
      <c r="D96" t="inlineStr">
        <is>
          <t>linkedin</t>
        </is>
      </c>
      <c r="E96">
        <f>HYPERLINK("https://www.linkedin.com/jobs/view/4379170266", "https://www.linkedin.com/jobs/view/4379170266")</f>
        <v/>
      </c>
      <c r="F96" t="inlineStr"/>
      <c r="G96" t="inlineStr">
        <is>
          <t>Tucson, AZ</t>
        </is>
      </c>
      <c r="H96" t="inlineStr"/>
      <c r="I96" t="inlineStr">
        <is>
          <t>Dice is the leading career destination for tech experts at every stage of their careers. Our client, Lightning Minds Inc., is seeking the following. Apply via Dice today!
**Title:** 
**Test Strategy Leader / Product Owner for Testing**
**JD:**
 his individual will serve as the Product Owner for Test, responsible for defining and driving the overall strategy for the testing campaign.
* The ideal candidate must function as a strategic thought leader, and not as a tactical tester.
* Requires a minimum of 8 years of experience in software testing for hardware\-integrated systems.
* Experience in FDA or FAA regulated environment is a strong plus; Medical device industry is ideal
 Primary Skill Set:
 Key Responsibilities
* Define Strategy \&amp; Vision: Serve as the team leader by translating customer needs into technological solutions and contributing to strategic direction through technical knowledge and creative application. \*Own Backlog \&amp; Prioritization: Manage, build, and prioritize the team's backlog; detail user stories; and coordinate cross\-team dependencies in preparation for Program Increment (PI) and iteration planning. \*Drive Acceptance \&amp; Delivery: Formally accept and approve all team features and user stories, leveraging acceptance criteria and a defined "definition of done" to ensure quality deliverables. \*Lead Team Processes: Facilitate cross\-functional collaboration, advocate for built\-in quality and customer\-centric design, and participate in continuous improvement activities like Inspect and Adapt events. \*Represent \&amp; Communicate: Present project results both internally and externally, and present complex technical data to diverse stakeholder groups.</t>
        </is>
      </c>
    </row>
    <row r="97">
      <c r="A97" t="inlineStr">
        <is>
          <t>li-4379183395</t>
        </is>
      </c>
      <c r="B97" t="inlineStr">
        <is>
          <t>Program Manager</t>
        </is>
      </c>
      <c r="C97" t="inlineStr">
        <is>
          <t>Haystack</t>
        </is>
      </c>
      <c r="D97" t="inlineStr">
        <is>
          <t>linkedin</t>
        </is>
      </c>
      <c r="E97">
        <f>HYPERLINK("https://www.linkedin.com/jobs/view/4379183395", "https://www.linkedin.com/jobs/view/4379183395")</f>
        <v/>
      </c>
      <c r="F97" t="inlineStr"/>
      <c r="G97" t="inlineStr"/>
      <c r="H97" t="inlineStr"/>
      <c r="I97" t="inlineStr">
        <is>
          <t>**IT Program Manager \- OCM (BTS\-IS) \| $113,300 \- $226,700** 
 We're working with a global healthcare leader and medical technology pioneer on this exciting opportunity. We are seeking a high\-impact leader to spearhead Organizational Change Management for massive Infrastructure projects that touch lives in over 160 countries.
 This isn't just about managing schedules; it’s about driving global transformation. You will bridge the gap between complex IT Infrastructure deployments and human adoption, ensuring that 115,000\+ colleagues are ready, willing, and able to embrace the future of healthcare technology.
**The Role** 
 • Lead end\-to\-end Organizational Change Management (OCM) for global IT Infrastructure projects, from stakeholder assessment to adoption measurement.
 • Develop high\-level OCM deliverables including stakeholder maps, change impact assessments, readiness surveys, and strategic communication decks.
 • Partner with IT leaders to translate technical infrastructure updates into business\-focused messaging that resonates with global end\-users.
 • Track and report on change readiness using data\-driven metrics to escalate risks and recommend targeted interventions for leadership.
 • Facilitate executive alignment sessions to remove barriers to adoption and ensure technical changes align with enterprise transformation goals.
**What You'll Need** 
 • 6\-10 years of dedicated experience managing OCM projects on an enterprise or global scale within a fast\-paced corporate environment.
 • Deep expertise in OCM methodologies and the ability to apply them to IT Infrastructure (IS) and software development life cycle (SDLC) projects.
 • Advanced proficiency in analytical and collaboration tools including Microsoft Excel, PowerPoint, SharePoint, and PowerBI.
 • Proven ability to lead by influence, managing complex stakeholder relationships without direct positional authority.
 • Strong background in process optimization and the ability to articulate complex technical ideas in simple, persuasive business terms.
**What's On Offer** 
 • Highly competitive salary ($113k \- $226k) with an industry\-leading retirement savings plan and high employer contributions.
 • Incredible education benefits including the "Freedom 2 Save" student debt program and FreeU bachelor’s degree path.
 • Comprehensive wellness coverage including PPO medical plan options and a focus on long\-term career growth in a Fortune "Most Admired" company.
 • A culture recognized globally for diversity, supporting working mothers, female executives, and world\-class scientists.
**Apply via Haystack today!**</t>
        </is>
      </c>
    </row>
    <row r="98">
      <c r="A98" t="inlineStr">
        <is>
          <t>li-4359461255</t>
        </is>
      </c>
      <c r="B98" t="inlineStr">
        <is>
          <t>Technical Program Manager</t>
        </is>
      </c>
      <c r="C98" t="inlineStr">
        <is>
          <t>Enovix Corporation</t>
        </is>
      </c>
      <c r="D98" t="inlineStr">
        <is>
          <t>linkedin</t>
        </is>
      </c>
      <c r="E98">
        <f>HYPERLINK("https://www.linkedin.com/jobs/view/4359461255", "https://www.linkedin.com/jobs/view/4359461255")</f>
        <v/>
      </c>
      <c r="F98" t="inlineStr"/>
      <c r="G98" t="inlineStr">
        <is>
          <t>Fremont, CA</t>
        </is>
      </c>
      <c r="H98" t="inlineStr"/>
      <c r="I98" t="inlineStr">
        <is>
          <t>**About The Job**
 Enovix (Nasdaq: ENVX) is an advanced silicon battery global company based in Fremont, Calif.
 Enovix is on a mission to power the technologies of the future. Everything from IoT, mobile and computing devices, to the vehicle you drive, needs a better battery. Our disruptive architecture enables a battery with high energy density and capacity without compromising safety. We are scaling our silicon\-anode, lithium\-ion battery manufacturing capabilities to meet customer demand. For more information visit www.enovix.com and follow us on LinkedIn.
 This is an exciting time at Enovix! We are looking for experienced candidates to help support our 50,000 square\-feet lithium\-ion battery production facility in Penang, Malaysia for commercialization of our 3D Silicon™ Lithium\-ion Rechargeable Battery.
**Job Summary**
 We are seeking an experienced Technical Project Lead (TPL) candidate to lead our product development programs. As a TPL, you will work closely with cross\-functional teams, including product management, R\&amp;D, process development, manufacturing engineering, procurement \&amp; supply chain, sales, and finance. You will be responsible for developing and managing complex program schedules, tracking progress against these plans, and ensuring the company hits our targets. This inclusive of successful ramp of new products into HVM.The ideal candidate is a self\-starter, a team player and a team leader.
**Responsibilities**
* Planning \&amp; scheduling project goals, milestones, and deliverables
* Work cross\-functionally to ensure projects are resourced appropriately, scopes are well defined, schedule targets are met.
* Organize and manage technical discussions to ensure solutions are designed for successful \&amp; scalable deployment.
* Plan, organize, and orchestrate all tooling build \&amp; matrix activities. Facilitate layout and ramp management with engineering.
* Define project scope, plan and direct schedules while focusing on regular \&amp; timely high\-quality delivery; organize and lead project status and working meetings; brainstorm and lead course correct.
* Drive progress, prioritize key activities, and proactively lead risks.
* Ensure alignment across teams and across stakeholders.
* Identifying \&amp; solving project issues effectively, managing conflicts with local and global groups.
* Enovix is a multi\-national business with sites in Fremont HQ,, Malaysia and Korea. As such
* Facilitate communication across the company to ensure plan of record and provide appropriate and timely updates to leadership team.
**Qualifications**
* Bachelor’s degree in science or engineering plus at least 5\-7 years of engineering experience
* Minimum of 7 years of program management experience
* Minimum of 10 years of semiconductor or battery manufacturing engineering experience
* Familiar with product development, NPI, MPV and HVM
* Experienced in working cross\-functionally and managing large, complex programs.
* Demonstrated business acumen
* Ability to communicate at all levels, from operators to C\-level.
* Ability to work with ambiguity in a fast\-paced environment.
 This role requires to travel internationally.
**Benefits**
* Base Salary Range\- $142,000 \- 215,000
* Base salary is just one part of the overall compensation. We also offer bonus, equity and package of benefits including paid time off, medical/dental/vision insurance, life insurance, disability insurance.
* We adopt a holistic approach to our benefits programs, emphasizing physical, emotional, financial, career, and community wellness to support a balanced life.
* Our packages are tailored to meet local needs and may include healthcare coverage, mental well\-being support, retirement savings, paid time off, family leaves.
 Enovix is an equal opportunity employer.</t>
        </is>
      </c>
    </row>
    <row r="99">
      <c r="A99" t="inlineStr">
        <is>
          <t>li-4377047759</t>
        </is>
      </c>
      <c r="B99" t="inlineStr">
        <is>
          <t>Program Manager - Aerospace</t>
        </is>
      </c>
      <c r="C99" t="inlineStr">
        <is>
          <t>Accurus Aerospace Corporation</t>
        </is>
      </c>
      <c r="D99" t="inlineStr">
        <is>
          <t>linkedin</t>
        </is>
      </c>
      <c r="E99">
        <f>HYPERLINK("https://www.linkedin.com/jobs/view/4377047759", "https://www.linkedin.com/jobs/view/4377047759")</f>
        <v/>
      </c>
      <c r="F99" t="inlineStr"/>
      <c r="G99" t="inlineStr">
        <is>
          <t>Tulsa, OK</t>
        </is>
      </c>
      <c r="H99" t="inlineStr"/>
      <c r="I99" t="inlineStr">
        <is>
          <t>Program Managers act as the primary point of contact for our customers.  They oversee assigned programs to track quality, delivery, engineering, and costs, and ensure targeted on\-time delivery and other customer success metrics are achieved.  Program Managers interact regularly with personnel in Engineering, Manufacturing, Supply Chain, and Quality to obtain and relay information about customer orders, and interact directly (via phone, email, and sometimes in\-person) with customers to provide information, promptly respond to order inquiries, and resolve disputes as needed. Professionalism and courtesy are paramount to success in this role, and Program Managers are fundamental in driving on\-time delivery, compliance with customer and quality requirements, and timely communication regarding their program orders.
**Essential Functions**
 To accomplish this job, an individual must be able to perform each essential function satisfactorily. Reasonable accommodations may be made to help enable qualified individuals with disabilities to perform the essential functions.
* Communicates professionally and courteously to convey clear and concise information to customers and coworkers via telephone, email, and in\-person
* Develops strong business relationships with assigned customers
* Tracks program against schedule, budget, and relative to phase review objectives, providing periodic status reporting to management
* Relays customer changes (address, locations, contacts, etc.) to appropriate team members and ensures ERP and/or CRM are updated
* Assists Accounts Receivable staff in obtaining past due payments and mediating payment conflicts
* Initiates certification corrections through the Quality System
* Travels to customer sites as requested/required; hosts customer visits and coordinates meetings and tours as needed
* Reviews and approves purchase order changes affecting contractual schedules, pricing, and expenses; manages schedule changes and schedule conflicts in collaboration with production personnel; monitors and controls non\-recurring expenses (NRE) for assigned programs
* Ensures sales orders align to committed schedule agreements with customers
* Manages progress to expedite orders, pull\-aheads, and late deliveries to ensure customer delivery expectations are met
* Assists in rework dispositions and production flow in collaboration with the planning team
* Manages entire statement of work for assigned program(s) and accurately forecasts monthly sales
* Engages appropriate manufacturing personnel to ensure parts move efficiently through manufacturing operations
* Encourages operational excellence by thinking innovatively and suggesting process improvements; may participate in continuous improvement initiatives (LEAN, Six Sigman, etc.)
* Performs incidental duties as required
* Regular attendance on\-site at the workplace is required
**Required Education And Work Experience**
* A bachelor's degree in business administration, management, or similar is required
* A minimum of three (3\) years experience in business\-to\-business customer service, account management/business development, or program management or similar is required.
* Experience in a manufacturing industry is required; experience in the aerospace industry is preferred
**Other Required Skills \&amp; Abilities**
* Demonstrated analytical, problem\-solving, and critical thinking abilities to handle unexpected challenges and make decisions appropriately
* Commitment to maintaining confidentiality, securing customer documents and company records, and demonstrating integrity in communications and actions
* Self\-management skills including efficiency, sense of urgency, ability to adapt and respond to unexpected circumstances, and ability to juggle multiple projects, competing priorities, and meet concurrent deadlines
* Professional verbal and written communication skills (English) are essential
* Proficiency in Microsoft Office applications including Outlook, Excel, PowerPoint, Word
* ERP experience is required; Infor Visual experience is preferred
 Physical Demands and Work Environment
 To perform the essential functions of the role, employees must be able to perform the following activities with or without reasonable accommodations
* Sit for prolonged periods at a desk and work on a computer.
* Regularly stand and walk throughout the facility, including all buildings and the manufacturing areas; occasionally navigating rough or uneven terrain
* Regularly lift, carry (short distances), and push/pull up to 50 pounds.
* Occasionally climb steps, stairs, or ladders.
* Occasionally bend, crawl, stoop, squat, or kneel.
* Constantly communicate verbally and in writing (English) using a phone, texts or other messaging, and email.
* Drive a motor vehicle (occasionally)
 Working Conditions
 Work is performed in a combination of locations including offices and the manufacturing shop environment where working conditions vary significantly; the employee will be exposed to:
* Excessive noise (occasionally)
* Dust, smoke, fumes/vapors (occasionally)
* Extreme temperatures (occasionally)
* Hazardous equipment including forklifts, hand tools, cranes or other lifting devices, complex machining centers and other equipment used in a machine shop environment (occasionally)
 Travel
 Occasional travel, including overnight travel, is required. Travel may be by air or ground transportation.  A valid driver's license and acceptable driving history to meet insurance standards is required.
***We appreciate your interest in Accurus Aerospace; however, only those applicants selected for interviews will be contacted.***
*Accurus offers a comprehensive employee benefit package upon completion of 30 days of employment. For full details, please visit the benefits section of our website.*
*Accurus is an Equal Employment Opportunity (* 
 EEO) and Affirmative Action Plan (AAP) employer and participates in the E\-Verify Employment Verification Program.
 *Please see our website for more information on employment practices.*
*Please note that Accurus only accepts applications submitted through our online recruiting system. For information on disability accommodations for applicants, please visit our career page.*
*All job offers are contingent upon successfully completing a drug screen and criminal background screening. Certain positions may require a Motor Vehicle Report (MVR), a credit report, and/or a medical physical examination.*
***Thank you for considering Accurus for your next career opportunity.***</t>
        </is>
      </c>
    </row>
    <row r="100">
      <c r="A100" t="inlineStr">
        <is>
          <t>li-4380183935</t>
        </is>
      </c>
      <c r="B100" t="inlineStr">
        <is>
          <t>Technical Program Manager</t>
        </is>
      </c>
      <c r="C100" t="inlineStr">
        <is>
          <t>NTT DATA North America</t>
        </is>
      </c>
      <c r="D100" t="inlineStr">
        <is>
          <t>linkedin</t>
        </is>
      </c>
      <c r="E100">
        <f>HYPERLINK("https://www.linkedin.com/jobs/view/4380183935", "https://www.linkedin.com/jobs/view/4380183935")</f>
        <v/>
      </c>
      <c r="F100">
        <f>HYPERLINK("https://nttdata.eightfold.ai/careers/job/563327933087840?utm_source=linkedin&amp;urlHash=UO_e", "https://nttdata.eightfold.ai/careers/job/563327933087840?utm_source=linkedin&amp;urlHash=UO_e")</f>
        <v/>
      </c>
      <c r="G100" t="inlineStr">
        <is>
          <t>Charlotte, NC</t>
        </is>
      </c>
      <c r="H100" t="inlineStr"/>
      <c r="I100" t="inlineStr">
        <is>
          <t>**Financial Services Business Consulting \- Technical Program Manager \- currently residing in Charlotte or Atlanta**
 NTT DATA is searching for a professional with technology programing manager expertise and senior business consulting experience who
 **currently lives in Charlotte, NC, or Atlanta, GA,** 
 but has the desire and capability to travel to client offices to work with stakeholders in\-person.
 With your Technology Program Manager expertise, you will be responsible for driving positive outcomes for strategic technology objectives through thought leadership, organizational design, management, execution and delivery. You will be responsible for providing oversight and accountability for technology projects and programs of varying sizes, including transformational initiatives, with a focus on risk identification and remediation. You will influence and lead large\-scale change initiatives. You will also be responsible for program financials, resource management and allocation, portfolio health, and executive reporting.
 Due to your Senior Business Consultant capabilities, you understand client problems stated or implied, identify and recommend solutions to achieve business objectives. You also succinctly present solution proposals to existing and prospective clients.
**Essential Duties and Responsibilities:**
 The following is a summary of the essential functions for this job. Other duties may be performed, both major and minor, which are not mentioned below. Specific activities may change from time to time.
* Provide leadership to direct reports and oversee the strategy, planning and implementation of technology initiatives
* Partner closely with technology leaders, business leaders and subject matter experts to develop program execution strategies, plans and timelines
* Define, develop and implement an effective program operating model and governance framework to drive consistency of delivery across all workstreams
* Build relationships and collaborate with key stakeholders to ensure delivery of commitments
* Proactively monitor and address any risks or issues that could compromise on\-time delivery, escalating as needed to minimize impacts
* Facilitate and lead program meetings to solicit and provide status updates to key stakeholders, technology and business leadership
* Create, execute and monitor program level communication, quality and change management strategies
* Manage project deadlines, budgets, delivery and acceptance of program deliverables ensuring high quality
* Adhere to client project management and technology delivery lifecycle processes, standards and guidelines
* Document client problem statements and impacts to their business
* Define complex business/technology solutions to address client needs
* Create client presentations and proposals with clear storylines outlining recommendations and resolutions
**Required Skills:**
* Experience with both Agile and Waterfall delivery methodologies
* Proven track record of excellent project delivery, bringing the ability to quickly put structure in place to manage work in a dynamic complex environment
* Partnership skills which are essential for interacting and communicating with key stakeholders at all levels to manage, inform and influence outcomes
* Desire and ability to develop project and program deliverables with the ability to coach and develop high\-performing project teams
* Executive level verbal and written communication skills, ability to translate technical jargon into simplified and concise communications
* Executive presence with exceptional articulation
**Required Qualifications:**
* Bachelor’s Degree, or equivalent work experience
* 10\+ years of experience in technology delivery experience
* 5\+ years of technology or business consulting
* 10\+ years of Project Management experience in a technology environment
* 5\+ years of Program Management experience in a technology environment
* Initial ability to travel to client locations at least 50% of the time for project delivery work
**Preferred Qualifications:**
* Experience delivering project and programs in the Banking and Financial Services Industry
* Demonstrated understanding of business and technology organization, resources, priorities, and needs
* Experience implementing large and complex initiatives within a multi\-vendor, matrixed organization
* Strong skills in MS Office Suite (PowerPoint, Excel, Word, Visio, Project)
* Strong grasp of project management and technology development lifecycle</t>
        </is>
      </c>
    </row>
    <row r="101">
      <c r="A101" t="inlineStr">
        <is>
          <t>li-4379092988</t>
        </is>
      </c>
      <c r="B101" t="inlineStr">
        <is>
          <t>Program Manager II</t>
        </is>
      </c>
      <c r="C101" t="inlineStr">
        <is>
          <t>Truist</t>
        </is>
      </c>
      <c r="D101" t="inlineStr">
        <is>
          <t>linkedin</t>
        </is>
      </c>
      <c r="E101">
        <f>HYPERLINK("https://www.linkedin.com/jobs/view/4379092988", "https://www.linkedin.com/jobs/view/4379092988")</f>
        <v/>
      </c>
      <c r="F101">
        <f>HYPERLINK("https://careers.truist.com/us/en/job/TBJTBFUSR0111665EXTERNALENUS/Program-Manager-II?utm_source=linkedin&amp;utm_medium=phenom-feeds&amp;source=LinkedIn&amp;urlHash=mJ00", "https://careers.truist.com/us/en/job/TBJTBFUSR0111665EXTERNALENUS/Program-Manager-II?utm_source=linkedin&amp;utm_medium=phenom-feeds&amp;source=LinkedIn&amp;urlHash=mJ00")</f>
        <v/>
      </c>
      <c r="G101" t="inlineStr">
        <is>
          <t>Charlotte, NC</t>
        </is>
      </c>
      <c r="H101" t="inlineStr"/>
      <c r="I101"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*If you have a disability and need assistance with the application, you can request a reasonable accommodation. Send an email to* 
*Accessibility* 
*(accommodation requests only; other inquiries won't receive a response).*
**Regular or Temporary:**
 Regular
**Language Fluency:** 
 English (Required)
**Work Shift:**
 1st shift (United States of America)
**Please review the following job description:**
 Provides oversight and direct leadership on multiple concurrent projects/programs of varying size up to and including enterprise transformational initiatives within multiple portfolios and/or LOBs at any given time.
 Influences and leads large\-scale change initiatives. Key contributor in developing financial realization measures.
 Evaluates investment opportunities to meet strategic objectives and optimize the program or project portfolio.
**Essential Duties And Responsibilities**
 Following is a summary of the essential functions for this job. Other duties may be performed, both major and minor, which are not mentioned below. Specific activities may change from time to time.
* Plans and coordinates closely with LOB/function managers and subject matter experts. Ensures that business cases are developed for budgeting, planning, and tracking revenue and/or expense.
* Works closely with, and provides direction to technology leads to support program needs.
* Ensures that program activities are on a path to deliver benefits realization.
* Installs an appropriate risk management plan for the program and ensures adherence to company and unit requirements.
* Proactively challenge the performance of current systems and processes and identifies risks and develops solutions and/or processes and ensures necessary risk mitigation steps are built into the processes. Readily recognizes solution and determines at what point issues require escalation to management.
* Leads teams or multiple teams of internal and/or external resources on a project basis.
* Provides project\-related performance evaluations on project resources.
* Analyzes and collectively manages variances to the program plan and overall portfolio and makes recommendation and/or creates action plan to mitigate negative variances or to resolve issues.
* Prepares dashboard reporting to identify and communicate the health of the project portfolio for use by key executives.
**Qualifications**
******Required Qualifications:******
 The requirements listed below are representative of the knowledge, skill and/or ability required. Reasonable accommodations may be made to enable individuals with disabilities to perform the essential functions.
* Bachelor’s degree in a relevant field, or an equivalent combination of education and work experience
* Ten years progressive related experience in either a consulting, project management or process improvement related role
* Strong skills and experience in issue resolution, influencing team members and other stakeholders, conducting difficult negotiations and managing to stringent timelines for project deliverables
* Demonstrated superior understanding of business and technology organization, resources, priorities, needs and policies
* Demonstrated leadership in the implementation of complex programs and projects
* Ability to bring clarity to ambiguous assignments
* Demonstrated executive level verbal and written communication skills
* Superior working knowledge of business matters, finance, planning, and forecasting
* Strong skills in MS Office Suite (PowerPoint, Excel, Word, Visio, Project)
******Preferred Qualifications:******
* Advanced degree in a relevant field of work (e.g., MBA). PMP and/or PgMP
* Certification in Lean Six Sigma or similar process improvement, facilitation, and project management methodologies
* Experience implementing large/complex initiatives across a matrix organization
* In\-depth knowledge of management and planning systems theory and practical application to complex initiatives
* Experience with financial measurements and metrics
* Financial Services experience
* Knowledge of business unit’s mission and processes
* Experience implementing large/complex initiatives across a matrix organization.
**Other Job Requirements / Working Conditions**
**Sitting**
 Constantly (More than 50% of the time)
**Standing**
 Occasionally (Less than 25% of the time)
**Walking**
 Occasionally (Less than 25% of the time)
**Visual / Audio / Speaking**
 Able to access and interpret client information received from the computer and able to hear and speak with individuals in person and on the phone.
**Manual Dexterity / Keyboarding**
 Able to work standard office equipment, including PC keyboard and mouse, copy/fax machines, and printers.
**Availability**
 Able to work all hours scheduled, including overtime as directed by manager/supervisor and required by business need.
**Travel**
 Up to 25%
 The annual base salary for this position is $140,000 \- $180,000\.
**General Description of Available Benefits for Eligible Employees of Truist Financial Corporation:** 
 All regular teammates (not temporary or contingent workers) working 20 hours or more per week are eligible for benefits, though eligibility for specific benefits may be determined by the division of Truist offering the position. Truist offers medical, dental, vision, life insurance, disability, accidental death and dismemberment, tax\-preferred savings accounts, and a 401k plan to teammates. Teammates also receive no less than 10 days of vacation (prorated based on date of hire and by full\-time or part\-time status) during their first year of employment, along with 10 sick days (also prorated), and paid holidays. For more details on Truist’s generous benefit plans, please visit our Benefits site. Depending on the position and division, this job may also be eligible for Truist’s defined benefit pension plan, restricted stock units, and/or a deferred compensation plan. As you advance through the hiring process, you will also learn more about the specific benefits available for any non\-temporary position for which you apply, based on full\-time or part\-time status, position, and division of work.
***Truist is an Equal Opportunity Employer that does not discriminate on the basis of race, gender, color, religion, citizenship or national origin, age, sexual orientation, gender identity, disability, veteran status, or other classification protected by law. Truist is a Drug Free Workplace.***
 EEO is the Law E\-Verify IER Right to Work</t>
        </is>
      </c>
    </row>
    <row r="102">
      <c r="A102" t="inlineStr">
        <is>
          <t>li-4378190738</t>
        </is>
      </c>
      <c r="B102" t="inlineStr">
        <is>
          <t>Program Manager Facility Design, Data Centers - Remote (U.S.)</t>
        </is>
      </c>
      <c r="C102" t="inlineStr">
        <is>
          <t>AECOM</t>
        </is>
      </c>
      <c r="D102" t="inlineStr">
        <is>
          <t>linkedin</t>
        </is>
      </c>
      <c r="E102">
        <f>HYPERLINK("https://www.linkedin.com/jobs/view/4378190738", "https://www.linkedin.com/jobs/view/4378190738")</f>
        <v/>
      </c>
      <c r="F102" t="inlineStr"/>
      <c r="G102" t="inlineStr">
        <is>
          <t>Los Angeles, CA</t>
        </is>
      </c>
      <c r="H102" t="inlineStr"/>
      <c r="I102" t="inlineStr">
        <is>
          <t>**Work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**AECOM** 
 is seeking an
 **Program Manager** 
 specializing in
 **Hyper\-scale Data Centers.** 
 This position is a remote opportunity and can be based out of any of AECOM's U.S. offices.
*This position offers the flexibility of a remote work schedule and can be based from a variety of locations in the US were AECOM has an office.*
***Although the position is primarily remote periodic travel may be required for client meetings, key project milestones, onsite collaboration sessions, or other business‑critical activities. Travel is expected to be occasional and scheduled in advance.***
**AECOM** 
 is a leader in the global data center consulting industry with robust teams in the Americas, Europe, Africa, Asia, and Australia. In this role, you will have the opportunity to work with our teams around the world on high\-profile, fast\-paced data center projects for global clients. This is a hands\-on, client\-facing role with an opportunity for upward career mobility.
**About the Role:**
 We are seeking an experienced Program Manager to play a critical leadership role within the AECOM US Data Center Practice. Candidate will be responsible for driving business performance, leading major proposal efforts, managing strategic client programs, and ensuring successful execution of high\-value design projects.
 This role operates at the intersection of business development, client management, and project delivery, ensuring that client pursuits are competitive, programs are executed efficiently, and financial and operational objectives are achieved.
 The Program Manager will partner closely with executive leadership, design directors, client account managers, and discipline leaders to support revenue growth, client satisfaction, and operational excellence across hyperscale and colocation data center programs.
 This position is ideal for a highly organized, business\-minded leader with deep experience in managing complex A/E/C programs and supporting major proposal pursuits.
**Key Responsibilities:**
* Provide program\-level leadership across multiple concurrent data center design projects
* Monitor program performance including schedule, budget, staffing, and risk
* Identify and resolve program\-level constraints impacting delivery
* Ensure consistency of execution across multiple projects and clients
* Support Design Managers and Project Managers in maintaining successful delivery
* Support business development and proposal writing for new pursuits.
* Lead preparation of major technical and commercial proposals, including:
+ Go / No\-Go coordination
+ Proposal schedules and deliverable management
+ Fee strategy coordination
+ Staffing plans and resource alignment
+ Executive review coordination
+ Interview preparation and coaching
+ Coordinate closely with Client Account Managers, and Technical Leaders
+ Improve proposal processes, templates, and win strategies
+ Support capture planning for strategic pursuits
+ Serve as a key point of contact for strategic clients
* Participate in client meetings, presentations, and program reviews
* Support Client Account Managers in maintaining strong client relationships
* Help identify new opportunities within existing client programs
* Assist in managing client expectations and overall client experience
* 
* Travel as needed for project\-related activities such as client meetings and site visits.
**Qualifications**
**Required Qualifications:**
* Bachelor’s degree in Architecture, Engineering, Construction Management, or related field plus eight (8\) years of relevant experience, or demonstrated equivalency of experience and/or education.
* Minimum 5\+ years managing complex programs or major projects
* Experience supporting or leading proposal efforts
* Strong understanding of A/E/C project delivery process
* Excellent communication and leadership skills
* Strong business and financial acumen
* Ability to manage multiple concurrent priorities
**Preferred Qualifications:**
* 10 plus years of relevant experience.
* Direct experience supporting data center projects
* Experience working with hyperscale or colocation clients
* Experience managing large multi\-disciplinary design teams
* Experience with Design\-Bid\-Build and Design\-Build delivery models
* PMP certification preferred
* Professional licensure (Architect, Engineer) is a plus but not required
* US Citizenship
**Additional Information**
* Relocation is not available for this role.
* Sponsorship is not available for this role.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As an Equal Opportunity Employer, we believe in your potential and are here to help you achieve it. All your information will be kept confidential according to EEO guidelines.</t>
        </is>
      </c>
    </row>
    <row r="103">
      <c r="A103" t="inlineStr">
        <is>
          <t>li-4379136071</t>
        </is>
      </c>
      <c r="B103" t="inlineStr">
        <is>
          <t>Program Manager V</t>
        </is>
      </c>
      <c r="C103" t="inlineStr">
        <is>
          <t>Jobs via Dice</t>
        </is>
      </c>
      <c r="D103" t="inlineStr">
        <is>
          <t>linkedin</t>
        </is>
      </c>
      <c r="E103">
        <f>HYPERLINK("https://www.linkedin.com/jobs/view/4379136071", "https://www.linkedin.com/jobs/view/4379136071")</f>
        <v/>
      </c>
      <c r="F103" t="inlineStr"/>
      <c r="G103" t="inlineStr"/>
      <c r="H103" t="inlineStr"/>
      <c r="I103" t="inlineStr">
        <is>
          <t>Dice is the leading career destination for tech experts at every stage of their careers. Our client, New Era Technology, is seeking the following. Apply via Dice today!
 A Marketing Program Manager is sought with 10 \+ years of experience in campaign operations, partner management, and cross\-functional coordination within marketing technology or data\-driven marketing environments.
 Campaign Operations \&amp; Project Management
 Proven ability to collect requirements, lead pre\-launch meetings,track progress, and escalate risks/issues.
 Experience managing multiple stakeholders and timelines.
 Partner Management \&amp; Negotiation
 Data\-Driven Marketing \&amp; Technical Collaboration
 Experience working with data science and engineering teams to investigate targeting models, backtesting, and audience delivery.
 Comfortable extracting, compiling, and reporting data for leadership and cross\-team requests.
 Familiarity with clean room programs, LiveRamp, and other marketing technology platforms.
 Experience facilitating approvals and keeping contracts/legal teams updated on priorities and vendor timelines.
 Ability to develop and maintain audience mapping documentation and educate cross\-functional partners on responsible data usage.</t>
        </is>
      </c>
    </row>
    <row r="104">
      <c r="A104" t="inlineStr">
        <is>
          <t>li-4370928091</t>
        </is>
      </c>
      <c r="B104" t="inlineStr">
        <is>
          <t>Senior Program Manager, Advertising Finance &amp; Business Integration</t>
        </is>
      </c>
      <c r="C104" t="inlineStr">
        <is>
          <t>Amazon</t>
        </is>
      </c>
      <c r="D104" t="inlineStr">
        <is>
          <t>linkedin</t>
        </is>
      </c>
      <c r="E104">
        <f>HYPERLINK("https://www.linkedin.com/jobs/view/4370928091", "https://www.linkedin.com/jobs/view/4370928091")</f>
        <v/>
      </c>
      <c r="F104" t="inlineStr"/>
      <c r="G104" t="inlineStr">
        <is>
          <t>Arlington, VA</t>
        </is>
      </c>
      <c r="H104" t="inlineStr"/>
      <c r="I104" t="inlineStr">
        <is>
          <t>**Description**
 Amazon has an immediate opening for a Senior Program Manager to join our Finance and Business Integration team.
 This position supports and can directly influence the launches of some of Amazon’s newest global business initiatives in the consumer products, digital initiatives, merchant, operations, logistics, payments, and cloud computing lines of business. This leader will work closely with the global financial systems team, accounting operations teams, tax, treasury, and others and represent the accounting organization to various stakeholders. In this role, the candidate will be part of a team that collaborates with business finance and technical teams to deliver world class solutions that are highly scalable, secure, and flexible. This person will have operated successfully in a fast\-paced, global, results\-oriented environment. Strong oral and written communication skills are crucial, as well as ability to think clearly, analyze quantitatively, problem\-solve, scope business requirements and prioritize.
 Key job responsibilities
 Own and Manage: You’ll own and manage lifecycle activities from beginning to end (planning, requirements gathering, technology team partnerships, UAT planning and performance, project closing, and stakeholder engagement) for multiple projects simultaneously.
 Automate: You’ll work on automation projects and lead the coordination of designing processes and tools to make financial statement processes easier and more accurate.
 Support Expansion: You’ll support the expansion of Amazon business by ensuring implementation of controlled processes to keep Amazon’s financial statements materially correct.
 Consult: You’ll operate as a valued consultant to partner with many different stakeholder teams across Amazon.
 Make Decisions: You’ll be an empowered, impactful decision maker who drives the direction of a project to completion.
 Collaborate: You’ll collaborate with Amazonians of diverse backgrounds.
 Successful candidates will have deep experience in the following three disciplines – Accounting, Program Management and Finance Systems. Candidate experience should cover financial processes, project management, accounting requirements documentation, process design, and user acceptance testing responsibilities. Demonstrated experience in leading teams to accomplish unusually complex challenges is expected as this is an ongoing requirement for this position.
**About The Team**
 We are the Advertising Finance and Business Integration (FBI) team within Amazon Accounting. As an FBI team, we create and own programs that support the accounting workstreams related to foundational solutions for Amazon's Digital, and Devices \&amp; Services businesses. Our scope includes products and services for Digital and Devices \&amp; Services businesses, financial automation tools, launch acceleration, and compliance.
 We are open to hiring candidates to work out of one of the following locations:
 Arlington, VA, USA \| Austin, TX, USA \| Boston, MA, USA \| Portland, OR, USA \| Seattle, WA, USA
**Basic Qualifications**
* 5\+ years of finance or a related analytical field experience
* Bachelor's degree in accounting or related field
**Preferred Qualifications**
* CPA
* Knowledge of internal control framework (specifically COSO) to assess control design and operational efficiency
* Knowledge of GAAP research tools and the FASB codification
* Experience in accounting management in Big Four with Fortune 500 clients
* Experience researching and documenting support for accounting conclusions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Culver City \- 95,400\.00 \- 163,200\.00 USD annually
 USA, MA, Boston \- 95,400\.00 \- 163,200\.00 USD annually
 USA, OR, Portland \- 95,400\.00 \- 163,200\.00 USD annually
 USA, TN, Nashville \- 85,900\.00 \- 146,900\.00 USD annually
 USA, TX, Austin \- 95,400\.00 \- 163,200\.00 USD annually
 USA, VA, Arlington \- 95,400\.00 \- 163,200\.00 USD annually
 USA, WA, Seattle \- 95,400\.00 \- 163,200\.00 USD annually
**Company** 
 \- Amazon.com Services LLC
 Job ID: A3176905</t>
        </is>
      </c>
    </row>
    <row r="105">
      <c r="A105" t="inlineStr">
        <is>
          <t>li-4033421324</t>
        </is>
      </c>
      <c r="B105" t="inlineStr">
        <is>
          <t>Senior Staff Technical Program Manager (R3880)</t>
        </is>
      </c>
      <c r="C105" t="inlineStr">
        <is>
          <t>Shield AI</t>
        </is>
      </c>
      <c r="D105" t="inlineStr">
        <is>
          <t>linkedin</t>
        </is>
      </c>
      <c r="E105">
        <f>HYPERLINK("https://www.linkedin.com/jobs/view/4033421324", "https://www.linkedin.com/jobs/view/4033421324")</f>
        <v/>
      </c>
      <c r="F105">
        <f>HYPERLINK("https://jobs.lever.co/shieldai/8a05f39f-0106-41ec-afa0-8a793f0e4e9c/apply?lever-source=LinkedIn&amp;urlHash=XIKo", "https://jobs.lever.co/shieldai/8a05f39f-0106-41ec-afa0-8a793f0e4e9c/apply?lever-source=LinkedIn&amp;urlHash=XIKo")</f>
        <v/>
      </c>
      <c r="G105" t="inlineStr">
        <is>
          <t>Washington, DC</t>
        </is>
      </c>
      <c r="H105" t="inlineStr"/>
      <c r="I105" t="inlineStr">
        <is>
          <t>Founded in 2015, Shield AI is a venture\-backed deep\-tech company with the mission of protecting service members and civilians with intelligent systems. Its products include the V\-BAT and X\-BAT aircraft, Hivemind Enterprise, and the Hivemind Vision product lines. With offices and facilities across the U.S., Europe, the Middle East, and the Asia\-Pacific, Shield AI’s technology actively supports operations worldwide. For more information, visit www.shield.ai . Follow Shield AI on LinkedIn , X , Instagram , and YouTube .
 We are looking for an exceptional Technical Program Manager to manage our next\-generation autonomous aircraft development programs. You will be responsible for planning and managing the schedule, cost, development, and delivery of strategic products to customers. This role requires a versatile individual who can understand the aviation autonomy market and empathize with users, plan and manage a complex software development program, and make difficult and informed decisions regarding integrated hardware, software, and systems engineering efforts.
 The ideal candidate will maintain ownership over the product lifecycle, proactively engage and align stakeholders, demonstrate exceptional levels of communication, and ensure on\-time and on\-target delivery of product to customers.
**WHAT YOU'LL DO:**
* Coordinate engineering execution and operations hand\-offs to crush schedule, cost, performance objectives.
* Establish clear objectives: Work closely with product managers, and technical leads to establish clear objectives traceable to mission impact, strategic impact, financial outcomes, and program objectives.
* Project Management: Define project plans including milestones, timelines, and interdependencies. Estimate, allocate, and track resources. Establish efficient and effective battle rhythm for communication, coordination, decision making, quality control, and work\-product delivery
* Drive Timely, High Quality, Critical Decisions: While TPMs aren't expected to design systems, they shall possess a strong technical understanding to drive the process of swift, rigorous, good technical decision making.
* Communicate with excellence: Ensure stakeholders with dependencies are aware of status, milestones, and any challenges. Ensure suppliers understand stakes, intent, and expectations.
* Empower the team: Obsess over whether your teams are empowered with a) the time, information, and tools to be effective b) clear and appropriate accountability, authority, and resourcing c) effective, efficient, swift processes and policies. Destroy obstacles to progress – anything that diminishes the capabilities of the team.
* Deliver outcomes: Oversee and material contribute to the curation and creation of technical documentation to ensure engineering outputs are properly delivered to “customer” organizations. RTM packages, Work Instructions, Engineering Change Orders, Service Bulletins, Flight Crew Information Files, Flight Manuals and Service Manuals.
**REQUIRED QUALIFICATIONS:**
* Bachelor’s or Master's Degree in Engineering, Computer Science, or a related field.
* 10\+ years of experience in technical program management or managing product development lifecycles
* Proven track record of leading and facilitating cross\-functional teams to successfully bringing products to market.
* Self\-starter with a proven track record of forging clarity and structure in the face of ambiguous or dynamic constraints.
* World\-class analytical and problem\-solving skills, with the ability to quickly synthesize disparate viewpoints to deliver well\-informed, data\-backed decisions.
* Relentless learner who can develop specialized knowledge in niche domains.
* Excellent written and verbal communication skills.
**PREFERRED QUALIFICATIONS:**
* Experiencing owning and driving technical projects that balance engineering development realities against the speed of business growth.
* Experience translating technical information and customer needs into comprehensible product narratives.
* Experience conducting product, technology, and market discovery with subject matter experts.
* Eligible to obtain and maintain a U.S. Secret clearance.
* Defense, national security, or aerospace domain familiarity through employment or education.
 $174,400 \- $261,600 a year
 Full\-time regular employee offer package:
 Pay within range listed \+ Bonus \+ Benefits \+ Equity
 Temporary employee offer package:
 Pay within range listed above \+ temporary benefits package (applicable after 60 days of employment)
 Salary compensation is influenced by a wide array of factors including but not limited to skill set, level of experience, licenses and certifications, and specific work location. All offers are contingent on a cleared background and possible reference check. Military fellows and part\-time employees are not eligible for benefits. Please speak to your talent acquisition representative for more information.
 \#\#\#
 Shield AI is proud to be an equal opportunity workplace and is an affirmative action employer. We are committed to equal employment opportunity regardless of race, color, ancestry, religion, sex, national origin, sexual orientation, age, marital status, disability, gender identity or Veteran status. If you have a disability or special need that requires accommodation, please let us know.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106">
      <c r="A106" t="inlineStr">
        <is>
          <t>li-4380337858</t>
        </is>
      </c>
      <c r="B106" t="inlineStr">
        <is>
          <t>Program Manager</t>
        </is>
      </c>
      <c r="C106" t="inlineStr">
        <is>
          <t>Trideum Corporation</t>
        </is>
      </c>
      <c r="D106" t="inlineStr">
        <is>
          <t>linkedin</t>
        </is>
      </c>
      <c r="E106">
        <f>HYPERLINK("https://www.linkedin.com/jobs/view/4380337858", "https://www.linkedin.com/jobs/view/4380337858")</f>
        <v/>
      </c>
      <c r="F106" t="inlineStr"/>
      <c r="G106" t="inlineStr">
        <is>
          <t>White Sands, NM</t>
        </is>
      </c>
      <c r="H106" t="inlineStr"/>
      <c r="I106" t="inlineStr">
        <is>
          <t>Full\-time
**White Sands Missile Range, NM**
**About Us**
 Trideum Corporation is a 100% employee\-owned company, committed to embracing the world’s toughest challenges with a servant’s heart. Through dedicated hard work and commitment, we provide distinctive quality and unparalleled customer service in all aspects of our business. We also know that our employees are the key to our success, and it is our mission to take care of them so they can take care of our customers and communities where we live, work, and play.
**Position Summary**
 We are seeking candidates who are passionate about leading a dynamic team supporting test and evaluation activities.
 The selected candidate will work in an office environment at the customer site on White Sands Missile Range. The person in this role will be responsible for leading and setting the tone for the testing and evaluation support activities of defense systems to include system analysis, data collection, and technical maintenance.
 This is an exciting opportunity for a successful applicant to be integrally involved in the continued development and refinement of systems to be utilized in the multi\-domain operational environment. This role requires dedication and precise decision\-making skills to develop support plans to meet the customers’ needs. In this role, the candidate must be able to conceptualize adaptable and flexible solutions to meet customer needs in a dynamic environment.
**What You’ll Do**
**Responsibilities include, but are not limited to:**
* Understand the customer, their mission, and their current capabilities.
* Provide overall contract planning, coordination, control, and direction in relation to contract execution.
* Provide oversight in various engineering, analysis, and general support activities as related to customer requirements.
* Establish and maintain direct touchpoints/meetings with government leads (supported customer, KO/COR, et al).
* Develop and deliver contract deliverables and responses to the government such as monthly status reports.
* Track and manage contract financials to ensure budgetary compliance.
* Oversee administrative functions as required to include security, property control, purchasing, financial accounting, human resources, safety, environmental compliance, and clerical support.
* Ensure all rules, regulations, and directives issued are adhered to by all employees.
**Requirements And Qualifications**
* Possess a Bachelor’s Degree in Engineering and/or Business from an accredited college or university
* 5 years of demonstrated engineering and management experience on government contracts or projects with organizational responsibilities of a similarly complex nature and financial scope.
* Possess experience working on and demonstrated leadership responsibilities on at least two large projects or programs utilizing mechanical, computer, electrical and electronics engineering disciplines
* Experience reviewing and approving the work of project managers, engineers, support staff and contract administrative personnel
* One (1\) year of experience demonstrating knowledge of the acquisition process specifically related to the test career field
* U.S. Citizenship and an active top\-secret level clearance
* Experience with Army Test and Evaluation
**We Take Care of Our People**
 Whether You’re Looking To Launch a New Career Or Grow An Existing One, Trideum Is The Type Of Company Where You Can Balance Great Work With Great Life Because We Believe That Taking Care Of Our People Is The Right Thing To Do. Trideum Offers
* Competitive pay based on the work you do here and not your previous salary.
* Traditional benefits such as medical, dental, vision, life, disability, and 401k matching.
* Employee Stock Ownership Plan (ESOP).
* Paid leave.
* Free access to certified financial planners, wellness and support services, and discount programs.
* Professional development opportunities.
* And much more.
**Ready to Apply?**
 Start Your Application now!
**Equal Opportunity Employer**
 All qualified applicants will receive consideration for employment without regard to race, color, religion, sex, national origin, age, disability, veteran status, genetic information, sexual orientation, gender identity, or any other characteristic protected by law. People with disabilities who need a reasonable accommodation to apply or compete for employment with Trideum may request such accommodation(s) by contacting Human Resources at 256\.704\.6123 or HR@trideum.com.</t>
        </is>
      </c>
    </row>
    <row r="107">
      <c r="A107" t="inlineStr">
        <is>
          <t>li-4370421729</t>
        </is>
      </c>
      <c r="B107" t="inlineStr">
        <is>
          <t>Principal Technical Program Manager, Software &amp; Hardware</t>
        </is>
      </c>
      <c r="C107" t="inlineStr">
        <is>
          <t>LVT (LiveView Technologies)</t>
        </is>
      </c>
      <c r="D107" t="inlineStr">
        <is>
          <t>linkedin</t>
        </is>
      </c>
      <c r="E107">
        <f>HYPERLINK("https://www.linkedin.com/jobs/view/4370421729", "https://www.linkedin.com/jobs/view/4370421729")</f>
        <v/>
      </c>
      <c r="F107" t="inlineStr"/>
      <c r="G107" t="inlineStr"/>
      <c r="H107" t="inlineStr"/>
      <c r="I107" t="inlineStr">
        <is>
          <t>**About Lvt**
 LVT is redefining how businesses operate in the physical world, moving beyond traditional security solutions to deliver AI\-driven, actionable intelligence that makes sites smarter, safer, and more secure. Since pioneering our first mobile, solar\-powered units, our commitment to scrappy, hands\-on innovation has made us an established leader and one of the fastest\-growing companies in intelligent site technology. We are building the next generation of solutions—from our physical units in the field to a powerful Agentic AI platform—that allows our customers to gain unprecedented visibility and control over safety, compliance, and operations. This is your chance to join a cutting\-edge team that isn't just watching the world change, but actively building the technology that is changing it.
**About This Role**
 As Principal Technical Program Manager, you will be the connective tissue of our most critical initiatives. You will sit at the center of our highest\-visibility programs, helping software development, hardware engineering, and external partners work together as a single, coherent team. Your goal is to ensure hardware constraints inform software plans and that our leadership always has a clear, data\-driven view of how we are progressing. If successful, you will define the "operating system" for how complex programs run at LVT and help us grow a broader TPM team.
**Role Responsibilities**
* Bridge Product, Software \&amp; Hardware: Translate high\-level strategy into execution by aligning engineering plans across cloud services, firmware, and software.
* Sync Delivery Cycles: Help synchronize software sprints with hardware realities, ensuring that our release plans reflect real\-world lead times and physical constraints.
* Streamline Integrations: Reduce friction between firmware and backend services to ensure a smooth journey from hardware concept to customer\-facing features.
* Lead System\-Wide Programs: Guide programs through the entire lifecycle—from prototyping and validation to production readiness.
* Partner with Vendors: Coordinate with external manufacturers and technology partners to ensure their deliverables are tightly integrated with our internal goals.
* Enable Informed Decisions: Establish helpful, metrics\-driven reporting that gives the team and our executives clear insight into progress, risks, and tradeoffs.
****OUR IDEAL CANDIDATE****
* Collaborative Leadership: You are a senior leader who enjoys bringing order to complex environments without creating unnecessary bureaucracy.
* Technical Versatility: You have a working fluency in both modern software development (cloud\-native, APIs) and hardware cycles (validation, manufacturing, and supply chain).
* Communication Skills: You are known for your ability to turn ambiguous situations into clear narratives and crisp decision points for stakeholders at all levels.
* A Growth Mindset: You are motivated by building the systems and operating models that will help a company scale.
* Experience: You likely have 10\+ years of experience in Technical Program Management leveraging Atlassian toolset or similar project management toolset like Smartsheet etc.
* People leadership, team building experience are a plus
* Prior experience with IoT or hardware\-enabled SaaS is a plus
****Logistics \&amp; Travel****
* Utah HQ or Remote: This is role will be based in our Utah Headquarters or Remote (US\-based), and you should be comfortable collaborating with team members across various time zones.
* Travel: Because our work involves physical hardware, occasional travel (approximately 10\-25%) will be needed to visit our facilities or partners to build relationships and see the product in person.
 This is a foundational hire. You aren't just joining a project; you are defining how LVT executes its most important work. We value diverse backgrounds and perspectives, and we encourage you to apply even if you don't feel you meet every single qualification listed. If you are excited by the idea of building a function from the ground up, we want to hear from you.
**Benefits**
 We believe you do your best work when your whole life is supported. We invest in our crew’s health, families, and financial futures with a benefits package designed to support you inside and outside the office.
***LVT IS PROUD TO BE AN EQUAL OPPORTUNITY EMPLOYER.***
*All applicants will be considered for employment without attention to race, color, religion, sex, sexual orientation, gender identity, national origin, veteran or disability status. All candidates must pass a drug screening and background check upon employment. Some roles may also require passing a federal background check and fingerprinting. Must be authorized to work in the U.S. If reasonable accommodation is needed to participate in the job application or interview process, and/or to perform essential job functions, please reach out to your recruiter.*</t>
        </is>
      </c>
    </row>
    <row r="108">
      <c r="A108" t="inlineStr">
        <is>
          <t>li-4324439265</t>
        </is>
      </c>
      <c r="B108" t="inlineStr">
        <is>
          <t>Document Control Systems Program Manager</t>
        </is>
      </c>
      <c r="C108" t="inlineStr">
        <is>
          <t>TransMedics, Inc.</t>
        </is>
      </c>
      <c r="D108" t="inlineStr">
        <is>
          <t>linkedin</t>
        </is>
      </c>
      <c r="E108">
        <f>HYPERLINK("https://www.linkedin.com/jobs/view/4324439265", "https://www.linkedin.com/jobs/view/4324439265")</f>
        <v/>
      </c>
      <c r="F108">
        <f>HYPERLINK("https://transmedics.wd1.myworkdayjobs.com/TransMedics_Careers/job/Andover-MA/Document-Control-Training-Specialist_R-100920?source=LinkedIn&amp;urlHash=DoOi", "https://transmedics.wd1.myworkdayjobs.com/TransMedics_Careers/job/Andover-MA/Document-Control-Training-Specialist_R-100920?source=LinkedIn&amp;urlHash=DoOi")</f>
        <v/>
      </c>
      <c r="G108" t="inlineStr">
        <is>
          <t>Andover, MA</t>
        </is>
      </c>
      <c r="H108" t="inlineStr"/>
      <c r="I108" t="inlineStr">
        <is>
          <t>**Job Description**
 POSITION SUMMARY
 The Document Control Systems Program Manager is responsible for the leadership, implementation, maintenance, governance, and continuous improvement of enterprise document control systems. This role ensures that documents, records, and data are managed in compliance with internal policies, industry standards, and regulatory requirements while supporting business efficiency, system adoption, and data integrity across the organization.
 The Program Manager acts as the primary owner of document control platforms (e.g., EDMS, PLM, eQMS), overseeing system configuration, integrations, user adoption, training, audits, and cross\-functional coordination.
**Responsibilities**
 This position is responsible for, but not limited to, the following:
* Primary responsibility being the system owner for document control platforms across all systems
* Support document control system validation activities and periodic maintenance including system upgrades/process harmonization efforts.
* Lead system implementations, upgrades, migrations, and decommissioning efforts.
* Execute and maintain defined governance and standards.
* Ensure accurate document metadata, revision/version control, and access permissions
* Ensure compliance with all applicable regulations and standards.
* Creating and maintaining document templates and numbering systems
* Partner and collaborate cross\-functionally
* Responsible for execution of Document Change Orders in support of manufacturing, engineering and other departments, as necessary in accordance with policies and procedures.
* Support training assignments and activities.
* Provide end user support and training on document control and training process.
* Maintain Training Files for the company.
* Help to establish KPIs and metrics within systems
* Audit readiness.
* Perform other TransMedics tasks and duties as assigned/required.
**Management Responsibilities**
* No management responsibilities
 PHYSICAL ATTRIBUTES
* Lifting up to 25lbs
**Minimum Qualifications**
* Bachelor's degree or equivalent combination of education and experience.
* 3\+ years in a management role
* Minimum of 5 years’ experience in Documentation Control / Quality / Life Sciences or related field
**Preferred Qualifications**
* Medical Device experience preferred.
* Experience with eQMS/PLM platforms and system validation principles
* Familiarity with regulatory and quality standards
* Excellent program management, communication and stakeholder management skills
* Experience with digital transformation
* Strong attention to detail and document accuracy
* Excellent organizational and communication skills
* Proficient in Microsoft Office
* Audit experience
* A working knowledge and/or experience in the following areas:
+ Label software experience preferred
+ Experience working with an MRP interfacing system
* Experience working in a fast\-paced environment as part of a cross\-functional team
* Demonstrated track record working with limited direction to produce high quality work
* Proven ability to provide logical, in\-depth analysis of a problem or situation
 As part of our long\-term growth plans, TransMedics is excited to announce our plan to relocate our headquarters (HQ) to Somerville, MA by 2028\. We chose this location because we believe it is a place where innovation will thrive. Our new state\-of\-the\-art headquarters is designed to support collaboration, creativity, and discovery. We believe this will be a place where we can continue to do things few thought possible in organ transplantation to help patients.
 *Specific timing and role impact may vary.*
***Every Organ Wasted is a Life Not Saved.***
 TransMedics, Inc. is a commercial\-stage medical technology company transforming organ transplant therapy for patients worldwide. Our mission is to help save more patients’ lives by increasing access to viable donor organs for those who are awaiting an organ transplant. To accomplish this mission, we partner closely with transplant stakeholders worldwide and help expand their access to healthy donor organs, while delivering the highest quality technology, service, clinical care and outcomes.
 Driven by a passion for improving patient care, we make the impossible possible and keep our employees at the center of everything we do. Together, we strive to enhance the quality of life for transplant recipients and their families, fostering hope and healing in the journey toward better health.
**Maximize your potential at TransMedics, Inc.**
 www.TransMedics.com
 TransMedics is committed to equitable and transparent compensation. The expected base salary range for this role is $147,200\.00 \- $183,600\.00 which represents the company’s current good\-faith estimate of compensation for this position. Actual salary will depend on factors such as, but not limited to, candidate experience, qualifications, skills, and the specific work location. This role may also be eligible for bonuses, equity, and a comprehensive benefits package (medical, dental, vision, retirement savings, paid time off, and wellness resources). We comply with all U.S. pay transparency laws and do not request or consider salary history.
**Employee Benefit**
 Medical with Health Reimbursement Account through Blue Cross/Blue Shield of MA
 Dental
 Vision
 Healthcare Flexible Spending Account
 Dependent Care Flexible Spending Account
 Short Term Disability
 Long Term Disability
 401K Plan
 Pet insurance
 Employee Stock Purchase Plan
 TransMedics is an equal opportunity employer and does not discriminate on the basis of race, color, religion, sex, national origin, marital status, age, disability or protected veteran status, or any other characteristic protected by law. We are committed to creating an inclusive environment for all employees.</t>
        </is>
      </c>
    </row>
    <row r="109">
      <c r="A109" t="inlineStr">
        <is>
          <t>li-4370443299</t>
        </is>
      </c>
      <c r="B109" t="inlineStr">
        <is>
          <t>Group Marketing Operations and Program Manager, Devices and Services</t>
        </is>
      </c>
      <c r="C109" t="inlineStr">
        <is>
          <t>Google</t>
        </is>
      </c>
      <c r="D109" t="inlineStr">
        <is>
          <t>linkedin</t>
        </is>
      </c>
      <c r="E109">
        <f>HYPERLINK("https://www.linkedin.com/jobs/view/4370443299", "https://www.linkedin.com/jobs/view/4370443299")</f>
        <v/>
      </c>
      <c r="F109" t="inlineStr"/>
      <c r="G109" t="inlineStr">
        <is>
          <t>Mountain View, CA</t>
        </is>
      </c>
      <c r="H109" t="inlineStr"/>
      <c r="I109" t="inlineStr">
        <is>
          <t>This role may also be located in our Playa Vista, CA campus.
 Applicants in the County of Los Angeles: Qualified applications with arrest or conviction records will be considered for employment in accordance with the Los Angeles County Fair Chance Ordinance for Employers and the California Fair Chance Act.
 Applicants in San Francisco: Qualified applications with arrest or conviction records will be considered for employment in accordance with the San Francisco Fair Chance Ordinance for Employers and the California Fair Chance Act.
 Note: By applying to this position you will have an opportunity to share your preferred working location from the following:
 **San Francisco, CA, USA; Los Angeles, CA, USA; New York, NY, USA; Mountain View, CA, USA** 
 .
 **Minimum qualifications:**
* Bachelor's degree or equivalent practical experience.
* 15 years of experience leading the production of projects from creative brief through launch.
* Experience in a program management role.
**Preferred qualifications:**
* Experience with evaluating, implementing, and integrating new technologies (e.g., Content Management System (CMS), Artificial Intelligence (AI) tools, project management software) into marketing workflows.
* Ability to translate data into operational insights, and collaborate with executive stakeholders and leadership.
* Excellent communication, negotiation, problem\-solving and people management skills, with a detail\-oriented approach to execution.
**About the job** 
 Our marketing campaign projects, like our users, span the globe and require managers to keep the big picture in focus. As part of the Global Marketing team, you plan requirements with internal customers and/or external agencies and usher projects through the entire project lifecycle. Your projects often span offices, time zones and hemispheres, and it's your job to keep all the players coordinated on the project's progress and deadlines.
 In this role, you will lead the end\-to\-end process for creating and publishing marketing assets, including new product introduction pages, email campaigns, and direct response ads. You will guide, mentor, and develop a team of in\-house producers while managing a roster of external agencies and vendors. You will build collaborative relationships and align a web of executive stakeholders, from Creative, Product Marketing, and Engineering to Legal, regional partners, and leadership. You will manage the integration of new tools, including advanced Content Management Systems and AI, to automate workflows and enhance our creative output. You will also have full ownership of the performance and site marketing team’s annual planning process and its budget, managing everything from project level tracking to purchase orders to vendor negotiations.Know the user. Know the magic. Connect the two. At its core, marketing at Google starts with technology and ends with the user, bringing both together in unconventional ways. Our job is to demonstrate how Google's products solve the world's problems\-\-from the everyday to the epic, from the mundane to the monumental. And we approach marketing in a way that only Google can\-\-changing the game, redefining the medium, making the user the priority, and ultimately, letting the technology speak for itself.
 The US base salary range for this full\-time position is $221,000\-$311,000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Design, implement, and continuously optimize production processes and workflows to maximize efficiency, reduce turnaround times, and ensure flawless execution. Lead the charge of integrating new technologies into the production pipeline to drive automation and efficiency.
* Serve as the central point of contact for production, building relationships with executive stakeholders across Creative, Product Marketing, Site/CRM/DR Marketing, Product, Engineering, Legal, and Regional teams.
* Present process strategies, operational health metrics, and business cases for investment to executive leadership.
* Own the annual marketing production planning process. Own relationships with key vendors and agencies, leading agreement negotiations and relentlessly pursuing cost\-saving opportunities and efficiencies.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110">
      <c r="A110" t="inlineStr">
        <is>
          <t>li-4378190185</t>
        </is>
      </c>
      <c r="B110" t="inlineStr">
        <is>
          <t>Americas Tax Technology Group - Senior Technical Product Manager</t>
        </is>
      </c>
      <c r="C110" t="inlineStr">
        <is>
          <t>EY</t>
        </is>
      </c>
      <c r="D110" t="inlineStr">
        <is>
          <t>linkedin</t>
        </is>
      </c>
      <c r="E110">
        <f>HYPERLINK("https://www.linkedin.com/jobs/view/4378190185", "https://www.linkedin.com/jobs/view/4378190185")</f>
        <v/>
      </c>
      <c r="F110" t="inlineStr"/>
      <c r="G110" t="inlineStr">
        <is>
          <t>Hoboken, NJ</t>
        </is>
      </c>
      <c r="H110" t="inlineStr"/>
      <c r="I110" t="inlineStr">
        <is>
          <t>Location: New York, Iselin, Hoboken
 At EY, we’re all in to shape your future with confidence.
 We’ll help you succeed in a globally connected powerhouse of diverse teams and take your career wherever you want it to go. Join EY and help to build a better working world.
**Tax – Americas Tax Technology Group – Senior Technical Product Manager**
**The opportunity**
 As part of our Americas Tax Technology Group (ATTG) you will be part of a technology organization that develops and maintains innovative solutions for our client\-serving Tax professionals. ATTG professionals will partner with our Tax professionals to develop supporting technology such as digital/mobile tools to improve internal operations, application of Artificial Intelligence in Tax, to collect financial data, development of advanced financial dashboards, visualization, analytics, and reports.
 We seek a highly skilled and experienced Senior Technical Product Manager to join our dynamic team at EY as we strive to develop a top\-tier product and technology team. As a Senior Technical Product Manager, you will be pivotal in driving the development and success of cutting\-edge products and services that will redefine the taxation industry. Your strategic thinking, technical expertise, and leadership abilities will be crucial in shaping the future of our group and driving significant revenue growth for EY.
 In this role, you will work cross\-functionally to guide products from conception to launch by connecting the technical and business worlds. You can break down complex problems into steps that drive product development. The Product team within ATTG org guides products throughout the execution cycle, focusing specifically on analyzing, positioning, packaging, promoting, and tailoring our solutions to our internal and external users alike.
**Your Key Responsibilities**
**Product Strategy and Vision:**
* Collaborate with cross\-functional teams to define and communicate the product vision, strategy, and roadmap aligned with the company's objectives.
* Conduct market research, competitor analysis, and customer feedback analysis to identify market trends and opportunities.
* Develop a deep understanding of customer needs and pain points to inform product development decisions.
* Define business metrics and KPIs to measure product ROI and impact
**Product Planning and Execution:**
* Define clear product requirements and specifications, working closely with engineering, design, and other stakeholders.
* Break down complex projects into manageable tasks and create project plans, ensuring timely delivery and high\-quality results.
* Prioritize features and initiatives based on business impact, technical feasibility, and customer value.
**Cross\-Functional Collaboration:**
* Foster strong relationships with engineering, design, marketing, sales, and other teams to drive cross\-functional collaboration and ensure successful product launches.
* Work closely with engineering teams to define technical requirements, architecture, and development timelines.
* Collaborate with UX/UI designers to create intuitive and engaging user experiences.
**Product Lifecycle Management:**
* Own the end\-to\-end product lifecycle, from concept to launch and beyond.
* Conduct regular product performance analysis and use data\-driven insights to identify areas for improvement and optimization.
* Continuously monitor market trends, competitive landscape, and emerging technologies to identify opportunities for innovation and growth.
**Leadership and Mentoring:**
* Provide guidance and mentorship to junior product managers, fostering their professional growth and development.
* Lead by example, demonstrating strong leadership skills, decision\-making abilities, and a collaborative mindset.
* Act as a subject matter expert in product management and drive best practices across the organization.
**Skills And Attributes For Success**
**To qualify for the role, you must have**
* Bachelor's or Master's degree in Computer Science, Engineering, or a related technical field. MBA or equivalent business experience is a plus.
* Experience in Tax or Wealth/Financial planning domains is a plus
* 7\-10 years of product management experience in product management roles within the cloud, SaaS, enterprise, internal tools, supply chain networks, and top tech firms (AWS, Google, Microsoft, Meta, or high\-growth startups.
* 5\+ years of experience building and shipping technical products.
* Experience creating product roadmap(s) from conception to launch, driving the product vision, defining the GTM strategy, and leading design discussions.
* Experience managing day\-to\-day technical and design direction for large\-scale systems.
* Experience in one or more of the following: cloud infrastructure, SaaS, big data, security and privacy, development and operations, or artificial intelligence/machine learning.
* Knowledge of multiple functional areas such as Product Management, Engineering, UX/UI, Sales, Customer Support, Finance, or Marketing.
* Ability to influence multiple stakeholders, achieve strategic goals, and evolve product strategy based on research, data, and industry trends
* Strong technical background with the ability to understand and effectively communicate complex technical concepts.
* Demonstrated success in driving the development and launch of innovative, high\-quality software products.
* Excellent project management skills, with the ability to manage multiple projects simultaneously in a fast\-paced, deadline\-driven environment.
* Strong analytical and problem\-solving skills, with a data\-driven and results\-oriented mindset.
* Exceptional communication and interpersonal skills, with the ability to collaborate effectively with diverse teams and stakeholders.
* Strategic thinking and ability to translate business objectives into actionable product plans.
* Experience with Agile/Scrum methodologies and modern product management tools.
* Passion for technology and staying up to date with the latest industry trends and advancements.
**Ideally, you’ll have**
* Ability to understand and learn tax law and technology implications at a high level
* Excellent organizational and project management skills as well as the ability to multitask on various projects in a fast\-paced environment
* Ability to work and team effectively with clients and high\-level leadership personnel as well as influence all team members.
**What We Look For**
* Professionals with the drive to take on new responsibilities with the confidence to speak up with their own creative thoughts on a wide range of areas is what we seek. If you’re keen to play a pivotal role within a highly focused mobility team, this role is for you.
**What We Offer You**
 At EY, we’ll develop you with future\-focused skills and equip you with world\-class experiences. We’ll empower you in a flexible environment, and fuel you and your extraordinary talents in a diverse and inclusive culture of globally connected teams. Learn more.
* We offer a comprehensive compensation and benefits package where you’ll be rewarded based on your performance and recognized for the value you bring to the business. The base salary range for this job in all geographic locations in the US is $99,700 to $289,200\. The base salary range for New York City Metro Area, Washington State and California (excluding Sacramento) is $119,700 to $328,700\. Individual salaries within those ranges are determined through a wide variety of factors including but not limited to education, experience, knowledge, skills and geography. In addition, our Total Rewards package includes medical and dental coverage, pension and 401(k) plans, and a wide range of paid time off options.
* Join us in our team\-led and leader\-enabled hybrid model. Our expectation is for most people in external, client serving roles to work together in person 40\-60% of the time over the course of an engagement, project or year.
* Under our flexible vacation policy, you’ll decide how much vacation time you need based on your own personal circumstances. You’ll also be granted time off for designated EY Paid Holidays, Winter/Summer breaks, Personal/Family Care, and other leaves of absence when needed to support your physical, financial, and emotional well\-being.
**Are you ready to shape your future with confidence? Apply today.**
 EY accepts applications for this position on an on\-going basis.
 For those living in California, please click here for additional information.
 EY focuses on high\-ethical standards and integrity among its employees and expects all candidates to demonstrate these qualities.
**EY \| Building a better working world**
 EY is building a better working world by creating new value for clients, people, society and the planet, while building trust in capital markets.
 Enabled by data, AI and advanced technology, EY teams help clients shape the future with confidence and develop answers for the most pressing issues of today and tomorrow.
 EY teams work across a full spectrum of services in assurance, consulting, tax, strategy and transactions. Fueled by sector insights, a globally connected, multi\-disciplinary network and diverse ecosystem partners, EY teams can provide services in more than 150 countries and territories.
 EY provides equal employment opportunities to applicants and employees without regard to race, color, religion, age, sex, sexual orientation, gender identity/expression, pregnancy, genetic information, national origin, protected veteran status, disability status, or any other legally protected basis, including arrest and conviction records, in accordance with applicable law.
 EY is committed to providing reasonable accommodation to qualified individuals with disabilities including veterans with disabilities. If you have a disability and either need assistance applying online or need to request an accommodation during any part of the application process, please call 1\-800\-EY\-HELP3, select Option 2 for candidate related inquiries, then select Option 1 for candidate queries and finally select Option 2 for candidates with an inquiry which will route you to EY’s Talent Shared Services Team (TSS) or email the TSS at ssc.customersupport@ey.com.</t>
        </is>
      </c>
    </row>
    <row r="111">
      <c r="A111" t="inlineStr">
        <is>
          <t>li-4346026135</t>
        </is>
      </c>
      <c r="B111" t="inlineStr">
        <is>
          <t>Program Manager</t>
        </is>
      </c>
      <c r="C111" t="inlineStr">
        <is>
          <t>Computer World Services Corp. (CWS)</t>
        </is>
      </c>
      <c r="D111" t="inlineStr">
        <is>
          <t>linkedin</t>
        </is>
      </c>
      <c r="E111">
        <f>HYPERLINK("https://www.linkedin.com/jobs/view/4346026135", "https://www.linkedin.com/jobs/view/4346026135")</f>
        <v/>
      </c>
      <c r="F111">
        <f>HYPERLINK("https://jobs.lever.co/cwsc/6183961c-41a5-415f-b716-3abc087b6f72/apply&amp;urlHash=DnMZ", "https://jobs.lever.co/cwsc/6183961c-41a5-415f-b716-3abc087b6f72/apply&amp;urlHash=DnMZ")</f>
        <v/>
      </c>
      <c r="G111" t="inlineStr">
        <is>
          <t>Washington, DC</t>
        </is>
      </c>
      <c r="H111" t="inlineStr"/>
      <c r="I111" t="inlineStr">
        <is>
          <t>**Job Description**
 The Program Manager serves as the Contractor’s single, authoritative representative for all programmatic, contractual, and operational matters under this contract. This role is responsible for the overall performance, quality, and delivery of all contract services, ensuring alignment with customer requirements, Service Level Agreements (SLAs), and mission objectives. The Program Manager oversees personnel, financials, schedules, risks, and ensures consistent communication and coordination with Government stakeholders.
**Key Tasks \&amp; Responsibilities**
* The Program Manager performs day\-to\-day management of contract operations, potentially involving multiple locations, task areas, and personnel. Key responsibilities include:
* Contract Leadership \&amp; Governance
* Serves as the Contractor’s single Program Manager and primary interface with the Government CO, COR, customer agency representatives, and senior management personnel.
* Ensures overall contract performance, including service delivery, adherence to the Performance Work Statement (PWS), and achievement of all SLAs.
* Formulates, enforces, and continuously improves work standards, policies, operational procedures, and quality measures.
* Assigns schedules, reviews work discrepancies, and ensures Contractor personnel follow established policies, objectives, and organizational goals.
* Responsible for all staffing decisions, including onboarding, task assignments, performance feedback, and maintaining adequate staffing levels to meet contractual requirements.
* Oversees the tracking, management, and accountability of government\-furnished equipment (GFE) both onsite and offsite.
* Program Management \&amp; Reporting
* Develops, maintains, and implements a comprehensive Program Management Plan (PMP) outlining organizational structure, communication protocols, risk management, quality assurance, performance monitoring, and escalation procedures.
* Provides weekly status reports, program dashboards, and key performance metrics to Government stakeholders.
* Participates in and facilitates regular management meetings, reviews, and briefings to communicate status, risks, issues, and improvement opportunities.
* Ensures quality of all deliverables and services through structured quality reviews, audits, and continuous process improvement.
* Financial and Risk Management
* Manages all financial aspects of the program including budgeting, forecasting, invoicing, burn rate tracking, and variance reporting.
* Identifies, evaluates, and mitigates program risks, and implements risk response strategies.
* Service Delivery, Operations \&amp; Change Management
* Organizes, directs, and coordinates planning and production of all contract support activities.
* Ensures effective delivery of all IT support services, including enterprise applications, network services, communications systems, cybersecurity requirements, and end\-user support.
* Applies federal IT standards, including information security, configuration baselines, and operational best practices.
* Utilizes the customer’s Change and Release Management process to coordinate changes, communicate impacts, and ensure controlled implementation.
* Maintains internal processes that align with industry performance standards, quality frameworks, and customer\-specific requirements (e.g., CMMI, ITIL, PMLC methodologies).
**Internal Coordination \&amp; Corporate Responsibilities**
* Coordinates with internal corporate teams for staffing, budgeting, recruitment, compliance, and organizational reporting.
* Maintains internal documentation and ensures corporate processes support program delivery.
* Drives operational excellence and fosters a culture of continuous improvement.
**Education \&amp; Experience**
* Minimum Qualifications
* Bachelor’s degree in a related field.
* Minimum of eight (8\) years of experience in project management or a related field.
* At least five (5\) years of experience in IT service/support operations or related disciplines.
* Demonstrated leadership experience managing personnel across multiple functional areas.
* Proficiency with Microsoft Office and other automated tools for reporting, analysis, and communication.
* Strong understanding of IT services, networking concepts, communication systems, and federal security standards.
* Experience supervising technical personnel and coordinating operational tasks.
* ITIL v4 Foundations certification.
* Excellent written and verbal communication skills.
* Preferred Qualifications
* Project Management Professional (PMP) certification.
* Experience with Project Management Lifecycle (PMLC) methodologies.
* Experience with Capability Maturity Model Integration (CMMI) frameworks.
* Experience delivering IT services in complex enterprise or federal environments.
**Certifications**
* ITIL certification v4 required.
* Project Management Professional (PMP) certification preferred.
**Security Clearance**
* Ability to obtain Public Trust clearance.
**Other (Travel, Work Environment, DoD 8570 Requirements, Administrative Notes, etc.)**
* Onsite at customer location
 $134,000 \- $158,000 a year
 The offered rate will be based on the selected candidate’s knowledge, skills, abilities and/or experience and in consideration of internal parity.
 The posted range is appropriate for a typical candidate meeting, at a minimum, all the core requirements of the position.
 IND1
 Computer World Services is an affirmative action and equal employment opportunity employer. Current employees and/or qualified applicants will receive consideration for employment without regard to race, color, religion, sex, disability, age, sexual orientation, gender identity, national origin, disability, protected veteran status, genetic information or any other characteristic protected by local, state, or federal laws, rules, or regulations.
 Computer World Services is committed to the full inclusion of all qualified individuals. As part of this commitment, Computer World Services will ensure that individuals with disabilities (IWD) are provided reasonable accommodations. If reasonable accommodation is needed to participate in the job application or interview process, to perform essential job functions, and/or to receive other benefits and privileges of employment, please contact Human Resources at \[email protected] .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112">
      <c r="A112" t="inlineStr">
        <is>
          <t>li-4364067856</t>
        </is>
      </c>
      <c r="B112" t="inlineStr">
        <is>
          <t>Senior Operations Program Manager</t>
        </is>
      </c>
      <c r="C112" t="inlineStr">
        <is>
          <t>Enphase Energy</t>
        </is>
      </c>
      <c r="D112" t="inlineStr">
        <is>
          <t>linkedin</t>
        </is>
      </c>
      <c r="E112">
        <f>HYPERLINK("https://www.linkedin.com/jobs/view/4364067856", "https://www.linkedin.com/jobs/view/4364067856")</f>
        <v/>
      </c>
      <c r="F112" t="inlineStr"/>
      <c r="G112" t="inlineStr">
        <is>
          <t>Arlington, TX</t>
        </is>
      </c>
      <c r="H112" t="inlineStr"/>
      <c r="I112" t="inlineStr">
        <is>
          <t>**Description**
 Enphase Energy is a global energy technology company and a leading provider of solar, battery, and electric vehicle charging products. Founded in 2006, our innovative microinverter technology revolutionized solar power, making it a safer, more reliable, and scalable energy source. Today, the Enphase Energy System enables users to make, use, save, and sell their own power. Enphase is also one of the most successful and innovative clean energy companies in the world, with more than 80 million products shipped across 160 countries.
 Join our dynamic teams designing and developing next\-gen energy technologies and help drive a sustainable future!
**About The Role**
 The purpose of this role is to collaboratively transition and build Enphase’s new products in our contract manufacturing partner’s factory at Arlington, TX. This role will own and manage all aspects of NPI Manufacturing including schedule, resources, materials, manufacturing capabilities, shipment and logistics to support Enphase’s new product launch milestones. This role will be the single point of contact in the Enphase’s US manufacturing organization and will directly interface with the Global PMO organization. The successful candidates thrives in ambiguity, can communicate with different levels in the organization and is a strong/detailed oriented individual.
**What You Will Do**
* Work collaboratively with Enphase’s centralized PMO to define detailed build requirements and schedules.
* Lead pre\-production builds on\-site at contract manufacturers. Responsible for successfully setting up operations for mass production ramp up
* Drive materials through contract manufacturers. Resolve material delays through direct engagement with Enphase’s procurement organization and/or suppliers
* Coordinate build by managing trade\-offs with regular mass production builds in the factory.
* Work cross functionally across the Enphase manufacturing and supply chain organization to drive all aspects of NPI manufacturing including but not limited to quotes, materials, capacity, shipment, invoicing.
* Setup and drive regular project meetings to ensure activities are proceeding according to plan and any risks or challenges is Identified, triaged and resolved in Advance.
* Present updates to executive management (and/or) project sponsors regarding status, risks, challenges and mitigation actions
* Lead and Influence Cross Functional Team Members towards Conflict Resolution, Deliverable Progress.
* Be the de\-facto operations leader for miscellaneous projects in US factories.
**Who You Are And What You Bring**
* Strong academic background. Master’s engineering degree is preferred.
* At least 12\+ years of strong program management experience in NPI or sustaining operations in the manufacturing function required in electronics, semiconductor or automotive sectors in the US.
* Familiar with Electronics Manufacturing, and Mechanical Assembly Processes.
* Knowledge on supply chain operations, demand and capacity planning .
* PMP Certified will be a Strong Advantage.
**Preferred Qualifications**
* Ability to work in multi\-cultural \&amp; geographically diverse teams.
* Flexible to work in different time zones \&amp; able to work under pressure
* Strong analytical and problem\-solving skills
* Good learner, proactive and team player
* RCCA based culture for quality improvement and continuous learning
* Excellent written and oral communication skills, able to communicate at all levels
 The base pay range for this position is $130,000 to $183,000\. This salary range may be modified in the future. The successful candidate’s starting pay will be determined based on job\-related skills, experience, education or training, work location, and market conditions. This position is also eligible for bonus, equity, and benefits
 **.**</t>
        </is>
      </c>
    </row>
    <row r="113">
      <c r="A113" t="inlineStr">
        <is>
          <t>li-4379126535</t>
        </is>
      </c>
      <c r="B113" t="inlineStr">
        <is>
          <t>Program Manager</t>
        </is>
      </c>
      <c r="C113" t="inlineStr">
        <is>
          <t>Jobs via Dice</t>
        </is>
      </c>
      <c r="D113" t="inlineStr">
        <is>
          <t>linkedin</t>
        </is>
      </c>
      <c r="E113">
        <f>HYPERLINK("https://www.linkedin.com/jobs/view/4379126535", "https://www.linkedin.com/jobs/view/4379126535")</f>
        <v/>
      </c>
      <c r="F113">
        <f>HYPERLINK("https://click.appcast.io/t/uaD6t5KXEZZ47eMEWucmucuAyosIhVFAmDDl-qVWFzA=&amp;urlHash=yIkj", "https://click.appcast.io/t/uaD6t5KXEZZ47eMEWucmucuAyosIhVFAmDDl-qVWFzA=&amp;urlHash=yIkj")</f>
        <v/>
      </c>
      <c r="G113" t="inlineStr"/>
      <c r="H113" t="inlineStr"/>
      <c r="I113" t="inlineStr">
        <is>
          <t>Dice is the leading career destination for tech experts at every stage of their careers. Our client, Keylent, is seeking the following. Apply via Dice today!
 Job title: Program Manager
 Role is remote
**Job Description And Requirements**
 Perform requirement analysis and engineering tasks for the ACAS domain, converting business needs into detailed technical specifications that support our claims processing workflows, ensuring high\-performance, accuracy, and regulatory compliance.
 Design, develop, test, and debug mainframe applications, often involving COBOL, JCL, VSAM, DB2, and CICS.
 Create technical documentation to support mainframe development.
 Write and maintain code for existing applications, ensuring adherence to quality standards and best practices.
 Collaborate with cross\-functional teams (e.g., business analysts, QA, project managers) to ensure successful project delivery.
 Mentor and provide technical guidance to offsite leads/developers. Coordinate daily activities between the onsite team and offshore development teams.
 Serve as the primary point of contact for technical and functional issues.
 Optimize mainframe programs for performance and efficiency.
 Troubleshoot and resolve complex technical issues and bugs.
 Participate in and conduct code reviews to ensure quality and maintainability.
 Support user acceptance testing (UAT) and production deployment activities.
 Proficiency in Mainframe COBOL, JCL, DB2, VSAM and CICS.
 In\-depth knowledge of IBM mainframe tools for development, debugging, and system management, such as z/OS, ISPF, TSO, File\-aid and SCM is required.
 Good understanding of Mainframe code migration from development to a production environment, which involves Package creation, code promotion to Test, QA and PROD regions. Good knowledge in Post\-Installation Verification and Backout strategies.
 Experience in healthcare claims and their associated systems is crucial for understanding the complex claims processing workflow.
 Excellent problem\-solving, analytical and debugging skills to resolve complex technical issues and bugs.
 Excellent communication and collaboration abilities.
 Ability to work independently and in a team environment.
 Experience with Agile development methodologies.
 Mandatory skills (must be showcased on resume): COBOL, DB2 and CICS
 Years of experience required: 10\+</t>
        </is>
      </c>
    </row>
    <row r="114">
      <c r="A114" t="inlineStr">
        <is>
          <t>li-4379404208</t>
        </is>
      </c>
      <c r="B114" t="inlineStr">
        <is>
          <t>Investment Data Product Owner &amp; Data Scientist (Private Equity)</t>
        </is>
      </c>
      <c r="C114" t="inlineStr">
        <is>
          <t>MFM Search LLC</t>
        </is>
      </c>
      <c r="D114" t="inlineStr">
        <is>
          <t>linkedin</t>
        </is>
      </c>
      <c r="E114">
        <f>HYPERLINK("https://www.linkedin.com/jobs/view/4379404208", "https://www.linkedin.com/jobs/view/4379404208")</f>
        <v/>
      </c>
      <c r="F114" t="inlineStr"/>
      <c r="G114" t="inlineStr"/>
      <c r="H114" t="inlineStr"/>
      <c r="I114" t="inlineStr">
        <is>
          <t>My client is a $3 trillion global pension fund currently expanding their presence in New York, NY.
 This role is part of the private equity portfolio monitoring team and is pivotal in ensuring robust asset oversight, effective risk management, and the continuous improvement of investment and relationship management processes. This person oversees the monitoring and evaluation of investment assets, ensuring compliance, timely reporting, and effective coordination across teams.
**Key Responsibilities:** 
* Responsible for the delivery of accurate data and investment insights used for PE (Private Equity) investment decision making
* Responsible for collating all PE data and reporting requirements from business stakeholders across the PE teams
* Ensure the completeness and accuracy of business requirements, data models, source\-to\-target mappings, and data quality control definitions
* Design data platform components to meet business requirements, encompassing Extract, Transform, Load (ETL) pipelines, metadata management, and data quality functionalities
* Ensure that industry best practices for testing to perform comprehensive unit testing of developed components have been established
* Responsible for ensuring any data exceptions and data quality issues are investigated
* Work with the global private equity team on various ad hoc reports
**Key Requirements:** 
* BSc in Computer Science (data analysis), Applied Math or Finance
* 5\-10 years’ experience as a data product owner within an asset owner / investment management organization within their data operations capability
* Proficiency in Python, rest APIs and SQL, data visualization
* Proficiency in ETL (Extract, Transform, Load) processes and tools
* Certification in Python, Power BI
* Knowledge of private equity / GP /LP data
* Good understanding of data management functions and usage of investment data in various forms
* Knowledge of financial data providers/source qualities. Experience navigating market data platforms for data sampling and review
* Ability to guide teams through complex financial data structures
* Proficient in using tools and methodologies to ensure data consistency, accuracy, and security, aligning with Data Governance best practices.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2026-03-03T16:58:15Z</dcterms:created>
  <dcterms:modified xsi:type="dcterms:W3CDTF">2026-03-03T16:58:15Z</dcterms:modified>
</cp:coreProperties>
</file>