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deed" sheetId="1" state="visible" r:id="rId1"/>
    <sheet name="linkedin" sheetId="2" state="visible" r:id="rId2"/>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122"/>
  <sheetViews>
    <sheetView workbookViewId="0">
      <selection activeCell="A1" sqref="A1"/>
    </sheetView>
  </sheetViews>
  <sheetFormatPr baseColWidth="8" defaultRowHeight="15"/>
  <sheetData>
    <row r="1">
      <c r="A1" t="inlineStr">
        <is>
          <t>job id</t>
        </is>
      </c>
      <c r="B1" t="inlineStr">
        <is>
          <t>title</t>
        </is>
      </c>
      <c r="C1" t="inlineStr">
        <is>
          <t>company</t>
        </is>
      </c>
      <c r="D1" t="inlineStr">
        <is>
          <t>site</t>
        </is>
      </c>
      <c r="E1" t="inlineStr">
        <is>
          <t>job_url</t>
        </is>
      </c>
      <c r="F1" t="inlineStr">
        <is>
          <t>job_url_direct</t>
        </is>
      </c>
      <c r="G1" t="inlineStr">
        <is>
          <t>location</t>
        </is>
      </c>
      <c r="H1" t="inlineStr">
        <is>
          <t>date posted</t>
        </is>
      </c>
      <c r="I1" t="inlineStr">
        <is>
          <t>description</t>
        </is>
      </c>
    </row>
    <row r="2">
      <c r="A2" t="inlineStr">
        <is>
          <t>in-7edd363fc79b61cb</t>
        </is>
      </c>
      <c r="B2" t="inlineStr">
        <is>
          <t>Sr. Applied Scientist, Amazon Ads</t>
        </is>
      </c>
      <c r="C2" t="inlineStr">
        <is>
          <t>Amazon.com</t>
        </is>
      </c>
      <c r="D2" t="inlineStr">
        <is>
          <t>indeed</t>
        </is>
      </c>
      <c r="E2">
        <f>HYPERLINK("https://www.indeed.com/viewjob?jk=7edd363fc79b61cb", "https://www.indeed.com/viewjob?jk=7edd363fc79b61cb")</f>
        <v/>
      </c>
      <c r="F2">
        <f>HYPERLINK("https://www.amazon.jobs/jobs/3139328/sr-applied-scientist-amazon-ads?cmpid=DA_INAD200785B", "https://www.amazon.jobs/jobs/3139328/sr-applied-scientist-amazon-ads?cmpid=DA_INAD200785B")</f>
        <v/>
      </c>
      <c r="G2" t="inlineStr">
        <is>
          <t>New York, NY, US</t>
        </is>
      </c>
      <c r="H2" s="1" t="n">
        <v>45998</v>
      </c>
      <c r="I2" t="inlineStr">
        <is>
          <t>**DESCRIPTION**
---------------
Application deadline: Applications will be accepted on an ongoing basis  
Amazon Ads is re\-imagining advertising through cutting\-edge generative artificial intelligence (AI) technologies. We combine human creativity with AI to transform every aspect of the advertising life cycle—from ad creation and optimization to performance analysis and customer insights. Our solutions help advertisers grow their brands while enabling millions of customers to discover and purchase products through delightful experiences. We deliver billions of ad impressions and millions of clicks daily, breaking fresh ground in product and technical innovations. If you're energized by solving complex challenges and pushing the boundaries of what's possible with AI, join us in shaping the future of advertising.  
Why you’ll love this role:
This role offers unprecedented breadth in ML applications and access to extensive computational resources and rich datasets that will enable you to build truly innovative solutions. You'll work on projects that span the full advertising life cycle, from sophisticated ranking algorithms and real\-time bidding systems to creative optimization and measurement solutions.  
You'll work alongside talented engineers, scientists, and product leaders in a culture that encourages innovation, experimentation, and bias for action, and you’ll directly influence business strategy through your scientific expertise. What makes this role unique is the combination of scientific rigor with real\-world impact. You’ll re\-imagine advertising through the lens of advanced ML while solving problems that balance the needs of advertisers, customers, and Amazon's business objectives.  
Your impact and career growth:
Amazon Ads is investing heavily in AI and ML capabilities, creating opportunities for scientists to innovate and make their marks. Your work will directly impact millions. Whether you see yourself growing as an individual contributor or moving into people management, there are clear paths for career progression. This role combines scientific leadership, organizational ability, technical strength, and business understanding. You'll have opportunities to lead technical initiatives, mentor other scientists, and collaborate with senior leadership to shape the future of advertising technology. Most importantly, you'll be part of a community that values scientific excellence and encourages you to push the boundaries of what's possible with AI.  
Watch two Applied Scientists at Amazon Ads talk about their work:  
https://www.youtube.com/watch?v\=vvHsURsIPEA  
Learn more about Amazon Ads:  
https://advertising.amazon.com/  
Key job responsibilities  
As a Senior Applied Scientist in Amazon Ads, you will:  
* Research and implement cutting\-edge ML approaches, including applications of generative AI and large language models
* Develop and deploy innovative ML solutions spanning multiple disciplines – from ranking and personalization to natural language processing, computer vision, recommender systems, and large language models
* Drive end\-to\-end projects that tackle ambiguous problems at massive scale, often working with petabytes of data
\- Build and optimize models that balance multiple stakeholder needs \- helping customers discover relevant products while enabling advertisers to achieve their goals efficiently  
* Build ML models, perform proof\-of\-concept, experiment, optimize, and deploy your models into production, working closely with cross\-functional teams including engineers, product managers, and other scientists
* Design and run A/B experiments to validate hypotheses, gather insights from large\-scale data analysis, and measure business impact
* Develop scalable, efficient processes for model development, validation, and deployment that optimize traffic monetization while maintaining customer experience
**BASIC QUALIFICATIONS**
------------------------
* 5\+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For salaried roles, your Amazon package will include listed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https://amazon.jobs/en/benefits/us\-benefits\-and\-stock.  
Colorado $167,100 \- $226,100 annually  
National $150,400 \- $260,000 annually</t>
        </is>
      </c>
    </row>
    <row r="3">
      <c r="A3" t="inlineStr">
        <is>
          <t>in-7312e73eb8801f21</t>
        </is>
      </c>
      <c r="B3" t="inlineStr">
        <is>
          <t>Sr. Applied Scientist, Amazon Ads</t>
        </is>
      </c>
      <c r="C3" t="inlineStr">
        <is>
          <t>Amazon.com</t>
        </is>
      </c>
      <c r="D3" t="inlineStr">
        <is>
          <t>indeed</t>
        </is>
      </c>
      <c r="E3">
        <f>HYPERLINK("https://www.indeed.com/viewjob?jk=7312e73eb8801f21", "https://www.indeed.com/viewjob?jk=7312e73eb8801f21")</f>
        <v/>
      </c>
      <c r="F3">
        <f>HYPERLINK("https://www.amazon.jobs/jobs/3139328/sr-applied-scientist-amazon-ads?cmpid=DA_INAD200785B", "https://www.amazon.jobs/jobs/3139328/sr-applied-scientist-amazon-ads?cmpid=DA_INAD200785B")</f>
        <v/>
      </c>
      <c r="G3" t="inlineStr">
        <is>
          <t>Brooklyn, NY, US</t>
        </is>
      </c>
      <c r="H3" s="1" t="n">
        <v>45998</v>
      </c>
      <c r="I3" t="inlineStr">
        <is>
          <t>**DESCRIPTION**
---------------
Application deadline: Applications will be accepted on an ongoing basis  
Amazon Ads is re\-imagining advertising through cutting\-edge generative artificial intelligence (AI) technologies. We combine human creativity with AI to transform every aspect of the advertising life cycle—from ad creation and optimization to performance analysis and customer insights. Our solutions help advertisers grow their brands while enabling millions of customers to discover and purchase products through delightful experiences. We deliver billions of ad impressions and millions of clicks daily, breaking fresh ground in product and technical innovations. If you're energized by solving complex challenges and pushing the boundaries of what's possible with AI, join us in shaping the future of advertising.  
Why you’ll love this role:
This role offers unprecedented breadth in ML applications and access to extensive computational resources and rich datasets that will enable you to build truly innovative solutions. You'll work on projects that span the full advertising life cycle, from sophisticated ranking algorithms and real\-time bidding systems to creative optimization and measurement solutions.  
You'll work alongside talented engineers, scientists, and product leaders in a culture that encourages innovation, experimentation, and bias for action, and you’ll directly influence business strategy through your scientific expertise. What makes this role unique is the combination of scientific rigor with real\-world impact. You’ll re\-imagine advertising through the lens of advanced ML while solving problems that balance the needs of advertisers, customers, and Amazon's business objectives.  
Your impact and career growth:
Amazon Ads is investing heavily in AI and ML capabilities, creating opportunities for scientists to innovate and make their marks. Your work will directly impact millions. Whether you see yourself growing as an individual contributor or moving into people management, there are clear paths for career progression. This role combines scientific leadership, organizational ability, technical strength, and business understanding. You'll have opportunities to lead technical initiatives, mentor other scientists, and collaborate with senior leadership to shape the future of advertising technology. Most importantly, you'll be part of a community that values scientific excellence and encourages you to push the boundaries of what's possible with AI.  
Watch two Applied Scientists at Amazon Ads talk about their work:  
https://www.youtube.com/watch?v\=vvHsURsIPEA  
Learn more about Amazon Ads:  
https://advertising.amazon.com/  
Key job responsibilities  
As a Senior Applied Scientist in Amazon Ads, you will:  
* Research and implement cutting\-edge ML approaches, including applications of generative AI and large language models
* Develop and deploy innovative ML solutions spanning multiple disciplines – from ranking and personalization to natural language processing, computer vision, recommender systems, and large language models
* Drive end\-to\-end projects that tackle ambiguous problems at massive scale, often working with petabytes of data
\- Build and optimize models that balance multiple stakeholder needs \- helping customers discover relevant products while enabling advertisers to achieve their goals efficiently  
* Build ML models, perform proof\-of\-concept, experiment, optimize, and deploy your models into production, working closely with cross\-functional teams including engineers, product managers, and other scientists
* Design and run A/B experiments to validate hypotheses, gather insights from large\-scale data analysis, and measure business impact
* Develop scalable, efficient processes for model development, validation, and deployment that optimize traffic monetization while maintaining customer experience
**BASIC QUALIFICATIONS**
------------------------
* 5\+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For salaried roles, your Amazon package will include listed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https://amazon.jobs/en/benefits/us\-benefits\-and\-stock.  
Colorado $167,100 \- $226,100 annually  
National $150,400 \- $260,000 annually</t>
        </is>
      </c>
    </row>
    <row r="4">
      <c r="A4" t="inlineStr">
        <is>
          <t>in-10f92128022aa500</t>
        </is>
      </c>
      <c r="B4" t="inlineStr">
        <is>
          <t>Sr. Applied Scientist, Amazon Ads</t>
        </is>
      </c>
      <c r="C4" t="inlineStr">
        <is>
          <t>Amazon.com</t>
        </is>
      </c>
      <c r="D4" t="inlineStr">
        <is>
          <t>indeed</t>
        </is>
      </c>
      <c r="E4">
        <f>HYPERLINK("https://www.indeed.com/viewjob?jk=10f92128022aa500", "https://www.indeed.com/viewjob?jk=10f92128022aa500")</f>
        <v/>
      </c>
      <c r="F4">
        <f>HYPERLINK("https://www.amazon.jobs/jobs/3139328/sr-applied-scientist-amazon-ads?cmpid=DA_INAD200785B", "https://www.amazon.jobs/jobs/3139328/sr-applied-scientist-amazon-ads?cmpid=DA_INAD200785B")</f>
        <v/>
      </c>
      <c r="G4" t="inlineStr">
        <is>
          <t>Santa Monica, CA, US</t>
        </is>
      </c>
      <c r="H4" s="1" t="n">
        <v>45998</v>
      </c>
      <c r="I4" t="inlineStr">
        <is>
          <t>**DESCRIPTION**
---------------
Application deadline: Applications will be accepted on an ongoing basis  
Amazon Ads is re\-imagining advertising through cutting\-edge generative artificial intelligence (AI) technologies. We combine human creativity with AI to transform every aspect of the advertising life cycle—from ad creation and optimization to performance analysis and customer insights. Our solutions help advertisers grow their brands while enabling millions of customers to discover and purchase products through delightful experiences. We deliver billions of ad impressions and millions of clicks daily, breaking fresh ground in product and technical innovations. If you're energized by solving complex challenges and pushing the boundaries of what's possible with AI, join us in shaping the future of advertising.  
Why you’ll love this role:
This role offers unprecedented breadth in ML applications and access to extensive computational resources and rich datasets that will enable you to build truly innovative solutions. You'll work on projects that span the full advertising life cycle, from sophisticated ranking algorithms and real\-time bidding systems to creative optimization and measurement solutions.  
You'll work alongside talented engineers, scientists, and product leaders in a culture that encourages innovation, experimentation, and bias for action, and you’ll directly influence business strategy through your scientific expertise. What makes this role unique is the combination of scientific rigor with real\-world impact. You’ll re\-imagine advertising through the lens of advanced ML while solving problems that balance the needs of advertisers, customers, and Amazon's business objectives.  
Your impact and career growth:
Amazon Ads is investing heavily in AI and ML capabilities, creating opportunities for scientists to innovate and make their marks. Your work will directly impact millions. Whether you see yourself growing as an individual contributor or moving into people management, there are clear paths for career progression. This role combines scientific leadership, organizational ability, technical strength, and business understanding. You'll have opportunities to lead technical initiatives, mentor other scientists, and collaborate with senior leadership to shape the future of advertising technology. Most importantly, you'll be part of a community that values scientific excellence and encourages you to push the boundaries of what's possible with AI.  
Watch two Applied Scientists at Amazon Ads talk about their work:  
https://www.youtube.com/watch?v\=vvHsURsIPEA  
Learn more about Amazon Ads:  
https://advertising.amazon.com/  
Key job responsibilities  
As a Senior Applied Scientist in Amazon Ads, you will:  
* Research and implement cutting\-edge ML approaches, including applications of generative AI and large language models
* Develop and deploy innovative ML solutions spanning multiple disciplines – from ranking and personalization to natural language processing, computer vision, recommender systems, and large language models
* Drive end\-to\-end projects that tackle ambiguous problems at massive scale, often working with petabytes of data
\- Build and optimize models that balance multiple stakeholder needs \- helping customers discover relevant products while enabling advertisers to achieve their goals efficiently  
* Build ML models, perform proof\-of\-concept, experiment, optimize, and deploy your models into production, working closely with cross\-functional teams including engineers, product managers, and other scientists
* Design and run A/B experiments to validate hypotheses, gather insights from large\-scale data analysis, and measure business impact
* Develop scalable, efficient processes for model development, validation, and deployment that optimize traffic monetization while maintaining customer experience
**BASIC QUALIFICATIONS**
------------------------
* 5\+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For salaried roles, your Amazon package will include listed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https://amazon.jobs/en/benefits/us\-benefits\-and\-stock.  
Colorado $167,100 \- $226,100 annually  
National $150,400 \- $260,000 annually</t>
        </is>
      </c>
    </row>
    <row r="5">
      <c r="A5" t="inlineStr">
        <is>
          <t>in-449a4268d54afab3</t>
        </is>
      </c>
      <c r="B5" t="inlineStr">
        <is>
          <t>Sr. Applied Scientist, Amazon Ads</t>
        </is>
      </c>
      <c r="C5" t="inlineStr">
        <is>
          <t>Amazon.com</t>
        </is>
      </c>
      <c r="D5" t="inlineStr">
        <is>
          <t>indeed</t>
        </is>
      </c>
      <c r="E5">
        <f>HYPERLINK("https://www.indeed.com/viewjob?jk=449a4268d54afab3", "https://www.indeed.com/viewjob?jk=449a4268d54afab3")</f>
        <v/>
      </c>
      <c r="F5">
        <f>HYPERLINK("https://www.amazon.jobs/jobs/3139328/sr-applied-scientist-amazon-ads?cmpid=DA_INAD200785B", "https://www.amazon.jobs/jobs/3139328/sr-applied-scientist-amazon-ads?cmpid=DA_INAD200785B")</f>
        <v/>
      </c>
      <c r="G5" t="inlineStr">
        <is>
          <t>Palo Alto, CA, US</t>
        </is>
      </c>
      <c r="H5" s="1" t="n">
        <v>45998</v>
      </c>
      <c r="I5" t="inlineStr">
        <is>
          <t>**DESCRIPTION**
---------------
Application deadline: Applications will be accepted on an ongoing basis  
Amazon Ads is re\-imagining advertising through cutting\-edge generative artificial intelligence (AI) technologies. We combine human creativity with AI to transform every aspect of the advertising life cycle—from ad creation and optimization to performance analysis and customer insights. Our solutions help advertisers grow their brands while enabling millions of customers to discover and purchase products through delightful experiences. We deliver billions of ad impressions and millions of clicks daily, breaking fresh ground in product and technical innovations. If you're energized by solving complex challenges and pushing the boundaries of what's possible with AI, join us in shaping the future of advertising.  
Why you’ll love this role:
This role offers unprecedented breadth in ML applications and access to extensive computational resources and rich datasets that will enable you to build truly innovative solutions. You'll work on projects that span the full advertising life cycle, from sophisticated ranking algorithms and real\-time bidding systems to creative optimization and measurement solutions.  
You'll work alongside talented engineers, scientists, and product leaders in a culture that encourages innovation, experimentation, and bias for action, and you’ll directly influence business strategy through your scientific expertise. What makes this role unique is the combination of scientific rigor with real\-world impact. You’ll re\-imagine advertising through the lens of advanced ML while solving problems that balance the needs of advertisers, customers, and Amazon's business objectives.  
Your impact and career growth:
Amazon Ads is investing heavily in AI and ML capabilities, creating opportunities for scientists to innovate and make their marks. Your work will directly impact millions. Whether you see yourself growing as an individual contributor or moving into people management, there are clear paths for career progression. This role combines scientific leadership, organizational ability, technical strength, and business understanding. You'll have opportunities to lead technical initiatives, mentor other scientists, and collaborate with senior leadership to shape the future of advertising technology. Most importantly, you'll be part of a community that values scientific excellence and encourages you to push the boundaries of what's possible with AI.  
Watch two Applied Scientists at Amazon Ads talk about their work:  
https://www.youtube.com/watch?v\=vvHsURsIPEA  
Learn more about Amazon Ads:  
https://advertising.amazon.com/  
Key job responsibilities  
As a Senior Applied Scientist in Amazon Ads, you will:  
* Research and implement cutting\-edge ML approaches, including applications of generative AI and large language models
* Develop and deploy innovative ML solutions spanning multiple disciplines – from ranking and personalization to natural language processing, computer vision, recommender systems, and large language models
* Drive end\-to\-end projects that tackle ambiguous problems at massive scale, often working with petabytes of data
\- Build and optimize models that balance multiple stakeholder needs \- helping customers discover relevant products while enabling advertisers to achieve their goals efficiently  
* Build ML models, perform proof\-of\-concept, experiment, optimize, and deploy your models into production, working closely with cross\-functional teams including engineers, product managers, and other scientists
* Design and run A/B experiments to validate hypotheses, gather insights from large\-scale data analysis, and measure business impact
* Develop scalable, efficient processes for model development, validation, and deployment that optimize traffic monetization while maintaining customer experience
**BASIC QUALIFICATIONS**
------------------------
* 5\+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For salaried roles, your Amazon package will include listed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https://amazon.jobs/en/benefits/us\-benefits\-and\-stock.  
Colorado $167,100 \- $226,100 annually  
National $150,400 \- $260,000 annually</t>
        </is>
      </c>
    </row>
    <row r="6">
      <c r="A6" t="inlineStr">
        <is>
          <t>in-13ab10e2c2d47892</t>
        </is>
      </c>
      <c r="B6" t="inlineStr">
        <is>
          <t>Sr. Applied Scientist, Amazon Ads</t>
        </is>
      </c>
      <c r="C6" t="inlineStr">
        <is>
          <t>Amazon.com</t>
        </is>
      </c>
      <c r="D6" t="inlineStr">
        <is>
          <t>indeed</t>
        </is>
      </c>
      <c r="E6">
        <f>HYPERLINK("https://www.indeed.com/viewjob?jk=13ab10e2c2d47892", "https://www.indeed.com/viewjob?jk=13ab10e2c2d47892")</f>
        <v/>
      </c>
      <c r="F6">
        <f>HYPERLINK("https://www.amazon.jobs/jobs/3139328/sr-applied-scientist-amazon-ads?cmpid=DA_INAD200785B", "https://www.amazon.jobs/jobs/3139328/sr-applied-scientist-amazon-ads?cmpid=DA_INAD200785B")</f>
        <v/>
      </c>
      <c r="G6" t="inlineStr">
        <is>
          <t>Tukwila, WA, US</t>
        </is>
      </c>
      <c r="H6" s="1" t="n">
        <v>45998</v>
      </c>
      <c r="I6" t="inlineStr">
        <is>
          <t>**DESCRIPTION**
---------------
Application deadline: Applications will be accepted on an ongoing basis  
Amazon Ads is re\-imagining advertising through cutting\-edge generative artificial intelligence (AI) technologies. We combine human creativity with AI to transform every aspect of the advertising life cycle—from ad creation and optimization to performance analysis and customer insights. Our solutions help advertisers grow their brands while enabling millions of customers to discover and purchase products through delightful experiences. We deliver billions of ad impressions and millions of clicks daily, breaking fresh ground in product and technical innovations. If you're energized by solving complex challenges and pushing the boundaries of what's possible with AI, join us in shaping the future of advertising.  
Why you’ll love this role:
This role offers unprecedented breadth in ML applications and access to extensive computational resources and rich datasets that will enable you to build truly innovative solutions. You'll work on projects that span the full advertising life cycle, from sophisticated ranking algorithms and real\-time bidding systems to creative optimization and measurement solutions.  
You'll work alongside talented engineers, scientists, and product leaders in a culture that encourages innovation, experimentation, and bias for action, and you’ll directly influence business strategy through your scientific expertise. What makes this role unique is the combination of scientific rigor with real\-world impact. You’ll re\-imagine advertising through the lens of advanced ML while solving problems that balance the needs of advertisers, customers, and Amazon's business objectives.  
Your impact and career growth:
Amazon Ads is investing heavily in AI and ML capabilities, creating opportunities for scientists to innovate and make their marks. Your work will directly impact millions. Whether you see yourself growing as an individual contributor or moving into people management, there are clear paths for career progression. This role combines scientific leadership, organizational ability, technical strength, and business understanding. You'll have opportunities to lead technical initiatives, mentor other scientists, and collaborate with senior leadership to shape the future of advertising technology. Most importantly, you'll be part of a community that values scientific excellence and encourages you to push the boundaries of what's possible with AI.  
Watch two Applied Scientists at Amazon Ads talk about their work:  
https://www.youtube.com/watch?v\=vvHsURsIPEA  
Learn more about Amazon Ads:  
https://advertising.amazon.com/  
Key job responsibilities  
As a Senior Applied Scientist in Amazon Ads, you will:  
* Research and implement cutting\-edge ML approaches, including applications of generative AI and large language models
* Develop and deploy innovative ML solutions spanning multiple disciplines – from ranking and personalization to natural language processing, computer vision, recommender systems, and large language models
* Drive end\-to\-end projects that tackle ambiguous problems at massive scale, often working with petabytes of data
\- Build and optimize models that balance multiple stakeholder needs \- helping customers discover relevant products while enabling advertisers to achieve their goals efficiently  
* Build ML models, perform proof\-of\-concept, experiment, optimize, and deploy your models into production, working closely with cross\-functional teams including engineers, product managers, and other scientists
* Design and run A/B experiments to validate hypotheses, gather insights from large\-scale data analysis, and measure business impact
* Develop scalable, efficient processes for model development, validation, and deployment that optimize traffic monetization while maintaining customer experience
**BASIC QUALIFICATIONS**
------------------------
* 5\+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For salaried roles, your Amazon package will include listed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https://amazon.jobs/en/benefits/us\-benefits\-and\-stock.  
Colorado $167,100 \- $226,100 annually  
National $150,400 \- $260,000 annually</t>
        </is>
      </c>
    </row>
    <row r="7">
      <c r="A7" t="inlineStr">
        <is>
          <t>in-aaa6e7b6a12975af</t>
        </is>
      </c>
      <c r="B7" t="inlineStr">
        <is>
          <t>Sr. Applied Scientist, Amazon Ads</t>
        </is>
      </c>
      <c r="C7" t="inlineStr">
        <is>
          <t>Amazon.com</t>
        </is>
      </c>
      <c r="D7" t="inlineStr">
        <is>
          <t>indeed</t>
        </is>
      </c>
      <c r="E7">
        <f>HYPERLINK("https://www.indeed.com/viewjob?jk=aaa6e7b6a12975af", "https://www.indeed.com/viewjob?jk=aaa6e7b6a12975af")</f>
        <v/>
      </c>
      <c r="F7">
        <f>HYPERLINK("https://www.amazon.jobs/jobs/3139328/sr-applied-scientist-amazon-ads?cmpid=DA_INAD200785B", "https://www.amazon.jobs/jobs/3139328/sr-applied-scientist-amazon-ads?cmpid=DA_INAD200785B")</f>
        <v/>
      </c>
      <c r="G7" t="inlineStr">
        <is>
          <t>Corvallis, OR, US</t>
        </is>
      </c>
      <c r="H7" s="1" t="n">
        <v>45998</v>
      </c>
      <c r="I7" t="inlineStr">
        <is>
          <t>**DESCRIPTION**
---------------
Application deadline: Applications will be accepted on an ongoing basis  
Amazon Ads is re\-imagining advertising through cutting\-edge generative artificial intelligence (AI) technologies. We combine human creativity with AI to transform every aspect of the advertising life cycle—from ad creation and optimization to performance analysis and customer insights. Our solutions help advertisers grow their brands while enabling millions of customers to discover and purchase products through delightful experiences. We deliver billions of ad impressions and millions of clicks daily, breaking fresh ground in product and technical innovations. If you're energized by solving complex challenges and pushing the boundaries of what's possible with AI, join us in shaping the future of advertising.  
Why you’ll love this role:
This role offers unprecedented breadth in ML applications and access to extensive computational resources and rich datasets that will enable you to build truly innovative solutions. You'll work on projects that span the full advertising life cycle, from sophisticated ranking algorithms and real\-time bidding systems to creative optimization and measurement solutions.  
You'll work alongside talented engineers, scientists, and product leaders in a culture that encourages innovation, experimentation, and bias for action, and you’ll directly influence business strategy through your scientific expertise. What makes this role unique is the combination of scientific rigor with real\-world impact. You’ll re\-imagine advertising through the lens of advanced ML while solving problems that balance the needs of advertisers, customers, and Amazon's business objectives.  
Your impact and career growth:
Amazon Ads is investing heavily in AI and ML capabilities, creating opportunities for scientists to innovate and make their marks. Your work will directly impact millions. Whether you see yourself growing as an individual contributor or moving into people management, there are clear paths for career progression. This role combines scientific leadership, organizational ability, technical strength, and business understanding. You'll have opportunities to lead technical initiatives, mentor other scientists, and collaborate with senior leadership to shape the future of advertising technology. Most importantly, you'll be part of a community that values scientific excellence and encourages you to push the boundaries of what's possible with AI.  
Watch two Applied Scientists at Amazon Ads talk about their work:  
https://www.youtube.com/watch?v\=vvHsURsIPEA  
Learn more about Amazon Ads:  
https://advertising.amazon.com/  
Key job responsibilities  
As a Senior Applied Scientist in Amazon Ads, you will:  
* Research and implement cutting\-edge ML approaches, including applications of generative AI and large language models
* Develop and deploy innovative ML solutions spanning multiple disciplines – from ranking and personalization to natural language processing, computer vision, recommender systems, and large language models
* Drive end\-to\-end projects that tackle ambiguous problems at massive scale, often working with petabytes of data
\- Build and optimize models that balance multiple stakeholder needs \- helping customers discover relevant products while enabling advertisers to achieve their goals efficiently  
* Build ML models, perform proof\-of\-concept, experiment, optimize, and deploy your models into production, working closely with cross\-functional teams including engineers, product managers, and other scientists
* Design and run A/B experiments to validate hypotheses, gather insights from large\-scale data analysis, and measure business impact
* Develop scalable, efficient processes for model development, validation, and deployment that optimize traffic monetization while maintaining customer experience
**BASIC QUALIFICATIONS**
------------------------
* 5\+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For salaried roles, your Amazon package will include listed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https://amazon.jobs/en/benefits/us\-benefits\-and\-stock.  
Colorado $167,100 \- $226,100 annually  
National $150,400 \- $260,000 annually</t>
        </is>
      </c>
    </row>
    <row r="8">
      <c r="A8" t="inlineStr">
        <is>
          <t>in-2191f9140db1826b</t>
        </is>
      </c>
      <c r="B8" t="inlineStr">
        <is>
          <t>Sr. Applied Scientist, Amazon Ads</t>
        </is>
      </c>
      <c r="C8" t="inlineStr">
        <is>
          <t>Amazon.com</t>
        </is>
      </c>
      <c r="D8" t="inlineStr">
        <is>
          <t>indeed</t>
        </is>
      </c>
      <c r="E8">
        <f>HYPERLINK("https://www.indeed.com/viewjob?jk=2191f9140db1826b", "https://www.indeed.com/viewjob?jk=2191f9140db1826b")</f>
        <v/>
      </c>
      <c r="F8">
        <f>HYPERLINK("https://www.amazon.jobs/jobs/3139328/sr-applied-scientist-amazon-ads?cmpid=DA_INAD200785B", "https://www.amazon.jobs/jobs/3139328/sr-applied-scientist-amazon-ads?cmpid=DA_INAD200785B")</f>
        <v/>
      </c>
      <c r="G8" t="inlineStr">
        <is>
          <t>Seattle, WA, US</t>
        </is>
      </c>
      <c r="H8" s="1" t="n">
        <v>45998</v>
      </c>
      <c r="I8" t="inlineStr">
        <is>
          <t>**DESCRIPTION**
---------------
Application deadline: Applications will be accepted on an ongoing basis  
Amazon Ads is re\-imagining advertising through cutting\-edge generative artificial intelligence (AI) technologies. We combine human creativity with AI to transform every aspect of the advertising life cycle—from ad creation and optimization to performance analysis and customer insights. Our solutions help advertisers grow their brands while enabling millions of customers to discover and purchase products through delightful experiences. We deliver billions of ad impressions and millions of clicks daily, breaking fresh ground in product and technical innovations. If you're energized by solving complex challenges and pushing the boundaries of what's possible with AI, join us in shaping the future of advertising.  
Why you’ll love this role:
This role offers unprecedented breadth in ML applications and access to extensive computational resources and rich datasets that will enable you to build truly innovative solutions. You'll work on projects that span the full advertising life cycle, from sophisticated ranking algorithms and real\-time bidding systems to creative optimization and measurement solutions.  
You'll work alongside talented engineers, scientists, and product leaders in a culture that encourages innovation, experimentation, and bias for action, and you’ll directly influence business strategy through your scientific expertise. What makes this role unique is the combination of scientific rigor with real\-world impact. You’ll re\-imagine advertising through the lens of advanced ML while solving problems that balance the needs of advertisers, customers, and Amazon's business objectives.  
Your impact and career growth:
Amazon Ads is investing heavily in AI and ML capabilities, creating opportunities for scientists to innovate and make their marks. Your work will directly impact millions. Whether you see yourself growing as an individual contributor or moving into people management, there are clear paths for career progression. This role combines scientific leadership, organizational ability, technical strength, and business understanding. You'll have opportunities to lead technical initiatives, mentor other scientists, and collaborate with senior leadership to shape the future of advertising technology. Most importantly, you'll be part of a community that values scientific excellence and encourages you to push the boundaries of what's possible with AI.  
Watch two Applied Scientists at Amazon Ads talk about their work:  
https://www.youtube.com/watch?v\=vvHsURsIPEA  
Learn more about Amazon Ads:  
https://advertising.amazon.com/  
Key job responsibilities  
As a Senior Applied Scientist in Amazon Ads, you will:  
* Research and implement cutting\-edge ML approaches, including applications of generative AI and large language models
* Develop and deploy innovative ML solutions spanning multiple disciplines – from ranking and personalization to natural language processing, computer vision, recommender systems, and large language models
* Drive end\-to\-end projects that tackle ambiguous problems at massive scale, often working with petabytes of data
\- Build and optimize models that balance multiple stakeholder needs \- helping customers discover relevant products while enabling advertisers to achieve their goals efficiently  
* Build ML models, perform proof\-of\-concept, experiment, optimize, and deploy your models into production, working closely with cross\-functional teams including engineers, product managers, and other scientists
* Design and run A/B experiments to validate hypotheses, gather insights from large\-scale data analysis, and measure business impact
* Develop scalable, efficient processes for model development, validation, and deployment that optimize traffic monetization while maintaining customer experience
**BASIC QUALIFICATIONS**
------------------------
* 5\+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For salaried roles, your Amazon package will include listed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https://amazon.jobs/en/benefits/us\-benefits\-and\-stock.  
Colorado $167,100 \- $226,100 annually  
National $150,400 \- $260,000 annually</t>
        </is>
      </c>
    </row>
    <row r="9">
      <c r="A9" t="inlineStr">
        <is>
          <t>in-0d9fda81a1eda978</t>
        </is>
      </c>
      <c r="B9" t="inlineStr">
        <is>
          <t>Sr. Applied Scientist, Amazon Ads</t>
        </is>
      </c>
      <c r="C9" t="inlineStr">
        <is>
          <t>Amazon.com</t>
        </is>
      </c>
      <c r="D9" t="inlineStr">
        <is>
          <t>indeed</t>
        </is>
      </c>
      <c r="E9">
        <f>HYPERLINK("https://www.indeed.com/viewjob?jk=0d9fda81a1eda978", "https://www.indeed.com/viewjob?jk=0d9fda81a1eda978")</f>
        <v/>
      </c>
      <c r="F9">
        <f>HYPERLINK("https://www.amazon.jobs/jobs/3139328/sr-applied-scientist-amazon-ads?cmpid=DA_INAD200785B", "https://www.amazon.jobs/jobs/3139328/sr-applied-scientist-amazon-ads?cmpid=DA_INAD200785B")</f>
        <v/>
      </c>
      <c r="G9" t="inlineStr">
        <is>
          <t>Boulder, CO, US</t>
        </is>
      </c>
      <c r="H9" s="1" t="n">
        <v>45998</v>
      </c>
      <c r="I9" t="inlineStr">
        <is>
          <t>**DESCRIPTION**
---------------
Application deadline: Applications will be accepted on an ongoing basis  
Amazon Ads is re\-imagining advertising through cutting\-edge generative artificial intelligence (AI) technologies. We combine human creativity with AI to transform every aspect of the advertising life cycle—from ad creation and optimization to performance analysis and customer insights. Our solutions help advertisers grow their brands while enabling millions of customers to discover and purchase products through delightful experiences. We deliver billions of ad impressions and millions of clicks daily, breaking fresh ground in product and technical innovations. If you're energized by solving complex challenges and pushing the boundaries of what's possible with AI, join us in shaping the future of advertising.  
Why you’ll love this role:
This role offers unprecedented breadth in ML applications and access to extensive computational resources and rich datasets that will enable you to build truly innovative solutions. You'll work on projects that span the full advertising life cycle, from sophisticated ranking algorithms and real\-time bidding systems to creative optimization and measurement solutions.  
You'll work alongside talented engineers, scientists, and product leaders in a culture that encourages innovation, experimentation, and bias for action, and you’ll directly influence business strategy through your scientific expertise. What makes this role unique is the combination of scientific rigor with real\-world impact. You’ll re\-imagine advertising through the lens of advanced ML while solving problems that balance the needs of advertisers, customers, and Amazon's business objectives.  
Your impact and career growth:
Amazon Ads is investing heavily in AI and ML capabilities, creating opportunities for scientists to innovate and make their marks. Your work will directly impact millions. Whether you see yourself growing as an individual contributor or moving into people management, there are clear paths for career progression. This role combines scientific leadership, organizational ability, technical strength, and business understanding. You'll have opportunities to lead technical initiatives, mentor other scientists, and collaborate with senior leadership to shape the future of advertising technology. Most importantly, you'll be part of a community that values scientific excellence and encourages you to push the boundaries of what's possible with AI.  
Watch two Applied Scientists at Amazon Ads talk about their work:  
https://www.youtube.com/watch?v\=vvHsURsIPEA  
Learn more about Amazon Ads:  
https://advertising.amazon.com/  
Key job responsibilities  
As a Senior Applied Scientist in Amazon Ads, you will:  
* Research and implement cutting\-edge ML approaches, including applications of generative AI and large language models
* Develop and deploy innovative ML solutions spanning multiple disciplines – from ranking and personalization to natural language processing, computer vision, recommender systems, and large language models
* Drive end\-to\-end projects that tackle ambiguous problems at massive scale, often working with petabytes of data
\- Build and optimize models that balance multiple stakeholder needs \- helping customers discover relevant products while enabling advertisers to achieve their goals efficiently  
* Build ML models, perform proof\-of\-concept, experiment, optimize, and deploy your models into production, working closely with cross\-functional teams including engineers, product managers, and other scientists
* Design and run A/B experiments to validate hypotheses, gather insights from large\-scale data analysis, and measure business impact
* Develop scalable, efficient processes for model development, validation, and deployment that optimize traffic monetization while maintaining customer experience
**BASIC QUALIFICATIONS**
------------------------
* 5\+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For salaried roles, your Amazon package will include listed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https://amazon.jobs/en/benefits/us\-benefits\-and\-stock.  
Colorado $167,100 \- $226,100 annually  
National $150,400 \- $260,000 annually</t>
        </is>
      </c>
    </row>
    <row r="10">
      <c r="A10" t="inlineStr">
        <is>
          <t>in-d7912e78b5f014c3</t>
        </is>
      </c>
      <c r="B10" t="inlineStr">
        <is>
          <t>Sr. Applied Scientist, Amazon Ads</t>
        </is>
      </c>
      <c r="C10" t="inlineStr">
        <is>
          <t>Amazon.com</t>
        </is>
      </c>
      <c r="D10" t="inlineStr">
        <is>
          <t>indeed</t>
        </is>
      </c>
      <c r="E10">
        <f>HYPERLINK("https://www.indeed.com/viewjob?jk=d7912e78b5f014c3", "https://www.indeed.com/viewjob?jk=d7912e78b5f014c3")</f>
        <v/>
      </c>
      <c r="F10">
        <f>HYPERLINK("https://www.amazon.jobs/jobs/3139328/sr-applied-scientist-amazon-ads?cmpid=DA_INAD200785B", "https://www.amazon.jobs/jobs/3139328/sr-applied-scientist-amazon-ads?cmpid=DA_INAD200785B")</f>
        <v/>
      </c>
      <c r="G10" t="inlineStr">
        <is>
          <t>Sunnyvale, CA, US</t>
        </is>
      </c>
      <c r="H10" s="1" t="n">
        <v>45998</v>
      </c>
      <c r="I10" t="inlineStr">
        <is>
          <t>**DESCRIPTION**
---------------
Application deadline: Applications will be accepted on an ongoing basis  
Amazon Ads is re\-imagining advertising through cutting\-edge generative artificial intelligence (AI) technologies. We combine human creativity with AI to transform every aspect of the advertising life cycle—from ad creation and optimization to performance analysis and customer insights. Our solutions help advertisers grow their brands while enabling millions of customers to discover and purchase products through delightful experiences. We deliver billions of ad impressions and millions of clicks daily, breaking fresh ground in product and technical innovations. If you're energized by solving complex challenges and pushing the boundaries of what's possible with AI, join us in shaping the future of advertising.  
Why you’ll love this role:
This role offers unprecedented breadth in ML applications and access to extensive computational resources and rich datasets that will enable you to build truly innovative solutions. You'll work on projects that span the full advertising life cycle, from sophisticated ranking algorithms and real\-time bidding systems to creative optimization and measurement solutions.  
You'll work alongside talented engineers, scientists, and product leaders in a culture that encourages innovation, experimentation, and bias for action, and you’ll directly influence business strategy through your scientific expertise. What makes this role unique is the combination of scientific rigor with real\-world impact. You’ll re\-imagine advertising through the lens of advanced ML while solving problems that balance the needs of advertisers, customers, and Amazon's business objectives.  
Your impact and career growth:
Amazon Ads is investing heavily in AI and ML capabilities, creating opportunities for scientists to innovate and make their marks. Your work will directly impact millions. Whether you see yourself growing as an individual contributor or moving into people management, there are clear paths for career progression. This role combines scientific leadership, organizational ability, technical strength, and business understanding. You'll have opportunities to lead technical initiatives, mentor other scientists, and collaborate with senior leadership to shape the future of advertising technology. Most importantly, you'll be part of a community that values scientific excellence and encourages you to push the boundaries of what's possible with AI.  
Watch two Applied Scientists at Amazon Ads talk about their work:  
https://www.youtube.com/watch?v\=vvHsURsIPEA  
Learn more about Amazon Ads:  
https://advertising.amazon.com/  
Key job responsibilities  
As a Senior Applied Scientist in Amazon Ads, you will:  
* Research and implement cutting\-edge ML approaches, including applications of generative AI and large language models
* Develop and deploy innovative ML solutions spanning multiple disciplines – from ranking and personalization to natural language processing, computer vision, recommender systems, and large language models
* Drive end\-to\-end projects that tackle ambiguous problems at massive scale, often working with petabytes of data
\- Build and optimize models that balance multiple stakeholder needs \- helping customers discover relevant products while enabling advertisers to achieve their goals efficiently  
* Build ML models, perform proof\-of\-concept, experiment, optimize, and deploy your models into production, working closely with cross\-functional teams including engineers, product managers, and other scientists
* Design and run A/B experiments to validate hypotheses, gather insights from large\-scale data analysis, and measure business impact
* Develop scalable, efficient processes for model development, validation, and deployment that optimize traffic monetization while maintaining customer experience
**BASIC QUALIFICATIONS**
------------------------
* 5\+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For salaried roles, your Amazon package will include listed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https://amazon.jobs/en/benefits/us\-benefits\-and\-stock.  
Colorado $167,100 \- $226,100 annually  
National $150,400 \- $260,000 annually</t>
        </is>
      </c>
    </row>
    <row r="11">
      <c r="A11" t="inlineStr">
        <is>
          <t>in-b0fe9acdcac88caa</t>
        </is>
      </c>
      <c r="B11" t="inlineStr">
        <is>
          <t>Sr. Applied Scientist, Amazon Ads</t>
        </is>
      </c>
      <c r="C11" t="inlineStr">
        <is>
          <t>Amazon.com</t>
        </is>
      </c>
      <c r="D11" t="inlineStr">
        <is>
          <t>indeed</t>
        </is>
      </c>
      <c r="E11">
        <f>HYPERLINK("https://www.indeed.com/viewjob?jk=b0fe9acdcac88caa", "https://www.indeed.com/viewjob?jk=b0fe9acdcac88caa")</f>
        <v/>
      </c>
      <c r="F11">
        <f>HYPERLINK("https://www.amazon.jobs/jobs/3139328/sr-applied-scientist-amazon-ads?cmpid=DA_INAD200785B", "https://www.amazon.jobs/jobs/3139328/sr-applied-scientist-amazon-ads?cmpid=DA_INAD200785B")</f>
        <v/>
      </c>
      <c r="G11" t="inlineStr">
        <is>
          <t>Boston, MA, US</t>
        </is>
      </c>
      <c r="H11" s="1" t="n">
        <v>45998</v>
      </c>
      <c r="I11" t="inlineStr">
        <is>
          <t>**DESCRIPTION**
---------------
Application deadline: Applications will be accepted on an ongoing basis  
Amazon Ads is re\-imagining advertising through cutting\-edge generative artificial intelligence (AI) technologies. We combine human creativity with AI to transform every aspect of the advertising life cycle—from ad creation and optimization to performance analysis and customer insights. Our solutions help advertisers grow their brands while enabling millions of customers to discover and purchase products through delightful experiences. We deliver billions of ad impressions and millions of clicks daily, breaking fresh ground in product and technical innovations. If you're energized by solving complex challenges and pushing the boundaries of what's possible with AI, join us in shaping the future of advertising.  
Why you’ll love this role:
This role offers unprecedented breadth in ML applications and access to extensive computational resources and rich datasets that will enable you to build truly innovative solutions. You'll work on projects that span the full advertising life cycle, from sophisticated ranking algorithms and real\-time bidding systems to creative optimization and measurement solutions.  
You'll work alongside talented engineers, scientists, and product leaders in a culture that encourages innovation, experimentation, and bias for action, and you’ll directly influence business strategy through your scientific expertise. What makes this role unique is the combination of scientific rigor with real\-world impact. You’ll re\-imagine advertising through the lens of advanced ML while solving problems that balance the needs of advertisers, customers, and Amazon's business objectives.  
Your impact and career growth:
Amazon Ads is investing heavily in AI and ML capabilities, creating opportunities for scientists to innovate and make their marks. Your work will directly impact millions. Whether you see yourself growing as an individual contributor or moving into people management, there are clear paths for career progression. This role combines scientific leadership, organizational ability, technical strength, and business understanding. You'll have opportunities to lead technical initiatives, mentor other scientists, and collaborate with senior leadership to shape the future of advertising technology. Most importantly, you'll be part of a community that values scientific excellence and encourages you to push the boundaries of what's possible with AI.  
Watch two Applied Scientists at Amazon Ads talk about their work:  
https://www.youtube.com/watch?v\=vvHsURsIPEA  
Learn more about Amazon Ads:  
https://advertising.amazon.com/  
Key job responsibilities  
As a Senior Applied Scientist in Amazon Ads, you will:  
* Research and implement cutting\-edge ML approaches, including applications of generative AI and large language models
* Develop and deploy innovative ML solutions spanning multiple disciplines – from ranking and personalization to natural language processing, computer vision, recommender systems, and large language models
* Drive end\-to\-end projects that tackle ambiguous problems at massive scale, often working with petabytes of data
\- Build and optimize models that balance multiple stakeholder needs \- helping customers discover relevant products while enabling advertisers to achieve their goals efficiently  
* Build ML models, perform proof\-of\-concept, experiment, optimize, and deploy your models into production, working closely with cross\-functional teams including engineers, product managers, and other scientists
* Design and run A/B experiments to validate hypotheses, gather insights from large\-scale data analysis, and measure business impact
* Develop scalable, efficient processes for model development, validation, and deployment that optimize traffic monetization while maintaining customer experience
**BASIC QUALIFICATIONS**
------------------------
* 5\+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For salaried roles, your Amazon package will include listed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https://amazon.jobs/en/benefits/us\-benefits\-and\-stock.  
Colorado $167,100 \- $226,100 annually  
National $150,400 \- $260,000 annually</t>
        </is>
      </c>
    </row>
    <row r="12">
      <c r="A12" t="inlineStr">
        <is>
          <t>in-5f7701a182ccc85d</t>
        </is>
      </c>
      <c r="B12" t="inlineStr">
        <is>
          <t>Applied Scientist II, Prime Video - Personalization and Discovery Science, Personalization and Discovery Science</t>
        </is>
      </c>
      <c r="C12" t="inlineStr">
        <is>
          <t>Amazon.com</t>
        </is>
      </c>
      <c r="D12" t="inlineStr">
        <is>
          <t>indeed</t>
        </is>
      </c>
      <c r="E12">
        <f>HYPERLINK("https://www.indeed.com/viewjob?jk=5f7701a182ccc85d", "https://www.indeed.com/viewjob?jk=5f7701a182ccc85d")</f>
        <v/>
      </c>
      <c r="F12">
        <f>HYPERLINK("https://www.amazon.jobs/jobs/3099334/applied-scientist-ii-prime-video--personalization-and-discovery-science-personalization-and-discovery-science?cmpid=DA_INAD200785B", "https://www.amazon.jobs/jobs/3099334/applied-scientist-ii-prime-video--personalization-and-discovery-science-personalization-and-discovery-science?cmpid=DA_INAD200785B")</f>
        <v/>
      </c>
      <c r="G12" t="inlineStr">
        <is>
          <t>New York, NY, US</t>
        </is>
      </c>
      <c r="H12" s="1" t="n">
        <v>45930</v>
      </c>
      <c r="I12"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Key job responsibilities  
Develop ML models for various recommendation \&amp; search systems using deep learning, online learning, and optimization methods  
Work closely with other scientists, engineers and product managers to expand the depth of our product insights with data, create a variety of experiments to determine the high impact projects to include in planning roadmaps  
Stay up\-to\-date with advancements and the latest modeling techniques in the field  
Publish your research findings in top conferences and journals  
A day in the life  
We're using advanced approaches such as foundation models to connect information about our videos and customers from a variety of information sources, acquiring and processing data sets on a scale that only a few companies in the world can match. This will enable us to recommend titles effectively, even when we don't have a large behavioral signal (to tackle the cold\-start title problem). It will also allow us to find our customer's niche interests, helping them discover groups of titles that they didn't even know existed. We are looking for creative \&amp; customer obsessed machine learning scientists who can apply the latest research, state of the art algorithms and ML to build highly scalable page personalization solutions. You'll be a research leader in the space and a hands\-on ML practitioner, guiding and collaborating with talented teams of engineers and scientists and senior leaders in the Prime Video organization. You will also have the opportunity to publish your research at internal and external conferences.
**BASIC QUALIFICATIONS**
------------------------
* 3\+ years of building models for business application experience
* PhD, or Master's degree and 4\+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3">
      <c r="A13" t="inlineStr">
        <is>
          <t>in-fcbf11f1387bb3ca</t>
        </is>
      </c>
      <c r="B13" t="inlineStr">
        <is>
          <t>Applied Scientist II, Prime Video - Personalization and Discovery Science, Personalization and Discovery Science</t>
        </is>
      </c>
      <c r="C13" t="inlineStr">
        <is>
          <t>Amazon.com</t>
        </is>
      </c>
      <c r="D13" t="inlineStr">
        <is>
          <t>indeed</t>
        </is>
      </c>
      <c r="E13">
        <f>HYPERLINK("https://www.indeed.com/viewjob?jk=fcbf11f1387bb3ca", "https://www.indeed.com/viewjob?jk=fcbf11f1387bb3ca")</f>
        <v/>
      </c>
      <c r="F13">
        <f>HYPERLINK("https://www.amazon.jobs/jobs/3099334/applied-scientist-ii-prime-video--personalization-and-discovery-science-personalization-and-discovery-science?cmpid=DA_INAD200785B", "https://www.amazon.jobs/jobs/3099334/applied-scientist-ii-prime-video--personalization-and-discovery-science-personalization-and-discovery-science?cmpid=DA_INAD200785B")</f>
        <v/>
      </c>
      <c r="G13" t="inlineStr">
        <is>
          <t>Sunnyvale, CA, US</t>
        </is>
      </c>
      <c r="H13" s="1" t="n">
        <v>45930</v>
      </c>
      <c r="I13"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Key job responsibilities  
Develop ML models for various recommendation \&amp; search systems using deep learning, online learning, and optimization methods  
Work closely with other scientists, engineers and product managers to expand the depth of our product insights with data, create a variety of experiments to determine the high impact projects to include in planning roadmaps  
Stay up\-to\-date with advancements and the latest modeling techniques in the field  
Publish your research findings in top conferences and journals  
A day in the life  
We're using advanced approaches such as foundation models to connect information about our videos and customers from a variety of information sources, acquiring and processing data sets on a scale that only a few companies in the world can match. This will enable us to recommend titles effectively, even when we don't have a large behavioral signal (to tackle the cold\-start title problem). It will also allow us to find our customer's niche interests, helping them discover groups of titles that they didn't even know existed. We are looking for creative \&amp; customer obsessed machine learning scientists who can apply the latest research, state of the art algorithms and ML to build highly scalable page personalization solutions. You'll be a research leader in the space and a hands\-on ML practitioner, guiding and collaborating with talented teams of engineers and scientists and senior leaders in the Prime Video organization. You will also have the opportunity to publish your research at internal and external conferences.
**BASIC QUALIFICATIONS**
------------------------
* 3\+ years of building models for business application experience
* PhD, or Master's degree and 4\+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4">
      <c r="A14" t="inlineStr">
        <is>
          <t>in-62555f5c2dd9e762</t>
        </is>
      </c>
      <c r="B14" t="inlineStr">
        <is>
          <t>Applied Scientist II, Prime Video - Personalization and Discovery Science, Personalization and Discovery Science</t>
        </is>
      </c>
      <c r="C14" t="inlineStr">
        <is>
          <t>Amazon.com</t>
        </is>
      </c>
      <c r="D14" t="inlineStr">
        <is>
          <t>indeed</t>
        </is>
      </c>
      <c r="E14">
        <f>HYPERLINK("https://www.indeed.com/viewjob?jk=62555f5c2dd9e762", "https://www.indeed.com/viewjob?jk=62555f5c2dd9e762")</f>
        <v/>
      </c>
      <c r="F14">
        <f>HYPERLINK("https://www.amazon.jobs/jobs/3099334/applied-scientist-ii-prime-video--personalization-and-discovery-science-personalization-and-discovery-science?cmpid=DA_INAD200785B", "https://www.amazon.jobs/jobs/3099334/applied-scientist-ii-prime-video--personalization-and-discovery-science-personalization-and-discovery-science?cmpid=DA_INAD200785B")</f>
        <v/>
      </c>
      <c r="G14" t="inlineStr">
        <is>
          <t>Seattle, WA, US</t>
        </is>
      </c>
      <c r="H14" s="1" t="n">
        <v>45930</v>
      </c>
      <c r="I14"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Key job responsibilities  
Develop ML models for various recommendation \&amp; search systems using deep learning, online learning, and optimization methods  
Work closely with other scientists, engineers and product managers to expand the depth of our product insights with data, create a variety of experiments to determine the high impact projects to include in planning roadmaps  
Stay up\-to\-date with advancements and the latest modeling techniques in the field  
Publish your research findings in top conferences and journals  
A day in the life  
We're using advanced approaches such as foundation models to connect information about our videos and customers from a variety of information sources, acquiring and processing data sets on a scale that only a few companies in the world can match. This will enable us to recommend titles effectively, even when we don't have a large behavioral signal (to tackle the cold\-start title problem). It will also allow us to find our customer's niche interests, helping them discover groups of titles that they didn't even know existed. We are looking for creative \&amp; customer obsessed machine learning scientists who can apply the latest research, state of the art algorithms and ML to build highly scalable page personalization solutions. You'll be a research leader in the space and a hands\-on ML practitioner, guiding and collaborating with talented teams of engineers and scientists and senior leaders in the Prime Video organization. You will also have the opportunity to publish your research at internal and external conferences.
**BASIC QUALIFICATIONS**
------------------------
* 3\+ years of building models for business application experience
* PhD, or Master's degree and 4\+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5">
      <c r="A15" t="inlineStr">
        <is>
          <t>in-93b7cb2f24de2ff0</t>
        </is>
      </c>
      <c r="B15" t="inlineStr">
        <is>
          <t>Applied Scientist II, Prime Video - Personalization and Discovery Science</t>
        </is>
      </c>
      <c r="C15" t="inlineStr">
        <is>
          <t>Amazon.com</t>
        </is>
      </c>
      <c r="D15" t="inlineStr">
        <is>
          <t>indeed</t>
        </is>
      </c>
      <c r="E15">
        <f>HYPERLINK("https://www.indeed.com/viewjob?jk=93b7cb2f24de2ff0", "https://www.indeed.com/viewjob?jk=93b7cb2f24de2ff0")</f>
        <v/>
      </c>
      <c r="F15">
        <f>HYPERLINK("https://www.amazon.jobs/jobs/3059253/applied-scientist-ii-prime-video--personalization-and-discovery-science?cmpid=DA_INAD200785B", "https://www.amazon.jobs/jobs/3059253/applied-scientist-ii-prime-video--personalization-and-discovery-science?cmpid=DA_INAD200785B")</f>
        <v/>
      </c>
      <c r="G15" t="inlineStr">
        <is>
          <t>Seattle, WA, US</t>
        </is>
      </c>
      <c r="H15" s="1" t="n">
        <v>45881</v>
      </c>
      <c r="I15"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Key job responsibilities  
* Develop ML models for various recommendation \&amp; search systems using deep learning, online learning, and optimization methods
* Work closely with other scientists, engineers and product managers to expand the depth of our product insights with data, create a variety of experiments to determine the high impact projects to include in planning roadmaps
* Stay up\-to\-date with advancements and the latest modeling techniques in the field
* Publish your research findings in top conferences and journals
A day in the life  
We're using advanced approaches such as foundation models to connect information about our videos and customers from a variety of information sources, acquiring and processing data sets on a scale that only a few companies in the world can match. This will enable us to recommend titles effectively, even when we don't have a large behavioral signal (to tackle the cold\-start title problem). It will also allow us to find our customer's niche interests, helping them discover groups of titles that they didn't even know existed. We are looking for creative \&amp; customer obsessed machine learning scientists who can apply the latest research, state of the art algorithms and ML to build highly scalable page personalization solutions. You'll be a research leader in the space and a hands\-on ML practitioner, guiding and collaborating with talented teams of engineers and scientists and senior leaders in the Prime Video organization. You will also have the opportunity to publish your research at internal and external conferences.
**BASIC QUALIFICATIONS**
------------------------
* 3\+ years of building models for business application experience
* PhD, or Master's degree and 4\+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6">
      <c r="A16" t="inlineStr">
        <is>
          <t>in-05da49f34dec8b7c</t>
        </is>
      </c>
      <c r="B16" t="inlineStr">
        <is>
          <t>Sr. Applied Scientist, Prime Video - Personalization and Discovery Science</t>
        </is>
      </c>
      <c r="C16" t="inlineStr">
        <is>
          <t>Amazon.com</t>
        </is>
      </c>
      <c r="D16" t="inlineStr">
        <is>
          <t>indeed</t>
        </is>
      </c>
      <c r="E16">
        <f>HYPERLINK("https://www.indeed.com/viewjob?jk=05da49f34dec8b7c", "https://www.indeed.com/viewjob?jk=05da49f34dec8b7c")</f>
        <v/>
      </c>
      <c r="F16">
        <f>HYPERLINK("https://www.amazon.jobs/jobs/3059256/sr-applied-scientist-prime-video--personalization-and-discovery-science?cmpid=DA_INAD200785B", "https://www.amazon.jobs/jobs/3059256/sr-applied-scientist-prime-video--personalization-and-discovery-science?cmpid=DA_INAD200785B")</f>
        <v/>
      </c>
      <c r="G16" t="inlineStr">
        <is>
          <t>Sunnyvale, CA, US</t>
        </is>
      </c>
      <c r="H16" s="1" t="n">
        <v>45881</v>
      </c>
      <c r="I16"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We are looking for a self\-motivated, passionate and resourceful Applied Scientist to bring diverse perspectives, ideas, and skill\-sets to make Prime Video even better for our customers. You will spend your time as a hands\-on machine learning practitioner and a research leader. You will play a key role on the team, building and guiding machine learning models from the ground up. At the end of the day, you will have the reward of seeing your contributions benefit millions of Amazon.com customers worldwide.  
Key job responsibilities  
* Develop AI solutions for various Prime Video Search systems using Deep learning, GenAI, Reinforcement Learning, and optimization methods;
* Work closely with engineers and product managers to design, implement and launch AI solutions end\-to\-end;
* Design and conduct offline and online (A/B) experiments to evaluate proposed solutions based on in\-depth data analyses;
* Effectively communicate technical and non\-technical ideas with teammates and stakeholders;
* Stay up\-to\-date with advancements and the latest modeling techniques in the field;
* Publish your research findings in top conferences and journals.
About the team  
Prime Video Search Science team owns science solution to power search experience on various devices, from sourcing, relevance, ranking, to name a few. We work closely with the engineering teams to launch our solutions in production.**BASIC QUALIFICATIONS**
------------------------
* PhD, or Master's degree and 6\+ years of applied research experience
* 5\+ years of building machine learning models for business application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7">
      <c r="A17" t="inlineStr">
        <is>
          <t>in-2435fbd64eb98968</t>
        </is>
      </c>
      <c r="B17" t="inlineStr">
        <is>
          <t>Applied Scientist II, Prime Video - Personalization and Discovery Science</t>
        </is>
      </c>
      <c r="C17" t="inlineStr">
        <is>
          <t>Amazon.com</t>
        </is>
      </c>
      <c r="D17" t="inlineStr">
        <is>
          <t>indeed</t>
        </is>
      </c>
      <c r="E17">
        <f>HYPERLINK("https://www.indeed.com/viewjob?jk=2435fbd64eb98968", "https://www.indeed.com/viewjob?jk=2435fbd64eb98968")</f>
        <v/>
      </c>
      <c r="F17">
        <f>HYPERLINK("https://www.amazon.jobs/jobs/3059253/applied-scientist-ii-prime-video--personalization-and-discovery-science?cmpid=DA_INAD200785B", "https://www.amazon.jobs/jobs/3059253/applied-scientist-ii-prime-video--personalization-and-discovery-science?cmpid=DA_INAD200785B")</f>
        <v/>
      </c>
      <c r="G17" t="inlineStr">
        <is>
          <t>New York, NY, US</t>
        </is>
      </c>
      <c r="H17" s="1" t="n">
        <v>45881</v>
      </c>
      <c r="I17"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Key job responsibilities  
* Develop ML models for various recommendation \&amp; search systems using deep learning, online learning, and optimization methods
* Work closely with other scientists, engineers and product managers to expand the depth of our product insights with data, create a variety of experiments to determine the high impact projects to include in planning roadmaps
* Stay up\-to\-date with advancements and the latest modeling techniques in the field
* Publish your research findings in top conferences and journals
A day in the life  
We're using advanced approaches such as foundation models to connect information about our videos and customers from a variety of information sources, acquiring and processing data sets on a scale that only a few companies in the world can match. This will enable us to recommend titles effectively, even when we don't have a large behavioral signal (to tackle the cold\-start title problem). It will also allow us to find our customer's niche interests, helping them discover groups of titles that they didn't even know existed. We are looking for creative \&amp; customer obsessed machine learning scientists who can apply the latest research, state of the art algorithms and ML to build highly scalable page personalization solutions. You'll be a research leader in the space and a hands\-on ML practitioner, guiding and collaborating with talented teams of engineers and scientists and senior leaders in the Prime Video organization. You will also have the opportunity to publish your research at internal and external conferences.
**BASIC QUALIFICATIONS**
------------------------
* 3\+ years of building models for business application experience
* PhD, or Master's degree and 4\+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8">
      <c r="A18" t="inlineStr">
        <is>
          <t>in-43e323f1bcd00105</t>
        </is>
      </c>
      <c r="B18" t="inlineStr">
        <is>
          <t>Sr. Applied Scientist, Prime Video - Personalization and Discovery Science</t>
        </is>
      </c>
      <c r="C18" t="inlineStr">
        <is>
          <t>Amazon.com</t>
        </is>
      </c>
      <c r="D18" t="inlineStr">
        <is>
          <t>indeed</t>
        </is>
      </c>
      <c r="E18">
        <f>HYPERLINK("https://www.indeed.com/viewjob?jk=43e323f1bcd00105", "https://www.indeed.com/viewjob?jk=43e323f1bcd00105")</f>
        <v/>
      </c>
      <c r="F18">
        <f>HYPERLINK("https://www.amazon.jobs/jobs/3059256/sr-applied-scientist-prime-video--personalization-and-discovery-science?cmpid=DA_INAD200785B", "https://www.amazon.jobs/jobs/3059256/sr-applied-scientist-prime-video--personalization-and-discovery-science?cmpid=DA_INAD200785B")</f>
        <v/>
      </c>
      <c r="G18" t="inlineStr">
        <is>
          <t>New York, NY, US</t>
        </is>
      </c>
      <c r="H18" s="1" t="n">
        <v>45881</v>
      </c>
      <c r="I18"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We are looking for a self\-motivated, passionate and resourceful Applied Scientist to bring diverse perspectives, ideas, and skill\-sets to make Prime Video even better for our customers. You will spend your time as a hands\-on machine learning practitioner and a research leader. You will play a key role on the team, building and guiding machine learning models from the ground up. At the end of the day, you will have the reward of seeing your contributions benefit millions of Amazon.com customers worldwide.  
Key job responsibilities  
* Develop AI solutions for various Prime Video Search systems using Deep learning, GenAI, Reinforcement Learning, and optimization methods;
* Work closely with engineers and product managers to design, implement and launch AI solutions end\-to\-end;
* Design and conduct offline and online (A/B) experiments to evaluate proposed solutions based on in\-depth data analyses;
* Effectively communicate technical and non\-technical ideas with teammates and stakeholders;
* Stay up\-to\-date with advancements and the latest modeling techniques in the field;
* Publish your research findings in top conferences and journals.
About the team  
Prime Video Search Science team owns science solution to power search experience on various devices, from sourcing, relevance, ranking, to name a few. We work closely with the engineering teams to launch our solutions in production.**BASIC QUALIFICATIONS**
------------------------
* PhD, or Master's degree and 6\+ years of applied research experience
* 5\+ years of building machine learning models for business application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9">
      <c r="A19" t="inlineStr">
        <is>
          <t>in-b6e657b2d421d8b2</t>
        </is>
      </c>
      <c r="B19" t="inlineStr">
        <is>
          <t>Sr. Applied Scientist, Prime Video - Personalization and Discovery Science</t>
        </is>
      </c>
      <c r="C19" t="inlineStr">
        <is>
          <t>Amazon.com</t>
        </is>
      </c>
      <c r="D19" t="inlineStr">
        <is>
          <t>indeed</t>
        </is>
      </c>
      <c r="E19">
        <f>HYPERLINK("https://www.indeed.com/viewjob?jk=b6e657b2d421d8b2", "https://www.indeed.com/viewjob?jk=b6e657b2d421d8b2")</f>
        <v/>
      </c>
      <c r="F19">
        <f>HYPERLINK("https://www.amazon.jobs/jobs/3059256/sr-applied-scientist-prime-video--personalization-and-discovery-science?cmpid=DA_INAD200785B", "https://www.amazon.jobs/jobs/3059256/sr-applied-scientist-prime-video--personalization-and-discovery-science?cmpid=DA_INAD200785B")</f>
        <v/>
      </c>
      <c r="G19" t="inlineStr">
        <is>
          <t>Seattle, WA, US</t>
        </is>
      </c>
      <c r="H19" s="1" t="n">
        <v>45881</v>
      </c>
      <c r="I19"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We are looking for a self\-motivated, passionate and resourceful Applied Scientist to bring diverse perspectives, ideas, and skill\-sets to make Prime Video even better for our customers. You will spend your time as a hands\-on machine learning practitioner and a research leader. You will play a key role on the team, building and guiding machine learning models from the ground up. At the end of the day, you will have the reward of seeing your contributions benefit millions of Amazon.com customers worldwide.  
Key job responsibilities  
* Develop AI solutions for various Prime Video Search systems using Deep learning, GenAI, Reinforcement Learning, and optimization methods;
* Work closely with engineers and product managers to design, implement and launch AI solutions end\-to\-end;
* Design and conduct offline and online (A/B) experiments to evaluate proposed solutions based on in\-depth data analyses;
* Effectively communicate technical and non\-technical ideas with teammates and stakeholders;
* Stay up\-to\-date with advancements and the latest modeling techniques in the field;
* Publish your research findings in top conferences and journals.
About the team  
Prime Video Search Science team owns science solution to power search experience on various devices, from sourcing, relevance, ranking, to name a few. We work closely with the engineering teams to launch our solutions in production.**BASIC QUALIFICATIONS**
------------------------
* PhD, or Master's degree and 6\+ years of applied research experience
* 5\+ years of building machine learning models for business application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20">
      <c r="A20" t="inlineStr">
        <is>
          <t>in-dcaa52c7ebf5f9b2</t>
        </is>
      </c>
      <c r="B20" t="inlineStr">
        <is>
          <t>Applied Scientist II, Prime Video - Personalization and Discovery Science</t>
        </is>
      </c>
      <c r="C20" t="inlineStr">
        <is>
          <t>Amazon.com</t>
        </is>
      </c>
      <c r="D20" t="inlineStr">
        <is>
          <t>indeed</t>
        </is>
      </c>
      <c r="E20">
        <f>HYPERLINK("https://www.indeed.com/viewjob?jk=dcaa52c7ebf5f9b2", "https://www.indeed.com/viewjob?jk=dcaa52c7ebf5f9b2")</f>
        <v/>
      </c>
      <c r="F20">
        <f>HYPERLINK("https://www.amazon.jobs/jobs/3059253/applied-scientist-ii-prime-video--personalization-and-discovery-science?cmpid=DA_INAD200785B", "https://www.amazon.jobs/jobs/3059253/applied-scientist-ii-prime-video--personalization-and-discovery-science?cmpid=DA_INAD200785B")</f>
        <v/>
      </c>
      <c r="G20" t="inlineStr">
        <is>
          <t>Sunnyvale, CA, US</t>
        </is>
      </c>
      <c r="H20" s="1" t="n">
        <v>45881</v>
      </c>
      <c r="I20"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Key job responsibilities  
* Develop ML models for various recommendation \&amp; search systems using deep learning, online learning, and optimization methods
* Work closely with other scientists, engineers and product managers to expand the depth of our product insights with data, create a variety of experiments to determine the high impact projects to include in planning roadmaps
* Stay up\-to\-date with advancements and the latest modeling techniques in the field
* Publish your research findings in top conferences and journals
A day in the life  
We're using advanced approaches such as foundation models to connect information about our videos and customers from a variety of information sources, acquiring and processing data sets on a scale that only a few companies in the world can match. This will enable us to recommend titles effectively, even when we don't have a large behavioral signal (to tackle the cold\-start title problem). It will also allow us to find our customer's niche interests, helping them discover groups of titles that they didn't even know existed. We are looking for creative \&amp; customer obsessed machine learning scientists who can apply the latest research, state of the art algorithms and ML to build highly scalable page personalization solutions. You'll be a research leader in the space and a hands\-on ML practitioner, guiding and collaborating with talented teams of engineers and scientists and senior leaders in the Prime Video organization. You will also have the opportunity to publish your research at internal and external conferences.
**BASIC QUALIFICATIONS**
------------------------
* 3\+ years of building models for business application experience
* PhD, or Master's degree and 4\+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21">
      <c r="A21" t="inlineStr">
        <is>
          <t>in-ffbd2265f0a23513</t>
        </is>
      </c>
      <c r="B21" t="inlineStr">
        <is>
          <t>Principal Applied Scientist, AWS Marketplace &amp; Partner Services</t>
        </is>
      </c>
      <c r="C21" t="inlineStr">
        <is>
          <t>Amazon Web Services</t>
        </is>
      </c>
      <c r="D21" t="inlineStr">
        <is>
          <t>indeed</t>
        </is>
      </c>
      <c r="E21">
        <f>HYPERLINK("https://www.indeed.com/viewjob?jk=ffbd2265f0a23513", "https://www.indeed.com/viewjob?jk=ffbd2265f0a23513")</f>
        <v/>
      </c>
      <c r="F21">
        <f>HYPERLINK("https://www.amazon.jobs/jobs/3177084/principal-applied-scientist-aws-marketplace--partner-services?cmpid=DA_INAD200785B", "https://www.amazon.jobs/jobs/3177084/principal-applied-scientist-aws-marketplace--partner-services?cmpid=DA_INAD200785B")</f>
        <v/>
      </c>
      <c r="G21" t="inlineStr">
        <is>
          <t>New York, NY, US</t>
        </is>
      </c>
      <c r="H21" s="1" t="n">
        <v>46056</v>
      </c>
      <c r="I21" t="inlineStr">
        <is>
          <t>**DESCRIPTION**
---------------
The AWS Marketplace \&amp; Partner Services (AMPS) Science team is at the forefront of driving AWS's AI\-powered growth through developing and evaluating the next generation search, recommendations, and agentic systems. As a Principal Applied Scientist on our team, you'll own the technical strategy and execution for our most ambitious AI\-driven initiatives that directly accelerate AWS revenue growth through both customer discovery experiences and partner co\-selling capabilities.
Your work will establish Marketplace as customers' primary solution discovery and transaction platform while simultaneously transforming how AWS partners scale their business through insights and agentic workflow automation.  
You will be a trusted technical leader who tackles intrinsically complex scientific problems by leveraging deep expertise in information retrieval, recommendation systems, LLMs, and agentic systems. You'll innovate and set the standard for scientific excellence, making decisions that affect how products are built and integrated across AMPS. You'll align teams toward coherent strategies, guide peers in adopting the latest scientific trends, and force\-multiply by decomposing hard problems and executing through collaboration.  
Key job responsibilities  
* Define direction for next\-generation recommendation systems, including deep personalization, agentic architecture, and primitives that integrate customer usage patterns, infrastructure requirements, and business objectives to deliver personalized, outcome\-oriented guidance
* Lead information retrieval innovations, multi\-objective ranking, and reasoning over heterogeneous solution types
* Architect, implement, and design agentic AI systems that orchestrate complex workflows
* Bridge theoretical innovations with practical solutions, making critical judgments to select the best technical approaches for both short and long\-term objectives
* Mentor and guide applied scientists, holding the team to high standards of technical rigor and scientific excellence
* Contribute to the broader scientific community through patents, publications at conferences, and engagement with academic partners
About the team  
The AWS Marketplace \&amp; Partner Services Science team is at the forefront of developing and deploying AI/ML systems that serve multiple critical stakeholders:  
* AWS Customers: Through the AWS Marketplace, we support discovery experiences that streamline cloud adoption and innovation.
* AWS Partners: Via Partner Central, we offer advanced tools and insights to enhance collaboration and drive mutual growth.
* Internal AWS Sellers: We equip our sales teams with data\-driven recommendations to better serve our customers and partners.
**BASIC QUALIFICATIONS**
------------------------
* 5\+ years of practical work applying ML to solve complex problems experience
* Experience working in predictive modeling and analysis
* Experience programming in Java, C\+\+, Python or related language
* Experience in several of the following areas: machine learning, statistics, deep learning, natural language processing, or information retrieval
**PREFERRED QUALIFICATIONS**
----------------------------
* 10\+ years of relevant work in industry or academia experience
* Experience with leading experienced scientists as well as having a record of developing junior members from academia or industry to a career track in a business environment
* Experience creating novel algorithms and advancing the state of the art
* Have peer\-reviewed scientific contributions in premier journals and conferences
* PhD in Electrical Engineering, Computer Science, Mathematics, or a related technical field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 Diego \- 198,900\.00 \- 269,000\.00 USD annually  
USA, NY, New York \- 218,800\.00 \- 295,900\.00 USD annually  
USA, TX, Austin \- 198,900\.00 \- 269,000\.00 USD annually  
USA, WA, Seattle \- 198,900\.00 \- 269,000\.00 USD annually</t>
        </is>
      </c>
    </row>
    <row r="22">
      <c r="A22" t="inlineStr">
        <is>
          <t>in-30b06169072a54c3</t>
        </is>
      </c>
      <c r="B22" t="inlineStr">
        <is>
          <t>Principal Applied Scientist, AWS Marketplace &amp; Partner Services</t>
        </is>
      </c>
      <c r="C22" t="inlineStr">
        <is>
          <t>Amazon Web Services</t>
        </is>
      </c>
      <c r="D22" t="inlineStr">
        <is>
          <t>indeed</t>
        </is>
      </c>
      <c r="E22">
        <f>HYPERLINK("https://www.indeed.com/viewjob?jk=30b06169072a54c3", "https://www.indeed.com/viewjob?jk=30b06169072a54c3")</f>
        <v/>
      </c>
      <c r="F22">
        <f>HYPERLINK("https://www.amazon.jobs/jobs/3177084/principal-applied-scientist-aws-marketplace--partner-services?cmpid=DA_INAD200785B", "https://www.amazon.jobs/jobs/3177084/principal-applied-scientist-aws-marketplace--partner-services?cmpid=DA_INAD200785B")</f>
        <v/>
      </c>
      <c r="G22" t="inlineStr">
        <is>
          <t>San Diego, CA, US</t>
        </is>
      </c>
      <c r="H22" s="1" t="n">
        <v>46056</v>
      </c>
      <c r="I22" t="inlineStr">
        <is>
          <t>**DESCRIPTION**
---------------
The AWS Marketplace \&amp; Partner Services (AMPS) Science team is at the forefront of driving AWS's AI\-powered growth through developing and evaluating the next generation search, recommendations, and agentic systems. As a Principal Applied Scientist on our team, you'll own the technical strategy and execution for our most ambitious AI\-driven initiatives that directly accelerate AWS revenue growth through both customer discovery experiences and partner co\-selling capabilities.
Your work will establish Marketplace as customers' primary solution discovery and transaction platform while simultaneously transforming how AWS partners scale their business through insights and agentic workflow automation.  
You will be a trusted technical leader who tackles intrinsically complex scientific problems by leveraging deep expertise in information retrieval, recommendation systems, LLMs, and agentic systems. You'll innovate and set the standard for scientific excellence, making decisions that affect how products are built and integrated across AMPS. You'll align teams toward coherent strategies, guide peers in adopting the latest scientific trends, and force\-multiply by decomposing hard problems and executing through collaboration.  
Key job responsibilities  
* Define direction for next\-generation recommendation systems, including deep personalization, agentic architecture, and primitives that integrate customer usage patterns, infrastructure requirements, and business objectives to deliver personalized, outcome\-oriented guidance
* Lead information retrieval innovations, multi\-objective ranking, and reasoning over heterogeneous solution types
* Architect, implement, and design agentic AI systems that orchestrate complex workflows
* Bridge theoretical innovations with practical solutions, making critical judgments to select the best technical approaches for both short and long\-term objectives
* Mentor and guide applied scientists, holding the team to high standards of technical rigor and scientific excellence
* Contribute to the broader scientific community through patents, publications at conferences, and engagement with academic partners
About the team  
The AWS Marketplace \&amp; Partner Services Science team is at the forefront of developing and deploying AI/ML systems that serve multiple critical stakeholders:  
* AWS Customers: Through the AWS Marketplace, we support discovery experiences that streamline cloud adoption and innovation.
* AWS Partners: Via Partner Central, we offer advanced tools and insights to enhance collaboration and drive mutual growth.
* Internal AWS Sellers: We equip our sales teams with data\-driven recommendations to better serve our customers and partners.
**BASIC QUALIFICATIONS**
------------------------
* 5\+ years of practical work applying ML to solve complex problems experience
* Experience working in predictive modeling and analysis
* Experience programming in Java, C\+\+, Python or related language
* Experience in several of the following areas: machine learning, statistics, deep learning, natural language processing, or information retrieval
**PREFERRED QUALIFICATIONS**
----------------------------
* 10\+ years of relevant work in industry or academia experience
* Experience with leading experienced scientists as well as having a record of developing junior members from academia or industry to a career track in a business environment
* Experience creating novel algorithms and advancing the state of the art
* Have peer\-reviewed scientific contributions in premier journals and conferences
* PhD in Electrical Engineering, Computer Science, Mathematics, or a related technical field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 Diego \- 198,900\.00 \- 269,000\.00 USD annually  
USA, NY, New York \- 218,800\.00 \- 295,900\.00 USD annually  
USA, TX, Austin \- 198,900\.00 \- 269,000\.00 USD annually  
USA, WA, Seattle \- 198,900\.00 \- 269,000\.00 USD annually</t>
        </is>
      </c>
    </row>
    <row r="23">
      <c r="A23" t="inlineStr">
        <is>
          <t>in-b29825ef53c1b23b</t>
        </is>
      </c>
      <c r="B23" t="inlineStr">
        <is>
          <t>Principal Applied Scientist, AWS Marketplace &amp; Partner Services</t>
        </is>
      </c>
      <c r="C23" t="inlineStr">
        <is>
          <t>Amazon Web Services</t>
        </is>
      </c>
      <c r="D23" t="inlineStr">
        <is>
          <t>indeed</t>
        </is>
      </c>
      <c r="E23">
        <f>HYPERLINK("https://www.indeed.com/viewjob?jk=b29825ef53c1b23b", "https://www.indeed.com/viewjob?jk=b29825ef53c1b23b")</f>
        <v/>
      </c>
      <c r="F23">
        <f>HYPERLINK("https://www.amazon.jobs/jobs/3177084/principal-applied-scientist-aws-marketplace--partner-services?cmpid=DA_INAD200785B", "https://www.amazon.jobs/jobs/3177084/principal-applied-scientist-aws-marketplace--partner-services?cmpid=DA_INAD200785B")</f>
        <v/>
      </c>
      <c r="G23" t="inlineStr">
        <is>
          <t>Seattle, WA, US</t>
        </is>
      </c>
      <c r="H23" s="1" t="n">
        <v>46056</v>
      </c>
      <c r="I23" t="inlineStr">
        <is>
          <t>**DESCRIPTION**
---------------
The AWS Marketplace \&amp; Partner Services (AMPS) Science team is at the forefront of driving AWS's AI\-powered growth through developing and evaluating the next generation search, recommendations, and agentic systems. As a Principal Applied Scientist on our team, you'll own the technical strategy and execution for our most ambitious AI\-driven initiatives that directly accelerate AWS revenue growth through both customer discovery experiences and partner co\-selling capabilities.
Your work will establish Marketplace as customers' primary solution discovery and transaction platform while simultaneously transforming how AWS partners scale their business through insights and agentic workflow automation.  
You will be a trusted technical leader who tackles intrinsically complex scientific problems by leveraging deep expertise in information retrieval, recommendation systems, LLMs, and agentic systems. You'll innovate and set the standard for scientific excellence, making decisions that affect how products are built and integrated across AMPS. You'll align teams toward coherent strategies, guide peers in adopting the latest scientific trends, and force\-multiply by decomposing hard problems and executing through collaboration.  
Key job responsibilities  
* Define direction for next\-generation recommendation systems, including deep personalization, agentic architecture, and primitives that integrate customer usage patterns, infrastructure requirements, and business objectives to deliver personalized, outcome\-oriented guidance
* Lead information retrieval innovations, multi\-objective ranking, and reasoning over heterogeneous solution types
* Architect, implement, and design agentic AI systems that orchestrate complex workflows
* Bridge theoretical innovations with practical solutions, making critical judgments to select the best technical approaches for both short and long\-term objectives
* Mentor and guide applied scientists, holding the team to high standards of technical rigor and scientific excellence
* Contribute to the broader scientific community through patents, publications at conferences, and engagement with academic partners
About the team  
The AWS Marketplace \&amp; Partner Services Science team is at the forefront of developing and deploying AI/ML systems that serve multiple critical stakeholders:  
* AWS Customers: Through the AWS Marketplace, we support discovery experiences that streamline cloud adoption and innovation.
* AWS Partners: Via Partner Central, we offer advanced tools and insights to enhance collaboration and drive mutual growth.
* Internal AWS Sellers: We equip our sales teams with data\-driven recommendations to better serve our customers and partners.
**BASIC QUALIFICATIONS**
------------------------
* 5\+ years of practical work applying ML to solve complex problems experience
* Experience working in predictive modeling and analysis
* Experience programming in Java, C\+\+, Python or related language
* Experience in several of the following areas: machine learning, statistics, deep learning, natural language processing, or information retrieval
**PREFERRED QUALIFICATIONS**
----------------------------
* 10\+ years of relevant work in industry or academia experience
* Experience with leading experienced scientists as well as having a record of developing junior members from academia or industry to a career track in a business environment
* Experience creating novel algorithms and advancing the state of the art
* Have peer\-reviewed scientific contributions in premier journals and conferences
* PhD in Electrical Engineering, Computer Science, Mathematics, or a related technical field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 Diego \- 198,900\.00 \- 269,000\.00 USD annually  
USA, NY, New York \- 218,800\.00 \- 295,900\.00 USD annually  
USA, TX, Austin \- 198,900\.00 \- 269,000\.00 USD annually  
USA, WA, Seattle \- 198,900\.00 \- 269,000\.00 USD annually</t>
        </is>
      </c>
    </row>
    <row r="24">
      <c r="A24" t="inlineStr">
        <is>
          <t>in-a61811627709cab4</t>
        </is>
      </c>
      <c r="B24" t="inlineStr">
        <is>
          <t>Principal Applied Scientist, AWS Marketplace &amp; Partner Services</t>
        </is>
      </c>
      <c r="C24" t="inlineStr">
        <is>
          <t>Amazon Web Services</t>
        </is>
      </c>
      <c r="D24" t="inlineStr">
        <is>
          <t>indeed</t>
        </is>
      </c>
      <c r="E24">
        <f>HYPERLINK("https://www.indeed.com/viewjob?jk=a61811627709cab4", "https://www.indeed.com/viewjob?jk=a61811627709cab4")</f>
        <v/>
      </c>
      <c r="F24">
        <f>HYPERLINK("https://www.amazon.jobs/jobs/3177084/principal-applied-scientist-aws-marketplace--partner-services?cmpid=DA_INAD200785B", "https://www.amazon.jobs/jobs/3177084/principal-applied-scientist-aws-marketplace--partner-services?cmpid=DA_INAD200785B")</f>
        <v/>
      </c>
      <c r="G24" t="inlineStr">
        <is>
          <t>Austin, TX, US</t>
        </is>
      </c>
      <c r="H24" s="1" t="n">
        <v>46056</v>
      </c>
      <c r="I24" t="inlineStr">
        <is>
          <t>**DESCRIPTION**
---------------
The AWS Marketplace \&amp; Partner Services (AMPS) Science team is at the forefront of driving AWS's AI\-powered growth through developing and evaluating the next generation search, recommendations, and agentic systems. As a Principal Applied Scientist on our team, you'll own the technical strategy and execution for our most ambitious AI\-driven initiatives that directly accelerate AWS revenue growth through both customer discovery experiences and partner co\-selling capabilities.
Your work will establish Marketplace as customers' primary solution discovery and transaction platform while simultaneously transforming how AWS partners scale their business through insights and agentic workflow automation.  
You will be a trusted technical leader who tackles intrinsically complex scientific problems by leveraging deep expertise in information retrieval, recommendation systems, LLMs, and agentic systems. You'll innovate and set the standard for scientific excellence, making decisions that affect how products are built and integrated across AMPS. You'll align teams toward coherent strategies, guide peers in adopting the latest scientific trends, and force\-multiply by decomposing hard problems and executing through collaboration.  
Key job responsibilities  
* Define direction for next\-generation recommendation systems, including deep personalization, agentic architecture, and primitives that integrate customer usage patterns, infrastructure requirements, and business objectives to deliver personalized, outcome\-oriented guidance
* Lead information retrieval innovations, multi\-objective ranking, and reasoning over heterogeneous solution types
* Architect, implement, and design agentic AI systems that orchestrate complex workflows
* Bridge theoretical innovations with practical solutions, making critical judgments to select the best technical approaches for both short and long\-term objectives
* Mentor and guide applied scientists, holding the team to high standards of technical rigor and scientific excellence
* Contribute to the broader scientific community through patents, publications at conferences, and engagement with academic partners
About the team  
The AWS Marketplace \&amp; Partner Services Science team is at the forefront of developing and deploying AI/ML systems that serve multiple critical stakeholders:  
* AWS Customers: Through the AWS Marketplace, we support discovery experiences that streamline cloud adoption and innovation.
* AWS Partners: Via Partner Central, we offer advanced tools and insights to enhance collaboration and drive mutual growth.
* Internal AWS Sellers: We equip our sales teams with data\-driven recommendations to better serve our customers and partners.
**BASIC QUALIFICATIONS**
------------------------
* 5\+ years of practical work applying ML to solve complex problems experience
* Experience working in predictive modeling and analysis
* Experience programming in Java, C\+\+, Python or related language
* Experience in several of the following areas: machine learning, statistics, deep learning, natural language processing, or information retrieval
**PREFERRED QUALIFICATIONS**
----------------------------
* 10\+ years of relevant work in industry or academia experience
* Experience with leading experienced scientists as well as having a record of developing junior members from academia or industry to a career track in a business environment
* Experience creating novel algorithms and advancing the state of the art
* Have peer\-reviewed scientific contributions in premier journals and conferences
* PhD in Electrical Engineering, Computer Science, Mathematics, or a related technical field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 Diego \- 198,900\.00 \- 269,000\.00 USD annually  
USA, NY, New York \- 218,800\.00 \- 295,900\.00 USD annually  
USA, TX, Austin \- 198,900\.00 \- 269,000\.00 USD annually  
USA, WA, Seattle \- 198,900\.00 \- 269,000\.00 USD annually</t>
        </is>
      </c>
    </row>
    <row r="25">
      <c r="A25" t="inlineStr">
        <is>
          <t>in-f7dbf5fb6fc6a80e</t>
        </is>
      </c>
      <c r="B25" t="inlineStr">
        <is>
          <t>Sr. Applied Scientist, AWS Healthcare-AI</t>
        </is>
      </c>
      <c r="C25" t="inlineStr">
        <is>
          <t>Amazon.com</t>
        </is>
      </c>
      <c r="D25" t="inlineStr">
        <is>
          <t>indeed</t>
        </is>
      </c>
      <c r="E25">
        <f>HYPERLINK("https://www.indeed.com/viewjob?jk=f7dbf5fb6fc6a80e", "https://www.indeed.com/viewjob?jk=f7dbf5fb6fc6a80e")</f>
        <v/>
      </c>
      <c r="F25">
        <f>HYPERLINK("https://www.amazon.jobs/jobs/3179064/sr-applied-scientist-aws-healthcareai?cmpid=DA_INAD200785B", "https://www.amazon.jobs/jobs/3179064/sr-applied-scientist-aws-healthcareai?cmpid=DA_INAD200785B")</f>
        <v/>
      </c>
      <c r="G25" t="inlineStr">
        <is>
          <t>Seattle, WA, US</t>
        </is>
      </c>
      <c r="H25" s="1" t="n">
        <v>46055</v>
      </c>
      <c r="I25" t="inlineStr">
        <is>
          <t>**DESCRIPTION**
---------------
At AWS Healthcare AI, we're revolutionizing healthcare delivery through AI solutions that serve millions globally. As a pioneer in healthcare technology, we're building next\-generation services that combine Amazon's world\-class AI infrastructure with deep healthcare expertise. Our mission is to accelerate our healthcare businesses by delivering intuitive and differentiated technology solutions that solve enduring business challenges. The AWS Healthcare AI organization includes services such as HealthScribe, Comprehend Medical, HealthLake, and more.  
We're seeking a Senior Applied Scientist to join our team working on our AI driven clinical solutions that are transforming how clinicians interact with patients and document care.  
Key Job Responsibilities
To be successful in this mission, we are seeking an experienced Applied Scientist to lead pioneering research and development of new, highly confidential AI applications that re\-imagine experiences for end\-customers (e.g., consumers, patients), frontline workers (e.g., customer service agents, clinicians), and back\-office staff (e.g., claims processing, medical coding). As a leading subject matter expert in NLU, deep learning, knowledge representation, foundation models, and reinforcement learning, you will guide a team of scientists to invent novel, generative AI\-powered experiences. This role involves defining research directions, developing new ML techniques, conducting rigorous experiments, and ensuring research translates to impactful products. You will be a hands\-on technical innovator who is passionate about building scalable scientific solutions. You will set the standard for excellence, invent scalable, scientifically sound solutions across teams, define evaluation methods, and lead complex reviews. This role wields significant influence across AWS, Amazon, and the global research community.  
**BASIC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Mountain View \- 192,200\.00 \- 260,000\.00 USD annually  
USA, WA, Seattle \- 167,100\.00 \- 226,100\.00 USD annually</t>
        </is>
      </c>
    </row>
    <row r="26">
      <c r="A26" t="inlineStr">
        <is>
          <t>in-e8a49285a382166c</t>
        </is>
      </c>
      <c r="B26" t="inlineStr">
        <is>
          <t>Sr. Applied Scientist, AWS Healthcare-AI</t>
        </is>
      </c>
      <c r="C26" t="inlineStr">
        <is>
          <t>Amazon.com</t>
        </is>
      </c>
      <c r="D26" t="inlineStr">
        <is>
          <t>indeed</t>
        </is>
      </c>
      <c r="E26">
        <f>HYPERLINK("https://www.indeed.com/viewjob?jk=e8a49285a382166c", "https://www.indeed.com/viewjob?jk=e8a49285a382166c")</f>
        <v/>
      </c>
      <c r="F26">
        <f>HYPERLINK("https://www.amazon.jobs/jobs/3179064/sr-applied-scientist-aws-healthcareai?cmpid=DA_INAD200785B", "https://www.amazon.jobs/jobs/3179064/sr-applied-scientist-aws-healthcareai?cmpid=DA_INAD200785B")</f>
        <v/>
      </c>
      <c r="G26" t="inlineStr">
        <is>
          <t>Mountain View, CA, US</t>
        </is>
      </c>
      <c r="H26" s="1" t="n">
        <v>46055</v>
      </c>
      <c r="I26" t="inlineStr">
        <is>
          <t>**DESCRIPTION**
---------------
At AWS Healthcare AI, we're revolutionizing healthcare delivery through AI solutions that serve millions globally. As a pioneer in healthcare technology, we're building next\-generation services that combine Amazon's world\-class AI infrastructure with deep healthcare expertise. Our mission is to accelerate our healthcare businesses by delivering intuitive and differentiated technology solutions that solve enduring business challenges. The AWS Healthcare AI organization includes services such as HealthScribe, Comprehend Medical, HealthLake, and more.  
We're seeking a Senior Applied Scientist to join our team working on our AI driven clinical solutions that are transforming how clinicians interact with patients and document care.  
Key Job Responsibilities
To be successful in this mission, we are seeking an experienced Applied Scientist to lead pioneering research and development of new, highly confidential AI applications that re\-imagine experiences for end\-customers (e.g., consumers, patients), frontline workers (e.g., customer service agents, clinicians), and back\-office staff (e.g., claims processing, medical coding). As a leading subject matter expert in NLU, deep learning, knowledge representation, foundation models, and reinforcement learning, you will guide a team of scientists to invent novel, generative AI\-powered experiences. This role involves defining research directions, developing new ML techniques, conducting rigorous experiments, and ensuring research translates to impactful products. You will be a hands\-on technical innovator who is passionate about building scalable scientific solutions. You will set the standard for excellence, invent scalable, scientifically sound solutions across teams, define evaluation methods, and lead complex reviews. This role wields significant influence across AWS, Amazon, and the global research community.  
**BASIC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Mountain View \- 192,200\.00 \- 260,000\.00 USD annually  
USA, WA, Seattle \- 167,100\.00 \- 226,100\.00 USD annually</t>
        </is>
      </c>
    </row>
    <row r="27">
      <c r="A27" t="inlineStr">
        <is>
          <t>in-d395e3f36097b32f</t>
        </is>
      </c>
      <c r="B27" t="inlineStr">
        <is>
          <t>Applied Scientist (Contract), Artificial General Intelligence</t>
        </is>
      </c>
      <c r="C27" t="inlineStr">
        <is>
          <t>Amazon.com</t>
        </is>
      </c>
      <c r="D27" t="inlineStr">
        <is>
          <t>indeed</t>
        </is>
      </c>
      <c r="E27">
        <f>HYPERLINK("https://www.indeed.com/viewjob?jk=d395e3f36097b32f", "https://www.indeed.com/viewjob?jk=d395e3f36097b32f")</f>
        <v/>
      </c>
      <c r="F27">
        <f>HYPERLINK("https://www.amazon.jobs/jobs/3179188/applied-scientist-contract-artificial-general-intelligence?cmpid=DA_INAD200785B", "https://www.amazon.jobs/jobs/3179188/applied-scientist-contract-artificial-general-intelligence?cmpid=DA_INAD200785B")</f>
        <v/>
      </c>
      <c r="G27" t="inlineStr">
        <is>
          <t>Bellevue, WA, US</t>
        </is>
      </c>
      <c r="H27" s="1" t="n">
        <v>46055</v>
      </c>
      <c r="I27" t="inlineStr">
        <is>
          <t>**DESCRIPTION**
---------------
This is currently a 12 month temporary contract opportunity with the possibility to extend to 24 months based on business needs.  
The Artificial General Intelligence (AGI) team is seeking a dedicated, skilled, and innovative Applied Scientist with a robust background in machine learning, statistics, quality assurance, auditing methodologies, and automated evaluation systems to ensure the highest standards of data quality, to build industry\-leading technology with Large Language Models (LLMs) and multimodal systems.  
Key job responsibilities  
As part of the AGI team, an Applied Scientist will collaborate closely with core scientist team developing Amazon Nova models. They will lead the development of comprehensive quality strategies and auditing frameworks that safeguard the integrity of data collection workflows. This includes designing auditing strategies with detailed SOPs, quality metrics, and sampling methodologies that help Nova improve performances on benchmarks. The Applied Scientist will perform expert\-level manual audits, conduct meta\-audits to evaluate auditor performance, and provide targeted coaching to uplift overall quality capabilities. A critical aspect of this role involves developing and maintaining LLM\-as\-a\-Judge systems, including designing judge architectures, creating evaluation rubrics, and building machine learning models for automated quality assessment. The Applied Scientist will also set up the configuration of data collection workflows and communicate quality feedback to stakeholders. An Applied Scientist will also have a direct impact on enhancing customer experiences through high\-quality training and evaluation data that powers state\-of\-the\-art LLM products and services.  
A day in the life  
An Applied Scientist with the AGI team will support quality solution design, conduct root cause analysis on data quality issues, research new auditing methodologies, and find innovative ways of optimizing data quality while setting examples for the team on quality assurance best practices and standards. Besides theoretical analysis and quality framework development, an Applied Scientist will also work closely with talented engineers, domain experts, and vendor teams to put quality strategies and automated judging systems into practice.
**BASIC QUALIFICATIONS**
------------------------
* Master's degree in engineering, statistics, computer science, mathematics, or a related quantitative field
* 2\+ years of machine learning, statistical modeling, data mining, and analytics techniques experience
* 3\+ years of programming in Java, C\+\+, Python or related language experience
* 2\+ years of building machine learning models or developing algorithms for business application experience
**PREFERRED QUALIFICATIONS**
----------------------------
* Ph.D. in engineering, technology, computer science, machine learning, robotics, operations research, statistics, mathematics or equivalent quantitative field
* Have publications at top\-tier peer\-reviewed conferences or journals
* 4\+ years of solving business problems through machine learning, data mining and statistical algorithms experience
* Experience with Machine Learning and Large Language Model fundamentals, including architecture, training/inference lifecycles, and optimization of model execution, or experience debugging, profiling, and implementing best software engineering practices in large\-scale systems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starting pay for this position is listed below. Final starting pay will be based on factors including experience, qualifications, and location. Starting Day 1 of employment, Amazon offers EAP, Mental Health Support, Medical Advice Line, 401(k) matching. Learn more about our benefits at https://hiring.amazon.com/why\-amazon/benefits.
USA, MA, Boston \- 136,000\.00 \- 184,000\.00 USD annually  
USA, WA, BELLEVUE \- 136,000\.00 \- 184,000\.00 USD annually</t>
        </is>
      </c>
    </row>
    <row r="28">
      <c r="A28" t="inlineStr">
        <is>
          <t>in-25a9cb0d69a5473f</t>
        </is>
      </c>
      <c r="B28" t="inlineStr">
        <is>
          <t>Applied Scientist (Contract), Artificial General Intelligence</t>
        </is>
      </c>
      <c r="C28" t="inlineStr">
        <is>
          <t>Amazon.com</t>
        </is>
      </c>
      <c r="D28" t="inlineStr">
        <is>
          <t>indeed</t>
        </is>
      </c>
      <c r="E28">
        <f>HYPERLINK("https://www.indeed.com/viewjob?jk=25a9cb0d69a5473f", "https://www.indeed.com/viewjob?jk=25a9cb0d69a5473f")</f>
        <v/>
      </c>
      <c r="F28">
        <f>HYPERLINK("https://www.amazon.jobs/jobs/3179168/applied-scientist-contract-artificial-general-intelligence?cmpid=DA_INAD200785B", "https://www.amazon.jobs/jobs/3179168/applied-scientist-contract-artificial-general-intelligence?cmpid=DA_INAD200785B")</f>
        <v/>
      </c>
      <c r="G28" t="inlineStr">
        <is>
          <t>Boston, MA, US</t>
        </is>
      </c>
      <c r="H28" s="1" t="n">
        <v>46055</v>
      </c>
      <c r="I28" t="inlineStr">
        <is>
          <t>**DESCRIPTION**
---------------
This is currently a 12 month temporary contract opportunity with the possibility to extend to 24 months based on business needs.  
The Artificial General Intelligence (AGI) team is seeking a dedicated, skilled, and innovative Applied Scientist with a robust background in machine learning, statistics, quality assurance, auditing methodologies, and automated evaluation systems to ensure the highest standards of data quality, to build industry\-leading technology with Large Language Models (LLMs) and multimodal systems.  
Key job responsibilities  
As part of the AGI team, an Applied Scientist will collaborate closely with core scientist team developing Amazon Nova models. They will lead the development of comprehensive quality strategies and auditing frameworks that safeguard the integrity of data collection workflows. This includes designing auditing strategies with detailed SOPs, quality metrics, and sampling methodologies that help Nova improve performances on benchmarks. The Applied Scientist will perform expert\-level manual audits, conduct meta\-audits to evaluate auditor performance, and provide targeted coaching to uplift overall quality capabilities. A critical aspect of this role involves developing and maintaining LLM\-as\-a\-Judge systems, including designing judge architectures, creating evaluation rubrics, and building machine learning models for automated quality assessment. The Applied Scientist will also set up the configuration of data collection workflows and communicate quality feedback to stakeholders. An Applied Scientist will also have a direct impact on enhancing customer experiences through high\-quality training and evaluation data that powers state\-of\-the\-art LLM products and services.  
A day in the life  
An Applied Scientist with the AGI team will support quality solution design, conduct root cause analysis on data quality issues, research new auditing methodologies, and find innovative ways of optimizing data quality while setting examples for the team on quality assurance best practices and standards. Besides theoretical analysis and quality framework development, an Applied Scientist will also work closely with talented engineers, domain experts, and vendor teams to put quality strategies and automated judging systems into practice.
**BASIC QUALIFICATIONS**
------------------------
* Master's degree in engineering, statistics, computer science, mathematics, or a related quantitative field
* 2\+ years of machine learning, statistical modeling, data mining, and analytics techniques experience
* 3\+ years of programming in Java, C\+\+, Python or related language experience
* 2\+ years of building machine learning models or developing algorithms for business application experience
**PREFERRED QUALIFICATIONS**
----------------------------
* Ph.D. in engineering, technology, computer science, machine learning, robotics, operations research, statistics, mathematics or equivalent quantitative field
* Have publications at top\-tier peer\-reviewed conferences or journals
* 4\+ years of solving business problems through machine learning, data mining and statistical algorithms experience
* Experience with Machine Learning and Large Language Model fundamentals, including architecture, training/inference lifecycles, and optimization of model execution, or experience debugging, profiling, and implementing best software engineering practices in large\-scale systems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starting pay for this position is listed below. Final starting pay will be based on factors including experience, qualifications, and location. Starting Day 1 of employment, Amazon offers EAP, Mental Health Support, Medical Advice Line, 401(k) matching. Learn more about our benefits at https://hiring.amazon.com/why\-amazon/benefits.
USA, MA, Boston \- 136,000\.00 \- 184,000\.00 USD annually  
USA, WA, BELLEVUE \- 136,000\.00 \- 184,000\.00 USD annually</t>
        </is>
      </c>
    </row>
    <row r="29">
      <c r="A29" t="inlineStr">
        <is>
          <t>in-5b7c257e903be09c</t>
        </is>
      </c>
      <c r="B29" t="inlineStr">
        <is>
          <t>Applied Scientist (Contract), Artificial General Intelligence</t>
        </is>
      </c>
      <c r="C29" t="inlineStr">
        <is>
          <t>Amazon.com</t>
        </is>
      </c>
      <c r="D29" t="inlineStr">
        <is>
          <t>indeed</t>
        </is>
      </c>
      <c r="E29">
        <f>HYPERLINK("https://www.indeed.com/viewjob?jk=5b7c257e903be09c", "https://www.indeed.com/viewjob?jk=5b7c257e903be09c")</f>
        <v/>
      </c>
      <c r="F29">
        <f>HYPERLINK("https://www.amazon.jobs/jobs/3179168/applied-scientist-contract-artificial-general-intelligence?cmpid=DA_INAD200785B", "https://www.amazon.jobs/jobs/3179168/applied-scientist-contract-artificial-general-intelligence?cmpid=DA_INAD200785B")</f>
        <v/>
      </c>
      <c r="G29" t="inlineStr">
        <is>
          <t>Bellevue, WA, US</t>
        </is>
      </c>
      <c r="H29" s="1" t="n">
        <v>46055</v>
      </c>
      <c r="I29" t="inlineStr">
        <is>
          <t>**DESCRIPTION**
---------------
This is currently a 12 month temporary contract opportunity with the possibility to extend to 24 months based on business needs.  
The Artificial General Intelligence (AGI) team is seeking a dedicated, skilled, and innovative Applied Scientist with a robust background in machine learning, statistics, quality assurance, auditing methodologies, and automated evaluation systems to ensure the highest standards of data quality, to build industry\-leading technology with Large Language Models (LLMs) and multimodal systems.  
Key job responsibilities  
As part of the AGI team, an Applied Scientist will collaborate closely with core scientist team developing Amazon Nova models. They will lead the development of comprehensive quality strategies and auditing frameworks that safeguard the integrity of data collection workflows. This includes designing auditing strategies with detailed SOPs, quality metrics, and sampling methodologies that help Nova improve performances on benchmarks. The Applied Scientist will perform expert\-level manual audits, conduct meta\-audits to evaluate auditor performance, and provide targeted coaching to uplift overall quality capabilities. A critical aspect of this role involves developing and maintaining LLM\-as\-a\-Judge systems, including designing judge architectures, creating evaluation rubrics, and building machine learning models for automated quality assessment. The Applied Scientist will also set up the configuration of data collection workflows and communicate quality feedback to stakeholders. An Applied Scientist will also have a direct impact on enhancing customer experiences through high\-quality training and evaluation data that powers state\-of\-the\-art LLM products and services.  
A day in the life  
An Applied Scientist with the AGI team will support quality solution design, conduct root cause analysis on data quality issues, research new auditing methodologies, and find innovative ways of optimizing data quality while setting examples for the team on quality assurance best practices and standards. Besides theoretical analysis and quality framework development, an Applied Scientist will also work closely with talented engineers, domain experts, and vendor teams to put quality strategies and automated judging systems into practice.
**BASIC QUALIFICATIONS**
------------------------
* Master's degree in engineering, statistics, computer science, mathematics, or a related quantitative field
* 2\+ years of machine learning, statistical modeling, data mining, and analytics techniques experience
* 3\+ years of programming in Java, C\+\+, Python or related language experience
* 2\+ years of building machine learning models or developing algorithms for business application experience
**PREFERRED QUALIFICATIONS**
----------------------------
* Ph.D. in engineering, technology, computer science, machine learning, robotics, operations research, statistics, mathematics or equivalent quantitative field
* Have publications at top\-tier peer\-reviewed conferences or journals
* 4\+ years of solving business problems through machine learning, data mining and statistical algorithms experience
* Experience with Machine Learning and Large Language Model fundamentals, including architecture, training/inference lifecycles, and optimization of model execution, or experience debugging, profiling, and implementing best software engineering practices in large\-scale systems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starting pay for this position is listed below. Final starting pay will be based on factors including experience, qualifications, and location. Starting Day 1 of employment, Amazon offers EAP, Mental Health Support, Medical Advice Line, 401(k) matching. Learn more about our benefits at https://hiring.amazon.com/why\-amazon/benefits.
USA, MA, Boston \- 136,000\.00 \- 184,000\.00 USD annually  
USA, WA, BELLEVUE \- 136,000\.00 \- 184,000\.00 USD annually</t>
        </is>
      </c>
    </row>
    <row r="30">
      <c r="A30" t="inlineStr">
        <is>
          <t>in-46822940b4e2921d</t>
        </is>
      </c>
      <c r="B30" t="inlineStr">
        <is>
          <t>Applied Scientist (Contract), Artificial General Intelligence</t>
        </is>
      </c>
      <c r="C30" t="inlineStr">
        <is>
          <t>Amazon.com</t>
        </is>
      </c>
      <c r="D30" t="inlineStr">
        <is>
          <t>indeed</t>
        </is>
      </c>
      <c r="E30">
        <f>HYPERLINK("https://www.indeed.com/viewjob?jk=46822940b4e2921d", "https://www.indeed.com/viewjob?jk=46822940b4e2921d")</f>
        <v/>
      </c>
      <c r="F30">
        <f>HYPERLINK("https://www.amazon.jobs/jobs/3179169/applied-scientist-contract-artificial-general-intelligence?cmpid=DA_INAD200785B", "https://www.amazon.jobs/jobs/3179169/applied-scientist-contract-artificial-general-intelligence?cmpid=DA_INAD200785B")</f>
        <v/>
      </c>
      <c r="G30" t="inlineStr">
        <is>
          <t>Bellevue, WA, US</t>
        </is>
      </c>
      <c r="H30" s="1" t="n">
        <v>46055</v>
      </c>
      <c r="I30" t="inlineStr">
        <is>
          <t>**DESCRIPTION**
---------------
This is currently a 12 month temporary contract opportunity with the possibility to extend to 24 months based on business needs.  
The Artificial General Intelligence (AGI) team is seeking a dedicated, skilled, and innovative Applied Scientist with a robust background in machine learning, statistics, quality assurance, auditing methodologies, and automated evaluation systems to ensure the highest standards of data quality, to build industry\-leading technology with Large Language Models (LLMs) and multimodal systems.  
Key job responsibilities  
As part of the AGI team, an Applied Scientist will collaborate closely with core scientist team developing Amazon Nova models. They will lead the development of comprehensive quality strategies and auditing frameworks that safeguard the integrity of data collection workflows. This includes designing auditing strategies with detailed SOPs, quality metrics, and sampling methodologies that help Nova improve performances on benchmarks. The Applied Scientist will perform expert\-level manual audits, conduct meta\-audits to evaluate auditor performance, and provide targeted coaching to uplift overall quality capabilities. A critical aspect of this role involves developing and maintaining LLM\-as\-a\-Judge systems, including designing judge architectures, creating evaluation rubrics, and building machine learning models for automated quality assessment. The Applied Scientist will also set up the configuration of data collection workflows and communicate quality feedback to stakeholders. An Applied Scientist will also have a direct impact on enhancing customer experiences through high\-quality training and evaluation data that powers state\-of\-the\-art LLM products and services.  
A day in the life  
An Applied Scientist with the AGI team will support quality solution design, conduct root cause analysis on data quality issues, research new auditing methodologies, and find innovative ways of optimizing data quality while setting examples for the team on quality assurance best practices and standards. Besides theoretical analysis and quality framework development, an Applied Scientist will also work closely with talented engineers, domain experts, and vendor teams to put quality strategies and automated judging systems into practice.
**BASIC QUALIFICATIONS**
------------------------
* Master's degree in engineering, statistics, computer science, mathematics, or a related quantitative field
* 2\+ years of machine learning, statistical modeling, data mining, and analytics techniques experience
* 3\+ years of programming in Java, C\+\+, Python or related language experience
* 2\+ years of building machine learning models or developing algorithms for business application experience
**PREFERRED QUALIFICATIONS**
----------------------------
* Ph.D. in engineering, technology, computer science, machine learning, robotics, operations research, statistics, mathematics or equivalent quantitative field
* Have publications at top\-tier peer\-reviewed conferences or journals
* 4\+ years of solving business problems through machine learning, data mining and statistical algorithms experience
* Experience with Machine Learning and Large Language Model fundamentals, including architecture, training/inference lifecycles, and optimization of model execution, or experience debugging, profiling, and implementing best software engineering practices in large\-scale systems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starting pay for this position is listed below. Final starting pay will be based on factors including experience, qualifications, and location. Starting Day 1 of employment, Amazon offers EAP, Mental Health Support, Medical Advice Line, 401(k) matching. Learn more about our benefits at https://hiring.amazon.com/why\-amazon/benefits.
USA, MA, Boston \- 136,000\.00 \- 184,000\.00 USD annually  
USA, WA, BELLEVUE \- 136,000\.00 \- 184,000\.00 USD annually</t>
        </is>
      </c>
    </row>
    <row r="31">
      <c r="A31" t="inlineStr">
        <is>
          <t>in-a1d72f4d6f3df938</t>
        </is>
      </c>
      <c r="B31" t="inlineStr">
        <is>
          <t>Applied Scientist (Contract), Artificial General Intelligence</t>
        </is>
      </c>
      <c r="C31" t="inlineStr">
        <is>
          <t>Amazon.com</t>
        </is>
      </c>
      <c r="D31" t="inlineStr">
        <is>
          <t>indeed</t>
        </is>
      </c>
      <c r="E31">
        <f>HYPERLINK("https://www.indeed.com/viewjob?jk=a1d72f4d6f3df938", "https://www.indeed.com/viewjob?jk=a1d72f4d6f3df938")</f>
        <v/>
      </c>
      <c r="F31">
        <f>HYPERLINK("https://www.amazon.jobs/jobs/3179188/applied-scientist-contract-artificial-general-intelligence?cmpid=DA_INAD200785B", "https://www.amazon.jobs/jobs/3179188/applied-scientist-contract-artificial-general-intelligence?cmpid=DA_INAD200785B")</f>
        <v/>
      </c>
      <c r="G31" t="inlineStr">
        <is>
          <t>Boston, MA, US</t>
        </is>
      </c>
      <c r="H31" s="1" t="n">
        <v>46055</v>
      </c>
      <c r="I31" t="inlineStr">
        <is>
          <t>**DESCRIPTION**
---------------
This is currently a 12 month temporary contract opportunity with the possibility to extend to 24 months based on business needs.  
The Artificial General Intelligence (AGI) team is seeking a dedicated, skilled, and innovative Applied Scientist with a robust background in machine learning, statistics, quality assurance, auditing methodologies, and automated evaluation systems to ensure the highest standards of data quality, to build industry\-leading technology with Large Language Models (LLMs) and multimodal systems.  
Key job responsibilities  
As part of the AGI team, an Applied Scientist will collaborate closely with core scientist team developing Amazon Nova models. They will lead the development of comprehensive quality strategies and auditing frameworks that safeguard the integrity of data collection workflows. This includes designing auditing strategies with detailed SOPs, quality metrics, and sampling methodologies that help Nova improve performances on benchmarks. The Applied Scientist will perform expert\-level manual audits, conduct meta\-audits to evaluate auditor performance, and provide targeted coaching to uplift overall quality capabilities. A critical aspect of this role involves developing and maintaining LLM\-as\-a\-Judge systems, including designing judge architectures, creating evaluation rubrics, and building machine learning models for automated quality assessment. The Applied Scientist will also set up the configuration of data collection workflows and communicate quality feedback to stakeholders. An Applied Scientist will also have a direct impact on enhancing customer experiences through high\-quality training and evaluation data that powers state\-of\-the\-art LLM products and services.  
A day in the life  
An Applied Scientist with the AGI team will support quality solution design, conduct root cause analysis on data quality issues, research new auditing methodologies, and find innovative ways of optimizing data quality while setting examples for the team on quality assurance best practices and standards. Besides theoretical analysis and quality framework development, an Applied Scientist will also work closely with talented engineers, domain experts, and vendor teams to put quality strategies and automated judging systems into practice.
**BASIC QUALIFICATIONS**
------------------------
* Master's degree in engineering, statistics, computer science, mathematics, or a related quantitative field
* 2\+ years of machine learning, statistical modeling, data mining, and analytics techniques experience
* 3\+ years of programming in Java, C\+\+, Python or related language experience
* 2\+ years of building machine learning models or developing algorithms for business application experience
**PREFERRED QUALIFICATIONS**
----------------------------
* Ph.D. in engineering, technology, computer science, machine learning, robotics, operations research, statistics, mathematics or equivalent quantitative field
* Have publications at top\-tier peer\-reviewed conferences or journals
* 4\+ years of solving business problems through machine learning, data mining and statistical algorithms experience
* Experience with Machine Learning and Large Language Model fundamentals, including architecture, training/inference lifecycles, and optimization of model execution, or experience debugging, profiling, and implementing best software engineering practices in large\-scale systems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starting pay for this position is listed below. Final starting pay will be based on factors including experience, qualifications, and location. Starting Day 1 of employment, Amazon offers EAP, Mental Health Support, Medical Advice Line, 401(k) matching. Learn more about our benefits at https://hiring.amazon.com/why\-amazon/benefits.
USA, MA, Boston \- 136,000\.00 \- 184,000\.00 USD annually  
USA, WA, BELLEVUE \- 136,000\.00 \- 184,000\.00 USD annually</t>
        </is>
      </c>
    </row>
    <row r="32">
      <c r="A32" t="inlineStr">
        <is>
          <t>in-b4de5a93f517605c</t>
        </is>
      </c>
      <c r="B32" t="inlineStr">
        <is>
          <t>Applied Scientist (Contract), Artificial General Intelligence</t>
        </is>
      </c>
      <c r="C32" t="inlineStr">
        <is>
          <t>Amazon.com</t>
        </is>
      </c>
      <c r="D32" t="inlineStr">
        <is>
          <t>indeed</t>
        </is>
      </c>
      <c r="E32">
        <f>HYPERLINK("https://www.indeed.com/viewjob?jk=b4de5a93f517605c", "https://www.indeed.com/viewjob?jk=b4de5a93f517605c")</f>
        <v/>
      </c>
      <c r="F32">
        <f>HYPERLINK("https://www.amazon.jobs/jobs/3179169/applied-scientist-contract-artificial-general-intelligence?cmpid=DA_INAD200785B", "https://www.amazon.jobs/jobs/3179169/applied-scientist-contract-artificial-general-intelligence?cmpid=DA_INAD200785B")</f>
        <v/>
      </c>
      <c r="G32" t="inlineStr">
        <is>
          <t>Boston, MA, US</t>
        </is>
      </c>
      <c r="H32" s="1" t="n">
        <v>46055</v>
      </c>
      <c r="I32" t="inlineStr">
        <is>
          <t>**DESCRIPTION**
---------------
This is currently a 12 month temporary contract opportunity with the possibility to extend to 24 months based on business needs.  
The Artificial General Intelligence (AGI) team is seeking a dedicated, skilled, and innovative Applied Scientist with a robust background in machine learning, statistics, quality assurance, auditing methodologies, and automated evaluation systems to ensure the highest standards of data quality, to build industry\-leading technology with Large Language Models (LLMs) and multimodal systems.  
Key job responsibilities  
As part of the AGI team, an Applied Scientist will collaborate closely with core scientist team developing Amazon Nova models. They will lead the development of comprehensive quality strategies and auditing frameworks that safeguard the integrity of data collection workflows. This includes designing auditing strategies with detailed SOPs, quality metrics, and sampling methodologies that help Nova improve performances on benchmarks. The Applied Scientist will perform expert\-level manual audits, conduct meta\-audits to evaluate auditor performance, and provide targeted coaching to uplift overall quality capabilities. A critical aspect of this role involves developing and maintaining LLM\-as\-a\-Judge systems, including designing judge architectures, creating evaluation rubrics, and building machine learning models for automated quality assessment. The Applied Scientist will also set up the configuration of data collection workflows and communicate quality feedback to stakeholders. An Applied Scientist will also have a direct impact on enhancing customer experiences through high\-quality training and evaluation data that powers state\-of\-the\-art LLM products and services.  
A day in the life  
An Applied Scientist with the AGI team will support quality solution design, conduct root cause analysis on data quality issues, research new auditing methodologies, and find innovative ways of optimizing data quality while setting examples for the team on quality assurance best practices and standards. Besides theoretical analysis and quality framework development, an Applied Scientist will also work closely with talented engineers, domain experts, and vendor teams to put quality strategies and automated judging systems into practice.
**BASIC QUALIFICATIONS**
------------------------
* Master's degree in engineering, statistics, computer science, mathematics, or a related quantitative field
* 2\+ years of machine learning, statistical modeling, data mining, and analytics techniques experience
* 3\+ years of programming in Java, C\+\+, Python or related language experience
* 2\+ years of building machine learning models or developing algorithms for business application experience
**PREFERRED QUALIFICATIONS**
----------------------------
* Ph.D. in engineering, technology, computer science, machine learning, robotics, operations research, statistics, mathematics or equivalent quantitative field
* Have publications at top\-tier peer\-reviewed conferences or journals
* 4\+ years of solving business problems through machine learning, data mining and statistical algorithms experience
* Experience with Machine Learning and Large Language Model fundamentals, including architecture, training/inference lifecycles, and optimization of model execution, or experience debugging, profiling, and implementing best software engineering practices in large\-scale systems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starting pay for this position is listed below. Final starting pay will be based on factors including experience, qualifications, and location. Starting Day 1 of employment, Amazon offers EAP, Mental Health Support, Medical Advice Line, 401(k) matching. Learn more about our benefits at https://hiring.amazon.com/why\-amazon/benefits.
USA, MA, Boston \- 136,000\.00 \- 184,000\.00 USD annually  
USA, WA, BELLEVUE \- 136,000\.00 \- 184,000\.00 USD annually</t>
        </is>
      </c>
    </row>
    <row r="33">
      <c r="A33" t="inlineStr">
        <is>
          <t>in-2908cfdb5e3ad33c</t>
        </is>
      </c>
      <c r="B33" t="inlineStr">
        <is>
          <t>Applied Scientist (Contract), Artificial General Intelligence</t>
        </is>
      </c>
      <c r="C33" t="inlineStr">
        <is>
          <t>Amazon.com</t>
        </is>
      </c>
      <c r="D33" t="inlineStr">
        <is>
          <t>indeed</t>
        </is>
      </c>
      <c r="E33">
        <f>HYPERLINK("https://www.indeed.com/viewjob?jk=2908cfdb5e3ad33c", "https://www.indeed.com/viewjob?jk=2908cfdb5e3ad33c")</f>
        <v/>
      </c>
      <c r="F33">
        <f>HYPERLINK("https://www.amazon.jobs/jobs/3179187/applied-scientist-contract-artificial-general-intelligence?cmpid=DA_INAD200785B", "https://www.amazon.jobs/jobs/3179187/applied-scientist-contract-artificial-general-intelligence?cmpid=DA_INAD200785B")</f>
        <v/>
      </c>
      <c r="G33" t="inlineStr">
        <is>
          <t>Bellevue, WA, US</t>
        </is>
      </c>
      <c r="H33" s="1" t="n">
        <v>46051</v>
      </c>
      <c r="I33" t="inlineStr">
        <is>
          <t>**DESCRIPTION**
---------------
This is currently a 12 month temporary contract opportunity with the possibility to extend to 24 months based on business needs.  
The Artificial General Intelligence (AGI) team is seeking a dedicated, skilled, and innovative Applied Scientist with a robust background in machine learning, statistics, quality assurance, auditing methodologies, and automated evaluation systems to ensure the highest standards of data quality, to build industry\-leading technology with Large Language Models (LLMs) and multimodal systems.  
Key job responsibilities  
As part of the AGI team, an Applied Scientist will collaborate closely with core scientist team developing Amazon Nova models. They will lead the development of comprehensive quality strategies and auditing frameworks that safeguard the integrity of data collection workflows. This includes designing auditing strategies with detailed SOPs, quality metrics, and sampling methodologies that help Nova improve performances on benchmarks. The Applied Scientist will perform expert\-level manual audits, conduct meta\-audits to evaluate auditor performance, and provide targeted coaching to uplift overall quality capabilities. A critical aspect of this role involves developing and maintaining LLM\-as\-a\-Judge systems, including designing judge architectures, creating evaluation rubrics, and building machine learning models for automated quality assessment. The Applied Scientist will also set up the configuration of data collection workflows and communicate quality feedback to stakeholders. An Applied Scientist will also have a direct impact on enhancing customer experiences through high\-quality training and evaluation data that powers state\-of\-the\-art LLM products and services.  
A day in the life  
An Applied Scientist with the AGI team will support quality solution design, conduct root cause analysis on data quality issues, research new auditing methodologies, and find innovative ways of optimizing data quality while setting examples for the team on quality assurance best practices and standards. Besides theoretical analysis and quality framework development, an Applied Scientist will also work closely with talented engineers, domain experts, and vendor teams to put quality strategies and automated judging systems into practice.
**BASIC QUALIFICATIONS**
------------------------
* Master's degree in engineering, statistics, computer science, mathematics, or a related quantitative field
* 2\+ years of machine learning, statistical modeling, data mining, and analytics techniques experience
* 3\+ years of programming in Java, C\+\+, Python or related language experience
* 2\+ years of building machine learning models or developing algorithms for business application experience
**PREFERRED QUALIFICATIONS**
----------------------------
* Ph.D. in engineering, technology, computer science, machine learning, robotics, operations research, statistics, mathematics or equivalent quantitative field
* Have publications at top\-tier peer\-reviewed conferences or journals
* 4\+ years of solving business problems through machine learning, data mining and statistical algorithms experience
* Experience with Machine Learning and Large Language Model fundamentals, including architecture, training/inference lifecycles, and optimization of model execution, or experience debugging, profiling, and implementing best software engineering practices in large\-scale systems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starting pay for this position is listed below. Final starting pay will be based on factors including experience, qualifications, and location. Starting Day 1 of employment, Amazon offers EAP, Mental Health Support, Medical Advice Line, 401(k) matching. Learn more about our benefits at https://hiring.amazon.com/why\-amazon/benefits.
USA, MA, Boston \- 136,000\.00 \- 184,000\.00 USD annually  
USA, WA, BELLEVUE \- 136,000\.00 \- 184,000\.00 USD annually</t>
        </is>
      </c>
    </row>
    <row r="34">
      <c r="A34" t="inlineStr">
        <is>
          <t>in-15f40f2dd81b6bbb</t>
        </is>
      </c>
      <c r="B34" t="inlineStr">
        <is>
          <t>Applied Scientist (Contract), Artificial General Intelligence</t>
        </is>
      </c>
      <c r="C34" t="inlineStr">
        <is>
          <t>Amazon.com</t>
        </is>
      </c>
      <c r="D34" t="inlineStr">
        <is>
          <t>indeed</t>
        </is>
      </c>
      <c r="E34">
        <f>HYPERLINK("https://www.indeed.com/viewjob?jk=15f40f2dd81b6bbb", "https://www.indeed.com/viewjob?jk=15f40f2dd81b6bbb")</f>
        <v/>
      </c>
      <c r="F34">
        <f>HYPERLINK("https://www.amazon.jobs/jobs/3179187/applied-scientist-contract-artificial-general-intelligence?cmpid=DA_INAD200785B", "https://www.amazon.jobs/jobs/3179187/applied-scientist-contract-artificial-general-intelligence?cmpid=DA_INAD200785B")</f>
        <v/>
      </c>
      <c r="G34" t="inlineStr">
        <is>
          <t>Boston, MA, US</t>
        </is>
      </c>
      <c r="H34" s="1" t="n">
        <v>46051</v>
      </c>
      <c r="I34" t="inlineStr">
        <is>
          <t>**DESCRIPTION**
---------------
This is currently a 12 month temporary contract opportunity with the possibility to extend to 24 months based on business needs.  
The Artificial General Intelligence (AGI) team is seeking a dedicated, skilled, and innovative Applied Scientist with a robust background in machine learning, statistics, quality assurance, auditing methodologies, and automated evaluation systems to ensure the highest standards of data quality, to build industry\-leading technology with Large Language Models (LLMs) and multimodal systems.  
Key job responsibilities  
As part of the AGI team, an Applied Scientist will collaborate closely with core scientist team developing Amazon Nova models. They will lead the development of comprehensive quality strategies and auditing frameworks that safeguard the integrity of data collection workflows. This includes designing auditing strategies with detailed SOPs, quality metrics, and sampling methodologies that help Nova improve performances on benchmarks. The Applied Scientist will perform expert\-level manual audits, conduct meta\-audits to evaluate auditor performance, and provide targeted coaching to uplift overall quality capabilities. A critical aspect of this role involves developing and maintaining LLM\-as\-a\-Judge systems, including designing judge architectures, creating evaluation rubrics, and building machine learning models for automated quality assessment. The Applied Scientist will also set up the configuration of data collection workflows and communicate quality feedback to stakeholders. An Applied Scientist will also have a direct impact on enhancing customer experiences through high\-quality training and evaluation data that powers state\-of\-the\-art LLM products and services.  
A day in the life  
An Applied Scientist with the AGI team will support quality solution design, conduct root cause analysis on data quality issues, research new auditing methodologies, and find innovative ways of optimizing data quality while setting examples for the team on quality assurance best practices and standards. Besides theoretical analysis and quality framework development, an Applied Scientist will also work closely with talented engineers, domain experts, and vendor teams to put quality strategies and automated judging systems into practice.
**BASIC QUALIFICATIONS**
------------------------
* Master's degree in engineering, statistics, computer science, mathematics, or a related quantitative field
* 2\+ years of machine learning, statistical modeling, data mining, and analytics techniques experience
* 3\+ years of programming in Java, C\+\+, Python or related language experience
* 2\+ years of building machine learning models or developing algorithms for business application experience
**PREFERRED QUALIFICATIONS**
----------------------------
* Ph.D. in engineering, technology, computer science, machine learning, robotics, operations research, statistics, mathematics or equivalent quantitative field
* Have publications at top\-tier peer\-reviewed conferences or journals
* 4\+ years of solving business problems through machine learning, data mining and statistical algorithms experience
* Experience with Machine Learning and Large Language Model fundamentals, including architecture, training/inference lifecycles, and optimization of model execution, or experience debugging, profiling, and implementing best software engineering practices in large\-scale systems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starting pay for this position is listed below. Final starting pay will be based on factors including experience, qualifications, and location. Starting Day 1 of employment, Amazon offers EAP, Mental Health Support, Medical Advice Line, 401(k) matching. Learn more about our benefits at https://hiring.amazon.com/why\-amazon/benefits.
USA, MA, Boston \- 136,000\.00 \- 184,000\.00 USD annually  
USA, WA, BELLEVUE \- 136,000\.00 \- 184,000\.00 USD annually</t>
        </is>
      </c>
    </row>
    <row r="35">
      <c r="A35" t="inlineStr">
        <is>
          <t>in-95561a92c0676662</t>
        </is>
      </c>
      <c r="B35" t="inlineStr">
        <is>
          <t>Sr. Applied Scientist - SLAM, Amazon Industrial Robotics</t>
        </is>
      </c>
      <c r="C35" t="inlineStr">
        <is>
          <t>Amazon.com</t>
        </is>
      </c>
      <c r="D35" t="inlineStr">
        <is>
          <t>indeed</t>
        </is>
      </c>
      <c r="E35">
        <f>HYPERLINK("https://www.indeed.com/viewjob?jk=95561a92c0676662", "https://www.indeed.com/viewjob?jk=95561a92c0676662")</f>
        <v/>
      </c>
      <c r="F35">
        <f>HYPERLINK("https://www.amazon.jobs/jobs/3172078/sr-applied-scientist--slam-amazon-industrial-robotics?cmpid=DA_INAD200785B", "https://www.amazon.jobs/jobs/3172078/sr-applied-scientist--slam-amazon-industrial-robotics?cmpid=DA_INAD200785B")</f>
        <v/>
      </c>
      <c r="G35" t="inlineStr">
        <is>
          <t>Reading, MA, US</t>
        </is>
      </c>
      <c r="H35" s="1" t="n">
        <v>46050</v>
      </c>
      <c r="I35" t="inlineStr">
        <is>
          <t>**DESCRIPTION**
---------------
Amazon Industrial Robotics (AIR) is seeking exceptional talent to help develop the next generation of advanced robotics systems that will transform automation at Amazon's scale. We're building revolutionary robotic systems that combine cutting\-edge AI, sophisticated control systems, and advanced mechanical design to create adaptable automation solutions capable of working safely alongside humans in dynamic environments. This is a unique opportunity to shape the future of robotics and automation at an unprecedented scale, working with world\-class teams pushing the boundaries of what's possible in robotic dexterous manipulation, locomotion, and human\-robot interaction. This role presents an opportunity to shape the future of robotics through innovative applications of the latest software and AI tools for robots.
We are seeking an expert to lead the development of our SLAM and Spatial AI module. In this role, you will create methods that will enable our robot to perceive the environment and navigate with unrivaled vision and fidelity. The system will combine an array of diverse sensors with simultaneous localization and mapping software that continuously updates the map in real\-time automatically. It will have the capability to ‘see’ and identify different objects, people, vehicles, and places as it moves and react to moving people and vehicles in an intelligent way.  
The system combines a mix of high\-performance sensors with simultaneous localization and mapping software that builds and continuously updates maps in real\-time, completely automatically. It has the capability to ‘see’ and identify different objects, people, vehicles, and places as it moves and react to moving people and vehicles in an intelligent way.  
Key job responsibilities  
* Analyze, design, develop, and test existing and new perception capabilities using cameras and LIDAR sensor inputs for obstacle detection and semantic understanding.
* Research, design, implement and evaluate scientific approaches to a variety of autonomy challenges..
* Create experiments and prototype implementations of new perception algorithms.
* Deliver high quality production level code (C\+\+ or Python) and support systems in production.
* Collaborate with other functional teams in a robotics organization.
* Collaborate closely with hardware engineering team members on developing systems from prototyping to production level.
* Represent Amazon in academia community through publications and scientific presentations.
* Work with stakeholders across hardware, science, and operations teams to iterate on systems design and implementation.
**BASIC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MA, N.Reading \- 167,100\.00 \- 226,100\.00 USD annually</t>
        </is>
      </c>
    </row>
    <row r="36">
      <c r="A36" t="inlineStr">
        <is>
          <t>in-3eecb88e399dccd3</t>
        </is>
      </c>
      <c r="B36" t="inlineStr">
        <is>
          <t>Sr. Applied Scientist - SLAM, Amazon Industrial Robotics</t>
        </is>
      </c>
      <c r="C36" t="inlineStr">
        <is>
          <t>Amazon.com</t>
        </is>
      </c>
      <c r="D36" t="inlineStr">
        <is>
          <t>indeed</t>
        </is>
      </c>
      <c r="E36">
        <f>HYPERLINK("https://www.indeed.com/viewjob?jk=3eecb88e399dccd3", "https://www.indeed.com/viewjob?jk=3eecb88e399dccd3")</f>
        <v/>
      </c>
      <c r="F36">
        <f>HYPERLINK("https://www.amazon.jobs/jobs/3172078/sr-applied-scientist--slam-amazon-industrial-robotics?cmpid=DA_INAD200785B", "https://www.amazon.jobs/jobs/3172078/sr-applied-scientist--slam-amazon-industrial-robotics?cmpid=DA_INAD200785B")</f>
        <v/>
      </c>
      <c r="G36" t="inlineStr">
        <is>
          <t>Reading, MA, US</t>
        </is>
      </c>
      <c r="H36" s="1" t="n">
        <v>46050</v>
      </c>
      <c r="I36" t="inlineStr">
        <is>
          <t>**DESCRIPTION**
---------------
Amazon Industrial Robotics (AIR) is seeking exceptional talent to help develop the next generation of advanced robotics systems that will transform automation at Amazon's scale. We're building revolutionary robotic systems that combine cutting\-edge AI, sophisticated control systems, and advanced mechanical design to create adaptable automation solutions capable of working safely alongside humans in dynamic environments. This is a unique opportunity to shape the future of robotics and automation at an unprecedented scale, working with world\-class teams pushing the boundaries of what's possible in robotic dexterous manipulation, locomotion, and human\-robot interaction. This role presents an opportunity to shape the future of robotics through innovative applications of the latest software and AI tools for robots.
We are seeking an expert to lead the development of our SLAM and Spatial AI module. In this role, you will create methods that will enable our robot to perceive the environment and navigate with unrivaled vision and fidelity. The system will combine an array of diverse sensors with simultaneous localization and mapping software that continuously updates the map in real\-time automatically. It will have the capability to ‘see’ and identify different objects, people, vehicles, and places as it moves and react to moving people and vehicles in an intelligent way.  
The system combines a mix of high\-performance sensors with simultaneous localization and mapping software that builds and continuously updates maps in real\-time, completely automatically. It has the capability to ‘see’ and identify different objects, people, vehicles, and places as it moves and react to moving people and vehicles in an intelligent way.  
Key job responsibilities  
* Analyze, design, develop, and test existing and new perception capabilities using cameras and LIDAR sensor inputs for obstacle detection and semantic understanding.
* Research, design, implement and evaluate scientific approaches to a variety of autonomy challenges..
* Create experiments and prototype implementations of new perception algorithms.
* Deliver high quality production level code (C\+\+ or Python) and support systems in production.
* Collaborate with other functional teams in a robotics organization.
* Collaborate closely with hardware engineering team members on developing systems from prototyping to production level.
* Represent Amazon in academia community through publications and scientific presentations.
* Work with stakeholders across hardware, science, and operations teams to iterate on systems design and implementation.
**BASIC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MA, N.Reading \- 167,100\.00 \- 226,100\.00 USD annually</t>
        </is>
      </c>
    </row>
    <row r="37">
      <c r="A37" t="inlineStr">
        <is>
          <t>in-bc81381f2ddaf398</t>
        </is>
      </c>
      <c r="B37" t="inlineStr">
        <is>
          <t>Principal Applied Scientist, Sensing, Industrial Robotics Group</t>
        </is>
      </c>
      <c r="C37" t="inlineStr">
        <is>
          <t>Amazon.com</t>
        </is>
      </c>
      <c r="D37" t="inlineStr">
        <is>
          <t>indeed</t>
        </is>
      </c>
      <c r="E37">
        <f>HYPERLINK("https://www.indeed.com/viewjob?jk=bc81381f2ddaf398", "https://www.indeed.com/viewjob?jk=bc81381f2ddaf398")</f>
        <v/>
      </c>
      <c r="F37">
        <f>HYPERLINK("https://www.amazon.jobs/jobs/3170953/principal-applied-scientist-sensing-industrial-robotics-group-?cmpid=DA_INAD200785B", "https://www.amazon.jobs/jobs/3170953/principal-applied-scientist-sensing-industrial-robotics-group-?cmpid=DA_INAD200785B")</f>
        <v/>
      </c>
      <c r="G37" t="inlineStr">
        <is>
          <t>Reading, MA, US</t>
        </is>
      </c>
      <c r="H37" s="1" t="n">
        <v>46050</v>
      </c>
      <c r="I37" t="inlineStr">
        <is>
          <t>**DESCRIPTION**
---------------
Amazon's Industrial Robotics Group (IRG) is seeking exceptional talent to help develop the next generation of advanced robotics systems that will transform automation at Amazon's scale. We're building revolutionary robotic systems that combine cutting\-edge AI, sophisticated control systems, and advanced mechanical design to create adaptable automation solutions capable of working safely alongside humans in dynamic environments. This is a unique opportunity to shape the future of robotics and automation at an unprecedented scale, working with world\-class teams pushing the boundaries of what's possible in robotic dexterous manipulation, locomotion, and human\-robot interaction. This role presents an opportunity to shape the future of robotics through innovative applications of deep learning and large language models.
As a Principal Scientist, you will lead the research and development of complex sensing systems that help our robots perceive the world around them. You will explore and guide the exploration of novel sensing modalities, refining the existing ones, and imagine the future of robot–based perception, safety, and navigation. You will formulate a robust sensing architecture, lead the experimentation and prototyping, and take part in creating future robots that are fully aware of their surroundings.
Key job responsibilities  
* Build and lead teams focused on hardware, firmware, and embedded systems
* Drive technical roadmaps for next\-generation robotics platforms
* Drive architecture decisions for complex robotics perception systems
* Bring the latest trends and scientific developments in robotic perception to the technical team
* Create technical standards for robotics sensing platforms
* Drive innovation in real\-time perception and control systems
**BASIC QUALIFICATIONS**
------------------------
* PhD in computer science, machine learning, engineering, or related fields
* 10\+ years experience in sensing and perception research
* 5\+ years technical leadership in perception systems and learning
* Strong background in real\-time multimodal sensing
* Proven track record in robotics computing platforms
**PREFERRED QUALIFICATIONS**
----------------------------
* Experience with robotics perception\-driven control systems and sensor integration
* Background in real\-time operating systems and deterministic computing
* Experience developing complex perception\-driven robotic architectures
* Track record of innovation in robotics sensing platforms
* Experience with safety applications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MA, N.Reading \- 198,900\.00 \- 269,000\.00 USD annually</t>
        </is>
      </c>
    </row>
    <row r="38">
      <c r="A38" t="inlineStr">
        <is>
          <t>in-84deac1a0893f7f8</t>
        </is>
      </c>
      <c r="B38" t="inlineStr">
        <is>
          <t>Principal Applied Scientist, Sensing, Industrial Robotics Group</t>
        </is>
      </c>
      <c r="C38" t="inlineStr">
        <is>
          <t>Amazon.com</t>
        </is>
      </c>
      <c r="D38" t="inlineStr">
        <is>
          <t>indeed</t>
        </is>
      </c>
      <c r="E38">
        <f>HYPERLINK("https://www.indeed.com/viewjob?jk=84deac1a0893f7f8", "https://www.indeed.com/viewjob?jk=84deac1a0893f7f8")</f>
        <v/>
      </c>
      <c r="F38">
        <f>HYPERLINK("https://www.amazon.jobs/jobs/3170953/principal-applied-scientist-sensing-industrial-robotics-group-?cmpid=DA_INAD200785B", "https://www.amazon.jobs/jobs/3170953/principal-applied-scientist-sensing-industrial-robotics-group-?cmpid=DA_INAD200785B")</f>
        <v/>
      </c>
      <c r="G38" t="inlineStr">
        <is>
          <t>Reading, MA, US</t>
        </is>
      </c>
      <c r="H38" s="1" t="n">
        <v>46050</v>
      </c>
      <c r="I38" t="inlineStr">
        <is>
          <t>**DESCRIPTION**
---------------
Amazon's Industrial Robotics Group (IRG) is seeking exceptional talent to help develop the next generation of advanced robotics systems that will transform automation at Amazon's scale. We're building revolutionary robotic systems that combine cutting\-edge AI, sophisticated control systems, and advanced mechanical design to create adaptable automation solutions capable of working safely alongside humans in dynamic environments. This is a unique opportunity to shape the future of robotics and automation at an unprecedented scale, working with world\-class teams pushing the boundaries of what's possible in robotic dexterous manipulation, locomotion, and human\-robot interaction. This role presents an opportunity to shape the future of robotics through innovative applications of deep learning and large language models.
As a Principal Scientist, you will lead the research and development of complex sensing systems that help our robots perceive the world around them. You will explore and guide the exploration of novel sensing modalities, refining the existing ones, and imagine the future of robot–based perception, safety, and navigation. You will formulate a robust sensing architecture, lead the experimentation and prototyping, and take part in creating future robots that are fully aware of their surroundings.
Key job responsibilities  
* Build and lead teams focused on hardware, firmware, and embedded systems
* Drive technical roadmaps for next\-generation robotics platforms
* Drive architecture decisions for complex robotics perception systems
* Bring the latest trends and scientific developments in robotic perception to the technical team
* Create technical standards for robotics sensing platforms
* Drive innovation in real\-time perception and control systems
**BASIC QUALIFICATIONS**
------------------------
* PhD in computer science, machine learning, engineering, or related fields
* 10\+ years experience in sensing and perception research
* 5\+ years technical leadership in perception systems and learning
* Strong background in real\-time multimodal sensing
* Proven track record in robotics computing platforms
**PREFERRED QUALIFICATIONS**
----------------------------
* Experience with robotics perception\-driven control systems and sensor integration
* Background in real\-time operating systems and deterministic computing
* Experience developing complex perception\-driven robotic architectures
* Track record of innovation in robotics sensing platforms
* Experience with safety applications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MA, N.Reading \- 198,900\.00 \- 269,000\.00 USD annually</t>
        </is>
      </c>
    </row>
    <row r="39">
      <c r="A39" t="inlineStr">
        <is>
          <t>in-f7f6a0f811cd6424</t>
        </is>
      </c>
      <c r="B39" t="inlineStr">
        <is>
          <t>Applied Scientist II, Prime Video Personalization and Discovery Science</t>
        </is>
      </c>
      <c r="C39" t="inlineStr">
        <is>
          <t>Amazon.com</t>
        </is>
      </c>
      <c r="D39" t="inlineStr">
        <is>
          <t>indeed</t>
        </is>
      </c>
      <c r="E39">
        <f>HYPERLINK("https://www.indeed.com/viewjob?jk=f7f6a0f811cd6424", "https://www.indeed.com/viewjob?jk=f7f6a0f811cd6424")</f>
        <v/>
      </c>
      <c r="F39">
        <f>HYPERLINK("https://www.amazon.jobs/jobs/3168905/applied-scientist-ii-prime-video-personalization-and-discovery-science?cmpid=DA_INAD200785B", "https://www.amazon.jobs/jobs/3168905/applied-scientist-ii-prime-video-personalization-and-discovery-science?cmpid=DA_INAD200785B")</f>
        <v/>
      </c>
      <c r="G39" t="inlineStr">
        <is>
          <t>New York, NY, US</t>
        </is>
      </c>
      <c r="H39" s="1" t="n">
        <v>46047</v>
      </c>
      <c r="I39"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exclusive access to coverage of live sports. All customers regardless of whether they have a Prime membership or not, can access programming from subscriptions such as Apple TV, Peacock Premium Plus, HBO Max, FOX One, Crunchyroll and MGM\+, as well as more than 900 free ad\-support (FAST) Channels, rent or buy titles, and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Key job responsibilities  
* Develop ML models for various recommendation \&amp; search systems using deep learning, online learning, and optimization methods
* Work closely with other scientists, engineers and product managers to expand the depth of our product insights with data, create a variety of experiments to determine the high impact projects to include in planning roadmaps
* Stay up\-to\-date with advancements and the latest modeling techniques in the field
* Publish your research findings in top conferences and journals
A day in the life  
We're using advanced approaches such as foundation models to connect information about our videos and customers from a variety of information sources, acquiring and processing data sets on a scale that only a few companies in the world can match. This will enable us to recommend titles effectively, even when we don't have a large behavioral signal (to tackle the cold\-start title problem). It will also allow us to find our customer's niche interests, helping them discover groups of titles that they didn't even know existed. We are looking for creative \&amp; customer obsessed machine learning scientists who can apply the latest research, state of the art algorithms and ML to build highly scalable page personalization solutions. You'll be a research leader in the space and a hands\-on ML practitioner, guiding and collaborating with talented teams of engineers and scientists and senior leaders in the Prime Video organization. You will also have the opportunity to publish your research at internal and external conferences.
About the team  
Prime Video Recommendation Science team owns science solution to power recommendation and personalization experience on various Prime Video surfaces and devices. We work closely with the engineering teams to launch our solutions in production.**BASIC QUALIFICATIONS**
------------------------
* PhD, or Master's degree and 4\+ years of CS, CE, ML or related field experience
* 3\+ years of building models for business application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\- 171,600\.00 \- 222,200\.00 USD annually  
USA, NY, New York \- 172,400\.00 \- 223,400\.00 USD annually  
USA, WA, Seattle \- 142,800\.00 \- 193,200\.00 USD annually</t>
        </is>
      </c>
    </row>
    <row r="40">
      <c r="A40" t="inlineStr">
        <is>
          <t>in-09892d33d99f17a2</t>
        </is>
      </c>
      <c r="B40" t="inlineStr">
        <is>
          <t>Applied Scientist II, Prime Video Personalization and Discovery Science</t>
        </is>
      </c>
      <c r="C40" t="inlineStr">
        <is>
          <t>Amazon.com</t>
        </is>
      </c>
      <c r="D40" t="inlineStr">
        <is>
          <t>indeed</t>
        </is>
      </c>
      <c r="E40">
        <f>HYPERLINK("https://www.indeed.com/viewjob?jk=09892d33d99f17a2", "https://www.indeed.com/viewjob?jk=09892d33d99f17a2")</f>
        <v/>
      </c>
      <c r="F40">
        <f>HYPERLINK("https://www.amazon.jobs/jobs/3168905/applied-scientist-ii-prime-video-personalization-and-discovery-science?cmpid=DA_INAD200785B", "https://www.amazon.jobs/jobs/3168905/applied-scientist-ii-prime-video-personalization-and-discovery-science?cmpid=DA_INAD200785B")</f>
        <v/>
      </c>
      <c r="G40" t="inlineStr">
        <is>
          <t>Seattle, WA, US</t>
        </is>
      </c>
      <c r="H40" s="1" t="n">
        <v>46047</v>
      </c>
      <c r="I40"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exclusive access to coverage of live sports. All customers regardless of whether they have a Prime membership or not, can access programming from subscriptions such as Apple TV, Peacock Premium Plus, HBO Max, FOX One, Crunchyroll and MGM\+, as well as more than 900 free ad\-support (FAST) Channels, rent or buy titles, and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Key job responsibilities  
* Develop ML models for various recommendation \&amp; search systems using deep learning, online learning, and optimization methods
* Work closely with other scientists, engineers and product managers to expand the depth of our product insights with data, create a variety of experiments to determine the high impact projects to include in planning roadmaps
* Stay up\-to\-date with advancements and the latest modeling techniques in the field
* Publish your research findings in top conferences and journals
A day in the life  
We're using advanced approaches such as foundation models to connect information about our videos and customers from a variety of information sources, acquiring and processing data sets on a scale that only a few companies in the world can match. This will enable us to recommend titles effectively, even when we don't have a large behavioral signal (to tackle the cold\-start title problem). It will also allow us to find our customer's niche interests, helping them discover groups of titles that they didn't even know existed. We are looking for creative \&amp; customer obsessed machine learning scientists who can apply the latest research, state of the art algorithms and ML to build highly scalable page personalization solutions. You'll be a research leader in the space and a hands\-on ML practitioner, guiding and collaborating with talented teams of engineers and scientists and senior leaders in the Prime Video organization. You will also have the opportunity to publish your research at internal and external conferences.
About the team  
Prime Video Recommendation Science team owns science solution to power recommendation and personalization experience on various Prime Video surfaces and devices. We work closely with the engineering teams to launch our solutions in production.**BASIC QUALIFICATIONS**
------------------------
* PhD, or Master's degree and 4\+ years of CS, CE, ML or related field experience
* 3\+ years of building models for business application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\- 171,600\.00 \- 222,200\.00 USD annually  
USA, NY, New York \- 172,400\.00 \- 223,400\.00 USD annually  
USA, WA, Seattle \- 142,800\.00 \- 193,200\.00 USD annually</t>
        </is>
      </c>
    </row>
    <row r="41">
      <c r="A41" t="inlineStr">
        <is>
          <t>in-3e15cae0469c1bd1</t>
        </is>
      </c>
      <c r="B41" t="inlineStr">
        <is>
          <t>Applied Scientist II, Prime Video Personalization and Discovery Science</t>
        </is>
      </c>
      <c r="C41" t="inlineStr">
        <is>
          <t>Amazon.com</t>
        </is>
      </c>
      <c r="D41" t="inlineStr">
        <is>
          <t>indeed</t>
        </is>
      </c>
      <c r="E41">
        <f>HYPERLINK("https://www.indeed.com/viewjob?jk=3e15cae0469c1bd1", "https://www.indeed.com/viewjob?jk=3e15cae0469c1bd1")</f>
        <v/>
      </c>
      <c r="F41">
        <f>HYPERLINK("https://www.amazon.jobs/jobs/3168905/applied-scientist-ii-prime-video-personalization-and-discovery-science?cmpid=DA_INAD200785B", "https://www.amazon.jobs/jobs/3168905/applied-scientist-ii-prime-video-personalization-and-discovery-science?cmpid=DA_INAD200785B")</f>
        <v/>
      </c>
      <c r="G41" t="inlineStr">
        <is>
          <t>Sunnyvale, CA, US</t>
        </is>
      </c>
      <c r="H41" s="1" t="n">
        <v>46047</v>
      </c>
      <c r="I41"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exclusive access to coverage of live sports. All customers regardless of whether they have a Prime membership or not, can access programming from subscriptions such as Apple TV, Peacock Premium Plus, HBO Max, FOX One, Crunchyroll and MGM\+, as well as more than 900 free ad\-support (FAST) Channels, rent or buy titles, and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Key job responsibilities  
* Develop ML models for various recommendation \&amp; search systems using deep learning, online learning, and optimization methods
* Work closely with other scientists, engineers and product managers to expand the depth of our product insights with data, create a variety of experiments to determine the high impact projects to include in planning roadmaps
* Stay up\-to\-date with advancements and the latest modeling techniques in the field
* Publish your research findings in top conferences and journals
A day in the life  
We're using advanced approaches such as foundation models to connect information about our videos and customers from a variety of information sources, acquiring and processing data sets on a scale that only a few companies in the world can match. This will enable us to recommend titles effectively, even when we don't have a large behavioral signal (to tackle the cold\-start title problem). It will also allow us to find our customer's niche interests, helping them discover groups of titles that they didn't even know existed. We are looking for creative \&amp; customer obsessed machine learning scientists who can apply the latest research, state of the art algorithms and ML to build highly scalable page personalization solutions. You'll be a research leader in the space and a hands\-on ML practitioner, guiding and collaborating with talented teams of engineers and scientists and senior leaders in the Prime Video organization. You will also have the opportunity to publish your research at internal and external conferences.
About the team  
Prime Video Recommendation Science team owns science solution to power recommendation and personalization experience on various Prime Video surfaces and devices. We work closely with the engineering teams to launch our solutions in production.**BASIC QUALIFICATIONS**
------------------------
* PhD, or Master's degree and 4\+ years of CS, CE, ML or related field experience
* 3\+ years of building models for business application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\- 171,600\.00 \- 222,200\.00 USD annually  
USA, NY, New York \- 172,400\.00 \- 223,400\.00 USD annually  
USA, WA, Seattle \- 142,800\.00 \- 193,200\.00 USD annually</t>
        </is>
      </c>
    </row>
    <row r="42">
      <c r="A42" t="inlineStr">
        <is>
          <t>in-7d8a84d0ab807a13</t>
        </is>
      </c>
      <c r="B42" t="inlineStr">
        <is>
          <t>Applied Scientist, Amazon Connect</t>
        </is>
      </c>
      <c r="C42" t="inlineStr">
        <is>
          <t>Amazon Web Services</t>
        </is>
      </c>
      <c r="D42" t="inlineStr">
        <is>
          <t>indeed</t>
        </is>
      </c>
      <c r="E42">
        <f>HYPERLINK("https://www.indeed.com/viewjob?jk=7d8a84d0ab807a13", "https://www.indeed.com/viewjob?jk=7d8a84d0ab807a13")</f>
        <v/>
      </c>
      <c r="F42">
        <f>HYPERLINK("https://www.amazon.jobs/jobs/3168981/applied-scientist-amazon-connect?cmpid=DA_INAD200785B", "https://www.amazon.jobs/jobs/3168981/applied-scientist-amazon-connect?cmpid=DA_INAD200785B")</f>
        <v/>
      </c>
      <c r="G42" t="inlineStr">
        <is>
          <t>New York, NY, US</t>
        </is>
      </c>
      <c r="H42" s="1" t="n">
        <v>46047</v>
      </c>
      <c r="I42" t="inlineStr">
        <is>
          <t>**DESCRIPTION**
---------------
As part of the AWS Applied AI Solutions organization, we have a vision to provide business applications, leveraging Amazon's unique experience and expertise, that are used by millions of companies worldwide to manage day\-to\-day operations. We will accomplish this by accelerating our customers' businesses through delivery of intuitive and differentiated technology solutions that solve enduring business challenges. We blend vision with curiosity and Amazon's real\-world experience to build opinionated, turnkey solutions. Where customers prefer to buy over build, we become their trusted partner with solutions that are no\-brainers to buy and easy to use.  
The Applied Scientist II will contribute to the development of AI systems. The role requires extending existing scientific techniques and inventing new ones to address specific customer needs at a project level. You should be comfortable working semi\-autonomously on difficult problems with visible risks or roadblocks. You'll work closely with technical leaders within the team. We're looking for scientists who can maintain high standards while moving quickly, prioritizing both rapid experimentation and responsible AI development to deliver measurable customer impact.  
Key job responsibilities  
* Design and implement solutions that extend or adapt scientific approaches for customer needs at the project level
* Deliver components into production that meet high quality standards (efficient, reproducible, testable code)
* Produce research reports demonstrating correctness, scholarship, and scientific rigor
* Work with product and science teams to deliver impactful AI features
* Contribute to operational excellence in the team's deliverables
About the team  
Amazon Connect is a highly disruptive cloud\-based contact center that enables businesses to deliver engaging, dynamic, and personal customer service experiences. Amazon Connect is the result of the ten years of development that went into building the tools Amazon uses to provide its award winning customer service at massive scale and launching it as a publicly available AWS service. With Amazon Connect, you can create your own cloud\-based contact center and be taking calls in minutes. Amazon Connect leverages the power of Artificial Intelligence and the large ecosystem of AWS services such as Amazon Lex, Amazon Polly, AWS Lambda, Amazon S3 and Amazon Kinesis to provide a truly frustration free, easy\-to\-use, extensible, and natural customer experience. With this technology, we are transforming an industry and the way customers interact with businesses and how agents service them.**BASIC QUALIFICATIONS**
------------------------
* PhD, or Master's degree and 4\+ years of CS, CE, ML or related field experience
* 3\+ years of building models for business application experience
* Experience in patents or publications at top\-tier peer\-reviewed conferences or journals
* Experience programming in Java, C\+\+, Python or related language
* Experience in any of the following areas: algorithms and data structures, parsing, numerical optimization, data mining, parallel and distributed computing, high\-performance computing
**PREFERRED QUALIFICATIONS**
----------------------------
* Experience with large scale machine learning systems such as profiling and debugging and understanding of system performance and scalability
* Experience working with engineering and product teams to define a product and bring it to market
* Knowledge of AWS or cloud computing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NY, New York \- 172,400\.00 \- 223,400\.00 USD annually  
USA, WA, Seattle \- 142,800\.00 \- 193,200\.00 USD annually</t>
        </is>
      </c>
    </row>
    <row r="43">
      <c r="A43" t="inlineStr">
        <is>
          <t>in-a54cc9637e721273</t>
        </is>
      </c>
      <c r="B43" t="inlineStr">
        <is>
          <t>Applied Scientist, Amazon Connect</t>
        </is>
      </c>
      <c r="C43" t="inlineStr">
        <is>
          <t>Amazon Web Services</t>
        </is>
      </c>
      <c r="D43" t="inlineStr">
        <is>
          <t>indeed</t>
        </is>
      </c>
      <c r="E43">
        <f>HYPERLINK("https://www.indeed.com/viewjob?jk=a54cc9637e721273", "https://www.indeed.com/viewjob?jk=a54cc9637e721273")</f>
        <v/>
      </c>
      <c r="F43">
        <f>HYPERLINK("https://www.amazon.jobs/jobs/3168981/applied-scientist-amazon-connect?cmpid=DA_INAD200785B", "https://www.amazon.jobs/jobs/3168981/applied-scientist-amazon-connect?cmpid=DA_INAD200785B")</f>
        <v/>
      </c>
      <c r="G43" t="inlineStr">
        <is>
          <t>Seattle, WA, US</t>
        </is>
      </c>
      <c r="H43" s="1" t="n">
        <v>46047</v>
      </c>
      <c r="I43" t="inlineStr">
        <is>
          <t>**DESCRIPTION**
---------------
As part of the AWS Applied AI Solutions organization, we have a vision to provide business applications, leveraging Amazon's unique experience and expertise, that are used by millions of companies worldwide to manage day\-to\-day operations. We will accomplish this by accelerating our customers' businesses through delivery of intuitive and differentiated technology solutions that solve enduring business challenges. We blend vision with curiosity and Amazon's real\-world experience to build opinionated, turnkey solutions. Where customers prefer to buy over build, we become their trusted partner with solutions that are no\-brainers to buy and easy to use.  
The Applied Scientist II will contribute to the development of AI systems. The role requires extending existing scientific techniques and inventing new ones to address specific customer needs at a project level. You should be comfortable working semi\-autonomously on difficult problems with visible risks or roadblocks. You'll work closely with technical leaders within the team. We're looking for scientists who can maintain high standards while moving quickly, prioritizing both rapid experimentation and responsible AI development to deliver measurable customer impact.  
Key job responsibilities  
* Design and implement solutions that extend or adapt scientific approaches for customer needs at the project level
* Deliver components into production that meet high quality standards (efficient, reproducible, testable code)
* Produce research reports demonstrating correctness, scholarship, and scientific rigor
* Work with product and science teams to deliver impactful AI features
* Contribute to operational excellence in the team's deliverables
About the team  
Amazon Connect is a highly disruptive cloud\-based contact center that enables businesses to deliver engaging, dynamic, and personal customer service experiences. Amazon Connect is the result of the ten years of development that went into building the tools Amazon uses to provide its award winning customer service at massive scale and launching it as a publicly available AWS service. With Amazon Connect, you can create your own cloud\-based contact center and be taking calls in minutes. Amazon Connect leverages the power of Artificial Intelligence and the large ecosystem of AWS services such as Amazon Lex, Amazon Polly, AWS Lambda, Amazon S3 and Amazon Kinesis to provide a truly frustration free, easy\-to\-use, extensible, and natural customer experience. With this technology, we are transforming an industry and the way customers interact with businesses and how agents service them.**BASIC QUALIFICATIONS**
------------------------
* PhD, or Master's degree and 4\+ years of CS, CE, ML or related field experience
* 3\+ years of building models for business application experience
* Experience in patents or publications at top\-tier peer\-reviewed conferences or journals
* Experience programming in Java, C\+\+, Python or related language
* Experience in any of the following areas: algorithms and data structures, parsing, numerical optimization, data mining, parallel and distributed computing, high\-performance computing
**PREFERRED QUALIFICATIONS**
----------------------------
* Experience with large scale machine learning systems such as profiling and debugging and understanding of system performance and scalability
* Experience working with engineering and product teams to define a product and bring it to market
* Knowledge of AWS or cloud computing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NY, New York \- 172,400\.00 \- 223,400\.00 USD annually  
USA, WA, Seattle \- 142,800\.00 \- 193,200\.00 USD annually</t>
        </is>
      </c>
    </row>
    <row r="44">
      <c r="A44" t="inlineStr">
        <is>
          <t>in-1df4d36974e653cf</t>
        </is>
      </c>
      <c r="B44" t="inlineStr">
        <is>
          <t>Applied Scientist, Safety ML</t>
        </is>
      </c>
      <c r="C44" t="inlineStr">
        <is>
          <t>Amazon.com</t>
        </is>
      </c>
      <c r="D44" t="inlineStr">
        <is>
          <t>indeed</t>
        </is>
      </c>
      <c r="E44">
        <f>HYPERLINK("https://www.indeed.com/viewjob?jk=1df4d36974e653cf", "https://www.indeed.com/viewjob?jk=1df4d36974e653cf")</f>
        <v/>
      </c>
      <c r="F44">
        <f>HYPERLINK("https://www.amazon.jobs/jobs/3161224/applied-scientist-safety-ml?cmpid=DA_INAD200785B", "https://www.amazon.jobs/jobs/3161224/applied-scientist-safety-ml?cmpid=DA_INAD200785B")</f>
        <v/>
      </c>
      <c r="G44" t="inlineStr">
        <is>
          <t>San Francisco, CA, US</t>
        </is>
      </c>
      <c r="H44" s="1" t="n">
        <v>46037</v>
      </c>
      <c r="I44"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We are looking for applied scientists to solve challenging and open\-ended problems in the domain of user and content safety. As an applied scientist on Twitch's Community team, you will use machine learning to develop data products tackling problems such as harassment, spam, and illegal content. You will use a wide toolbox of ML tools to handle multiple types of data, including user behavior, metadata, and user generated content such as text and video. You will collaborate with a team of passionate scientists and engineers to develop these models and put them into production, where they can help Twitch's creators and viewers succeed and build communities.  
You will report to our Senior Applied Science Manager in San Francisco, CA. You can work from San Francisco, CA or Seattle, WA.  
You Will  
* Build machine learning products to protect Twitch and its users from abusive behavior such as harassment, spam, and violent or illegal content.
* Work backwards from customer problems to develop the right solution for the job, whether a classical ML model or a state\-of\-the\-art one.
* Collaborate with Community Health's engineering and product management team to productionize your models into flexible data pipelines and ML\-based services.
* Continue to learn and experiment with new techniques in ML, software engineering, or safety so that we can better help communities on Twitch grow and stay safe.
Perks  
* Medical, Dental, Vision \&amp; Disability Insurance
* 401(k)
* Maternity \&amp; Parental Leave
* Flexible PTO
* Amazon Employee Discount
**BASIC QUALIFICATIONS**
------------------------
* 2\+ years of building production software experience
* 2\+ years of hands\-on industry experience building models for NLP, deep learning, bot detection, anomaly detection or in another practical ML domain.
* PhD / MSc Degree in Computer Science, Mathematics, Statistics, Physics, Engineering, or similar quantitative field OR equivalent hands on experience.
* Expertise with: Python and SQL, modern open source ML libraries (Pytorch, Tensorflow, etc.).
* Familiarity with operating in AWS or similar cloud\-computing services.
**PREFERRED QUALIFICATIONS**
----------------------------
* PhD with a specialization in Machine Learning.
* 1\+ years of experience working in the safety or fraud prevention domain (not necessarily as a scientist).
* Experience communicating with both technical and non\-technical partners and stakeholders.
* Familiarity with Twitch, its business, and its community.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 Francisco \- 171,600\.00 \- 222,200\.00 USD annually  
USA, WA, SEATTLE \- 142,800\.00 \- 193,200\.00 USD annually  
USA, WA, Seattle \- 142,800\.00 \- 193,200\.00 USD annually</t>
        </is>
      </c>
    </row>
    <row r="45">
      <c r="A45" t="inlineStr">
        <is>
          <t>in-5159b1a456d8fc19</t>
        </is>
      </c>
      <c r="B45" t="inlineStr">
        <is>
          <t>Applied Scientist, Safety ML</t>
        </is>
      </c>
      <c r="C45" t="inlineStr">
        <is>
          <t>Amazon.com</t>
        </is>
      </c>
      <c r="D45" t="inlineStr">
        <is>
          <t>indeed</t>
        </is>
      </c>
      <c r="E45">
        <f>HYPERLINK("https://www.indeed.com/viewjob?jk=5159b1a456d8fc19", "https://www.indeed.com/viewjob?jk=5159b1a456d8fc19")</f>
        <v/>
      </c>
      <c r="F45">
        <f>HYPERLINK("https://www.amazon.jobs/jobs/3161224/applied-scientist-safety-ml?cmpid=DA_INAD200785B", "https://www.amazon.jobs/jobs/3161224/applied-scientist-safety-ml?cmpid=DA_INAD200785B")</f>
        <v/>
      </c>
      <c r="G45" t="inlineStr">
        <is>
          <t>Seattle, WA, US</t>
        </is>
      </c>
      <c r="H45" s="1" t="n">
        <v>46037</v>
      </c>
      <c r="I45" t="inlineStr">
        <is>
          <t>**DESCRIPTION**
---------------
If you are interested in this position, please apply on Twitch's Career site https://www.twitch.tv/jobs/en/  
About Us:  
Twitch is the world’s biggest live streaming service, with global communities built around gaming, entertainment, music, sports, cooking, and more. It is where thousands of communities come together for whatever, every day.  
We’re about community, inside and out. You’ll find coworkers who are eager to team up, collaborate, and smash (or elegantly solve) problems together. We’re on a quest to empower live communities, so if this sounds good to you, see what we’re up to on LinkedIn and X, and discover the projects we’re solving on our Blog. Be sure to explore our Interviewing Guide to learn how to ace our interview process.  
About the Role  
We are looking for applied scientists to solve challenging and open\-ended problems in the domain of user and content safety. As an applied scientist on Twitch's Community team, you will use machine learning to develop data products tackling problems such as harassment, spam, and illegal content. You will use a wide toolbox of ML tools to handle multiple types of data, including user behavior, metadata, and user generated content such as text and video. You will collaborate with a team of passionate scientists and engineers to develop these models and put them into production, where they can help Twitch's creators and viewers succeed and build communities.  
You will report to our Senior Applied Science Manager in San Francisco, CA. You can work from San Francisco, CA or Seattle, WA.  
You Will  
* Build machine learning products to protect Twitch and its users from abusive behavior such as harassment, spam, and violent or illegal content.
* Work backwards from customer problems to develop the right solution for the job, whether a classical ML model or a state\-of\-the\-art one.
* Collaborate with Community Health's engineering and product management team to productionize your models into flexible data pipelines and ML\-based services.
* Continue to learn and experiment with new techniques in ML, software engineering, or safety so that we can better help communities on Twitch grow and stay safe.
Perks  
* Medical, Dental, Vision \&amp; Disability Insurance
* 401(k)
* Maternity \&amp; Parental Leave
* Flexible PTO
* Amazon Employee Discount
**BASIC QUALIFICATIONS**
------------------------
* 2\+ years of building production software experience
* 2\+ years of hands\-on industry experience building models for NLP, deep learning, bot detection, anomaly detection or in another practical ML domain.
* PhD / MSc Degree in Computer Science, Mathematics, Statistics, Physics, Engineering, or similar quantitative field OR equivalent hands on experience.
* Expertise with: Python and SQL, modern open source ML libraries (Pytorch, Tensorflow, etc.).
* Familiarity with operating in AWS or similar cloud\-computing services.
**PREFERRED QUALIFICATIONS**
----------------------------
* PhD with a specialization in Machine Learning.
* 1\+ years of experience working in the safety or fraud prevention domain (not necessarily as a scientist).
* Experience communicating with both technical and non\-technical partners and stakeholders.
* Familiarity with Twitch, its business, and its community.
Twitch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 Francisco \- 171,600\.00 \- 222,200\.00 USD annually  
USA, WA, SEATTLE \- 142,800\.00 \- 193,200\.00 USD annually  
USA, WA, Seattle \- 142,800\.00 \- 193,200\.00 USD annually</t>
        </is>
      </c>
    </row>
    <row r="46">
      <c r="A46" t="inlineStr">
        <is>
          <t>in-5c60c9d3a82ca6e7</t>
        </is>
      </c>
      <c r="B46" t="inlineStr">
        <is>
          <t>Principal Applied Scientist, Measurement, AdTech and Data Science, Ads Performance Measurement</t>
        </is>
      </c>
      <c r="C46" t="inlineStr">
        <is>
          <t>Amazon.com</t>
        </is>
      </c>
      <c r="D46" t="inlineStr">
        <is>
          <t>indeed</t>
        </is>
      </c>
      <c r="E46">
        <f>HYPERLINK("https://www.indeed.com/viewjob?jk=5c60c9d3a82ca6e7", "https://www.indeed.com/viewjob?jk=5c60c9d3a82ca6e7")</f>
        <v/>
      </c>
      <c r="F46">
        <f>HYPERLINK("https://www.amazon.jobs/jobs/3179997/principal-applied-scientist-measurement-adtech-and-data-science-ads-performance-measurement?cmpid=DA_INAD200785B", "https://www.amazon.jobs/jobs/3179997/principal-applied-scientist-measurement-adtech-and-data-science-ads-performance-measurement?cmpid=DA_INAD200785B")</f>
        <v/>
      </c>
      <c r="G46" t="inlineStr">
        <is>
          <t>Palo Alto, CA, US</t>
        </is>
      </c>
      <c r="H46" s="1" t="n">
        <v>46037</v>
      </c>
      <c r="I46" t="inlineStr">
        <is>
          <t>**DESCRIPTION**
---------------
The Principal Applied Scientist in Performance Measurement in the Measurement, Ad Tech, and Data Science (MADS) team leads the technical vision and execution for Amazon Advertising's performance measurement. Our measurement products and tools help customers understand the holistic impact of their spend on Amazon Ads and optimize their portfolios. This is a complex, multi\-disciplinary scientific space spanning machine learning, causal inference, statistics and experimentation, natural language processing, and generative AI. As a GenAI\-first organization, we build foundational and agentic models that power advertiser use cases across Ads, while empowering our Applied Scientists to directly build and ship products. You will guide a team of scientists with expertise across different domains to come together and innovate on some of the hardest problems in advertising, made more challenging by evolving privacy regulations and technological changes. In measuring the comprehensive impact of advertising, key challenges you will tackle include capturing impact: 1\) both for identified and increasing unidentified web traffic in light of an evolving global privacy landscape; 2\) for outcomes across retailers, including both within and beyond Amazon; and 3\) for both short\- and long\-term impacts of advertising.  
The ideal candidate will have deep expertise in ad serving, measurement, and application of advanced machine learning and innovate on measurement solutions that comply with complex privacy policies and regulatory requirements maintaining Amazon Advertising’s competitive edge.
Key job responsibilities  
Key job responsibilities include:  
* Driving the scientific vision of the teams in your organization and you advise and influence its technical leadership on performance measurement models and products.
* Identifying, tackling, and proposing innovative solutions to intrinsically hard, previously unsolved problems. You solve problems pragmatically, applying judgment and experience to balance trade\-offs between competing interests.
* Bringing clarity to complex problems, probe assumptions, illuminate pitfalls, foster shared understanding, and guide towards effective solutions.
* Serving and being recognized by internal and external peers as a thought leader in modeled measurement in Ads. You will engage routinely with the broader scientific community, e.g. as a reviewer, program committee member, workshop organizer, or chair at peer\-reviewed internal/external conferences.
* Leading by example, with your papers, analyses, and code setting the standard in your organization for scientific engineering excellence.
* Leading science and design reviews, aligning teams across your organization around coherent algorithmic strategies.
* Influencing your team’s science and business strategy by driving one or more team roadmaps contributing to the organization’s roadmap and taking responsibility for some organizational goals. You drive multiple new product features from inception to production launch.
* Guiding the career development of others, actively mentoring and educating the larger applied science community on trends, technologies, and best practices. You drive the documentation of scientific innovation. You attract bar\-raising talent from academia and industry.
* Staying abreast of academic and industry trends, knowing the state of the art, and building on top of existing solutions instead of reinventing when possible
**BASIC QUALIFICATIONS**
------------------------
* PhD in Computer Science, Statistics or related field.
* 10\+ years of applied ML experience in building complex, real\-time systems involving AI, ML, and NLP.
* Hands\-on experience with designing and prototyping AI solutions for real world applications.
**PREFERRED QUALIFICATIONS**
----------------------------
* Research publications or patents in generative AI technologies.
* Experience with natural language processing and generative model architectures.
* Background in advertising technology or e\-commerce platforms.
* Demonstrated track record of innovative AI solution development.
* Experience with advertising systems and applications.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Palo Alto \- 228,700\.00 \- 309,400\.00 USD annually  
USA, NY, New York \- 218,800\.00 \- 295,900\.00 USD annually  
USA, WA, Seattle \- 198,900\.00 \- 269,000\.00 USD annually</t>
        </is>
      </c>
    </row>
    <row r="47">
      <c r="A47" t="inlineStr">
        <is>
          <t>in-1479a5911a22498d</t>
        </is>
      </c>
      <c r="B47" t="inlineStr">
        <is>
          <t>Principal Applied Scientist, Measurement, AdTech and Data Science, Ads Performance Measurement</t>
        </is>
      </c>
      <c r="C47" t="inlineStr">
        <is>
          <t>Amazon.com</t>
        </is>
      </c>
      <c r="D47" t="inlineStr">
        <is>
          <t>indeed</t>
        </is>
      </c>
      <c r="E47">
        <f>HYPERLINK("https://www.indeed.com/viewjob?jk=1479a5911a22498d", "https://www.indeed.com/viewjob?jk=1479a5911a22498d")</f>
        <v/>
      </c>
      <c r="F47">
        <f>HYPERLINK("https://www.amazon.jobs/jobs/3179997/principal-applied-scientist-measurement-adtech-and-data-science-ads-performance-measurement?cmpid=DA_INAD200785B", "https://www.amazon.jobs/jobs/3179997/principal-applied-scientist-measurement-adtech-and-data-science-ads-performance-measurement?cmpid=DA_INAD200785B")</f>
        <v/>
      </c>
      <c r="G47" t="inlineStr">
        <is>
          <t>New York, NY, US</t>
        </is>
      </c>
      <c r="H47" s="1" t="n">
        <v>46037</v>
      </c>
      <c r="I47" t="inlineStr">
        <is>
          <t>**DESCRIPTION**
---------------
The Principal Applied Scientist in Performance Measurement in the Measurement, Ad Tech, and Data Science (MADS) team leads the technical vision and execution for Amazon Advertising's performance measurement. Our measurement products and tools help customers understand the holistic impact of their spend on Amazon Ads and optimize their portfolios. This is a complex, multi\-disciplinary scientific space spanning machine learning, causal inference, statistics and experimentation, natural language processing, and generative AI. As a GenAI\-first organization, we build foundational and agentic models that power advertiser use cases across Ads, while empowering our Applied Scientists to directly build and ship products. You will guide a team of scientists with expertise across different domains to come together and innovate on some of the hardest problems in advertising, made more challenging by evolving privacy regulations and technological changes. In measuring the comprehensive impact of advertising, key challenges you will tackle include capturing impact: 1\) both for identified and increasing unidentified web traffic in light of an evolving global privacy landscape; 2\) for outcomes across retailers, including both within and beyond Amazon; and 3\) for both short\- and long\-term impacts of advertising.  
The ideal candidate will have deep expertise in ad serving, measurement, and application of advanced machine learning and innovate on measurement solutions that comply with complex privacy policies and regulatory requirements maintaining Amazon Advertising’s competitive edge.
Key job responsibilities  
Key job responsibilities include:  
* Driving the scientific vision of the teams in your organization and you advise and influence its technical leadership on performance measurement models and products.
* Identifying, tackling, and proposing innovative solutions to intrinsically hard, previously unsolved problems. You solve problems pragmatically, applying judgment and experience to balance trade\-offs between competing interests.
* Bringing clarity to complex problems, probe assumptions, illuminate pitfalls, foster shared understanding, and guide towards effective solutions.
* Serving and being recognized by internal and external peers as a thought leader in modeled measurement in Ads. You will engage routinely with the broader scientific community, e.g. as a reviewer, program committee member, workshop organizer, or chair at peer\-reviewed internal/external conferences.
* Leading by example, with your papers, analyses, and code setting the standard in your organization for scientific engineering excellence.
* Leading science and design reviews, aligning teams across your organization around coherent algorithmic strategies.
* Influencing your team’s science and business strategy by driving one or more team roadmaps contributing to the organization’s roadmap and taking responsibility for some organizational goals. You drive multiple new product features from inception to production launch.
* Guiding the career development of others, actively mentoring and educating the larger applied science community on trends, technologies, and best practices. You drive the documentation of scientific innovation. You attract bar\-raising talent from academia and industry.
* Staying abreast of academic and industry trends, knowing the state of the art, and building on top of existing solutions instead of reinventing when possible
**BASIC QUALIFICATIONS**
------------------------
* PhD in Computer Science, Statistics or related field.
* 10\+ years of applied ML experience in building complex, real\-time systems involving AI, ML, and NLP.
* Hands\-on experience with designing and prototyping AI solutions for real world applications.
**PREFERRED QUALIFICATIONS**
----------------------------
* Research publications or patents in generative AI technologies.
* Experience with natural language processing and generative model architectures.
* Background in advertising technology or e\-commerce platforms.
* Demonstrated track record of innovative AI solution development.
* Experience with advertising systems and applications.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Palo Alto \- 228,700\.00 \- 309,400\.00 USD annually  
USA, NY, New York \- 218,800\.00 \- 295,900\.00 USD annually  
USA, WA, Seattle \- 198,900\.00 \- 269,000\.00 USD annually</t>
        </is>
      </c>
    </row>
    <row r="48">
      <c r="A48" t="inlineStr">
        <is>
          <t>in-379648bdb0625f32</t>
        </is>
      </c>
      <c r="B48" t="inlineStr">
        <is>
          <t>Principal Applied Scientist, Measurement, AdTech and Data Science, Ads Performance Measurement</t>
        </is>
      </c>
      <c r="C48" t="inlineStr">
        <is>
          <t>Amazon.com</t>
        </is>
      </c>
      <c r="D48" t="inlineStr">
        <is>
          <t>indeed</t>
        </is>
      </c>
      <c r="E48">
        <f>HYPERLINK("https://www.indeed.com/viewjob?jk=379648bdb0625f32", "https://www.indeed.com/viewjob?jk=379648bdb0625f32")</f>
        <v/>
      </c>
      <c r="F48">
        <f>HYPERLINK("https://www.amazon.jobs/jobs/3179997/principal-applied-scientist-measurement-adtech-and-data-science-ads-performance-measurement?cmpid=DA_INAD200785B", "https://www.amazon.jobs/jobs/3179997/principal-applied-scientist-measurement-adtech-and-data-science-ads-performance-measurement?cmpid=DA_INAD200785B")</f>
        <v/>
      </c>
      <c r="G48" t="inlineStr">
        <is>
          <t>Seattle, WA, US</t>
        </is>
      </c>
      <c r="H48" s="1" t="n">
        <v>46037</v>
      </c>
      <c r="I48" t="inlineStr">
        <is>
          <t>**DESCRIPTION**
---------------
The Principal Applied Scientist in Performance Measurement in the Measurement, Ad Tech, and Data Science (MADS) team leads the technical vision and execution for Amazon Advertising's performance measurement. Our measurement products and tools help customers understand the holistic impact of their spend on Amazon Ads and optimize their portfolios. This is a complex, multi\-disciplinary scientific space spanning machine learning, causal inference, statistics and experimentation, natural language processing, and generative AI. As a GenAI\-first organization, we build foundational and agentic models that power advertiser use cases across Ads, while empowering our Applied Scientists to directly build and ship products. You will guide a team of scientists with expertise across different domains to come together and innovate on some of the hardest problems in advertising, made more challenging by evolving privacy regulations and technological changes. In measuring the comprehensive impact of advertising, key challenges you will tackle include capturing impact: 1\) both for identified and increasing unidentified web traffic in light of an evolving global privacy landscape; 2\) for outcomes across retailers, including both within and beyond Amazon; and 3\) for both short\- and long\-term impacts of advertising.  
The ideal candidate will have deep expertise in ad serving, measurement, and application of advanced machine learning and innovate on measurement solutions that comply with complex privacy policies and regulatory requirements maintaining Amazon Advertising’s competitive edge.
Key job responsibilities  
Key job responsibilities include:  
* Driving the scientific vision of the teams in your organization and you advise and influence its technical leadership on performance measurement models and products.
* Identifying, tackling, and proposing innovative solutions to intrinsically hard, previously unsolved problems. You solve problems pragmatically, applying judgment and experience to balance trade\-offs between competing interests.
* Bringing clarity to complex problems, probe assumptions, illuminate pitfalls, foster shared understanding, and guide towards effective solutions.
* Serving and being recognized by internal and external peers as a thought leader in modeled measurement in Ads. You will engage routinely with the broader scientific community, e.g. as a reviewer, program committee member, workshop organizer, or chair at peer\-reviewed internal/external conferences.
* Leading by example, with your papers, analyses, and code setting the standard in your organization for scientific engineering excellence.
* Leading science and design reviews, aligning teams across your organization around coherent algorithmic strategies.
* Influencing your team’s science and business strategy by driving one or more team roadmaps contributing to the organization’s roadmap and taking responsibility for some organizational goals. You drive multiple new product features from inception to production launch.
* Guiding the career development of others, actively mentoring and educating the larger applied science community on trends, technologies, and best practices. You drive the documentation of scientific innovation. You attract bar\-raising talent from academia and industry.
* Staying abreast of academic and industry trends, knowing the state of the art, and building on top of existing solutions instead of reinventing when possible
**BASIC QUALIFICATIONS**
------------------------
* PhD in Computer Science, Statistics or related field.
* 10\+ years of applied ML experience in building complex, real\-time systems involving AI, ML, and NLP.
* Hands\-on experience with designing and prototyping AI solutions for real world applications.
**PREFERRED QUALIFICATIONS**
----------------------------
* Research publications or patents in generative AI technologies.
* Experience with natural language processing and generative model architectures.
* Background in advertising technology or e\-commerce platforms.
* Demonstrated track record of innovative AI solution development.
* Experience with advertising systems and applications.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Palo Alto \- 228,700\.00 \- 309,400\.00 USD annually  
USA, NY, New York \- 218,800\.00 \- 295,900\.00 USD annually  
USA, WA, Seattle \- 198,900\.00 \- 269,000\.00 USD annually</t>
        </is>
      </c>
    </row>
    <row r="49">
      <c r="A49" t="inlineStr">
        <is>
          <t>in-5abecb7ba5fa1d60</t>
        </is>
      </c>
      <c r="B49" t="inlineStr">
        <is>
          <t>Applied Scientist, LLM Code Agents, Kiro Science</t>
        </is>
      </c>
      <c r="C49" t="inlineStr">
        <is>
          <t>Amazon.com</t>
        </is>
      </c>
      <c r="D49" t="inlineStr">
        <is>
          <t>indeed</t>
        </is>
      </c>
      <c r="E49">
        <f>HYPERLINK("https://www.indeed.com/viewjob?jk=5abecb7ba5fa1d60", "https://www.indeed.com/viewjob?jk=5abecb7ba5fa1d60")</f>
        <v/>
      </c>
      <c r="F49">
        <f>HYPERLINK("https://www.amazon.jobs/jobs/3161363/applied-scientist-llm-code-agents-kiro-science?cmpid=DA_INAD200785B", "https://www.amazon.jobs/jobs/3161363/applied-scientist-llm-code-agents-kiro-science?cmpid=DA_INAD200785B")</f>
        <v/>
      </c>
      <c r="G49" t="inlineStr">
        <is>
          <t>Santa Clara, CA, US</t>
        </is>
      </c>
      <c r="H49" s="1" t="n">
        <v>46035</v>
      </c>
      <c r="I49" t="inlineStr">
        <is>
          <t>**DESCRIPTION**
---------------
Amazon Web Services (AWS) is assembling an elite team of world\-class scientists and engineers to pioneer the next generation of AI\-driven development tools. Join the Amazon Kiro LLM\-Training team and help create groundbreaking generative AI technologies including Kiro IDE and Amazon Q Developer that are transforming the software development landscape.  
Key job responsibilities  
As a key member of our team, you'll be at the forefront of innovation, where cutting\-edge research meets real\-world application:  
* Push the boundaries of reinforcement learning and post\-training methodologies for large language models specialized in code intelligence
* Invent and implement state\-of\-the\-art machine learning solutions that operate at unprecedented Amazon scale
* Deploy revolutionary products that directly impact the daily workflows of millions of developers worldwide
* Break new ground in AI and machine learning, challenging what's possible in intelligent code assistance
* Publish and present your pioneering work at premier ML and NLP conferences (NeurIPS, ICML, ICLR , ACL, EMNLP)
* Accelerate innovation by working directly with customers to rapidly transition research breakthroughs into production systems
About the team  
The AWS Developer Agents and Experiences (DAE) team is reimagining the builder experience through generative AI and foundation models. We're leveraging the latest advances in AI to transform how engineers work from IDE environments to web\-based tools and services, empowering developers to tackle projects of any scale with unprecedented efficiency.  
Broadly, AWS Utility Computing (UC) provides product innovations — from foundational services such as Amazon’s Simple Storage Service (S3\) and Amazon Elastic Compute Cloud (EC2\), to consistently released new product innovations that continue to set AWS’s services and features apart in the industry. As a member of the UC organization, you’ll support the development and management of Compute, Database, Storage, Internet of Things (Iot), Platform, and Productivity Apps services in AWS. Within AWS UC, Amazon Dedicated Cloud (ADC) roles engage with AWS customers who require specialized security solutions for their cloud services.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Inclusive Team Culture  
Here at AWS, it’s in our nature to learn and be curious. Our employee\-led affinity groups foster a culture of inclusion that empower us to be proud of our differences. Ongoing events and learning experiences, including our Conversations on Race and Ethnicity (CORE) and AmazeCon conferences, inspire us to never stop embracing our uniqueness.  
Mentorship \&amp; Career Growth  
We’re continuously raising our performance bar as we strive to become Earth’s Best Employer. That’s why you’ll find endless knowledge\-sharing, mentorship and other career\-advancing resources here to help you develop into a better\-rounded professional.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Hybrid Work  
We value innovation and recognize this sometimes requires uninterrupted time to focus on a build. We also value in\-person collaboration and time spent face\-to\-face. Our team affords employees options to work in the office every day or in a flexible, hybrid work model near one of our U.S. Amazon offices.**BASIC QUALIFICATIONS**
------------------------
* 3\+ years of building models for business application experience
* PhD, or Master's degree and 4\+ years of CS, CE, ML or related field experience
* Experience in patents or publications at top\-tier peer\-reviewed conferences or journals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Santa Clara \- 171,600\.00 \- 222,200\.00 USD annually  
USA, WA, Seattle \- 142,800\.00 \- 193,200\.00 USD annually</t>
        </is>
      </c>
    </row>
    <row r="50">
      <c r="A50" t="inlineStr">
        <is>
          <t>in-61a4b0ced2d236d1</t>
        </is>
      </c>
      <c r="B50" t="inlineStr">
        <is>
          <t>Applied Scientist, LLM Code Agents, Kiro Science</t>
        </is>
      </c>
      <c r="C50" t="inlineStr">
        <is>
          <t>Amazon.com</t>
        </is>
      </c>
      <c r="D50" t="inlineStr">
        <is>
          <t>indeed</t>
        </is>
      </c>
      <c r="E50">
        <f>HYPERLINK("https://www.indeed.com/viewjob?jk=61a4b0ced2d236d1", "https://www.indeed.com/viewjob?jk=61a4b0ced2d236d1")</f>
        <v/>
      </c>
      <c r="F50">
        <f>HYPERLINK("https://www.amazon.jobs/jobs/3161363/applied-scientist-llm-code-agents-kiro-science?cmpid=DA_INAD200785B", "https://www.amazon.jobs/jobs/3161363/applied-scientist-llm-code-agents-kiro-science?cmpid=DA_INAD200785B")</f>
        <v/>
      </c>
      <c r="G50" t="inlineStr">
        <is>
          <t>Seattle, WA, US</t>
        </is>
      </c>
      <c r="H50" s="1" t="n">
        <v>46035</v>
      </c>
      <c r="I50" t="inlineStr">
        <is>
          <t>**DESCRIPTION**
---------------
Amazon Web Services (AWS) is assembling an elite team of world\-class scientists and engineers to pioneer the next generation of AI\-driven development tools. Join the Amazon Kiro LLM\-Training team and help create groundbreaking generative AI technologies including Kiro IDE and Amazon Q Developer that are transforming the software development landscape.  
Key job responsibilities  
As a key member of our team, you'll be at the forefront of innovation, where cutting\-edge research meets real\-world application:  
* Push the boundaries of reinforcement learning and post\-training methodologies for large language models specialized in code intelligence
* Invent and implement state\-of\-the\-art machine learning solutions that operate at unprecedented Amazon scale
* Deploy revolutionary products that directly impact the daily workflows of millions of developers worldwide
* Break new ground in AI and machine learning, challenging what's possible in intelligent code assistance
* Publish and present your pioneering work at premier ML and NLP conferences (NeurIPS, ICML, ICLR , ACL, EMNLP)
* Accelerate innovation by working directly with customers to rapidly transition research breakthroughs into production systems
About the team  
The AWS Developer Agents and Experiences (DAE) team is reimagining the builder experience through generative AI and foundation models. We're leveraging the latest advances in AI to transform how engineers work from IDE environments to web\-based tools and services, empowering developers to tackle projects of any scale with unprecedented efficiency.  
Broadly, AWS Utility Computing (UC) provides product innovations — from foundational services such as Amazon’s Simple Storage Service (S3\) and Amazon Elastic Compute Cloud (EC2\), to consistently released new product innovations that continue to set AWS’s services and features apart in the industry. As a member of the UC organization, you’ll support the development and management of Compute, Database, Storage, Internet of Things (Iot), Platform, and Productivity Apps services in AWS. Within AWS UC, Amazon Dedicated Cloud (ADC) roles engage with AWS customers who require specialized security solutions for their cloud services.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Inclusive Team Culture  
Here at AWS, it’s in our nature to learn and be curious. Our employee\-led affinity groups foster a culture of inclusion that empower us to be proud of our differences. Ongoing events and learning experiences, including our Conversations on Race and Ethnicity (CORE) and AmazeCon conferences, inspire us to never stop embracing our uniqueness.  
Mentorship \&amp; Career Growth  
We’re continuously raising our performance bar as we strive to become Earth’s Best Employer. That’s why you’ll find endless knowledge\-sharing, mentorship and other career\-advancing resources here to help you develop into a better\-rounded professional.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Hybrid Work  
We value innovation and recognize this sometimes requires uninterrupted time to focus on a build. We also value in\-person collaboration and time spent face\-to\-face. Our team affords employees options to work in the office every day or in a flexible, hybrid work model near one of our U.S. Amazon offices.**BASIC QUALIFICATIONS**
------------------------
* 3\+ years of building models for business application experience
* PhD, or Master's degree and 4\+ years of CS, CE, ML or related field experience
* Experience in patents or publications at top\-tier peer\-reviewed conferences or journals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Santa Clara \- 171,600\.00 \- 222,200\.00 USD annually  
USA, WA, Seattle \- 142,800\.00 \- 193,200\.00 USD annually</t>
        </is>
      </c>
    </row>
    <row r="51">
      <c r="A51" t="inlineStr">
        <is>
          <t>in-338ca4325877546f</t>
        </is>
      </c>
      <c r="B51" t="inlineStr">
        <is>
          <t>Applied Scientist II, Prime Video Personalization and Discovery Science</t>
        </is>
      </c>
      <c r="C51" t="inlineStr">
        <is>
          <t>Amazon.com</t>
        </is>
      </c>
      <c r="D51" t="inlineStr">
        <is>
          <t>indeed</t>
        </is>
      </c>
      <c r="E51">
        <f>HYPERLINK("https://www.indeed.com/viewjob?jk=338ca4325877546f", "https://www.indeed.com/viewjob?jk=338ca4325877546f")</f>
        <v/>
      </c>
      <c r="F51">
        <f>HYPERLINK("https://www.amazon.jobs/jobs/3165157/applied-scientist-ii-prime-video-personalization-and-discovery-science?cmpid=DA_INAD200785B", "https://www.amazon.jobs/jobs/3165157/applied-scientist-ii-prime-video-personalization-and-discovery-science?cmpid=DA_INAD200785B")</f>
        <v/>
      </c>
      <c r="G51" t="inlineStr">
        <is>
          <t>Sunnyvale, CA, US</t>
        </is>
      </c>
      <c r="H51" s="1" t="n">
        <v>46034</v>
      </c>
      <c r="I51"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Key job responsibilities  
* Develop foundation models for content understanding using state\-of\-the\-art deep learning and multimodal learning techniques to analyze video and text
* Build time sequence foundation models to understand and predict customer behavior patterns and viewing trajectories
* Work closely with engineers and product managers to design, implement and launch solutions end\-to\-end across various Prime Video experiences
* Design and conduct offline and online (A/B) experiments to evaluate proposed solutions based on in\-depth data analyses
* Effectively communicate technical and non\-technical ideas with teammates and stakeholders
* Stay up\-to\-date with advancements and the latest modeling techniques in foundation models, multimodal learning, and time series analysis
* Publish your research findings in top conferences and journals
A day in the life  
We're using advanced approaches such as foundation models to connect information about our videos and customers from a variety of information sources, acquiring and processing data sets on a scale that only a few companies in the world can match. This will enable us to recommend titles effectively, even when we don't have a large behavioral signal (to tackle the cold\-start title problem). It will also allow us to find our customer's niche interests, helping them discover groups of titles that they didn't even know existed. We are looking for creative \&amp; customer obsessed machine learning scientists who can apply the latest research, state of the art algorithms and ML to build highly scalable page personalization solutions. You'll be a research leader in the space and a hands\-on ML practitioner, guiding and collaborating with talented teams of engineers and scientists and senior leaders in the Prime Video organization. You will also have the opportunity to publish your research at internal and external conferences.
About the team  
Prime Video Recommendation Science team owns science solution to power recommendation and personalization experience on various Prime Video surfaces and devices. We work closely with the engineering teams to launch our solutions in production.**BASIC QUALIFICATIONS**
------------------------
* PhD, or Master's degree and 4\+ years of CS, CE, ML or related field experience
* 3\+ years of building models for business application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\- 171,600\.00 \- 222,200\.00 USD annually  
USA, WA, Seattle \- 142,800\.00 \- 193,200\.00 USD annually</t>
        </is>
      </c>
    </row>
    <row r="52">
      <c r="A52" t="inlineStr">
        <is>
          <t>in-a0fd5b95c6131da0</t>
        </is>
      </c>
      <c r="B52" t="inlineStr">
        <is>
          <t>Applied Scientist II, Prime Video Personalization and Discovery Science</t>
        </is>
      </c>
      <c r="C52" t="inlineStr">
        <is>
          <t>Amazon.com</t>
        </is>
      </c>
      <c r="D52" t="inlineStr">
        <is>
          <t>indeed</t>
        </is>
      </c>
      <c r="E52">
        <f>HYPERLINK("https://www.indeed.com/viewjob?jk=a0fd5b95c6131da0", "https://www.indeed.com/viewjob?jk=a0fd5b95c6131da0")</f>
        <v/>
      </c>
      <c r="F52">
        <f>HYPERLINK("https://www.amazon.jobs/jobs/3165157/applied-scientist-ii-prime-video-personalization-and-discovery-science?cmpid=DA_INAD200785B", "https://www.amazon.jobs/jobs/3165157/applied-scientist-ii-prime-video-personalization-and-discovery-science?cmpid=DA_INAD200785B")</f>
        <v/>
      </c>
      <c r="G52" t="inlineStr">
        <is>
          <t>Seattle, WA, US</t>
        </is>
      </c>
      <c r="H52" s="1" t="n">
        <v>46034</v>
      </c>
      <c r="I52"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Key job responsibilities  
* Develop foundation models for content understanding using state\-of\-the\-art deep learning and multimodal learning techniques to analyze video and text
* Build time sequence foundation models to understand and predict customer behavior patterns and viewing trajectories
* Work closely with engineers and product managers to design, implement and launch solutions end\-to\-end across various Prime Video experiences
* Design and conduct offline and online (A/B) experiments to evaluate proposed solutions based on in\-depth data analyses
* Effectively communicate technical and non\-technical ideas with teammates and stakeholders
* Stay up\-to\-date with advancements and the latest modeling techniques in foundation models, multimodal learning, and time series analysis
* Publish your research findings in top conferences and journals
A day in the life  
We're using advanced approaches such as foundation models to connect information about our videos and customers from a variety of information sources, acquiring and processing data sets on a scale that only a few companies in the world can match. This will enable us to recommend titles effectively, even when we don't have a large behavioral signal (to tackle the cold\-start title problem). It will also allow us to find our customer's niche interests, helping them discover groups of titles that they didn't even know existed. We are looking for creative \&amp; customer obsessed machine learning scientists who can apply the latest research, state of the art algorithms and ML to build highly scalable page personalization solutions. You'll be a research leader in the space and a hands\-on ML practitioner, guiding and collaborating with talented teams of engineers and scientists and senior leaders in the Prime Video organization. You will also have the opportunity to publish your research at internal and external conferences.
About the team  
Prime Video Recommendation Science team owns science solution to power recommendation and personalization experience on various Prime Video surfaces and devices. We work closely with the engineering teams to launch our solutions in production.**BASIC QUALIFICATIONS**
------------------------
* PhD, or Master's degree and 4\+ years of CS, CE, ML or related field experience
* 3\+ years of building models for business application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\- 171,600\.00 \- 222,200\.00 USD annually  
USA, WA, Seattle \- 142,800\.00 \- 193,200\.00 USD annually</t>
        </is>
      </c>
    </row>
    <row r="53">
      <c r="A53" t="inlineStr">
        <is>
          <t>in-33b38f75b86541f3</t>
        </is>
      </c>
      <c r="B53" t="inlineStr">
        <is>
          <t>Applied Scientist, Alexa Smart Home</t>
        </is>
      </c>
      <c r="C53" t="inlineStr">
        <is>
          <t>Amazon.com</t>
        </is>
      </c>
      <c r="D53" t="inlineStr">
        <is>
          <t>indeed</t>
        </is>
      </c>
      <c r="E53">
        <f>HYPERLINK("https://www.indeed.com/viewjob?jk=33b38f75b86541f3", "https://www.indeed.com/viewjob?jk=33b38f75b86541f3")</f>
        <v/>
      </c>
      <c r="F53">
        <f>HYPERLINK("https://www.amazon.jobs/jobs/3169205/applied-scientist-alexa-smart-home?cmpid=DA_INAD200785B", "https://www.amazon.jobs/jobs/3169205/applied-scientist-alexa-smart-home?cmpid=DA_INAD200785B")</f>
        <v/>
      </c>
      <c r="G53" t="inlineStr">
        <is>
          <t>Sunnyvale, CA, US</t>
        </is>
      </c>
      <c r="H53" s="1" t="n">
        <v>46033</v>
      </c>
      <c r="I53" t="inlineStr">
        <is>
          <t>**DESCRIPTION**
---------------
The Smart Home team is focused on making Alexa\+ the user interface for the future home. From the simplest voice commands (turn on the lights, turn down the heat) to use cases spanning home security, home entertainment, and the home environment, we are evolving Alexa\+ into intelligent, indispensable companion that automates daily routines, simplifies interaction with appliances and electronics, and alerts when something unusual is detected. You will be part of a team delivering features that are highly anticipated by media and well received by our customers.  
Key job responsibilities  
As an Applied Scientist, you will work with other scientists and software developers to design and build the next generation of Smart Home voice and ambient controls using the latest Large Language Models and ML methods. And, you will have the satisfaction of working on a product your friends and family can relate to, and want to use every day.  
About the team  
We are a team of Scientists and Machine Learning Engineers that work together to make Alexa\+ Smart Home easier to control and manage through voice, and become proactive through ambient intelligence, with feature like automatic actions that help customer meet their energy, comfort and safety preferences.
**BASIC QUALIFICATIONS**
------------------------
* 3\+ years of building models for business application experience
* PhD, or Master's degree and 4\+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\- 171,600\.00 \- 222,200\.00 USD annually  
USA, WA, Seattle \- 142,800\.00 \- 193,200\.00 USD annually</t>
        </is>
      </c>
    </row>
    <row r="54">
      <c r="A54" t="inlineStr">
        <is>
          <t>in-f55c0ead33335d61</t>
        </is>
      </c>
      <c r="B54" t="inlineStr">
        <is>
          <t>Applied Scientist, Alexa Smart Home</t>
        </is>
      </c>
      <c r="C54" t="inlineStr">
        <is>
          <t>Amazon.com</t>
        </is>
      </c>
      <c r="D54" t="inlineStr">
        <is>
          <t>indeed</t>
        </is>
      </c>
      <c r="E54">
        <f>HYPERLINK("https://www.indeed.com/viewjob?jk=f55c0ead33335d61", "https://www.indeed.com/viewjob?jk=f55c0ead33335d61")</f>
        <v/>
      </c>
      <c r="F54">
        <f>HYPERLINK("https://www.amazon.jobs/jobs/3169205/applied-scientist-alexa-smart-home?cmpid=DA_INAD200785B", "https://www.amazon.jobs/jobs/3169205/applied-scientist-alexa-smart-home?cmpid=DA_INAD200785B")</f>
        <v/>
      </c>
      <c r="G54" t="inlineStr">
        <is>
          <t>Seattle, WA, US</t>
        </is>
      </c>
      <c r="H54" s="1" t="n">
        <v>46033</v>
      </c>
      <c r="I54" t="inlineStr">
        <is>
          <t>**DESCRIPTION**
---------------
The Smart Home team is focused on making Alexa\+ the user interface for the future home. From the simplest voice commands (turn on the lights, turn down the heat) to use cases spanning home security, home entertainment, and the home environment, we are evolving Alexa\+ into intelligent, indispensable companion that automates daily routines, simplifies interaction with appliances and electronics, and alerts when something unusual is detected. You will be part of a team delivering features that are highly anticipated by media and well received by our customers.  
Key job responsibilities  
As an Applied Scientist, you will work with other scientists and software developers to design and build the next generation of Smart Home voice and ambient controls using the latest Large Language Models and ML methods. And, you will have the satisfaction of working on a product your friends and family can relate to, and want to use every day.  
About the team  
We are a team of Scientists and Machine Learning Engineers that work together to make Alexa\+ Smart Home easier to control and manage through voice, and become proactive through ambient intelligence, with feature like automatic actions that help customer meet their energy, comfort and safety preferences.
**BASIC QUALIFICATIONS**
------------------------
* 3\+ years of building models for business application experience
* PhD, or Master's degree and 4\+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\- 171,600\.00 \- 222,200\.00 USD annually  
USA, WA, Seattle \- 142,800\.00 \- 193,200\.00 USD annually</t>
        </is>
      </c>
    </row>
    <row r="55">
      <c r="A55" t="inlineStr">
        <is>
          <t>in-3e1e2af19a14089d</t>
        </is>
      </c>
      <c r="B55" t="inlineStr">
        <is>
          <t>Applied Scientist, AWS Applied AI Solutions</t>
        </is>
      </c>
      <c r="C55" t="inlineStr">
        <is>
          <t>Amazon Web Services</t>
        </is>
      </c>
      <c r="D55" t="inlineStr">
        <is>
          <t>indeed</t>
        </is>
      </c>
      <c r="E55">
        <f>HYPERLINK("https://www.indeed.com/viewjob?jk=3e1e2af19a14089d", "https://www.indeed.com/viewjob?jk=3e1e2af19a14089d")</f>
        <v/>
      </c>
      <c r="F55">
        <f>HYPERLINK("https://www.amazon.jobs/jobs/3166907/applied-scientist-aws-applied-ai-solutions?cmpid=DA_INAD200785B", "https://www.amazon.jobs/jobs/3166907/applied-scientist-aws-applied-ai-solutions?cmpid=DA_INAD200785B")</f>
        <v/>
      </c>
      <c r="G55" t="inlineStr">
        <is>
          <t>Seattle, WA, US</t>
        </is>
      </c>
      <c r="H55" s="1" t="n">
        <v>46030</v>
      </c>
      <c r="I55" t="inlineStr">
        <is>
          <t>**DESCRIPTION**
---------------
As part of the AWS Applied AI Solutions organization, we have a mission to build delightful AI solutions that improve human capabilities and business outcomes. We will accomplish this by accelerating our customers' businesses through delivery of intuitive and differentiated AI solutions that solve enduring business challenges. We blend vision with curiosity and Amazon's real\-world experience to build opinionated, turnkey solutions. Where customers prefer to buy over build, we become their trusted partner with solutions that are no\-brainers to buy and easy to use.  
The Applied Scientist will contribute to the development of Agentic AI solutions leveraging Gen AI. The role requires extending existing scientific techniques and inventing new ones to address specific customer needs. You should be comfortable working semi\-autonomously on difficult problems with visible risks or roadblocks. You'll work closely with technical leaders within the team. We're looking for scientists who can maintain high standards while moving quickly, prioritizing both rapid experimentation and responsible AI development to deliver measurable customer impact.  
Key job responsibilities  
* Design and implement solutions that extend or adapt scientific approaches for customer needs
* Deliver components into production that meet high quality standards (efficient, reproducible, testable code)
* Produce science outputs demonstrating correctness, scholarship, and scientific rigor
* Work with product, engineering, and science teams to deliver impactful AI features
* Contribute to operational excellence in the team's deliverables
About the team  
AWS Solutions  
As part of the AWS solutions organization, we have a vision to provide business applications, leveraging Amazon's unique experience and expertise, that are used by millions of companies worldwide to manage day\-to\-day operations. We will accomplish this by accelerating our customers' businesses through delivery of intuitive and differentiated technology solutions that solve enduring business challenges. We blend vision with curiosity and Amazon's real\-world experience to build opinionated, turnkey solutions. Where customers prefer to buy over build, we become their trusted partner with solutions that are no\-brainers to buy and easy to use.**BASIC QUALIFICATIONS**
------------------------
* 3\+ years of building models for business application experience
* PhD, or Master's degree and 4\+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building machine learning models or developing algorithms for business application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NY, New York \- 172,400\.00 \- 223,400\.00 USD annually  
USA, WA, Seattle \- 142,800\.00 \- 193,200\.00 USD annually</t>
        </is>
      </c>
    </row>
    <row r="56">
      <c r="A56" t="inlineStr">
        <is>
          <t>in-8faeff21ac84ddfc</t>
        </is>
      </c>
      <c r="B56" t="inlineStr">
        <is>
          <t>Applied Scientist, AWS Applied AI Solutions</t>
        </is>
      </c>
      <c r="C56" t="inlineStr">
        <is>
          <t>Amazon Web Services</t>
        </is>
      </c>
      <c r="D56" t="inlineStr">
        <is>
          <t>indeed</t>
        </is>
      </c>
      <c r="E56">
        <f>HYPERLINK("https://www.indeed.com/viewjob?jk=8faeff21ac84ddfc", "https://www.indeed.com/viewjob?jk=8faeff21ac84ddfc")</f>
        <v/>
      </c>
      <c r="F56">
        <f>HYPERLINK("https://www.amazon.jobs/jobs/3166907/applied-scientist-aws-applied-ai-solutions?cmpid=DA_INAD200785B", "https://www.amazon.jobs/jobs/3166907/applied-scientist-aws-applied-ai-solutions?cmpid=DA_INAD200785B")</f>
        <v/>
      </c>
      <c r="G56" t="inlineStr">
        <is>
          <t>New York, NY, US</t>
        </is>
      </c>
      <c r="H56" s="1" t="n">
        <v>46030</v>
      </c>
      <c r="I56" t="inlineStr">
        <is>
          <t>**DESCRIPTION**
---------------
As part of the AWS Applied AI Solutions organization, we have a mission to build delightful AI solutions that improve human capabilities and business outcomes. We will accomplish this by accelerating our customers' businesses through delivery of intuitive and differentiated AI solutions that solve enduring business challenges. We blend vision with curiosity and Amazon's real\-world experience to build opinionated, turnkey solutions. Where customers prefer to buy over build, we become their trusted partner with solutions that are no\-brainers to buy and easy to use.  
The Applied Scientist will contribute to the development of Agentic AI solutions leveraging Gen AI. The role requires extending existing scientific techniques and inventing new ones to address specific customer needs. You should be comfortable working semi\-autonomously on difficult problems with visible risks or roadblocks. You'll work closely with technical leaders within the team. We're looking for scientists who can maintain high standards while moving quickly, prioritizing both rapid experimentation and responsible AI development to deliver measurable customer impact.  
Key job responsibilities  
* Design and implement solutions that extend or adapt scientific approaches for customer needs
* Deliver components into production that meet high quality standards (efficient, reproducible, testable code)
* Produce science outputs demonstrating correctness, scholarship, and scientific rigor
* Work with product, engineering, and science teams to deliver impactful AI features
* Contribute to operational excellence in the team's deliverables
About the team  
AWS Solutions  
As part of the AWS solutions organization, we have a vision to provide business applications, leveraging Amazon's unique experience and expertise, that are used by millions of companies worldwide to manage day\-to\-day operations. We will accomplish this by accelerating our customers' businesses through delivery of intuitive and differentiated technology solutions that solve enduring business challenges. We blend vision with curiosity and Amazon's real\-world experience to build opinionated, turnkey solutions. Where customers prefer to buy over build, we become their trusted partner with solutions that are no\-brainers to buy and easy to use.**BASIC QUALIFICATIONS**
------------------------
* 3\+ years of building models for business application experience
* PhD, or Master's degree and 4\+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building machine learning models or developing algorithms for business application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NY, New York \- 172,400\.00 \- 223,400\.00 USD annually  
USA, WA, Seattle \- 142,800\.00 \- 193,200\.00 USD annually</t>
        </is>
      </c>
    </row>
    <row r="57">
      <c r="A57" t="inlineStr">
        <is>
          <t>in-4d2c785de67d3f52</t>
        </is>
      </c>
      <c r="B57" t="inlineStr">
        <is>
          <t>Applied Scientist II, Prime Video Personalization and Discovery Science</t>
        </is>
      </c>
      <c r="C57" t="inlineStr">
        <is>
          <t>Amazon.com</t>
        </is>
      </c>
      <c r="D57" t="inlineStr">
        <is>
          <t>indeed</t>
        </is>
      </c>
      <c r="E57">
        <f>HYPERLINK("https://www.indeed.com/viewjob?jk=4d2c785de67d3f52", "https://www.indeed.com/viewjob?jk=4d2c785de67d3f52")</f>
        <v/>
      </c>
      <c r="F57">
        <f>HYPERLINK("https://www.amazon.jobs/jobs/3155448/applied-scientist-ii-prime-video-personalization-and-discovery-science?cmpid=DA_INAD200785B", "https://www.amazon.jobs/jobs/3155448/applied-scientist-ii-prime-video-personalization-and-discovery-science?cmpid=DA_INAD200785B")</f>
        <v/>
      </c>
      <c r="G57" t="inlineStr">
        <is>
          <t>New York, NY, US</t>
        </is>
      </c>
      <c r="H57" s="1" t="n">
        <v>46028</v>
      </c>
      <c r="I57"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Key job responsibilities  
* Develop ML models for various recommendation \&amp; search systems using deep learning, online learning, and optimization methods
* Work closely with other scientists, engineers and product managers to expand the depth of our product insights with data, create a variety of experiments to determine the high impact projects to include in planning roadmaps
* Stay up\-to\-date with advancements and the latest modeling techniques in the field
* Publish your research findings in top conferences and journals
A day in the life  
We're using advanced approaches such as foundation models to connect information about our videos and customers from a variety of information sources, acquiring and processing data sets on a scale that only a few companies in the world can match. This will enable us to recommend titles effectively, even when we don't have a large behavioral signal (to tackle the cold\-start title problem). It will also allow us to find our customer's niche interests, helping them discover groups of titles that they didn't even know existed. We are looking for creative \&amp; customer obsessed machine learning scientists who can apply the latest research, state of the art algorithms and ML to build highly scalable page personalization solutions. You'll be a research leader in the space and a hands\-on ML practitioner, guiding and collaborating with talented teams of engineers and scientists and senior leaders in the Prime Video organization. You will also have the opportunity to publish your research at internal and external conferences.
About the team  
Prime Video Recommendation Science team owns science solution to power recommendation and personalization experience on various Prime Video surfaces and devices. We work closely with the engineering teams to launch our solutions in production.**BASIC QUALIFICATIONS**
------------------------
* PhD, or Master's degree and 4\+ years of CS, CE, ML or related field experience
* 3\+ years of building models for business application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\- 171,600\.00 \- 222,200\.00 USD annually  
USA, NY, New York \- 172,400\.00 \- 223,400\.00 USD annually  
USA, WA, Seattle \- 142,800\.00 \- 193,200\.00 USD annually</t>
        </is>
      </c>
    </row>
    <row r="58">
      <c r="A58" t="inlineStr">
        <is>
          <t>in-fe6fcea1e122b678</t>
        </is>
      </c>
      <c r="B58" t="inlineStr">
        <is>
          <t>Applied Scientist II, Prime Video Personalization and Discovery Science</t>
        </is>
      </c>
      <c r="C58" t="inlineStr">
        <is>
          <t>Amazon.com</t>
        </is>
      </c>
      <c r="D58" t="inlineStr">
        <is>
          <t>indeed</t>
        </is>
      </c>
      <c r="E58">
        <f>HYPERLINK("https://www.indeed.com/viewjob?jk=fe6fcea1e122b678", "https://www.indeed.com/viewjob?jk=fe6fcea1e122b678")</f>
        <v/>
      </c>
      <c r="F58">
        <f>HYPERLINK("https://www.amazon.jobs/jobs/3155448/applied-scientist-ii-prime-video-personalization-and-discovery-science?cmpid=DA_INAD200785B", "https://www.amazon.jobs/jobs/3155448/applied-scientist-ii-prime-video-personalization-and-discovery-science?cmpid=DA_INAD200785B")</f>
        <v/>
      </c>
      <c r="G58" t="inlineStr">
        <is>
          <t>Seattle, WA, US</t>
        </is>
      </c>
      <c r="H58" s="1" t="n">
        <v>46028</v>
      </c>
      <c r="I58"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Key job responsibilities  
* Develop ML models for various recommendation \&amp; search systems using deep learning, online learning, and optimization methods
* Work closely with other scientists, engineers and product managers to expand the depth of our product insights with data, create a variety of experiments to determine the high impact projects to include in planning roadmaps
* Stay up\-to\-date with advancements and the latest modeling techniques in the field
* Publish your research findings in top conferences and journals
A day in the life  
We're using advanced approaches such as foundation models to connect information about our videos and customers from a variety of information sources, acquiring and processing data sets on a scale that only a few companies in the world can match. This will enable us to recommend titles effectively, even when we don't have a large behavioral signal (to tackle the cold\-start title problem). It will also allow us to find our customer's niche interests, helping them discover groups of titles that they didn't even know existed. We are looking for creative \&amp; customer obsessed machine learning scientists who can apply the latest research, state of the art algorithms and ML to build highly scalable page personalization solutions. You'll be a research leader in the space and a hands\-on ML practitioner, guiding and collaborating with talented teams of engineers and scientists and senior leaders in the Prime Video organization. You will also have the opportunity to publish your research at internal and external conferences.
About the team  
Prime Video Recommendation Science team owns science solution to power recommendation and personalization experience on various Prime Video surfaces and devices. We work closely with the engineering teams to launch our solutions in production.**BASIC QUALIFICATIONS**
------------------------
* PhD, or Master's degree and 4\+ years of CS, CE, ML or related field experience
* 3\+ years of building models for business application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\- 171,600\.00 \- 222,200\.00 USD annually  
USA, NY, New York \- 172,400\.00 \- 223,400\.00 USD annually  
USA, WA, Seattle \- 142,800\.00 \- 193,200\.00 USD annually</t>
        </is>
      </c>
    </row>
    <row r="59">
      <c r="A59" t="inlineStr">
        <is>
          <t>in-e88cbbfbec73b26a</t>
        </is>
      </c>
      <c r="B59" t="inlineStr">
        <is>
          <t>Applied Scientist II, Prime Video Personalization and Discovery Science</t>
        </is>
      </c>
      <c r="C59" t="inlineStr">
        <is>
          <t>Amazon.com</t>
        </is>
      </c>
      <c r="D59" t="inlineStr">
        <is>
          <t>indeed</t>
        </is>
      </c>
      <c r="E59">
        <f>HYPERLINK("https://www.indeed.com/viewjob?jk=e88cbbfbec73b26a", "https://www.indeed.com/viewjob?jk=e88cbbfbec73b26a")</f>
        <v/>
      </c>
      <c r="F59">
        <f>HYPERLINK("https://www.amazon.jobs/jobs/3155448/applied-scientist-ii-prime-video-personalization-and-discovery-science?cmpid=DA_INAD200785B", "https://www.amazon.jobs/jobs/3155448/applied-scientist-ii-prime-video-personalization-and-discovery-science?cmpid=DA_INAD200785B")</f>
        <v/>
      </c>
      <c r="G59" t="inlineStr">
        <is>
          <t>Sunnyvale, CA, US</t>
        </is>
      </c>
      <c r="H59" s="1" t="n">
        <v>46028</v>
      </c>
      <c r="I59"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Key job responsibilities  
* Develop ML models for various recommendation \&amp; search systems using deep learning, online learning, and optimization methods
* Work closely with other scientists, engineers and product managers to expand the depth of our product insights with data, create a variety of experiments to determine the high impact projects to include in planning roadmaps
* Stay up\-to\-date with advancements and the latest modeling techniques in the field
* Publish your research findings in top conferences and journals
A day in the life  
We're using advanced approaches such as foundation models to connect information about our videos and customers from a variety of information sources, acquiring and processing data sets on a scale that only a few companies in the world can match. This will enable us to recommend titles effectively, even when we don't have a large behavioral signal (to tackle the cold\-start title problem). It will also allow us to find our customer's niche interests, helping them discover groups of titles that they didn't even know existed. We are looking for creative \&amp; customer obsessed machine learning scientists who can apply the latest research, state of the art algorithms and ML to build highly scalable page personalization solutions. You'll be a research leader in the space and a hands\-on ML practitioner, guiding and collaborating with talented teams of engineers and scientists and senior leaders in the Prime Video organization. You will also have the opportunity to publish your research at internal and external conferences.
About the team  
Prime Video Recommendation Science team owns science solution to power recommendation and personalization experience on various Prime Video surfaces and devices. We work closely with the engineering teams to launch our solutions in production.**BASIC QUALIFICATIONS**
------------------------
* PhD, or Master's degree and 4\+ years of CS, CE, ML or related field experience
* 3\+ years of building models for business application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\- 171,600\.00 \- 222,200\.00 USD annually  
USA, NY, New York \- 172,400\.00 \- 223,400\.00 USD annually  
USA, WA, Seattle \- 142,800\.00 \- 193,200\.00 USD annually</t>
        </is>
      </c>
    </row>
    <row r="60">
      <c r="A60" t="inlineStr">
        <is>
          <t>in-fd322ca47597bee3</t>
        </is>
      </c>
      <c r="B60" t="inlineStr">
        <is>
          <t>Senior Applied Scientist, Distributed SQL</t>
        </is>
      </c>
      <c r="C60" t="inlineStr">
        <is>
          <t>Amazon Web Services</t>
        </is>
      </c>
      <c r="D60" t="inlineStr">
        <is>
          <t>indeed</t>
        </is>
      </c>
      <c r="E60">
        <f>HYPERLINK("https://www.indeed.com/viewjob?jk=fd322ca47597bee3", "https://www.indeed.com/viewjob?jk=fd322ca47597bee3")</f>
        <v/>
      </c>
      <c r="F60">
        <f>HYPERLINK("https://www.amazon.jobs/jobs/3148444/senior-applied-scientist-distributed-sql?cmpid=DA_INAD200785B", "https://www.amazon.jobs/jobs/3148444/senior-applied-scientist-distributed-sql?cmpid=DA_INAD200785B")</f>
        <v/>
      </c>
      <c r="G60" t="inlineStr">
        <is>
          <t>East Palo Alto, CA, US</t>
        </is>
      </c>
      <c r="H60" s="1" t="n">
        <v>46012</v>
      </c>
      <c r="I60" t="inlineStr">
        <is>
          <t>**DESCRIPTION**
---------------
Amazon Aurora DSQL is a serverless, distributed SQL database with virtually unlimited scale, highest availability, and zero infrastructure management. Aurora DSQL provides active\-active high availability, providing strong data consistency designed for 99\.99% single\-Region and 99\.999% multi\-Region availability. Aurora DSQL automatically manages and scales system resources, so you don't have to worry about maintenance downtime and provisioning, patching, or upgrading infrastructure.  
As a Senior Applied Scientist, you will be expected to lead research and development in advanced query optimization techniques for distributed sql services. You will innovate in the query planning and execution layer to help Aurora DSQL succeed at delivering high performance for complex OLTP workloads. You will develop novel approaches to stats collection, query planning, execution and optimization. You will drive industry leading research, publish your research and help convert your research into implementations to make Aurora DSQL the fastest sql database for OLTP workloads.  
AWS Utility Computing (UC) provides product innovations — from foundational services such as Amazon’s Simple Storage Service (S3\) and Amazon Elastic Compute Cloud (EC2\), to consistently released new product innovations that continue to set AWS’s services and features apart in the industry. As a member of the UC organization, you’ll support the development and management of Compute, Database, Storage, Internet of Things (Iot), Platform, and Productivity Apps services in AWS, including support for customers who require specialized security solutions for their cloud services.  
Key job responsibilities  
Our engineers collaborate across diverse teams, projects, and environments to have a firsthand impact on our global customer base. You’ll bring a passion for innovation, data, search, analytics, and distributed systems. You’ll also:  
Solve challenging technical problems, often ones not solved before, at every layer of the stack.  
Design, implement, test, deploy and maintain innovative software solutions to transform service performance, durability, cost, and security.  
Build high\-quality, highly available, always\-on products.  
Research implementations that deliver the best possible experiences for customers.  
A day in the life  
As you design and code solutions to help our team drive efficiencies in software architecture, you’ll create metrics, implement automation and other improvements, and resolve the root cause of software defects. You’ll also:  
Build high\-impact solutions to deliver to our large customer base.  
Participate in design discussions, code review, and communicate with internal and external stakeholders.  
Work cross\-functionally to help drive business decisions with your technical input.  
Work in a startup\-like development environment, where you’re always working on the most important stuff.  
About the team  
Our team is dedicated to supporting new members. We have a broad mix of experience levels and tenures, and we’re building an environment that celebrates knowledge\-sharing and mentorship. Our senior members enjoy one\-on\-one mentoring and thorough, but kind, code reviews. We care about your career growth and strive to assign projects that help our team members develop your engineering expertise so you feel empowered to take on more complex tasks in the future.  
Diverse Experiences  
AWS values diverse experiences. Even if you do not meet all of the qualifications and skills listed in the job description, we encourage candidates to apply. If your career is just starting, hasn’t followed a traditional path, or includes alternative experiences, don’t let it stop you from applying.  
About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Inclusive Team Culture  
Here at AWS, it’s in our nature to learn and be curious. Our employee\-led affinity groups foster a culture of inclusion that empower us to be proud of our differences. Ongoing events and learning experiences, including our Conversations on Race and Ethnicity (CORE) and AmazeCon conferences, inspire us to never stop embracing our uniqueness.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Mentorship \&amp; Career Growth  
We’re continuously raising our performance bar as we strive to become Earth’s Best Employer. That’s why you’ll find endless knowledge\-sharing, mentorship and other career\-advancing resources here to help you develop into a better\-rounded professional.
**BASIC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East Palo Alto \- 192,200\.00 \- 260,000\.00 USD annually  
USA, WA, Seattle \- 167,100\.00 \- 226,100\.00 USD annually</t>
        </is>
      </c>
    </row>
    <row r="61">
      <c r="A61" t="inlineStr">
        <is>
          <t>in-0732bd55e31a0433</t>
        </is>
      </c>
      <c r="B61" t="inlineStr">
        <is>
          <t>Senior Applied Scientist, Distributed SQL</t>
        </is>
      </c>
      <c r="C61" t="inlineStr">
        <is>
          <t>Amazon Web Services</t>
        </is>
      </c>
      <c r="D61" t="inlineStr">
        <is>
          <t>indeed</t>
        </is>
      </c>
      <c r="E61">
        <f>HYPERLINK("https://www.indeed.com/viewjob?jk=0732bd55e31a0433", "https://www.indeed.com/viewjob?jk=0732bd55e31a0433")</f>
        <v/>
      </c>
      <c r="F61">
        <f>HYPERLINK("https://www.amazon.jobs/jobs/3148444/senior-applied-scientist-distributed-sql?cmpid=DA_INAD200785B", "https://www.amazon.jobs/jobs/3148444/senior-applied-scientist-distributed-sql?cmpid=DA_INAD200785B")</f>
        <v/>
      </c>
      <c r="G61" t="inlineStr">
        <is>
          <t>Seattle, WA, US</t>
        </is>
      </c>
      <c r="H61" s="1" t="n">
        <v>46012</v>
      </c>
      <c r="I61" t="inlineStr">
        <is>
          <t>**DESCRIPTION**
---------------
Amazon Aurora DSQL is a serverless, distributed SQL database with virtually unlimited scale, highest availability, and zero infrastructure management. Aurora DSQL provides active\-active high availability, providing strong data consistency designed for 99\.99% single\-Region and 99\.999% multi\-Region availability. Aurora DSQL automatically manages and scales system resources, so you don't have to worry about maintenance downtime and provisioning, patching, or upgrading infrastructure.  
As a Senior Applied Scientist, you will be expected to lead research and development in advanced query optimization techniques for distributed sql services. You will innovate in the query planning and execution layer to help Aurora DSQL succeed at delivering high performance for complex OLTP workloads. You will develop novel approaches to stats collection, query planning, execution and optimization. You will drive industry leading research, publish your research and help convert your research into implementations to make Aurora DSQL the fastest sql database for OLTP workloads.  
AWS Utility Computing (UC) provides product innovations — from foundational services such as Amazon’s Simple Storage Service (S3\) and Amazon Elastic Compute Cloud (EC2\), to consistently released new product innovations that continue to set AWS’s services and features apart in the industry. As a member of the UC organization, you’ll support the development and management of Compute, Database, Storage, Internet of Things (Iot), Platform, and Productivity Apps services in AWS, including support for customers who require specialized security solutions for their cloud services.  
Key job responsibilities  
Our engineers collaborate across diverse teams, projects, and environments to have a firsthand impact on our global customer base. You’ll bring a passion for innovation, data, search, analytics, and distributed systems. You’ll also:  
Solve challenging technical problems, often ones not solved before, at every layer of the stack.  
Design, implement, test, deploy and maintain innovative software solutions to transform service performance, durability, cost, and security.  
Build high\-quality, highly available, always\-on products.  
Research implementations that deliver the best possible experiences for customers.  
A day in the life  
As you design and code solutions to help our team drive efficiencies in software architecture, you’ll create metrics, implement automation and other improvements, and resolve the root cause of software defects. You’ll also:  
Build high\-impact solutions to deliver to our large customer base.  
Participate in design discussions, code review, and communicate with internal and external stakeholders.  
Work cross\-functionally to help drive business decisions with your technical input.  
Work in a startup\-like development environment, where you’re always working on the most important stuff.  
About the team  
Our team is dedicated to supporting new members. We have a broad mix of experience levels and tenures, and we’re building an environment that celebrates knowledge\-sharing and mentorship. Our senior members enjoy one\-on\-one mentoring and thorough, but kind, code reviews. We care about your career growth and strive to assign projects that help our team members develop your engineering expertise so you feel empowered to take on more complex tasks in the future.  
Diverse Experiences  
AWS values diverse experiences. Even if you do not meet all of the qualifications and skills listed in the job description, we encourage candidates to apply. If your career is just starting, hasn’t followed a traditional path, or includes alternative experiences, don’t let it stop you from applying.  
About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Inclusive Team Culture  
Here at AWS, it’s in our nature to learn and be curious. Our employee\-led affinity groups foster a culture of inclusion that empower us to be proud of our differences. Ongoing events and learning experiences, including our Conversations on Race and Ethnicity (CORE) and AmazeCon conferences, inspire us to never stop embracing our uniqueness.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Mentorship \&amp; Career Growth  
We’re continuously raising our performance bar as we strive to become Earth’s Best Employer. That’s why you’ll find endless knowledge\-sharing, mentorship and other career\-advancing resources here to help you develop into a better\-rounded professional.
**BASIC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East Palo Alto \- 192,200\.00 \- 260,000\.00 USD annually  
USA, WA, Seattle \- 167,100\.00 \- 226,100\.00 USD annually</t>
        </is>
      </c>
    </row>
    <row r="62">
      <c r="A62" t="inlineStr">
        <is>
          <t>in-66463b314699f2c1</t>
        </is>
      </c>
      <c r="B62" t="inlineStr">
        <is>
          <t>Applied Scientist, Delivery Foundation Model</t>
        </is>
      </c>
      <c r="C62" t="inlineStr">
        <is>
          <t>Amazon.com</t>
        </is>
      </c>
      <c r="D62" t="inlineStr">
        <is>
          <t>indeed</t>
        </is>
      </c>
      <c r="E62">
        <f>HYPERLINK("https://www.indeed.com/viewjob?jk=66463b314699f2c1", "https://www.indeed.com/viewjob?jk=66463b314699f2c1")</f>
        <v/>
      </c>
      <c r="F62">
        <f>HYPERLINK("https://www.amazon.jobs/jobs/3169077/applied-scientist-delivery-foundation-model-?cmpid=DA_INAD200785B", "https://www.amazon.jobs/jobs/3169077/applied-scientist-delivery-foundation-model-?cmpid=DA_INAD200785B")</f>
        <v/>
      </c>
      <c r="G62" t="inlineStr">
        <is>
          <t>Bellevue, WA, US</t>
        </is>
      </c>
      <c r="H62" s="1" t="n">
        <v>46009</v>
      </c>
      <c r="I62" t="inlineStr">
        <is>
          <t>**DESCRIPTION**
---------------
Join the next science and engineering revolution at Amazon's Delivery Foundation Model team, where you'll work alongside world\-class scientists and engineers to pioneer the next frontier of logistics through advanced AI and foundation models.  
We are seeking an exceptional Applied Scientist to help develop innovative foundation models that enable delivery of billions of packages worldwide. In this role, you'll combine highly technical work with scientific leadership, ensuring the team delivers robust solutions for dynamic real\-world environments. Your team will leverage Amazon's vast data and computational resources to tackle ambitious problems across a diverse set of Amazon delivery use cases.  
Key job responsibilities  
* Design and implement novel deep learning architectures combining a multitude of modalities, including image, video, and geospatial data.
* Solve computational problems to train foundation models on vast amounts of Amazon data and infer at Amazon scale, taking advantage of latest developments in hardware and deep learning libraries.
* As a foundation model developer, collaborate with multiple science and engineering teams to help build adaptations that power use cases across Amazon Last Mile deliveries, improving experience and safety of a delivery driver, an Amazon customer, and improving efficiency of Amazon delivery network.
* Drive technical direction for specific research initiatives, ensuring robust performance in production environments.
A day in the life  
As a member of the Delivery Foundation Model team, you’ll spend your day on the following:  
* Develop and implement novel foundation model architectures, working hands\-on with data and our extensive training and evaluation infrastructure
* Collaborate with fellow scientists in solving complex technical challenges, from trajectory planning to efficient multi\-task learning
* Collaborate with fellow engineers in building scalable and reusable infra to support model training, evaluation, and inference
* Contribute to focused technical initiatives from conception through deployment, ensuring successful integration with production systems
* Drive technical discussions within the team and and key stakeholders
* Conduct experiments and prototype new ideas
* Make significant hands\-on contribution to technical solutions
About the team  
The Delivery Foundation Model team combines ambitious research vision with real\-world impact. Our foundation models provide generative reasoning capabilities required to meet the demands of Amazon's global Last Mile delivery network. We leverage Amazon's unparalleled computational infrastructure and extensive datasets to deploy state\-of\-the\-art foundation models to improve the safety, quality, and efficiency of Amazon deliveries. Our work spans the full spectrum of foundation model development, from multimodal training using images, videos, and sensor data, to sophisticated modeling strategies that can handle diverse real\-world scenarios. We build everything end to end, from data preparation to model training and evaluation to inference, along with all the tooling needed to understand and analyze model performance.  
Join us if you're excited about pushing the boundaries of what's possible in logistics, working with world\-class scientists and engineers, and seeing your innovations deployed at unprecedented scale.**BASIC QUALIFICATIONS**
------------------------
* PhD, or Master's degree and 1\+ years of CS, CE, ML or related field experience
* 4\+ years of programming in Java, C\+\+, Python or related language experience
* Experience building machine learning models or developing algorithms for business application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Santa Clara \- 171,600\.00 \- 222,200\.00 USD annually  
USA, WA, Bellevue \- 142,800\.00 \- 193,200\.00 USD annually</t>
        </is>
      </c>
    </row>
    <row r="63">
      <c r="A63" t="inlineStr">
        <is>
          <t>in-823c56c297db6cb7</t>
        </is>
      </c>
      <c r="B63" t="inlineStr">
        <is>
          <t>Applied Scientist, Delivery Foundation Model</t>
        </is>
      </c>
      <c r="C63" t="inlineStr">
        <is>
          <t>Amazon.com</t>
        </is>
      </c>
      <c r="D63" t="inlineStr">
        <is>
          <t>indeed</t>
        </is>
      </c>
      <c r="E63">
        <f>HYPERLINK("https://www.indeed.com/viewjob?jk=823c56c297db6cb7", "https://www.indeed.com/viewjob?jk=823c56c297db6cb7")</f>
        <v/>
      </c>
      <c r="F63">
        <f>HYPERLINK("https://www.amazon.jobs/jobs/3169077/applied-scientist-delivery-foundation-model-?cmpid=DA_INAD200785B", "https://www.amazon.jobs/jobs/3169077/applied-scientist-delivery-foundation-model-?cmpid=DA_INAD200785B")</f>
        <v/>
      </c>
      <c r="G63" t="inlineStr">
        <is>
          <t>Santa Clara, CA, US</t>
        </is>
      </c>
      <c r="H63" s="1" t="n">
        <v>46009</v>
      </c>
      <c r="I63" t="inlineStr">
        <is>
          <t>**DESCRIPTION**
---------------
Join the next science and engineering revolution at Amazon's Delivery Foundation Model team, where you'll work alongside world\-class scientists and engineers to pioneer the next frontier of logistics through advanced AI and foundation models.  
We are seeking an exceptional Applied Scientist to help develop innovative foundation models that enable delivery of billions of packages worldwide. In this role, you'll combine highly technical work with scientific leadership, ensuring the team delivers robust solutions for dynamic real\-world environments. Your team will leverage Amazon's vast data and computational resources to tackle ambitious problems across a diverse set of Amazon delivery use cases.  
Key job responsibilities  
* Design and implement novel deep learning architectures combining a multitude of modalities, including image, video, and geospatial data.
* Solve computational problems to train foundation models on vast amounts of Amazon data and infer at Amazon scale, taking advantage of latest developments in hardware and deep learning libraries.
* As a foundation model developer, collaborate with multiple science and engineering teams to help build adaptations that power use cases across Amazon Last Mile deliveries, improving experience and safety of a delivery driver, an Amazon customer, and improving efficiency of Amazon delivery network.
* Drive technical direction for specific research initiatives, ensuring robust performance in production environments.
A day in the life  
As a member of the Delivery Foundation Model team, you’ll spend your day on the following:  
* Develop and implement novel foundation model architectures, working hands\-on with data and our extensive training and evaluation infrastructure
* Collaborate with fellow scientists in solving complex technical challenges, from trajectory planning to efficient multi\-task learning
* Collaborate with fellow engineers in building scalable and reusable infra to support model training, evaluation, and inference
* Contribute to focused technical initiatives from conception through deployment, ensuring successful integration with production systems
* Drive technical discussions within the team and and key stakeholders
* Conduct experiments and prototype new ideas
* Make significant hands\-on contribution to technical solutions
About the team  
The Delivery Foundation Model team combines ambitious research vision with real\-world impact. Our foundation models provide generative reasoning capabilities required to meet the demands of Amazon's global Last Mile delivery network. We leverage Amazon's unparalleled computational infrastructure and extensive datasets to deploy state\-of\-the\-art foundation models to improve the safety, quality, and efficiency of Amazon deliveries. Our work spans the full spectrum of foundation model development, from multimodal training using images, videos, and sensor data, to sophisticated modeling strategies that can handle diverse real\-world scenarios. We build everything end to end, from data preparation to model training and evaluation to inference, along with all the tooling needed to understand and analyze model performance.  
Join us if you're excited about pushing the boundaries of what's possible in logistics, working with world\-class scientists and engineers, and seeing your innovations deployed at unprecedented scale.**BASIC QUALIFICATIONS**
------------------------
* PhD, or Master's degree and 1\+ years of CS, CE, ML or related field experience
* 4\+ years of programming in Java, C\+\+, Python or related language experience
* Experience building machine learning models or developing algorithms for business application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Santa Clara \- 171,600\.00 \- 222,200\.00 USD annually  
USA, WA, Bellevue \- 142,800\.00 \- 193,200\.00 USD annually</t>
        </is>
      </c>
    </row>
    <row r="64">
      <c r="A64" t="inlineStr">
        <is>
          <t>in-0891d8c37460dbdb</t>
        </is>
      </c>
      <c r="B64" t="inlineStr">
        <is>
          <t>Principal Applied Scientist, Kiro Science</t>
        </is>
      </c>
      <c r="C64" t="inlineStr">
        <is>
          <t>Amazon Web Services</t>
        </is>
      </c>
      <c r="D64" t="inlineStr">
        <is>
          <t>indeed</t>
        </is>
      </c>
      <c r="E64">
        <f>HYPERLINK("https://www.indeed.com/viewjob?jk=0891d8c37460dbdb", "https://www.indeed.com/viewjob?jk=0891d8c37460dbdb")</f>
        <v/>
      </c>
      <c r="F64">
        <f>HYPERLINK("https://www.amazon.jobs/jobs/3161064/principal-applied-scientist-kiro-science?cmpid=DA_INAD200785B", "https://www.amazon.jobs/jobs/3161064/principal-applied-scientist-kiro-science?cmpid=DA_INAD200785B")</f>
        <v/>
      </c>
      <c r="G64" t="inlineStr">
        <is>
          <t>New York, NY, US</t>
        </is>
      </c>
      <c r="H64" s="1" t="n">
        <v>45999</v>
      </c>
      <c r="I64" t="inlineStr">
        <is>
          <t>**DESCRIPTION**
---------------
AWS Agentic AI is looking for a Principal Applied Scientist who will partner with world\-class scientists and engineers to pioneer the next generation of AI\-driven development tools. Join the Amazon Kiro LLM\-Training team and help create groundbreaking generative AI technologies including Kiro IDE and Amazon Q Developer that are transforming the software development landscape.  
Key job responsibilities  
As a key member of our team, you'll be at the forefront of innovation, where cutting\-edge research meets real\-world application:  
* Push the boundaries of reinforcement learning and post\-training methodologies for large language models specialized in code intelligence
* Invent and implement state\-of\-the\-art machine learning solutions that operate at unprecedented Amazon scale
* Deploy revolutionary products that directly impact the daily workflows of millions of developers worldwide
* Break new ground in AI and machine learning, challenging what's possible in intelligent code assistance
* Publish and present your pioneering work at premier ML and NLP conferences (NeurIPS, ICML, ICLR , ACL, EMNLP)
* Accelerate innovation by working directly with customers to rapidly transition research breakthroughs into production systems
About the team  
The AWS Developer Agents and Experiences (DAE) team is reimagining the builder experience through generative AI and foundation models. We're leveraging the latest advances in AI to transform how engineers work from IDE environments to web\-based tools and services, empowering developers to tackle projects of any scale with unprecedented efficiency.  
Broadly, AWS Utility Computing (UC) provides product innovations — from foundational services such as Amazon’s Simple Storage Service (S3\) and Amazon Elastic Compute Cloud (EC2\), to consistently released new product innovations that continue to set AWS’s services and features apart in the industry. As a member of the UC organization, you’ll support the development and management of Compute, Database, Storage, Internet of Things (Iot), Platform, and Productivity Apps services in AWS. Within AWS UC, Amazon Dedicated Cloud (ADC) roles engage with AWS customers who require specialized security solutions for their cloud services.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Inclusive Team Culture  
Here at AWS, it’s in our nature to learn and be curious. Our employee\-led affinity groups foster a culture of inclusion that empower us to be proud of our differences. Ongoing events and learning experiences, including our Conversations on Race and Ethnicity (CORE) and AmazeCon conferences, inspire us to never stop embracing our uniqueness.  
Mentorship \&amp; Career Growth  
We’re continuously raising our performance bar as we strive to become Earth’s Best Employer. That’s why you’ll find endless knowledge\-sharing, mentorship and other career\-advancing resources here to help you develop into a better\-rounded professional.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Hybrid Work  
We value innovation and recognize this sometimes requires uninterrupted time to focus on a build. We also value in\-person collaboration and time spent face\-to\-face. Our team affords employees options to work in the office every day or in a flexible, hybrid work model near one of our U.S. Amazon offices.**BASIC QUALIFICATIONS**
------------------------
* PhD, or Master's degree and 10\+ years of CS, CE, ML or related field experience
* 8\+ years of building models for business application experience
* Experience in patents or publications at top\-tier peer\-reviewed conferences or journals
* Experience programming in Java, C\+\+, Python or related language
* Experience in any of the following areas: AI (NLP or multi\-modality models), Deep Learning, LLM model training, graph learning, software engineering.
**PREFERRED QUALIFICATIONS**
----------------------------
* First author publications at Tier\-1 ML conferences.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Santa Clara \- 228,700\.00 \- 309,400\.00 USD annually  
USA, NY, New York \- 218,800\.00 \- 295,900\.00 USD annually</t>
        </is>
      </c>
    </row>
    <row r="65">
      <c r="A65" t="inlineStr">
        <is>
          <t>in-f811ee41b9ed5c3b</t>
        </is>
      </c>
      <c r="B65" t="inlineStr">
        <is>
          <t>Principal Applied Scientist, Kiro Science</t>
        </is>
      </c>
      <c r="C65" t="inlineStr">
        <is>
          <t>Amazon Web Services</t>
        </is>
      </c>
      <c r="D65" t="inlineStr">
        <is>
          <t>indeed</t>
        </is>
      </c>
      <c r="E65">
        <f>HYPERLINK("https://www.indeed.com/viewjob?jk=f811ee41b9ed5c3b", "https://www.indeed.com/viewjob?jk=f811ee41b9ed5c3b")</f>
        <v/>
      </c>
      <c r="F65">
        <f>HYPERLINK("https://www.amazon.jobs/jobs/3161064/principal-applied-scientist-kiro-science?cmpid=DA_INAD200785B", "https://www.amazon.jobs/jobs/3161064/principal-applied-scientist-kiro-science?cmpid=DA_INAD200785B")</f>
        <v/>
      </c>
      <c r="G65" t="inlineStr">
        <is>
          <t>Santa Clara, CA, US</t>
        </is>
      </c>
      <c r="H65" s="1" t="n">
        <v>45999</v>
      </c>
      <c r="I65" t="inlineStr">
        <is>
          <t>**DESCRIPTION**
---------------
AWS Agentic AI is looking for a Principal Applied Scientist who will partner with world\-class scientists and engineers to pioneer the next generation of AI\-driven development tools. Join the Amazon Kiro LLM\-Training team and help create groundbreaking generative AI technologies including Kiro IDE and Amazon Q Developer that are transforming the software development landscape.  
Key job responsibilities  
As a key member of our team, you'll be at the forefront of innovation, where cutting\-edge research meets real\-world application:  
* Push the boundaries of reinforcement learning and post\-training methodologies for large language models specialized in code intelligence
* Invent and implement state\-of\-the\-art machine learning solutions that operate at unprecedented Amazon scale
* Deploy revolutionary products that directly impact the daily workflows of millions of developers worldwide
* Break new ground in AI and machine learning, challenging what's possible in intelligent code assistance
* Publish and present your pioneering work at premier ML and NLP conferences (NeurIPS, ICML, ICLR , ACL, EMNLP)
* Accelerate innovation by working directly with customers to rapidly transition research breakthroughs into production systems
About the team  
The AWS Developer Agents and Experiences (DAE) team is reimagining the builder experience through generative AI and foundation models. We're leveraging the latest advances in AI to transform how engineers work from IDE environments to web\-based tools and services, empowering developers to tackle projects of any scale with unprecedented efficiency.  
Broadly, AWS Utility Computing (UC) provides product innovations — from foundational services such as Amazon’s Simple Storage Service (S3\) and Amazon Elastic Compute Cloud (EC2\), to consistently released new product innovations that continue to set AWS’s services and features apart in the industry. As a member of the UC organization, you’ll support the development and management of Compute, Database, Storage, Internet of Things (Iot), Platform, and Productivity Apps services in AWS. Within AWS UC, Amazon Dedicated Cloud (ADC) roles engage with AWS customers who require specialized security solutions for their cloud services.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Inclusive Team Culture  
Here at AWS, it’s in our nature to learn and be curious. Our employee\-led affinity groups foster a culture of inclusion that empower us to be proud of our differences. Ongoing events and learning experiences, including our Conversations on Race and Ethnicity (CORE) and AmazeCon conferences, inspire us to never stop embracing our uniqueness.  
Mentorship \&amp; Career Growth  
We’re continuously raising our performance bar as we strive to become Earth’s Best Employer. That’s why you’ll find endless knowledge\-sharing, mentorship and other career\-advancing resources here to help you develop into a better\-rounded professional.  
Work/Life Balance  
We value work\-life harmony. Achieving success at work should never come at the expense of sacrifices at home, which is why we strive for flexibility as part of our working culture. When we feel supported in the workplace and at home, there’s nothing we can’t achieve in the cloud.  
Hybrid Work  
We value innovation and recognize this sometimes requires uninterrupted time to focus on a build. We also value in\-person collaboration and time spent face\-to\-face. Our team affords employees options to work in the office every day or in a flexible, hybrid work model near one of our U.S. Amazon offices.**BASIC QUALIFICATIONS**
------------------------
* PhD, or Master's degree and 10\+ years of CS, CE, ML or related field experience
* 8\+ years of building models for business application experience
* Experience in patents or publications at top\-tier peer\-reviewed conferences or journals
* Experience programming in Java, C\+\+, Python or related language
* Experience in any of the following areas: AI (NLP or multi\-modality models), Deep Learning, LLM model training, graph learning, software engineering.
**PREFERRED QUALIFICATIONS**
----------------------------
* First author publications at Tier\-1 ML conferences.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Santa Clara \- 228,700\.00 \- 309,400\.00 USD annually  
USA, NY, New York \- 218,800\.00 \- 295,900\.00 USD annually</t>
        </is>
      </c>
    </row>
    <row r="66">
      <c r="A66" t="inlineStr">
        <is>
          <t>in-e5c3d6b9d5815041</t>
        </is>
      </c>
      <c r="B66" t="inlineStr">
        <is>
          <t>Principal Applied Scientist, Sponsored Products and Brands</t>
        </is>
      </c>
      <c r="C66" t="inlineStr">
        <is>
          <t>Amazon.com</t>
        </is>
      </c>
      <c r="D66" t="inlineStr">
        <is>
          <t>indeed</t>
        </is>
      </c>
      <c r="E66">
        <f>HYPERLINK("https://www.indeed.com/viewjob?jk=e5c3d6b9d5815041", "https://www.indeed.com/viewjob?jk=e5c3d6b9d5815041")</f>
        <v/>
      </c>
      <c r="F66">
        <f>HYPERLINK("https://www.amazon.jobs/jobs/3130855/principal-applied-scientist-sponsored-products-and-brands?cmpid=DA_INAD200785B", "https://www.amazon.jobs/jobs/3130855/principal-applied-scientist-sponsored-products-and-brands?cmpid=DA_INAD200785B")</f>
        <v/>
      </c>
      <c r="G66" t="inlineStr">
        <is>
          <t>New York, NY, US</t>
        </is>
      </c>
      <c r="H66" s="1" t="n">
        <v>45979</v>
      </c>
      <c r="I66" t="inlineStr">
        <is>
          <t>**DESCRIPTION**
---------------
About Sponsored Products and Brands:
The Sponsored Products and Brands team at Amazon Ads is re\-imagining the advertising landscape through industry leading generative AI technologies, revolutionizing how millions of customers discover products and engage with brands across Amazon.com and beyond. We are at the forefront of re\-inventing advertising experiences, bridging human creativity with artificial intelligence to transform every aspect of the advertising lifecycle from ad creation and optimization to performance analysis and customer insights. We are a passionate group of innovators dedicated to developing responsible and intelligent AI technologies that balance the needs of advertisers, enhance the shopping experience, and strengthen the marketplace. If you're energized by solving complex challenges and pushing the boundaries of what's possible with AI, join us in shaping the future of advertising.
About Our Team:
The Sponsored Brands Impressions\-based Offerings team is responsible for evolving the value proposition of Sponsored Brands to drive brand advertising in retail media at scale, helping brands get discovered, acquire new customers and sustainably grow customer lifetime value. We build end\-to\-end solutions that enable brands to drive discovery, visibility and share of voice. This includes building advertiser controls, shopper experiences, monetization strategies and optimization features. We succeed when (1\) shoppers discover, engage and build affinity with brands and (2\) brands can grow their business at scale with our advertising products.
About This Role:  
As a Principal Scientist for the team, you will have the opportunity to apply your deep subject matter expertise in the area of ML, LLM and GenAI models. You will invent new product experiences that enable novel advertiser and shopper experiences. This role will liaise with internal Amazon partners and work on bringing state\-of\-the\-art GenAI models to production, and stay abreast of the latest developments in the space of GenAI and identify opportunities to improve the efficiency and productivity of the team. Additionally, you will define a long\-term science vision for our advertising business, driven by our customer’s needs, and translate it into actionable plans for our team of applied scientists and engineers.  
This role will play a critical role in elevating the team’s scientific and technical rigor, identifying and implementing best\-in\-class algorithms, methodologies, and infrastructure that enable rapid experimentation and scaling. You will communicate learnings to leadership and mentor and grow Applied AI talent across org.  
* Develop AI solutions for Sponsored Brands advertiser and shopper experiences. Build monetization and optimization systems that leverage generative models to value and improve campaign performance.
* Define a long\-term science vision and roadmap for our Sponsored Brands advertising business, driven from our customers' needs, translating that direction into specific plans for applied scientists and engineering teams. This role combines science leadership, organizational ability, technical strength, product focus, and business understanding.
* Design and conduct A/B experiments to evaluate proposed solutions based on in\-depth data analyses.
* Effectively communicate technical and non\-technical ideas with teammates and stakeholders.
* Stay up\-to\-date with advancements and the latest modeling techniques in the field.
* Think big about the arc of development of Gen AI over a multi\-year horizon and identify new opportunities to apply these technologies to solve real\-world problems.
\#GenAI**BASIC QUALIFICATIONS**
------------------------
* PhD in Computer Science, Statistics or related field.
* 10\+ years of programming in Java, Python or related language.
* 10\+ years of applied ML experience in building complex, real\-time systems involving AI, ML with successful delivery to customers.
* 3\+ years in LLMs, model fine tuning and prompt engineering.
* 3\+ years in digital advertising technology.
**PREFERRED QUALIFICATIONS**
----------------------------
* Demonstrated track record of innovative AI solution development.
* Experience with generative model architectures.
* Research publications or patents in generative AI technologies.
* Experience in Reinforcement Learning from Human Feedback (RLHF), Retrieval\-Augmented Generation (RAG) and AI model trade\-offs (e.g., model size, latency, cost, and output quality).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$179,000/year in our lowest geographic market up to $309,400/year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67">
      <c r="A67" t="inlineStr">
        <is>
          <t>in-1277c7cc4d6e5430</t>
        </is>
      </c>
      <c r="B67" t="inlineStr">
        <is>
          <t>Principal Applied Scientist, Sponsored Products and Brands</t>
        </is>
      </c>
      <c r="C67" t="inlineStr">
        <is>
          <t>Amazon.com</t>
        </is>
      </c>
      <c r="D67" t="inlineStr">
        <is>
          <t>indeed</t>
        </is>
      </c>
      <c r="E67">
        <f>HYPERLINK("https://www.indeed.com/viewjob?jk=1277c7cc4d6e5430", "https://www.indeed.com/viewjob?jk=1277c7cc4d6e5430")</f>
        <v/>
      </c>
      <c r="F67">
        <f>HYPERLINK("https://www.amazon.jobs/jobs/3130855/principal-applied-scientist-sponsored-products-and-brands?cmpid=DA_INAD200785B", "https://www.amazon.jobs/jobs/3130855/principal-applied-scientist-sponsored-products-and-brands?cmpid=DA_INAD200785B")</f>
        <v/>
      </c>
      <c r="G67" t="inlineStr">
        <is>
          <t>Seattle, WA, US</t>
        </is>
      </c>
      <c r="H67" s="1" t="n">
        <v>45979</v>
      </c>
      <c r="I67" t="inlineStr">
        <is>
          <t>**DESCRIPTION**
---------------
About Sponsored Products and Brands:
The Sponsored Products and Brands team at Amazon Ads is re\-imagining the advertising landscape through industry leading generative AI technologies, revolutionizing how millions of customers discover products and engage with brands across Amazon.com and beyond. We are at the forefront of re\-inventing advertising experiences, bridging human creativity with artificial intelligence to transform every aspect of the advertising lifecycle from ad creation and optimization to performance analysis and customer insights. We are a passionate group of innovators dedicated to developing responsible and intelligent AI technologies that balance the needs of advertisers, enhance the shopping experience, and strengthen the marketplace. If you're energized by solving complex challenges and pushing the boundaries of what's possible with AI, join us in shaping the future of advertising.
About Our Team:
The Sponsored Brands Impressions\-based Offerings team is responsible for evolving the value proposition of Sponsored Brands to drive brand advertising in retail media at scale, helping brands get discovered, acquire new customers and sustainably grow customer lifetime value. We build end\-to\-end solutions that enable brands to drive discovery, visibility and share of voice. This includes building advertiser controls, shopper experiences, monetization strategies and optimization features. We succeed when (1\) shoppers discover, engage and build affinity with brands and (2\) brands can grow their business at scale with our advertising products.
About This Role:  
As a Principal Scientist for the team, you will have the opportunity to apply your deep subject matter expertise in the area of ML, LLM and GenAI models. You will invent new product experiences that enable novel advertiser and shopper experiences. This role will liaise with internal Amazon partners and work on bringing state\-of\-the\-art GenAI models to production, and stay abreast of the latest developments in the space of GenAI and identify opportunities to improve the efficiency and productivity of the team. Additionally, you will define a long\-term science vision for our advertising business, driven by our customer’s needs, and translate it into actionable plans for our team of applied scientists and engineers.  
This role will play a critical role in elevating the team’s scientific and technical rigor, identifying and implementing best\-in\-class algorithms, methodologies, and infrastructure that enable rapid experimentation and scaling. You will communicate learnings to leadership and mentor and grow Applied AI talent across org.  
* Develop AI solutions for Sponsored Brands advertiser and shopper experiences. Build monetization and optimization systems that leverage generative models to value and improve campaign performance.
* Define a long\-term science vision and roadmap for our Sponsored Brands advertising business, driven from our customers' needs, translating that direction into specific plans for applied scientists and engineering teams. This role combines science leadership, organizational ability, technical strength, product focus, and business understanding.
* Design and conduct A/B experiments to evaluate proposed solutions based on in\-depth data analyses.
* Effectively communicate technical and non\-technical ideas with teammates and stakeholders.
* Stay up\-to\-date with advancements and the latest modeling techniques in the field.
* Think big about the arc of development of Gen AI over a multi\-year horizon and identify new opportunities to apply these technologies to solve real\-world problems.
\#GenAI**BASIC QUALIFICATIONS**
------------------------
* PhD in Computer Science, Statistics or related field.
* 10\+ years of programming in Java, Python or related language.
* 10\+ years of applied ML experience in building complex, real\-time systems involving AI, ML with successful delivery to customers.
* 3\+ years in LLMs, model fine tuning and prompt engineering.
* 3\+ years in digital advertising technology.
**PREFERRED QUALIFICATIONS**
----------------------------
* Demonstrated track record of innovative AI solution development.
* Experience with generative model architectures.
* Research publications or patents in generative AI technologies.
* Experience in Reinforcement Learning from Human Feedback (RLHF), Retrieval\-Augmented Generation (RAG) and AI model trade\-offs (e.g., model size, latency, cost, and output quality).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$179,000/year in our lowest geographic market up to $309,400/year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68">
      <c r="A68" t="inlineStr">
        <is>
          <t>in-02d022341a093978</t>
        </is>
      </c>
      <c r="B68" t="inlineStr">
        <is>
          <t>Senior Applied Scientist, Sponsored Products and Brands</t>
        </is>
      </c>
      <c r="C68" t="inlineStr">
        <is>
          <t>Amazon.com</t>
        </is>
      </c>
      <c r="D68" t="inlineStr">
        <is>
          <t>indeed</t>
        </is>
      </c>
      <c r="E68">
        <f>HYPERLINK("https://www.indeed.com/viewjob?jk=02d022341a093978", "https://www.indeed.com/viewjob?jk=02d022341a093978")</f>
        <v/>
      </c>
      <c r="F68">
        <f>HYPERLINK("https://www.amazon.jobs/jobs/3130062/senior-applied-scientist-sponsored-products-and-brands?cmpid=DA_INAD200785B", "https://www.amazon.jobs/jobs/3130062/senior-applied-scientist-sponsored-products-and-brands?cmpid=DA_INAD200785B")</f>
        <v/>
      </c>
      <c r="G68" t="inlineStr">
        <is>
          <t>New York, NY, US</t>
        </is>
      </c>
      <c r="H68" s="1" t="n">
        <v>45979</v>
      </c>
      <c r="I68" t="inlineStr">
        <is>
          <t>**DESCRIPTION**
---------------
The Sponsored Products and Brands team at Amazon Ads is re\-imagining the advertising landscape through novel generative AI technologies, revolutionizing how millions of customers discover products and engage with brands across Amazon.com and beyond. We are at the forefront of re\-inventing advertising experiences, bridging human creativity with artificial intelligence to transform every aspect of the advertising lifecycle from ad creation and optimization to performance analysis and customer insights. We are a passionate group of innovators dedicated to developing responsible and intelligent AI technologies that balance the needs of advertisers, enhance the shopping experience, and strengthen the marketplace ecosystem. If you're energized by solving complex challenges and pushing the boundaries of what's possible with AI, join us in shaping the future of advertising.  
Key job responsibilities  
As an applied scientist on our team, you will  
* Develop AI solutions for Sponsored Brands advertiser and shopper experiences. Build recommendation systems that leverage generative models to develop and improve campaigns.
* You invent and design new solutions for scientifically\-complex problem areas and/or opportunities in new business initiatives.
* You drive or heavily influence the design of scientifically\-complex software solutions or systems, for which you personally write significant parts of the critical scientific novelty. You take ownership of these components, providing a system\-wide view and design guidance. These systems or solutions can be brand new or evolve from existing ones.
* Define a long\-term science vision and roadmap for our Sponsored Brands advertising business, driven from our customers' needs, translating that direction into specific plans for applied scientists and engineering teams. This role combines science leadership, organizational ability, technical strength, product focus, and business understanding.
* Work closely with engineers and product managers to design, implement and launch AI solutions end\-to\-end;
* Design and conduct A/B experiments to evaluate proposed solutions based on in\-depth data analyses;
* Think big about the arc of development of Gen AI over a multi\-year horizon, and identify new opportunities to apply these technologies to solve real\-world problems
* Effectively communicate technical and non\-technical ideas with teammates and stakeholders;
* Translate complex scientific challenges into clear and impactful solutions for business stakeholders.
* Mentor and guide junior scientists, fostering a collaborative and high\-performing team culture.
* Stay up\-to\-date with advancements and the latest modeling techniques in the field
About the team  
The Sponsored Brands Impressions\-based Offerings team is responsible for evolving the value proposition of Sponsored Brands to drive brand advertising in retail media at scale, helping brands get discovered, acquire new customers and sustainably grow customer lifetime value. We build end\-to\-end solutions that enable brands to drive discovery, visibility and share of voice. This includes building advertiser controls, shopper experiences, monetization strategies and optimization features. We succeed when (1\) shoppers discover, engage and build affinity with brands and (2\) brands can grow their business at scale with our advertising products.  
\#GenAI**BASIC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 Deep curiosity, and basic knowledge on Gen AI
* Deep curiosity, and basic knowledge on Gen AI
**PREFERRED QUALIFICATIONS**
----------------------------
* Experience with modeling tools such as R, scikit\-learn, Spark MLLib, MxNet, Tensorflow, numpy, scipy etc.
* Experience with large scale distributed systems such as Hadoop, Spark etc.
* Previous work on agents or LLMs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NY, New York \- 183,800\.00 \- 248,700\.00 USD annually  
USA, WA, Seattle \- 167,100\.00 \- 226,100\.00 USD annually</t>
        </is>
      </c>
    </row>
    <row r="69">
      <c r="A69" t="inlineStr">
        <is>
          <t>in-cfe6da9b3da9c98f</t>
        </is>
      </c>
      <c r="B69" t="inlineStr">
        <is>
          <t>Senior Applied Scientist, Sponsored Products and Brands</t>
        </is>
      </c>
      <c r="C69" t="inlineStr">
        <is>
          <t>Amazon.com</t>
        </is>
      </c>
      <c r="D69" t="inlineStr">
        <is>
          <t>indeed</t>
        </is>
      </c>
      <c r="E69">
        <f>HYPERLINK("https://www.indeed.com/viewjob?jk=cfe6da9b3da9c98f", "https://www.indeed.com/viewjob?jk=cfe6da9b3da9c98f")</f>
        <v/>
      </c>
      <c r="F69">
        <f>HYPERLINK("https://www.amazon.jobs/jobs/3130062/senior-applied-scientist-sponsored-products-and-brands?cmpid=DA_INAD200785B", "https://www.amazon.jobs/jobs/3130062/senior-applied-scientist-sponsored-products-and-brands?cmpid=DA_INAD200785B")</f>
        <v/>
      </c>
      <c r="G69" t="inlineStr">
        <is>
          <t>Seattle, WA, US</t>
        </is>
      </c>
      <c r="H69" s="1" t="n">
        <v>45979</v>
      </c>
      <c r="I69" t="inlineStr">
        <is>
          <t>**DESCRIPTION**
---------------
The Sponsored Products and Brands team at Amazon Ads is re\-imagining the advertising landscape through novel generative AI technologies, revolutionizing how millions of customers discover products and engage with brands across Amazon.com and beyond. We are at the forefront of re\-inventing advertising experiences, bridging human creativity with artificial intelligence to transform every aspect of the advertising lifecycle from ad creation and optimization to performance analysis and customer insights. We are a passionate group of innovators dedicated to developing responsible and intelligent AI technologies that balance the needs of advertisers, enhance the shopping experience, and strengthen the marketplace ecosystem. If you're energized by solving complex challenges and pushing the boundaries of what's possible with AI, join us in shaping the future of advertising.  
Key job responsibilities  
As an applied scientist on our team, you will  
* Develop AI solutions for Sponsored Brands advertiser and shopper experiences. Build recommendation systems that leverage generative models to develop and improve campaigns.
* You invent and design new solutions for scientifically\-complex problem areas and/or opportunities in new business initiatives.
* You drive or heavily influence the design of scientifically\-complex software solutions or systems, for which you personally write significant parts of the critical scientific novelty. You take ownership of these components, providing a system\-wide view and design guidance. These systems or solutions can be brand new or evolve from existing ones.
* Define a long\-term science vision and roadmap for our Sponsored Brands advertising business, driven from our customers' needs, translating that direction into specific plans for applied scientists and engineering teams. This role combines science leadership, organizational ability, technical strength, product focus, and business understanding.
* Work closely with engineers and product managers to design, implement and launch AI solutions end\-to\-end;
* Design and conduct A/B experiments to evaluate proposed solutions based on in\-depth data analyses;
* Think big about the arc of development of Gen AI over a multi\-year horizon, and identify new opportunities to apply these technologies to solve real\-world problems
* Effectively communicate technical and non\-technical ideas with teammates and stakeholders;
* Translate complex scientific challenges into clear and impactful solutions for business stakeholders.
* Mentor and guide junior scientists, fostering a collaborative and high\-performing team culture.
* Stay up\-to\-date with advancements and the latest modeling techniques in the field
About the team  
The Sponsored Brands Impressions\-based Offerings team is responsible for evolving the value proposition of Sponsored Brands to drive brand advertising in retail media at scale, helping brands get discovered, acquire new customers and sustainably grow customer lifetime value. We build end\-to\-end solutions that enable brands to drive discovery, visibility and share of voice. This includes building advertiser controls, shopper experiences, monetization strategies and optimization features. We succeed when (1\) shoppers discover, engage and build affinity with brands and (2\) brands can grow their business at scale with our advertising products.  
\#GenAI**BASIC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 Deep curiosity, and basic knowledge on Gen AI
* Deep curiosity, and basic knowledge on Gen AI
**PREFERRED QUALIFICATIONS**
----------------------------
* Experience with modeling tools such as R, scikit\-learn, Spark MLLib, MxNet, Tensorflow, numpy, scipy etc.
* Experience with large scale distributed systems such as Hadoop, Spark etc.
* Previous work on agents or LLMs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NY, New York \- 183,800\.00 \- 248,700\.00 USD annually  
USA, WA, Seattle \- 167,100\.00 \- 226,100\.00 USD annually</t>
        </is>
      </c>
    </row>
    <row r="70">
      <c r="A70" t="inlineStr">
        <is>
          <t>in-25fd9a95a64a19c1</t>
        </is>
      </c>
      <c r="B70" t="inlineStr">
        <is>
          <t>Sr. Applied Scientist, Sponsored Products</t>
        </is>
      </c>
      <c r="C70" t="inlineStr">
        <is>
          <t>Amazon.com</t>
        </is>
      </c>
      <c r="D70" t="inlineStr">
        <is>
          <t>indeed</t>
        </is>
      </c>
      <c r="E70">
        <f>HYPERLINK("https://www.indeed.com/viewjob?jk=25fd9a95a64a19c1", "https://www.indeed.com/viewjob?jk=25fd9a95a64a19c1")</f>
        <v/>
      </c>
      <c r="F70">
        <f>HYPERLINK("https://www.amazon.jobs/jobs/3136156/sr-applied-scientist-sponsored-products?cmpid=DA_INAD200785B", "https://www.amazon.jobs/jobs/3136156/sr-applied-scientist-sponsored-products?cmpid=DA_INAD200785B")</f>
        <v/>
      </c>
      <c r="G70" t="inlineStr">
        <is>
          <t>Seattle, WA, US</t>
        </is>
      </c>
      <c r="H70" s="1" t="n">
        <v>45976</v>
      </c>
      <c r="I70" t="inlineStr">
        <is>
          <t>**DESCRIPTION**
---------------
About Sponsored Products and Brands  
The Sponsored Products and Brands team at Amazon Ads is re\-imagining the advertising landscape through generative AI technologies, revolutionizing how millions of customers discover products and engage with brands across Amazon.com and beyond. We are at the forefront of re\-inventing advertising experiences, bridging human creativity with artificial intelligence to transform every aspect of the advertising lifecycle from ad creation and optimization to performance analysis and customer insights. We are a passionate group of innovators dedicated to developing responsible and intelligent AI technologies that balance the needs of advertisers, enhance the shopping experience, and strengthen the marketplace. If you're energized by solving complex challenges and pushing the boundaries of what's possible with AI, join us in shaping the future of advertising.  
About our team  
The SPB Offsite team builds solutions to extend campaigns to reach customers off the store and extend shopping experiences on third party sites where shoppers search and discover products. We use industry leading machine learning, high scale low latency systems, and AI technologies to create better sponsored customer experiences off the store. This role will have deep interest in building the next innovations in ad tech and shopping wherever shoppers go. You will work with external and internal partners to connect ad tech systems, understand customers, and drive results at scale. You are a deeply technical leader who operates with a GenAI first approach to product, engineering, and science based solutions.  
Key job responsibilities  
* Lead science and engineering needs across ad systems and models that power sponsored products ads for offsite shopping experiences.
* Collaborate with peers across engineering and product to bring scientific innovations into production.
* Surface qualitative and quantitative insights to shape product direction and ensure product\-market fit.
* Design and implement advanced model and agent optimization techniques, including supervised fine\-tuning, instruction tuning and preference optimization.
* Develop agentic architectures (e.g., CoT, ToT, ReAct) that integrate planning, tool use, and long\-horizon reasoning.
* Prototype and iterate on multi\-agent orchestration frameworks and workflows.
* Stay current with the latest research in LLMs, RL, and agent\-based AI, and translate findings into practical applications.
**BASIC QUALIFICATIONS**
------------------------
* 3\+ years of building machine learning models for business application experience
* PhD, or Master's degree and 6\+ years of applied research experience
* Knowledge of programming languages such as C/C\+\+, Python, Java or Perl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 Experience in search advertising, search marketing, performance advertising, or similar digital advertising
* Ph.D. in computer science, mathematics, statistics, machine learning or equivalent quantitative field
* Strong technical fluency in Generative AI
* Deep understanding of large language models (LLMs), model fine tuning and prompt engineering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NY, New York \- 183,800\.00 \- 248,700\.00 USD annually  
USA, VA, Arlington \- 167,100\.00 \- 226,100\.00 USD annually  
USA, WA, Seattle \- 167,100\.00 \- 226,100\.00 USD annually</t>
        </is>
      </c>
    </row>
    <row r="71">
      <c r="A71" t="inlineStr">
        <is>
          <t>in-dd55c448e9af5c40</t>
        </is>
      </c>
      <c r="B71" t="inlineStr">
        <is>
          <t>Sr. Applied Scientist, Sponsored Products</t>
        </is>
      </c>
      <c r="C71" t="inlineStr">
        <is>
          <t>Amazon.com</t>
        </is>
      </c>
      <c r="D71" t="inlineStr">
        <is>
          <t>indeed</t>
        </is>
      </c>
      <c r="E71">
        <f>HYPERLINK("https://www.indeed.com/viewjob?jk=dd55c448e9af5c40", "https://www.indeed.com/viewjob?jk=dd55c448e9af5c40")</f>
        <v/>
      </c>
      <c r="F71">
        <f>HYPERLINK("https://www.amazon.jobs/jobs/3136156/sr-applied-scientist-sponsored-products?cmpid=DA_INAD200785B", "https://www.amazon.jobs/jobs/3136156/sr-applied-scientist-sponsored-products?cmpid=DA_INAD200785B")</f>
        <v/>
      </c>
      <c r="G71" t="inlineStr">
        <is>
          <t>New York, NY, US</t>
        </is>
      </c>
      <c r="H71" s="1" t="n">
        <v>45976</v>
      </c>
      <c r="I71" t="inlineStr">
        <is>
          <t>**DESCRIPTION**
---------------
About Sponsored Products and Brands  
The Sponsored Products and Brands team at Amazon Ads is re\-imagining the advertising landscape through generative AI technologies, revolutionizing how millions of customers discover products and engage with brands across Amazon.com and beyond. We are at the forefront of re\-inventing advertising experiences, bridging human creativity with artificial intelligence to transform every aspect of the advertising lifecycle from ad creation and optimization to performance analysis and customer insights. We are a passionate group of innovators dedicated to developing responsible and intelligent AI technologies that balance the needs of advertisers, enhance the shopping experience, and strengthen the marketplace. If you're energized by solving complex challenges and pushing the boundaries of what's possible with AI, join us in shaping the future of advertising.  
About our team  
The SPB Offsite team builds solutions to extend campaigns to reach customers off the store and extend shopping experiences on third party sites where shoppers search and discover products. We use industry leading machine learning, high scale low latency systems, and AI technologies to create better sponsored customer experiences off the store. This role will have deep interest in building the next innovations in ad tech and shopping wherever shoppers go. You will work with external and internal partners to connect ad tech systems, understand customers, and drive results at scale. You are a deeply technical leader who operates with a GenAI first approach to product, engineering, and science based solutions.  
Key job responsibilities  
* Lead science and engineering needs across ad systems and models that power sponsored products ads for offsite shopping experiences.
* Collaborate with peers across engineering and product to bring scientific innovations into production.
* Surface qualitative and quantitative insights to shape product direction and ensure product\-market fit.
* Design and implement advanced model and agent optimization techniques, including supervised fine\-tuning, instruction tuning and preference optimization.
* Develop agentic architectures (e.g., CoT, ToT, ReAct) that integrate planning, tool use, and long\-horizon reasoning.
* Prototype and iterate on multi\-agent orchestration frameworks and workflows.
* Stay current with the latest research in LLMs, RL, and agent\-based AI, and translate findings into practical applications.
**BASIC QUALIFICATIONS**
------------------------
* 3\+ years of building machine learning models for business application experience
* PhD, or Master's degree and 6\+ years of applied research experience
* Knowledge of programming languages such as C/C\+\+, Python, Java or Perl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 Experience in search advertising, search marketing, performance advertising, or similar digital advertising
* Ph.D. in computer science, mathematics, statistics, machine learning or equivalent quantitative field
* Strong technical fluency in Generative AI
* Deep understanding of large language models (LLMs), model fine tuning and prompt engineering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NY, New York \- 183,800\.00 \- 248,700\.00 USD annually  
USA, VA, Arlington \- 167,100\.00 \- 226,100\.00 USD annually  
USA, WA, Seattle \- 167,100\.00 \- 226,100\.00 USD annually</t>
        </is>
      </c>
    </row>
    <row r="72">
      <c r="A72" t="inlineStr">
        <is>
          <t>in-5983783a5349f3bf</t>
        </is>
      </c>
      <c r="B72" t="inlineStr">
        <is>
          <t>Sr. Applied Scientist, Sponsored Products</t>
        </is>
      </c>
      <c r="C72" t="inlineStr">
        <is>
          <t>Amazon.com</t>
        </is>
      </c>
      <c r="D72" t="inlineStr">
        <is>
          <t>indeed</t>
        </is>
      </c>
      <c r="E72">
        <f>HYPERLINK("https://www.indeed.com/viewjob?jk=5983783a5349f3bf", "https://www.indeed.com/viewjob?jk=5983783a5349f3bf")</f>
        <v/>
      </c>
      <c r="F72">
        <f>HYPERLINK("https://www.amazon.jobs/jobs/3136156/sr-applied-scientist-sponsored-products?cmpid=DA_INAD200785B", "https://www.amazon.jobs/jobs/3136156/sr-applied-scientist-sponsored-products?cmpid=DA_INAD200785B")</f>
        <v/>
      </c>
      <c r="G72" t="inlineStr">
        <is>
          <t>Arlington, VA, US</t>
        </is>
      </c>
      <c r="H72" s="1" t="n">
        <v>45976</v>
      </c>
      <c r="I72" t="inlineStr">
        <is>
          <t>**DESCRIPTION**
---------------
About Sponsored Products and Brands  
The Sponsored Products and Brands team at Amazon Ads is re\-imagining the advertising landscape through generative AI technologies, revolutionizing how millions of customers discover products and engage with brands across Amazon.com and beyond. We are at the forefront of re\-inventing advertising experiences, bridging human creativity with artificial intelligence to transform every aspect of the advertising lifecycle from ad creation and optimization to performance analysis and customer insights. We are a passionate group of innovators dedicated to developing responsible and intelligent AI technologies that balance the needs of advertisers, enhance the shopping experience, and strengthen the marketplace. If you're energized by solving complex challenges and pushing the boundaries of what's possible with AI, join us in shaping the future of advertising.  
About our team  
The SPB Offsite team builds solutions to extend campaigns to reach customers off the store and extend shopping experiences on third party sites where shoppers search and discover products. We use industry leading machine learning, high scale low latency systems, and AI technologies to create better sponsored customer experiences off the store. This role will have deep interest in building the next innovations in ad tech and shopping wherever shoppers go. You will work with external and internal partners to connect ad tech systems, understand customers, and drive results at scale. You are a deeply technical leader who operates with a GenAI first approach to product, engineering, and science based solutions.  
Key job responsibilities  
* Lead science and engineering needs across ad systems and models that power sponsored products ads for offsite shopping experiences.
* Collaborate with peers across engineering and product to bring scientific innovations into production.
* Surface qualitative and quantitative insights to shape product direction and ensure product\-market fit.
* Design and implement advanced model and agent optimization techniques, including supervised fine\-tuning, instruction tuning and preference optimization.
* Develop agentic architectures (e.g., CoT, ToT, ReAct) that integrate planning, tool use, and long\-horizon reasoning.
* Prototype and iterate on multi\-agent orchestration frameworks and workflows.
* Stay current with the latest research in LLMs, RL, and agent\-based AI, and translate findings into practical applications.
**BASIC QUALIFICATIONS**
------------------------
* 3\+ years of building machine learning models for business application experience
* PhD, or Master's degree and 6\+ years of applied research experience
* Knowledge of programming languages such as C/C\+\+, Python, Java or Perl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 Experience in search advertising, search marketing, performance advertising, or similar digital advertising
* Ph.D. in computer science, mathematics, statistics, machine learning or equivalent quantitative field
* Strong technical fluency in Generative AI
* Deep understanding of large language models (LLMs), model fine tuning and prompt engineering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NY, New York \- 183,800\.00 \- 248,700\.00 USD annually  
USA, VA, Arlington \- 167,100\.00 \- 226,100\.00 USD annually  
USA, WA, Seattle \- 167,100\.00 \- 226,100\.00 USD annually</t>
        </is>
      </c>
    </row>
    <row r="73">
      <c r="A73" t="inlineStr">
        <is>
          <t>in-4a06d454f9c7e3a2</t>
        </is>
      </c>
      <c r="B73" t="inlineStr">
        <is>
          <t>Applied Scientist, AWS Agentic AI</t>
        </is>
      </c>
      <c r="C73" t="inlineStr">
        <is>
          <t>Amazon Web Services</t>
        </is>
      </c>
      <c r="D73" t="inlineStr">
        <is>
          <t>indeed</t>
        </is>
      </c>
      <c r="E73">
        <f>HYPERLINK("https://www.indeed.com/viewjob?jk=4a06d454f9c7e3a2", "https://www.indeed.com/viewjob?jk=4a06d454f9c7e3a2")</f>
        <v/>
      </c>
      <c r="F73">
        <f>HYPERLINK("https://www.amazon.jobs/jobs/3141517/applied-scientist-aws-agentic-ai-?cmpid=DA_INAD200785B", "https://www.amazon.jobs/jobs/3141517/applied-scientist-aws-agentic-ai-?cmpid=DA_INAD200785B")</f>
        <v/>
      </c>
      <c r="G73" t="inlineStr">
        <is>
          <t>Seattle, WA, US</t>
        </is>
      </c>
      <c r="H73" s="1" t="n">
        <v>45962</v>
      </c>
      <c r="I73" t="inlineStr">
        <is>
          <t>**DESCRIPTION**
---------------
Amazon Agentic AI is looking for motivated scientists to join its newly created org focusing on agentic AI. This group is entrusted with developing core natural language processing, agents, generative AI, AI reasoning and planning, and model training for AWS, with a focus on code development, broadly defined. You will invent, implement, and deploy state of the art deep learning algorithms and systems. You will build prototypes and explore conceptually new solutions. You will interact closely with our customers and with the academic community. You will be at the heart of a growing and exciting focus area for AWS Agentic AI, a generative AI–powered assistant for enterprise computing, and work with other acclaimed engineers and world famous scientists.  
As an Applied Scientist, you are recognized for your expertise, advise team members on a range of machine learning topics, and work closely with software engineers to drive the delivery of end\-to\-end modeling solutions. Your work focuses on ambiguous problem areas where the business problem or opportunity may not yet be defined. The problems that you take on require scientific breakthroughs.  
You take a long\-term view of the business objectives, product roadmaps, technologies, and how they should evolve. You drive mindful discussions with customers, engineers, and scientist peers. You bring perspective and provide context for current technology choices, and make recommendations on the right modeling and component design approach to achieve the desired customer experience and business outcome.  
About the team  
Diverse Experiences  
AWS values diverse experiences. Even if you do not meet all of the preferred qualifications and skills listed in the job description, we encourage candidates to apply. If your career is just starting, hasn’t followed a traditional path, or includes alternative experiences, don’t let it stop you from applying.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Inclusive Team Culture  
AWS values curiosity and connection. Our employee\-led and company\-sponsored affinity groups promote inclusion and empower our people to take pride in what makes us unique. Our inclusion events foster stronger, more collaborative teams. Our continual innovation is fueled by the bold ideas, fresh perspectives, and passionate voices our teams bring to everything we do.  
Mentorship \&amp; Career Growth  
We’re continuously raising our performance bar as we strive to become Earth’s Best Employer. That’s why you’ll find endless knowledge\-sharing, mentorship and other career\-advancing resources here to help you develop into a better\-rounded professional.  
Work/Life Balance  
We value work\-life harmony. Achieving success at work should never come at the expense of sacrifices at home, which is why we strive for flexibility as part of our working culture. When we feel supported in the workplace and at home, there’s nothing we can’t achieve.
**BASIC QUALIFICATIONS**
------------------------
* 3\+ years of building models for business application experience
* PhD, or Master's degree and 4\+ years of CS, CE, ML or related field experience
* Experience in patents or publications at top\-tier peer\-reviewed conferences or journals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74">
      <c r="A74" t="inlineStr">
        <is>
          <t>in-caad6b21582c0ffa</t>
        </is>
      </c>
      <c r="B74" t="inlineStr">
        <is>
          <t>Applied Scientist, AWS Agentic AI</t>
        </is>
      </c>
      <c r="C74" t="inlineStr">
        <is>
          <t>Amazon Web Services</t>
        </is>
      </c>
      <c r="D74" t="inlineStr">
        <is>
          <t>indeed</t>
        </is>
      </c>
      <c r="E74">
        <f>HYPERLINK("https://www.indeed.com/viewjob?jk=caad6b21582c0ffa", "https://www.indeed.com/viewjob?jk=caad6b21582c0ffa")</f>
        <v/>
      </c>
      <c r="F74">
        <f>HYPERLINK("https://www.amazon.jobs/jobs/3141517/applied-scientist-aws-agentic-ai-?cmpid=DA_INAD200785B", "https://www.amazon.jobs/jobs/3141517/applied-scientist-aws-agentic-ai-?cmpid=DA_INAD200785B")</f>
        <v/>
      </c>
      <c r="G74" t="inlineStr">
        <is>
          <t>Santa Clara, CA, US</t>
        </is>
      </c>
      <c r="H74" s="1" t="n">
        <v>45962</v>
      </c>
      <c r="I74" t="inlineStr">
        <is>
          <t>**DESCRIPTION**
---------------
Amazon Agentic AI is looking for motivated scientists to join its newly created org focusing on agentic AI. This group is entrusted with developing core natural language processing, agents, generative AI, AI reasoning and planning, and model training for AWS, with a focus on code development, broadly defined. You will invent, implement, and deploy state of the art deep learning algorithms and systems. You will build prototypes and explore conceptually new solutions. You will interact closely with our customers and with the academic community. You will be at the heart of a growing and exciting focus area for AWS Agentic AI, a generative AI–powered assistant for enterprise computing, and work with other acclaimed engineers and world famous scientists.  
As an Applied Scientist, you are recognized for your expertise, advise team members on a range of machine learning topics, and work closely with software engineers to drive the delivery of end\-to\-end modeling solutions. Your work focuses on ambiguous problem areas where the business problem or opportunity may not yet be defined. The problems that you take on require scientific breakthroughs.  
You take a long\-term view of the business objectives, product roadmaps, technologies, and how they should evolve. You drive mindful discussions with customers, engineers, and scientist peers. You bring perspective and provide context for current technology choices, and make recommendations on the right modeling and component design approach to achieve the desired customer experience and business outcome.  
About the team  
Diverse Experiences  
AWS values diverse experiences. Even if you do not meet all of the preferred qualifications and skills listed in the job description, we encourage candidates to apply. If your career is just starting, hasn’t followed a traditional path, or includes alternative experiences, don’t let it stop you from applying.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Inclusive Team Culture  
AWS values curiosity and connection. Our employee\-led and company\-sponsored affinity groups promote inclusion and empower our people to take pride in what makes us unique. Our inclusion events foster stronger, more collaborative teams. Our continual innovation is fueled by the bold ideas, fresh perspectives, and passionate voices our teams bring to everything we do.  
Mentorship \&amp; Career Growth  
We’re continuously raising our performance bar as we strive to become Earth’s Best Employer. That’s why you’ll find endless knowledge\-sharing, mentorship and other career\-advancing resources here to help you develop into a better\-rounded professional.  
Work/Life Balance  
We value work\-life harmony. Achieving success at work should never come at the expense of sacrifices at home, which is why we strive for flexibility as part of our working culture. When we feel supported in the workplace and at home, there’s nothing we can’t achieve.
**BASIC QUALIFICATIONS**
------------------------
* 3\+ years of building models for business application experience
* PhD, or Master's degree and 4\+ years of CS, CE, ML or related field experience
* Experience in patents or publications at top\-tier peer\-reviewed conferences or journals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75">
      <c r="A75" t="inlineStr">
        <is>
          <t>in-9d708788d4bb5262</t>
        </is>
      </c>
      <c r="B75" t="inlineStr">
        <is>
          <t>Applied Scientist, AWS Agentic AI</t>
        </is>
      </c>
      <c r="C75" t="inlineStr">
        <is>
          <t>Amazon Web Services</t>
        </is>
      </c>
      <c r="D75" t="inlineStr">
        <is>
          <t>indeed</t>
        </is>
      </c>
      <c r="E75">
        <f>HYPERLINK("https://www.indeed.com/viewjob?jk=9d708788d4bb5262", "https://www.indeed.com/viewjob?jk=9d708788d4bb5262")</f>
        <v/>
      </c>
      <c r="F75">
        <f>HYPERLINK("https://www.amazon.jobs/jobs/3141517/applied-scientist-aws-agentic-ai-?cmpid=DA_INAD200785B", "https://www.amazon.jobs/jobs/3141517/applied-scientist-aws-agentic-ai-?cmpid=DA_INAD200785B")</f>
        <v/>
      </c>
      <c r="G75" t="inlineStr">
        <is>
          <t>New York, NY, US</t>
        </is>
      </c>
      <c r="H75" s="1" t="n">
        <v>45962</v>
      </c>
      <c r="I75" t="inlineStr">
        <is>
          <t>**DESCRIPTION**
---------------
Amazon Agentic AI is looking for motivated scientists to join its newly created org focusing on agentic AI. This group is entrusted with developing core natural language processing, agents, generative AI, AI reasoning and planning, and model training for AWS, with a focus on code development, broadly defined. You will invent, implement, and deploy state of the art deep learning algorithms and systems. You will build prototypes and explore conceptually new solutions. You will interact closely with our customers and with the academic community. You will be at the heart of a growing and exciting focus area for AWS Agentic AI, a generative AI–powered assistant for enterprise computing, and work with other acclaimed engineers and world famous scientists.  
As an Applied Scientist, you are recognized for your expertise, advise team members on a range of machine learning topics, and work closely with software engineers to drive the delivery of end\-to\-end modeling solutions. Your work focuses on ambiguous problem areas where the business problem or opportunity may not yet be defined. The problems that you take on require scientific breakthroughs.  
You take a long\-term view of the business objectives, product roadmaps, technologies, and how they should evolve. You drive mindful discussions with customers, engineers, and scientist peers. You bring perspective and provide context for current technology choices, and make recommendations on the right modeling and component design approach to achieve the desired customer experience and business outcome.  
About the team  
Diverse Experiences  
AWS values diverse experiences. Even if you do not meet all of the preferred qualifications and skills listed in the job description, we encourage candidates to apply. If your career is just starting, hasn’t followed a traditional path, or includes alternative experiences, don’t let it stop you from applying.  
Why AWS?  
Amazon Web Services (AWS) is the world’s most comprehensive and broadly adopted cloud platform. We pioneered cloud computing and never stopped innovating — that’s why customers from the most successful startups to Global 500 companies trust our robust suite of products and services to power their businesses.  
Inclusive Team Culture  
AWS values curiosity and connection. Our employee\-led and company\-sponsored affinity groups promote inclusion and empower our people to take pride in what makes us unique. Our inclusion events foster stronger, more collaborative teams. Our continual innovation is fueled by the bold ideas, fresh perspectives, and passionate voices our teams bring to everything we do.  
Mentorship \&amp; Career Growth  
We’re continuously raising our performance bar as we strive to become Earth’s Best Employer. That’s why you’ll find endless knowledge\-sharing, mentorship and other career\-advancing resources here to help you develop into a better\-rounded professional.  
Work/Life Balance  
We value work\-life harmony. Achieving success at work should never come at the expense of sacrifices at home, which is why we strive for flexibility as part of our working culture. When we feel supported in the workplace and at home, there’s nothing we can’t achieve.
**BASIC QUALIFICATIONS**
------------------------
* 3\+ years of building models for business application experience
* PhD, or Master's degree and 4\+ years of CS, CE, ML or related field experience
* Experience in patents or publications at top\-tier peer\-reviewed conferences or journals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76">
      <c r="A76" t="inlineStr">
        <is>
          <t>in-271dcc756f99a5a4</t>
        </is>
      </c>
      <c r="B76" t="inlineStr">
        <is>
          <t>Applied Scientist, Prime Video - Content Understanding, Localization &amp; Enrichment Team</t>
        </is>
      </c>
      <c r="C76" t="inlineStr">
        <is>
          <t>Amazon.com</t>
        </is>
      </c>
      <c r="D76" t="inlineStr">
        <is>
          <t>indeed</t>
        </is>
      </c>
      <c r="E76">
        <f>HYPERLINK("https://www.indeed.com/viewjob?jk=271dcc756f99a5a4", "https://www.indeed.com/viewjob?jk=271dcc756f99a5a4")</f>
        <v/>
      </c>
      <c r="F76">
        <f>HYPERLINK("https://www.amazon.jobs/jobs/3111928/applied-scientist-prime-video--content-understanding-localization--enrichment-team?cmpid=DA_INAD200785B", "https://www.amazon.jobs/jobs/3111928/applied-scientist-prime-video--content-understanding-localization--enrichment-team?cmpid=DA_INAD200785B")</f>
        <v/>
      </c>
      <c r="G76" t="inlineStr">
        <is>
          <t>Seattle, WA, US</t>
        </is>
      </c>
      <c r="H76" s="1" t="n">
        <v>45943</v>
      </c>
      <c r="I76"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subscriptions such as Apple TV\+, HBO Max, Peacock,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team member,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Key job responsibilities  
We are looking for passionate, hard\-working, and talented individuals to help us push the envelope of content localization. We work on a broad array of research areas and applications, including but not limited to multimodal machine translation, speech synthesis, speech analysis, and asset quality assessment. Candidates should be prepared to help drive innovation in one or more areas of machine learning, audio processing, and natural language understanding.  
The ideal candidate would have experience in audio processing, natural language understanding and machine learning. Familiarity with machine translation, foundational models, and speech synthesis will be a plus. As an Applied Scientist, you should be a strong communicator, able to describe scientifically rigorous work to business stakeholders of varying levels of technical sophistication. You will closely partner with the solution development teams, and should be intensely curious about how the research is moving the needle for business. Strong inter\-personal and mentoring skills to develop applied science talent in the team is another important requirement.
**BASIC QUALIFICATIONS**
------------------------
* 3\+ years of building models for business application experience
* PhD, or Master's degree and 4\+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 Francisco \- 171,600\.00 \- 222,200\.00 USD annually  
USA, WA, Seattle \- 142,800\.00 \- 193,200\.00 USD annually</t>
        </is>
      </c>
    </row>
    <row r="77">
      <c r="A77" t="inlineStr">
        <is>
          <t>in-647cff8195121796</t>
        </is>
      </c>
      <c r="B77" t="inlineStr">
        <is>
          <t>Applied Scientist, Prime Video - Content Understanding, Localization &amp; Enrichment Team</t>
        </is>
      </c>
      <c r="C77" t="inlineStr">
        <is>
          <t>Amazon.com</t>
        </is>
      </c>
      <c r="D77" t="inlineStr">
        <is>
          <t>indeed</t>
        </is>
      </c>
      <c r="E77">
        <f>HYPERLINK("https://www.indeed.com/viewjob?jk=647cff8195121796", "https://www.indeed.com/viewjob?jk=647cff8195121796")</f>
        <v/>
      </c>
      <c r="F77">
        <f>HYPERLINK("https://www.amazon.jobs/jobs/3111928/applied-scientist-prime-video--content-understanding-localization--enrichment-team?cmpid=DA_INAD200785B", "https://www.amazon.jobs/jobs/3111928/applied-scientist-prime-video--content-understanding-localization--enrichment-team?cmpid=DA_INAD200785B")</f>
        <v/>
      </c>
      <c r="G77" t="inlineStr">
        <is>
          <t>San Francisco, CA, US</t>
        </is>
      </c>
      <c r="H77" s="1" t="n">
        <v>45943</v>
      </c>
      <c r="I77"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subscriptions such as Apple TV\+, HBO Max, Peacock,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team member,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Key job responsibilities  
We are looking for passionate, hard\-working, and talented individuals to help us push the envelope of content localization. We work on a broad array of research areas and applications, including but not limited to multimodal machine translation, speech synthesis, speech analysis, and asset quality assessment. Candidates should be prepared to help drive innovation in one or more areas of machine learning, audio processing, and natural language understanding.  
The ideal candidate would have experience in audio processing, natural language understanding and machine learning. Familiarity with machine translation, foundational models, and speech synthesis will be a plus. As an Applied Scientist, you should be a strong communicator, able to describe scientifically rigorous work to business stakeholders of varying levels of technical sophistication. You will closely partner with the solution development teams, and should be intensely curious about how the research is moving the needle for business. Strong inter\-personal and mentoring skills to develop applied science talent in the team is another important requirement.
**BASIC QUALIFICATIONS**
------------------------
* 3\+ years of building models for business application experience
* PhD, or Master's degree and 4\+ years of CS, CE, ML or related field experience
* Experience programming in Java, C\+\+, Python or related language
* Experience in any of the following areas: algorithms and data structures, parsing, numerical optimization, data mining, parallel and distributed computing, high\-performance computing
**PREFERRED QUALIFICATIONS**
----------------------------
* Experience using Unix/Linux
* Experience in professional software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 Francisco \- 171,600\.00 \- 222,200\.00 USD annually  
USA, WA, Seattle \- 142,800\.00 \- 193,200\.00 USD annually</t>
        </is>
      </c>
    </row>
    <row r="78">
      <c r="A78" t="inlineStr">
        <is>
          <t>in-f1f3372d2bdfa416</t>
        </is>
      </c>
      <c r="B78" t="inlineStr">
        <is>
          <t>Principal Applied Scientist, Advertiser Growth, Amazon Sponsored Products &amp; Brands</t>
        </is>
      </c>
      <c r="C78" t="inlineStr">
        <is>
          <t>Amazon.com</t>
        </is>
      </c>
      <c r="D78" t="inlineStr">
        <is>
          <t>indeed</t>
        </is>
      </c>
      <c r="E78">
        <f>HYPERLINK("https://www.indeed.com/viewjob?jk=f1f3372d2bdfa416", "https://www.indeed.com/viewjob?jk=f1f3372d2bdfa416")</f>
        <v/>
      </c>
      <c r="F78">
        <f>HYPERLINK("https://www.amazon.jobs/jobs/3115279/principal-applied-scientist-advertiser-growth-amazon-sponsored-products--brands?cmpid=DA_INAD200785B", "https://www.amazon.jobs/jobs/3115279/principal-applied-scientist-advertiser-growth-amazon-sponsored-products--brands?cmpid=DA_INAD200785B")</f>
        <v/>
      </c>
      <c r="G78" t="inlineStr">
        <is>
          <t>New York, NY, US</t>
        </is>
      </c>
      <c r="H78" s="1" t="n">
        <v>45942</v>
      </c>
      <c r="I78" t="inlineStr">
        <is>
          <t>**DESCRIPTION**
---------------
The Sponsored Products and Brands team at Amazon Ads is re\-imagining the advertising landscape through industry leading generative AI technologies, revolutionizing how millions of customers discover products and engage with brands across Amazon.com and beyond. We are at the forefront of re\-inventing advertising experiences, bridging human creativity with artificial intelligence to transform every aspect of the advertising lifecycle from ad creation and optimization to performance analysis and customer insights. We are a passionate group of innovators dedicated to developing responsible and intelligent AI technologies that balance the needs of advertisers, enhance the shopping experience, and strengthen the marketplace. If you're energized by solving complex challenges and pushing the boundaries of what's possible with AI, join us in shaping the future of advertising.
Key job responsibilities  
The Principal Applied Scientist in Advertiser Guidance team will lead 50\+ builders in pioneering a new generation of agentic AI applications for Amazon advertisers. You will define and lead the science roadmap of developing agentic experiences for recommendations and guidance delivered to \+1\.6MM Sponsored Products and Brand advertisers across multiple channels (Ad Console, Sales\-managed, and 3P partners).
You will work at the forefront of applied AI, developing methods for fine\-tuning, reinforcement learning, and preference optimization, while helping create evaluation frameworks that ensure safety, reliability, and trust at scale. You will work backwards from the needs of advertisers—delivering customer\-facing products that directly help them create, optimize, and grow their campaigns.
As a Principal Scientist, you will play a critical role in elevating the team’s scientific and technical rigor, identifying and implementing best\-in\-class algorithms, methodologies, and infrastructure that enable rapid experimentation and scaling. You will communicate learnings to leadership and mentor and grow Applied AI talent across the Ads Org.
**BASIC QUALIFICATIONS**
------------------------
* PhD in Computer Science, Statistics or related field.
* 5\+ years of applied ML experience in building customer\-facing recommender systems involving AI, ML, and NLP.
* Hands\-on experience with designing and prototyping AI solutions for real world applications.
**PREFERRED QUALIFICATIONS**
----------------------------
* Research publications or patents in generative AI technologies
* Experience with natural language processing and generative model architectures
* Background in advertising technology or e\-commerce platforms
* Demonstrated track record of innovative AI solution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$179,000/year in our lowest geographic market up to $309,400/year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79">
      <c r="A79" t="inlineStr">
        <is>
          <t>in-43806c3b7a617208</t>
        </is>
      </c>
      <c r="B79" t="inlineStr">
        <is>
          <t>Principal Applied Scientist, Advertiser Growth, Amazon Sponsored Products &amp; Brands</t>
        </is>
      </c>
      <c r="C79" t="inlineStr">
        <is>
          <t>Amazon.com</t>
        </is>
      </c>
      <c r="D79" t="inlineStr">
        <is>
          <t>indeed</t>
        </is>
      </c>
      <c r="E79">
        <f>HYPERLINK("https://www.indeed.com/viewjob?jk=43806c3b7a617208", "https://www.indeed.com/viewjob?jk=43806c3b7a617208")</f>
        <v/>
      </c>
      <c r="F79">
        <f>HYPERLINK("https://www.amazon.jobs/jobs/3115279/principal-applied-scientist-advertiser-growth-amazon-sponsored-products--brands?cmpid=DA_INAD200785B", "https://www.amazon.jobs/jobs/3115279/principal-applied-scientist-advertiser-growth-amazon-sponsored-products--brands?cmpid=DA_INAD200785B")</f>
        <v/>
      </c>
      <c r="G79" t="inlineStr">
        <is>
          <t>Seattle, WA, US</t>
        </is>
      </c>
      <c r="H79" s="1" t="n">
        <v>45942</v>
      </c>
      <c r="I79" t="inlineStr">
        <is>
          <t>**DESCRIPTION**
---------------
The Sponsored Products and Brands team at Amazon Ads is re\-imagining the advertising landscape through industry leading generative AI technologies, revolutionizing how millions of customers discover products and engage with brands across Amazon.com and beyond. We are at the forefront of re\-inventing advertising experiences, bridging human creativity with artificial intelligence to transform every aspect of the advertising lifecycle from ad creation and optimization to performance analysis and customer insights. We are a passionate group of innovators dedicated to developing responsible and intelligent AI technologies that balance the needs of advertisers, enhance the shopping experience, and strengthen the marketplace. If you're energized by solving complex challenges and pushing the boundaries of what's possible with AI, join us in shaping the future of advertising.
Key job responsibilities  
The Principal Applied Scientist in Advertiser Guidance team will lead 50\+ builders in pioneering a new generation of agentic AI applications for Amazon advertisers. You will define and lead the science roadmap of developing agentic experiences for recommendations and guidance delivered to \+1\.6MM Sponsored Products and Brand advertisers across multiple channels (Ad Console, Sales\-managed, and 3P partners).
You will work at the forefront of applied AI, developing methods for fine\-tuning, reinforcement learning, and preference optimization, while helping create evaluation frameworks that ensure safety, reliability, and trust at scale. You will work backwards from the needs of advertisers—delivering customer\-facing products that directly help them create, optimize, and grow their campaigns.
As a Principal Scientist, you will play a critical role in elevating the team’s scientific and technical rigor, identifying and implementing best\-in\-class algorithms, methodologies, and infrastructure that enable rapid experimentation and scaling. You will communicate learnings to leadership and mentor and grow Applied AI talent across the Ads Org.
**BASIC QUALIFICATIONS**
------------------------
* PhD in Computer Science, Statistics or related field.
* 5\+ years of applied ML experience in building customer\-facing recommender systems involving AI, ML, and NLP.
* Hands\-on experience with designing and prototyping AI solutions for real world applications.
**PREFERRED QUALIFICATIONS**
----------------------------
* Research publications or patents in generative AI technologies
* Experience with natural language processing and generative model architectures
* Background in advertising technology or e\-commerce platforms
* Demonstrated track record of innovative AI solution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$179,000/year in our lowest geographic market up to $309,400/year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80">
      <c r="A80" t="inlineStr">
        <is>
          <t>in-8b71f5523e8bcef3</t>
        </is>
      </c>
      <c r="B80" t="inlineStr">
        <is>
          <t>Principal Applied Scientist, Advertiser Growth, Amazon Sponsored Products &amp; Brands</t>
        </is>
      </c>
      <c r="C80" t="inlineStr">
        <is>
          <t>Amazon.com</t>
        </is>
      </c>
      <c r="D80" t="inlineStr">
        <is>
          <t>indeed</t>
        </is>
      </c>
      <c r="E80">
        <f>HYPERLINK("https://www.indeed.com/viewjob?jk=8b71f5523e8bcef3", "https://www.indeed.com/viewjob?jk=8b71f5523e8bcef3")</f>
        <v/>
      </c>
      <c r="F80">
        <f>HYPERLINK("https://www.amazon.jobs/jobs/3115279/principal-applied-scientist-advertiser-growth-amazon-sponsored-products--brands?cmpid=DA_INAD200785B", "https://www.amazon.jobs/jobs/3115279/principal-applied-scientist-advertiser-growth-amazon-sponsored-products--brands?cmpid=DA_INAD200785B")</f>
        <v/>
      </c>
      <c r="G80" t="inlineStr">
        <is>
          <t>Palo Alto, CA, US</t>
        </is>
      </c>
      <c r="H80" s="1" t="n">
        <v>45942</v>
      </c>
      <c r="I80" t="inlineStr">
        <is>
          <t>**DESCRIPTION**
---------------
The Sponsored Products and Brands team at Amazon Ads is re\-imagining the advertising landscape through industry leading generative AI technologies, revolutionizing how millions of customers discover products and engage with brands across Amazon.com and beyond. We are at the forefront of re\-inventing advertising experiences, bridging human creativity with artificial intelligence to transform every aspect of the advertising lifecycle from ad creation and optimization to performance analysis and customer insights. We are a passionate group of innovators dedicated to developing responsible and intelligent AI technologies that balance the needs of advertisers, enhance the shopping experience, and strengthen the marketplace. If you're energized by solving complex challenges and pushing the boundaries of what's possible with AI, join us in shaping the future of advertising.
Key job responsibilities  
The Principal Applied Scientist in Advertiser Guidance team will lead 50\+ builders in pioneering a new generation of agentic AI applications for Amazon advertisers. You will define and lead the science roadmap of developing agentic experiences for recommendations and guidance delivered to \+1\.6MM Sponsored Products and Brand advertisers across multiple channels (Ad Console, Sales\-managed, and 3P partners).
You will work at the forefront of applied AI, developing methods for fine\-tuning, reinforcement learning, and preference optimization, while helping create evaluation frameworks that ensure safety, reliability, and trust at scale. You will work backwards from the needs of advertisers—delivering customer\-facing products that directly help them create, optimize, and grow their campaigns.
As a Principal Scientist, you will play a critical role in elevating the team’s scientific and technical rigor, identifying and implementing best\-in\-class algorithms, methodologies, and infrastructure that enable rapid experimentation and scaling. You will communicate learnings to leadership and mentor and grow Applied AI talent across the Ads Org.
**BASIC QUALIFICATIONS**
------------------------
* PhD in Computer Science, Statistics or related field.
* 5\+ years of applied ML experience in building customer\-facing recommender systems involving AI, ML, and NLP.
* Hands\-on experience with designing and prototyping AI solutions for real world applications.
**PREFERRED QUALIFICATIONS**
----------------------------
* Research publications or patents in generative AI technologies
* Experience with natural language processing and generative model architectures
* Background in advertising technology or e\-commerce platforms
* Demonstrated track record of innovative AI solution development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$179,000/year in our lowest geographic market up to $309,400/year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81">
      <c r="A81" t="inlineStr">
        <is>
          <t>in-995ce15b7aaa32de</t>
        </is>
      </c>
      <c r="B81" t="inlineStr">
        <is>
          <t>Applied Scientist, Workplace Health &amp; Safety</t>
        </is>
      </c>
      <c r="C81" t="inlineStr">
        <is>
          <t>Amazon.com</t>
        </is>
      </c>
      <c r="D81" t="inlineStr">
        <is>
          <t>indeed</t>
        </is>
      </c>
      <c r="E81">
        <f>HYPERLINK("https://www.indeed.com/viewjob?jk=995ce15b7aaa32de", "https://www.indeed.com/viewjob?jk=995ce15b7aaa32de")</f>
        <v/>
      </c>
      <c r="F81">
        <f>HYPERLINK("https://www.amazon.jobs/jobs/3144886/applied-scientist-workplace-health--safety-?cmpid=DA_INAD200785B", "https://www.amazon.jobs/jobs/3144886/applied-scientist-workplace-health--safety-?cmpid=DA_INAD200785B")</f>
        <v/>
      </c>
      <c r="G81" t="inlineStr">
        <is>
          <t>Nashville, TN, US</t>
        </is>
      </c>
      <c r="H81" s="1" t="n">
        <v>45917</v>
      </c>
      <c r="I81" t="inlineStr">
        <is>
          <t>**DESCRIPTION**
---------------
Are you driven by the challenge of solving complex problems that directly impact the safety and well\-being of millions of Amazon Associates worldwide? Do you want to push the boundaries of AI to build innovative solutions that make workplaces safer and more efficient? If so, we invite you to join our WHS DataTech team as an Applied Scientist and take your career to the next level!  
At WHS DataTech, we leverage Large Language Models (LLMs), Computer Vision, and AI\-driven innovations to develop industry\-leading solutions that proactively enhance workplace safety. Our work spans real\-time risk assessment, predictive analytics, and AI\-powered insights, all aimed at creating a safer work environment at scale.  
As an Applied Scientist specializing in LLMs and Computer Vision, you will play a pivotal role in shaping our next\-generation safety solutions. You’ll be at the forefront of innovation, designing and implementing AI\-powered features that redefine workplace safety. Your work will drive strategic decisions, optimize system architecture, and influence best practices, ensuring our technology remains industry\-leading.  
Key job responsibilities  
* Apply LLM model to analyze complex unstructured datasets and extract meaningful insights.
* Collaborate with software engineers to implement and deploy machine learning (LLM or CV) solutions.
* Conduct experiments and evaluate model performance, iterating and improving as needed.
* Stay up\-to\-date with the latest advancements in machine learning and related fields.
* Collaborate with cross\-functional teams to understand business needs and identify areas for application of machine learning.
* Present findings and recommendations to stakeholders and contribute to the overall research and development strategy.
A day in the life  
Amazon offers a full range of benefits that support you and eligible family members, including domestic partners and their children. Benefits can vary by location, the number of regularly scheduled hours you work, length of employment, and job status such as seasonal or temporary employment. The benefits that generally apply to regular, full\-time employees include:  
1\. Medical, Dental, and Vision Coverage  
2\. Maternity and Parental Leave Options  
3\. Paid Time Off (PTO)  
4\. 401(k) Plan  
If you are not sure that every qualification on the list above describes you exactly, we'd still love to hear from you! At Amazon, we value people with unique backgrounds, experiences, and skillsets. If you’re passionate about this role and want to make an impact on a global scale, please apply!  
About the team  
WHS DataTech is a multidisciplinary team of scientists and engineers dedicated to building AI\-powered solutions that improve workplace safety across Amazon. We work at the intersection of large\-scale data, advanced machine learning, and computer vision, delivering innovations that enhance decision\-making, streamline operations, and protect millions of associates worldwide. Our collaborative culture emphasizes scientific rigor, engineering excellence, and a strong mission focus on creating safer, more efficient workplaces.**BASIC QUALIFICATIONS**
------------------------
* 3\+ years of building models for business application experience
* Experience in patents or publications at top\-tier peer\-reviewed conferences or journals
* Experience programming in Java, C\+\+, Python or related language
* Experience in any of the following areas: algorithms and data structures, parsing, numerical optimization, data mining, parallel and distributed computing, high\-performance computing
* PhD degree in Computer Science or Computer engineering
* A formal PhD degree in Computer Science or Computer engineering or can be replaced by 5 years of relevant experience on top of a MSc, and 7 years on top of a BSc.
**PREFERRED QUALIFICATIONS**
----------------------------
* Experience using Unix/Linux
* Experience in professional software development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82">
      <c r="A82" t="inlineStr">
        <is>
          <t>in-ba8705014da90664</t>
        </is>
      </c>
      <c r="B82" t="inlineStr">
        <is>
          <t>Applied Scientist, Workplace Health &amp; Safety</t>
        </is>
      </c>
      <c r="C82" t="inlineStr">
        <is>
          <t>Amazon.com</t>
        </is>
      </c>
      <c r="D82" t="inlineStr">
        <is>
          <t>indeed</t>
        </is>
      </c>
      <c r="E82">
        <f>HYPERLINK("https://www.indeed.com/viewjob?jk=ba8705014da90664", "https://www.indeed.com/viewjob?jk=ba8705014da90664")</f>
        <v/>
      </c>
      <c r="F82">
        <f>HYPERLINK("https://www.amazon.jobs/jobs/3144886/applied-scientist-workplace-health--safety-?cmpid=DA_INAD200785B", "https://www.amazon.jobs/jobs/3144886/applied-scientist-workplace-health--safety-?cmpid=DA_INAD200785B")</f>
        <v/>
      </c>
      <c r="G82" t="inlineStr">
        <is>
          <t>Bellevue, WA, US</t>
        </is>
      </c>
      <c r="H82" s="1" t="n">
        <v>45917</v>
      </c>
      <c r="I82" t="inlineStr">
        <is>
          <t>**DESCRIPTION**
---------------
Are you driven by the challenge of solving complex problems that directly impact the safety and well\-being of millions of Amazon Associates worldwide? Do you want to push the boundaries of AI to build innovative solutions that make workplaces safer and more efficient? If so, we invite you to join our WHS DataTech team as an Applied Scientist and take your career to the next level!  
At WHS DataTech, we leverage Large Language Models (LLMs), Computer Vision, and AI\-driven innovations to develop industry\-leading solutions that proactively enhance workplace safety. Our work spans real\-time risk assessment, predictive analytics, and AI\-powered insights, all aimed at creating a safer work environment at scale.  
As an Applied Scientist specializing in LLMs and Computer Vision, you will play a pivotal role in shaping our next\-generation safety solutions. You’ll be at the forefront of innovation, designing and implementing AI\-powered features that redefine workplace safety. Your work will drive strategic decisions, optimize system architecture, and influence best practices, ensuring our technology remains industry\-leading.  
Key job responsibilities  
* Apply LLM model to analyze complex unstructured datasets and extract meaningful insights.
* Collaborate with software engineers to implement and deploy machine learning (LLM or CV) solutions.
* Conduct experiments and evaluate model performance, iterating and improving as needed.
* Stay up\-to\-date with the latest advancements in machine learning and related fields.
* Collaborate with cross\-functional teams to understand business needs and identify areas for application of machine learning.
* Present findings and recommendations to stakeholders and contribute to the overall research and development strategy.
A day in the life  
Amazon offers a full range of benefits that support you and eligible family members, including domestic partners and their children. Benefits can vary by location, the number of regularly scheduled hours you work, length of employment, and job status such as seasonal or temporary employment. The benefits that generally apply to regular, full\-time employees include:  
1\. Medical, Dental, and Vision Coverage  
2\. Maternity and Parental Leave Options  
3\. Paid Time Off (PTO)  
4\. 401(k) Plan  
If you are not sure that every qualification on the list above describes you exactly, we'd still love to hear from you! At Amazon, we value people with unique backgrounds, experiences, and skillsets. If you’re passionate about this role and want to make an impact on a global scale, please apply!  
About the team  
WHS DataTech is a multidisciplinary team of scientists and engineers dedicated to building AI\-powered solutions that improve workplace safety across Amazon. We work at the intersection of large\-scale data, advanced machine learning, and computer vision, delivering innovations that enhance decision\-making, streamline operations, and protect millions of associates worldwide. Our collaborative culture emphasizes scientific rigor, engineering excellence, and a strong mission focus on creating safer, more efficient workplaces.**BASIC QUALIFICATIONS**
------------------------
* 3\+ years of building models for business application experience
* Experience in patents or publications at top\-tier peer\-reviewed conferences or journals
* Experience programming in Java, C\+\+, Python or related language
* Experience in any of the following areas: algorithms and data structures, parsing, numerical optimization, data mining, parallel and distributed computing, high\-performance computing
* PhD degree in Computer Science or Computer engineering
* A formal PhD degree in Computer Science or Computer engineering or can be replaced by 5 years of relevant experience on top of a MSc, and 7 years on top of a BSc.
**PREFERRED QUALIFICATIONS**
----------------------------
* Experience using Unix/Linux
* Experience in professional software development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$136,000/year in our lowest geographic market up to $223,400/year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83">
      <c r="A83" t="inlineStr">
        <is>
          <t>in-496a85ac20b54b3c</t>
        </is>
      </c>
      <c r="B83" t="inlineStr">
        <is>
          <t>Sr. Applied Scientist, Prime Video - Personalization and Discovery Science</t>
        </is>
      </c>
      <c r="C83" t="inlineStr">
        <is>
          <t>Amazon.com</t>
        </is>
      </c>
      <c r="D83" t="inlineStr">
        <is>
          <t>indeed</t>
        </is>
      </c>
      <c r="E83">
        <f>HYPERLINK("https://www.indeed.com/viewjob?jk=496a85ac20b54b3c", "https://www.indeed.com/viewjob?jk=496a85ac20b54b3c")</f>
        <v/>
      </c>
      <c r="F83">
        <f>HYPERLINK("https://www.amazon.jobs/jobs/3084479/sr-applied-scientist-prime-video--personalization-and-discovery-science?cmpid=DA_INAD200785B", "https://www.amazon.jobs/jobs/3084479/sr-applied-scientist-prime-video--personalization-and-discovery-science?cmpid=DA_INAD200785B")</f>
        <v/>
      </c>
      <c r="G83" t="inlineStr">
        <is>
          <t>New York, NY, US</t>
        </is>
      </c>
      <c r="H83" s="1" t="n">
        <v>45896</v>
      </c>
      <c r="I83"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We are looking for a self\-motivated, passionate and resourceful Applied Scientist to bring diverse perspectives, ideas, and skill\-sets to make Prime Video even better for our customers. You will spend your time as a hands\-on machine learning practitioner and a research leader. You will play a key role on the team, building and guiding machine learning models from the ground up. At the end of the day, you will have the reward of seeing your contributions benefit millions of Amazon.com customers worldwide.  
Key job responsibilities  
* Develop foundation models for content understanding using state\-of\-the\-art deep learning and multimodal learning techniques to analyze video, audio, and text.
* Build time sequence foundation models to understand and predict customer behavior patterns and viewing trajectories.
* Work closely with engineers and product managers to design, implement and launch solutions end\-to\-end across various Prime Video experiences.
* Design and conduct offline and online (A/B) experiments to evaluate proposed solutions based on in\-depth data analyses.
* Effectively communicate technical and non\-technical ideas with teammates and stakeholders.
* Stay up\-to\-date with advancements and the latest modeling techniques in foundation models, multimodal learning, and time series analysis.
* Publish your research findings in top conferences and journals.
About the team  
Prime Video Recommendation Science team owns science solution to power recommendation and personalization experience on various Prime Video surfaces and devices. We work closely with the engineering teams to launch our solutions in production.**BASIC QUALIFICATIONS**
------------------------
* PhD, or Master's degree and 6\+ years of applied research experience
* 5\+ years of building machine learning models for business application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\- 192,200\.00 \- 260,000\.00 USD annually  
USA, NY, New York \- 183,800\.00 \- 248,700\.00 USD annually  
USA, WA, Seattle \- 167,100\.00 \- 226,100\.00 USD annually</t>
        </is>
      </c>
    </row>
    <row r="84">
      <c r="A84" t="inlineStr">
        <is>
          <t>in-da6e331f766c55ba</t>
        </is>
      </c>
      <c r="B84" t="inlineStr">
        <is>
          <t>Sr. Applied Scientist, Prime Video - Personalization and Discovery Science</t>
        </is>
      </c>
      <c r="C84" t="inlineStr">
        <is>
          <t>Amazon.com</t>
        </is>
      </c>
      <c r="D84" t="inlineStr">
        <is>
          <t>indeed</t>
        </is>
      </c>
      <c r="E84">
        <f>HYPERLINK("https://www.indeed.com/viewjob?jk=da6e331f766c55ba", "https://www.indeed.com/viewjob?jk=da6e331f766c55ba")</f>
        <v/>
      </c>
      <c r="F84">
        <f>HYPERLINK("https://www.amazon.jobs/jobs/3084479/sr-applied-scientist-prime-video--personalization-and-discovery-science?cmpid=DA_INAD200785B", "https://www.amazon.jobs/jobs/3084479/sr-applied-scientist-prime-video--personalization-and-discovery-science?cmpid=DA_INAD200785B")</f>
        <v/>
      </c>
      <c r="G84" t="inlineStr">
        <is>
          <t>Seattle, WA, US</t>
        </is>
      </c>
      <c r="H84" s="1" t="n">
        <v>45896</v>
      </c>
      <c r="I84"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We are looking for a self\-motivated, passionate and resourceful Applied Scientist to bring diverse perspectives, ideas, and skill\-sets to make Prime Video even better for our customers. You will spend your time as a hands\-on machine learning practitioner and a research leader. You will play a key role on the team, building and guiding machine learning models from the ground up. At the end of the day, you will have the reward of seeing your contributions benefit millions of Amazon.com customers worldwide.  
Key job responsibilities  
* Develop foundation models for content understanding using state\-of\-the\-art deep learning and multimodal learning techniques to analyze video, audio, and text.
* Build time sequence foundation models to understand and predict customer behavior patterns and viewing trajectories.
* Work closely with engineers and product managers to design, implement and launch solutions end\-to\-end across various Prime Video experiences.
* Design and conduct offline and online (A/B) experiments to evaluate proposed solutions based on in\-depth data analyses.
* Effectively communicate technical and non\-technical ideas with teammates and stakeholders.
* Stay up\-to\-date with advancements and the latest modeling techniques in foundation models, multimodal learning, and time series analysis.
* Publish your research findings in top conferences and journals.
About the team  
Prime Video Recommendation Science team owns science solution to power recommendation and personalization experience on various Prime Video surfaces and devices. We work closely with the engineering teams to launch our solutions in production.**BASIC QUALIFICATIONS**
------------------------
* PhD, or Master's degree and 6\+ years of applied research experience
* 5\+ years of building machine learning models for business application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\- 192,200\.00 \- 260,000\.00 USD annually  
USA, NY, New York \- 183,800\.00 \- 248,700\.00 USD annually  
USA, WA, Seattle \- 167,100\.00 \- 226,100\.00 USD annually</t>
        </is>
      </c>
    </row>
    <row r="85">
      <c r="A85" t="inlineStr">
        <is>
          <t>in-bb823a0be9d40a20</t>
        </is>
      </c>
      <c r="B85" t="inlineStr">
        <is>
          <t>Sr. Applied Scientist, Prime Video - Personalization and Discovery Science</t>
        </is>
      </c>
      <c r="C85" t="inlineStr">
        <is>
          <t>Amazon.com</t>
        </is>
      </c>
      <c r="D85" t="inlineStr">
        <is>
          <t>indeed</t>
        </is>
      </c>
      <c r="E85">
        <f>HYPERLINK("https://www.indeed.com/viewjob?jk=bb823a0be9d40a20", "https://www.indeed.com/viewjob?jk=bb823a0be9d40a20")</f>
        <v/>
      </c>
      <c r="F85">
        <f>HYPERLINK("https://www.amazon.jobs/jobs/3084479/sr-applied-scientist-prime-video--personalization-and-discovery-science?cmpid=DA_INAD200785B", "https://www.amazon.jobs/jobs/3084479/sr-applied-scientist-prime-video--personalization-and-discovery-science?cmpid=DA_INAD200785B")</f>
        <v/>
      </c>
      <c r="G85" t="inlineStr">
        <is>
          <t>Sunnyvale, CA, US</t>
        </is>
      </c>
      <c r="H85" s="1" t="n">
        <v>45896</v>
      </c>
      <c r="I85"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We are looking for a self\-motivated, passionate and resourceful Applied Scientist to bring diverse perspectives, ideas, and skill\-sets to make Prime Video even better for our customers. You will spend your time as a hands\-on machine learning practitioner and a research leader. You will play a key role on the team, building and guiding machine learning models from the ground up. At the end of the day, you will have the reward of seeing your contributions benefit millions of Amazon.com customers worldwide.  
Key job responsibilities  
* Develop foundation models for content understanding using state\-of\-the\-art deep learning and multimodal learning techniques to analyze video, audio, and text.
* Build time sequence foundation models to understand and predict customer behavior patterns and viewing trajectories.
* Work closely with engineers and product managers to design, implement and launch solutions end\-to\-end across various Prime Video experiences.
* Design and conduct offline and online (A/B) experiments to evaluate proposed solutions based on in\-depth data analyses.
* Effectively communicate technical and non\-technical ideas with teammates and stakeholders.
* Stay up\-to\-date with advancements and the latest modeling techniques in foundation models, multimodal learning, and time series analysis.
* Publish your research findings in top conferences and journals.
About the team  
Prime Video Recommendation Science team owns science solution to power recommendation and personalization experience on various Prime Video surfaces and devices. We work closely with the engineering teams to launch our solutions in production.**BASIC QUALIFICATIONS**
------------------------
* PhD, or Master's degree and 6\+ years of applied research experience
* 5\+ years of building machine learning models for business application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\- 192,200\.00 \- 260,000\.00 USD annually  
USA, NY, New York \- 183,800\.00 \- 248,700\.00 USD annually  
USA, WA, Seattle \- 167,100\.00 \- 226,100\.00 USD annually</t>
        </is>
      </c>
    </row>
    <row r="86">
      <c r="A86" t="inlineStr">
        <is>
          <t>in-67c53e092b456657</t>
        </is>
      </c>
      <c r="B86" t="inlineStr">
        <is>
          <t>Sr. Applied Scientist, Amazon Advertising</t>
        </is>
      </c>
      <c r="C86" t="inlineStr">
        <is>
          <t>Amazon.com</t>
        </is>
      </c>
      <c r="D86" t="inlineStr">
        <is>
          <t>indeed</t>
        </is>
      </c>
      <c r="E86">
        <f>HYPERLINK("https://www.indeed.com/viewjob?jk=67c53e092b456657", "https://www.indeed.com/viewjob?jk=67c53e092b456657")</f>
        <v/>
      </c>
      <c r="F86">
        <f>HYPERLINK("https://www.amazon.jobs/jobs/3035686/sr-applied-scientist-amazon-advertising?cmpid=DA_INAD200785B", "https://www.amazon.jobs/jobs/3035686/sr-applied-scientist-amazon-advertising?cmpid=DA_INAD200785B")</f>
        <v/>
      </c>
      <c r="G86" t="inlineStr">
        <is>
          <t>Los Angeles, CA, US</t>
        </is>
      </c>
      <c r="H86" s="1" t="n">
        <v>45851</v>
      </c>
      <c r="I86" t="inlineStr">
        <is>
          <t>**DESCRIPTION**
---------------
Amazon Advertising is one of Amazon's fastest growing and most profitable businesses. Amazon's advertising portfolio helps merchants, retail vendors, and brand owners succeed via native advertising, which grows incremental sales of their products sold through Amazon. The primary goals are to help shoppers discover new products they love, be the most efficient way for advertisers to meet their business objectives, and build a sustainable business that continuously innovates on behalf of customers. Our products and solutions are strategically important to enable our Retail and Marketplace businesses to drive long\-term growth. We deliver billions of ad impressions and millions of clicks and break fresh ground in product and technical innovations every day!  
As a Senior Applied Scientist on this team, you will:
* Be the technical leader in Machine Learning; lead efforts within this team and across other teams.
* Perform hands\-on analysis and modeling of enormous data sets to develop insights that increase traffic monetization and merchandise sales, without compromising the shopper experience.
* Drive end\-to\-end Machine Learning projects that have a high degree of ambiguity, scale, complexity.
* Build machine learning models, perform proof\-of\-concept, experiment, optimize, and deploy your models into production; work closely with software engineers to assist in productionizing your ML models.
* Run A/B experiments, gather data, and perform statistical analysis.
* Establish scalable, efficient, automated processes for large\-scale data analysis, machine\-learning model development, model validation and serving.
* Research new and innovative machine learning approaches.
* Recruit Applied Scientists to the team and provide mentorship.
Why you will love this opportunity: Amazon is investing heavily in building a world\-class advertising business. This team defines and delivers a collection of advertising products that drive discovery and sales. Our solutions generate billions in revenue and drive long\-term growth for Amazon’s Retail and Marketplace businesses. We deliver billions of ad impressions, millions of clicks daily, and break fresh ground to create world\-class products. We are a highly motivated, collaborative, and fun\-loving team with an entrepreneurial spirit \- with a broad mandate to experiment and innovate.  
Impact and Career Growth: You will invent new experiences and influence customer\-facing shopping experiences to help suppliers grow their retail business and the auction dynamics that leverage native advertising; this is your opportunity to work within the fastest\-growing businesses across all of Amazon! Define a long\-term science vision for our advertising business, driven from our customers' needs, translating that direction into specific plans for research and applied scientists, as well as engineering and product teams. This role combines science leadership, organizational ability, technical strength, product focus, and business understanding.  
Team video https://youtu.be/zD\_6Lzw8raE  
**BASIC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87">
      <c r="A87" t="inlineStr">
        <is>
          <t>in-64ec9adedc9ba592</t>
        </is>
      </c>
      <c r="B87" t="inlineStr">
        <is>
          <t>Sr. Applied Scientist, Amazon Advertising</t>
        </is>
      </c>
      <c r="C87" t="inlineStr">
        <is>
          <t>Amazon.com</t>
        </is>
      </c>
      <c r="D87" t="inlineStr">
        <is>
          <t>indeed</t>
        </is>
      </c>
      <c r="E87">
        <f>HYPERLINK("https://www.indeed.com/viewjob?jk=64ec9adedc9ba592", "https://www.indeed.com/viewjob?jk=64ec9adedc9ba592")</f>
        <v/>
      </c>
      <c r="F87">
        <f>HYPERLINK("https://www.amazon.jobs/jobs/3035686/sr-applied-scientist-amazon-advertising?cmpid=DA_INAD200785B", "https://www.amazon.jobs/jobs/3035686/sr-applied-scientist-amazon-advertising?cmpid=DA_INAD200785B")</f>
        <v/>
      </c>
      <c r="G87" t="inlineStr">
        <is>
          <t>Austin, TX, US</t>
        </is>
      </c>
      <c r="H87" s="1" t="n">
        <v>45851</v>
      </c>
      <c r="I87" t="inlineStr">
        <is>
          <t>**DESCRIPTION**
---------------
Amazon Advertising is one of Amazon's fastest growing and most profitable businesses. Amazon's advertising portfolio helps merchants, retail vendors, and brand owners succeed via native advertising, which grows incremental sales of their products sold through Amazon. The primary goals are to help shoppers discover new products they love, be the most efficient way for advertisers to meet their business objectives, and build a sustainable business that continuously innovates on behalf of customers. Our products and solutions are strategically important to enable our Retail and Marketplace businesses to drive long\-term growth. We deliver billions of ad impressions and millions of clicks and break fresh ground in product and technical innovations every day!  
As a Senior Applied Scientist on this team, you will:
* Be the technical leader in Machine Learning; lead efforts within this team and across other teams.
* Perform hands\-on analysis and modeling of enormous data sets to develop insights that increase traffic monetization and merchandise sales, without compromising the shopper experience.
* Drive end\-to\-end Machine Learning projects that have a high degree of ambiguity, scale, complexity.
* Build machine learning models, perform proof\-of\-concept, experiment, optimize, and deploy your models into production; work closely with software engineers to assist in productionizing your ML models.
* Run A/B experiments, gather data, and perform statistical analysis.
* Establish scalable, efficient, automated processes for large\-scale data analysis, machine\-learning model development, model validation and serving.
* Research new and innovative machine learning approaches.
* Recruit Applied Scientists to the team and provide mentorship.
Why you will love this opportunity: Amazon is investing heavily in building a world\-class advertising business. This team defines and delivers a collection of advertising products that drive discovery and sales. Our solutions generate billions in revenue and drive long\-term growth for Amazon’s Retail and Marketplace businesses. We deliver billions of ad impressions, millions of clicks daily, and break fresh ground to create world\-class products. We are a highly motivated, collaborative, and fun\-loving team with an entrepreneurial spirit \- with a broad mandate to experiment and innovate.  
Impact and Career Growth: You will invent new experiences and influence customer\-facing shopping experiences to help suppliers grow their retail business and the auction dynamics that leverage native advertising; this is your opportunity to work within the fastest\-growing businesses across all of Amazon! Define a long\-term science vision for our advertising business, driven from our customers' needs, translating that direction into specific plans for research and applied scientists, as well as engineering and product teams. This role combines science leadership, organizational ability, technical strength, product focus, and business understanding.  
Team video https://youtu.be/zD\_6Lzw8raE  
**BASIC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88">
      <c r="A88" t="inlineStr">
        <is>
          <t>in-746cc4114f4f93a3</t>
        </is>
      </c>
      <c r="B88" t="inlineStr">
        <is>
          <t>Sr. Applied Scientist, Amazon Advertising</t>
        </is>
      </c>
      <c r="C88" t="inlineStr">
        <is>
          <t>Amazon.com</t>
        </is>
      </c>
      <c r="D88" t="inlineStr">
        <is>
          <t>indeed</t>
        </is>
      </c>
      <c r="E88">
        <f>HYPERLINK("https://www.indeed.com/viewjob?jk=746cc4114f4f93a3", "https://www.indeed.com/viewjob?jk=746cc4114f4f93a3")</f>
        <v/>
      </c>
      <c r="F88">
        <f>HYPERLINK("https://www.amazon.jobs/jobs/3035686/sr-applied-scientist-amazon-advertising?cmpid=DA_INAD200785B", "https://www.amazon.jobs/jobs/3035686/sr-applied-scientist-amazon-advertising?cmpid=DA_INAD200785B")</f>
        <v/>
      </c>
      <c r="G88" t="inlineStr">
        <is>
          <t>Simi Valley, CA, US</t>
        </is>
      </c>
      <c r="H88" s="1" t="n">
        <v>45851</v>
      </c>
      <c r="I88" t="inlineStr">
        <is>
          <t>**DESCRIPTION**
---------------
Amazon Advertising is one of Amazon's fastest growing and most profitable businesses. Amazon's advertising portfolio helps merchants, retail vendors, and brand owners succeed via native advertising, which grows incremental sales of their products sold through Amazon. The primary goals are to help shoppers discover new products they love, be the most efficient way for advertisers to meet their business objectives, and build a sustainable business that continuously innovates on behalf of customers. Our products and solutions are strategically important to enable our Retail and Marketplace businesses to drive long\-term growth. We deliver billions of ad impressions and millions of clicks and break fresh ground in product and technical innovations every day!  
As a Senior Applied Scientist on this team, you will:
* Be the technical leader in Machine Learning; lead efforts within this team and across other teams.
* Perform hands\-on analysis and modeling of enormous data sets to develop insights that increase traffic monetization and merchandise sales, without compromising the shopper experience.
* Drive end\-to\-end Machine Learning projects that have a high degree of ambiguity, scale, complexity.
* Build machine learning models, perform proof\-of\-concept, experiment, optimize, and deploy your models into production; work closely with software engineers to assist in productionizing your ML models.
* Run A/B experiments, gather data, and perform statistical analysis.
* Establish scalable, efficient, automated processes for large\-scale data analysis, machine\-learning model development, model validation and serving.
* Research new and innovative machine learning approaches.
* Recruit Applied Scientists to the team and provide mentorship.
Why you will love this opportunity: Amazon is investing heavily in building a world\-class advertising business. This team defines and delivers a collection of advertising products that drive discovery and sales. Our solutions generate billions in revenue and drive long\-term growth for Amazon’s Retail and Marketplace businesses. We deliver billions of ad impressions, millions of clicks daily, and break fresh ground to create world\-class products. We are a highly motivated, collaborative, and fun\-loving team with an entrepreneurial spirit \- with a broad mandate to experiment and innovate.  
Impact and Career Growth: You will invent new experiences and influence customer\-facing shopping experiences to help suppliers grow their retail business and the auction dynamics that leverage native advertising; this is your opportunity to work within the fastest\-growing businesses across all of Amazon! Define a long\-term science vision for our advertising business, driven from our customers' needs, translating that direction into specific plans for research and applied scientists, as well as engineering and product teams. This role combines science leadership, organizational ability, technical strength, product focus, and business understanding.  
Team video https://youtu.be/zD\_6Lzw8raE  
**BASIC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89">
      <c r="A89" t="inlineStr">
        <is>
          <t>in-5066872067e8cfd8</t>
        </is>
      </c>
      <c r="B89" t="inlineStr">
        <is>
          <t>Sr. Applied Scientist, Amazon Advertising</t>
        </is>
      </c>
      <c r="C89" t="inlineStr">
        <is>
          <t>Amazon.com</t>
        </is>
      </c>
      <c r="D89" t="inlineStr">
        <is>
          <t>indeed</t>
        </is>
      </c>
      <c r="E89">
        <f>HYPERLINK("https://www.indeed.com/viewjob?jk=5066872067e8cfd8", "https://www.indeed.com/viewjob?jk=5066872067e8cfd8")</f>
        <v/>
      </c>
      <c r="F89">
        <f>HYPERLINK("https://www.amazon.jobs/jobs/3035686/sr-applied-scientist-amazon-advertising?cmpid=DA_INAD200785B", "https://www.amazon.jobs/jobs/3035686/sr-applied-scientist-amazon-advertising?cmpid=DA_INAD200785B")</f>
        <v/>
      </c>
      <c r="G89" t="inlineStr">
        <is>
          <t>Arlington, VA, US</t>
        </is>
      </c>
      <c r="H89" s="1" t="n">
        <v>45851</v>
      </c>
      <c r="I89" t="inlineStr">
        <is>
          <t>**DESCRIPTION**
---------------
Amazon Advertising is one of Amazon's fastest growing and most profitable businesses. Amazon's advertising portfolio helps merchants, retail vendors, and brand owners succeed via native advertising, which grows incremental sales of their products sold through Amazon. The primary goals are to help shoppers discover new products they love, be the most efficient way for advertisers to meet their business objectives, and build a sustainable business that continuously innovates on behalf of customers. Our products and solutions are strategically important to enable our Retail and Marketplace businesses to drive long\-term growth. We deliver billions of ad impressions and millions of clicks and break fresh ground in product and technical innovations every day!  
As a Senior Applied Scientist on this team, you will:
* Be the technical leader in Machine Learning; lead efforts within this team and across other teams.
* Perform hands\-on analysis and modeling of enormous data sets to develop insights that increase traffic monetization and merchandise sales, without compromising the shopper experience.
* Drive end\-to\-end Machine Learning projects that have a high degree of ambiguity, scale, complexity.
* Build machine learning models, perform proof\-of\-concept, experiment, optimize, and deploy your models into production; work closely with software engineers to assist in productionizing your ML models.
* Run A/B experiments, gather data, and perform statistical analysis.
* Establish scalable, efficient, automated processes for large\-scale data analysis, machine\-learning model development, model validation and serving.
* Research new and innovative machine learning approaches.
* Recruit Applied Scientists to the team and provide mentorship.
Why you will love this opportunity: Amazon is investing heavily in building a world\-class advertising business. This team defines and delivers a collection of advertising products that drive discovery and sales. Our solutions generate billions in revenue and drive long\-term growth for Amazon’s Retail and Marketplace businesses. We deliver billions of ad impressions, millions of clicks daily, and break fresh ground to create world\-class products. We are a highly motivated, collaborative, and fun\-loving team with an entrepreneurial spirit \- with a broad mandate to experiment and innovate.  
Impact and Career Growth: You will invent new experiences and influence customer\-facing shopping experiences to help suppliers grow their retail business and the auction dynamics that leverage native advertising; this is your opportunity to work within the fastest\-growing businesses across all of Amazon! Define a long\-term science vision for our advertising business, driven from our customers' needs, translating that direction into specific plans for research and applied scientists, as well as engineering and product teams. This role combines science leadership, organizational ability, technical strength, product focus, and business understanding.  
Team video https://youtu.be/zD\_6Lzw8raE  
**BASIC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90">
      <c r="A90" t="inlineStr">
        <is>
          <t>in-6c9294f5e357fe81</t>
        </is>
      </c>
      <c r="B90" t="inlineStr">
        <is>
          <t>Sr. Applied Scientist, Amazon Advertising</t>
        </is>
      </c>
      <c r="C90" t="inlineStr">
        <is>
          <t>Amazon.com</t>
        </is>
      </c>
      <c r="D90" t="inlineStr">
        <is>
          <t>indeed</t>
        </is>
      </c>
      <c r="E90">
        <f>HYPERLINK("https://www.indeed.com/viewjob?jk=6c9294f5e357fe81", "https://www.indeed.com/viewjob?jk=6c9294f5e357fe81")</f>
        <v/>
      </c>
      <c r="F90">
        <f>HYPERLINK("https://www.amazon.jobs/jobs/3035686/sr-applied-scientist-amazon-advertising?cmpid=DA_INAD200785B", "https://www.amazon.jobs/jobs/3035686/sr-applied-scientist-amazon-advertising?cmpid=DA_INAD200785B")</f>
        <v/>
      </c>
      <c r="G90" t="inlineStr">
        <is>
          <t>West Hollywood, CA, US</t>
        </is>
      </c>
      <c r="H90" s="1" t="n">
        <v>45851</v>
      </c>
      <c r="I90" t="inlineStr">
        <is>
          <t>**DESCRIPTION**
---------------
Amazon Advertising is one of Amazon's fastest growing and most profitable businesses. Amazon's advertising portfolio helps merchants, retail vendors, and brand owners succeed via native advertising, which grows incremental sales of their products sold through Amazon. The primary goals are to help shoppers discover new products they love, be the most efficient way for advertisers to meet their business objectives, and build a sustainable business that continuously innovates on behalf of customers. Our products and solutions are strategically important to enable our Retail and Marketplace businesses to drive long\-term growth. We deliver billions of ad impressions and millions of clicks and break fresh ground in product and technical innovations every day!  
As a Senior Applied Scientist on this team, you will:
* Be the technical leader in Machine Learning; lead efforts within this team and across other teams.
* Perform hands\-on analysis and modeling of enormous data sets to develop insights that increase traffic monetization and merchandise sales, without compromising the shopper experience.
* Drive end\-to\-end Machine Learning projects that have a high degree of ambiguity, scale, complexity.
* Build machine learning models, perform proof\-of\-concept, experiment, optimize, and deploy your models into production; work closely with software engineers to assist in productionizing your ML models.
* Run A/B experiments, gather data, and perform statistical analysis.
* Establish scalable, efficient, automated processes for large\-scale data analysis, machine\-learning model development, model validation and serving.
* Research new and innovative machine learning approaches.
* Recruit Applied Scientists to the team and provide mentorship.
Why you will love this opportunity: Amazon is investing heavily in building a world\-class advertising business. This team defines and delivers a collection of advertising products that drive discovery and sales. Our solutions generate billions in revenue and drive long\-term growth for Amazon’s Retail and Marketplace businesses. We deliver billions of ad impressions, millions of clicks daily, and break fresh ground to create world\-class products. We are a highly motivated, collaborative, and fun\-loving team with an entrepreneurial spirit \- with a broad mandate to experiment and innovate.  
Impact and Career Growth: You will invent new experiences and influence customer\-facing shopping experiences to help suppliers grow their retail business and the auction dynamics that leverage native advertising; this is your opportunity to work within the fastest\-growing businesses across all of Amazon! Define a long\-term science vision for our advertising business, driven from our customers' needs, translating that direction into specific plans for research and applied scientists, as well as engineering and product teams. This role combines science leadership, organizational ability, technical strength, product focus, and business understanding.  
Team video https://youtu.be/zD\_6Lzw8raE  
**BASIC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91">
      <c r="A91" t="inlineStr">
        <is>
          <t>in-a0d07f2ca55bd76d</t>
        </is>
      </c>
      <c r="B91" t="inlineStr">
        <is>
          <t>Sr. Applied Scientist, Amazon Advertising</t>
        </is>
      </c>
      <c r="C91" t="inlineStr">
        <is>
          <t>Amazon.com</t>
        </is>
      </c>
      <c r="D91" t="inlineStr">
        <is>
          <t>indeed</t>
        </is>
      </c>
      <c r="E91">
        <f>HYPERLINK("https://www.indeed.com/viewjob?jk=a0d07f2ca55bd76d", "https://www.indeed.com/viewjob?jk=a0d07f2ca55bd76d")</f>
        <v/>
      </c>
      <c r="F91">
        <f>HYPERLINK("https://www.amazon.jobs/jobs/3035686/sr-applied-scientist-amazon-advertising?cmpid=DA_INAD200785B", "https://www.amazon.jobs/jobs/3035686/sr-applied-scientist-amazon-advertising?cmpid=DA_INAD200785B")</f>
        <v/>
      </c>
      <c r="G91" t="inlineStr">
        <is>
          <t>Palo Alto, CA, US</t>
        </is>
      </c>
      <c r="H91" s="1" t="n">
        <v>45851</v>
      </c>
      <c r="I91" t="inlineStr">
        <is>
          <t>**DESCRIPTION**
---------------
Amazon Advertising is one of Amazon's fastest growing and most profitable businesses. Amazon's advertising portfolio helps merchants, retail vendors, and brand owners succeed via native advertising, which grows incremental sales of their products sold through Amazon. The primary goals are to help shoppers discover new products they love, be the most efficient way for advertisers to meet their business objectives, and build a sustainable business that continuously innovates on behalf of customers. Our products and solutions are strategically important to enable our Retail and Marketplace businesses to drive long\-term growth. We deliver billions of ad impressions and millions of clicks and break fresh ground in product and technical innovations every day!  
As a Senior Applied Scientist on this team, you will:
* Be the technical leader in Machine Learning; lead efforts within this team and across other teams.
* Perform hands\-on analysis and modeling of enormous data sets to develop insights that increase traffic monetization and merchandise sales, without compromising the shopper experience.
* Drive end\-to\-end Machine Learning projects that have a high degree of ambiguity, scale, complexity.
* Build machine learning models, perform proof\-of\-concept, experiment, optimize, and deploy your models into production; work closely with software engineers to assist in productionizing your ML models.
* Run A/B experiments, gather data, and perform statistical analysis.
* Establish scalable, efficient, automated processes for large\-scale data analysis, machine\-learning model development, model validation and serving.
* Research new and innovative machine learning approaches.
* Recruit Applied Scientists to the team and provide mentorship.
Why you will love this opportunity: Amazon is investing heavily in building a world\-class advertising business. This team defines and delivers a collection of advertising products that drive discovery and sales. Our solutions generate billions in revenue and drive long\-term growth for Amazon’s Retail and Marketplace businesses. We deliver billions of ad impressions, millions of clicks daily, and break fresh ground to create world\-class products. We are a highly motivated, collaborative, and fun\-loving team with an entrepreneurial spirit \- with a broad mandate to experiment and innovate.  
Impact and Career Growth: You will invent new experiences and influence customer\-facing shopping experiences to help suppliers grow their retail business and the auction dynamics that leverage native advertising; this is your opportunity to work within the fastest\-growing businesses across all of Amazon! Define a long\-term science vision for our advertising business, driven from our customers' needs, translating that direction into specific plans for research and applied scientists, as well as engineering and product teams. This role combines science leadership, organizational ability, technical strength, product focus, and business understanding.  
Team video https://youtu.be/zD\_6Lzw8raE  
**BASIC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92">
      <c r="A92" t="inlineStr">
        <is>
          <t>in-1eeaa76f6601dbc0</t>
        </is>
      </c>
      <c r="B92" t="inlineStr">
        <is>
          <t>Sr. Applied Scientist, Amazon Advertising</t>
        </is>
      </c>
      <c r="C92" t="inlineStr">
        <is>
          <t>Amazon.com</t>
        </is>
      </c>
      <c r="D92" t="inlineStr">
        <is>
          <t>indeed</t>
        </is>
      </c>
      <c r="E92">
        <f>HYPERLINK("https://www.indeed.com/viewjob?jk=1eeaa76f6601dbc0", "https://www.indeed.com/viewjob?jk=1eeaa76f6601dbc0")</f>
        <v/>
      </c>
      <c r="F92">
        <f>HYPERLINK("https://www.amazon.jobs/jobs/3035686/sr-applied-scientist-amazon-advertising?cmpid=DA_INAD200785B", "https://www.amazon.jobs/jobs/3035686/sr-applied-scientist-amazon-advertising?cmpid=DA_INAD200785B")</f>
        <v/>
      </c>
      <c r="G92" t="inlineStr">
        <is>
          <t>New York, NY, US</t>
        </is>
      </c>
      <c r="H92" s="1" t="n">
        <v>45851</v>
      </c>
      <c r="I92" t="inlineStr">
        <is>
          <t>**DESCRIPTION**
---------------
Amazon Advertising is one of Amazon's fastest growing and most profitable businesses. Amazon's advertising portfolio helps merchants, retail vendors, and brand owners succeed via native advertising, which grows incremental sales of their products sold through Amazon. The primary goals are to help shoppers discover new products they love, be the most efficient way for advertisers to meet their business objectives, and build a sustainable business that continuously innovates on behalf of customers. Our products and solutions are strategically important to enable our Retail and Marketplace businesses to drive long\-term growth. We deliver billions of ad impressions and millions of clicks and break fresh ground in product and technical innovations every day!  
As a Senior Applied Scientist on this team, you will:
* Be the technical leader in Machine Learning; lead efforts within this team and across other teams.
* Perform hands\-on analysis and modeling of enormous data sets to develop insights that increase traffic monetization and merchandise sales, without compromising the shopper experience.
* Drive end\-to\-end Machine Learning projects that have a high degree of ambiguity, scale, complexity.
* Build machine learning models, perform proof\-of\-concept, experiment, optimize, and deploy your models into production; work closely with software engineers to assist in productionizing your ML models.
* Run A/B experiments, gather data, and perform statistical analysis.
* Establish scalable, efficient, automated processes for large\-scale data analysis, machine\-learning model development, model validation and serving.
* Research new and innovative machine learning approaches.
* Recruit Applied Scientists to the team and provide mentorship.
Why you will love this opportunity: Amazon is investing heavily in building a world\-class advertising business. This team defines and delivers a collection of advertising products that drive discovery and sales. Our solutions generate billions in revenue and drive long\-term growth for Amazon’s Retail and Marketplace businesses. We deliver billions of ad impressions, millions of clicks daily, and break fresh ground to create world\-class products. We are a highly motivated, collaborative, and fun\-loving team with an entrepreneurial spirit \- with a broad mandate to experiment and innovate.  
Impact and Career Growth: You will invent new experiences and influence customer\-facing shopping experiences to help suppliers grow their retail business and the auction dynamics that leverage native advertising; this is your opportunity to work within the fastest\-growing businesses across all of Amazon! Define a long\-term science vision for our advertising business, driven from our customers' needs, translating that direction into specific plans for research and applied scientists, as well as engineering and product teams. This role combines science leadership, organizational ability, technical strength, product focus, and business understanding.  
Team video https://youtu.be/zD\_6Lzw8raE  
**BASIC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93">
      <c r="A93" t="inlineStr">
        <is>
          <t>in-d9c1512e0a535d3e</t>
        </is>
      </c>
      <c r="B93" t="inlineStr">
        <is>
          <t>Sr. Applied Scientist, Amazon Advertising</t>
        </is>
      </c>
      <c r="C93" t="inlineStr">
        <is>
          <t>Amazon.com</t>
        </is>
      </c>
      <c r="D93" t="inlineStr">
        <is>
          <t>indeed</t>
        </is>
      </c>
      <c r="E93">
        <f>HYPERLINK("https://www.indeed.com/viewjob?jk=d9c1512e0a535d3e", "https://www.indeed.com/viewjob?jk=d9c1512e0a535d3e")</f>
        <v/>
      </c>
      <c r="F93">
        <f>HYPERLINK("https://www.amazon.jobs/jobs/3035686/sr-applied-scientist-amazon-advertising?cmpid=DA_INAD200785B", "https://www.amazon.jobs/jobs/3035686/sr-applied-scientist-amazon-advertising?cmpid=DA_INAD200785B")</f>
        <v/>
      </c>
      <c r="G93" t="inlineStr">
        <is>
          <t>Seattle, WA, US</t>
        </is>
      </c>
      <c r="H93" s="1" t="n">
        <v>45851</v>
      </c>
      <c r="I93" t="inlineStr">
        <is>
          <t>**DESCRIPTION**
---------------
Amazon Advertising is one of Amazon's fastest growing and most profitable businesses. Amazon's advertising portfolio helps merchants, retail vendors, and brand owners succeed via native advertising, which grows incremental sales of their products sold through Amazon. The primary goals are to help shoppers discover new products they love, be the most efficient way for advertisers to meet their business objectives, and build a sustainable business that continuously innovates on behalf of customers. Our products and solutions are strategically important to enable our Retail and Marketplace businesses to drive long\-term growth. We deliver billions of ad impressions and millions of clicks and break fresh ground in product and technical innovations every day!  
As a Senior Applied Scientist on this team, you will:
* Be the technical leader in Machine Learning; lead efforts within this team and across other teams.
* Perform hands\-on analysis and modeling of enormous data sets to develop insights that increase traffic monetization and merchandise sales, without compromising the shopper experience.
* Drive end\-to\-end Machine Learning projects that have a high degree of ambiguity, scale, complexity.
* Build machine learning models, perform proof\-of\-concept, experiment, optimize, and deploy your models into production; work closely with software engineers to assist in productionizing your ML models.
* Run A/B experiments, gather data, and perform statistical analysis.
* Establish scalable, efficient, automated processes for large\-scale data analysis, machine\-learning model development, model validation and serving.
* Research new and innovative machine learning approaches.
* Recruit Applied Scientists to the team and provide mentorship.
Why you will love this opportunity: Amazon is investing heavily in building a world\-class advertising business. This team defines and delivers a collection of advertising products that drive discovery and sales. Our solutions generate billions in revenue and drive long\-term growth for Amazon’s Retail and Marketplace businesses. We deliver billions of ad impressions, millions of clicks daily, and break fresh ground to create world\-class products. We are a highly motivated, collaborative, and fun\-loving team with an entrepreneurial spirit \- with a broad mandate to experiment and innovate.  
Impact and Career Growth: You will invent new experiences and influence customer\-facing shopping experiences to help suppliers grow their retail business and the auction dynamics that leverage native advertising; this is your opportunity to work within the fastest\-growing businesses across all of Amazon! Define a long\-term science vision for our advertising business, driven from our customers' needs, translating that direction into specific plans for research and applied scientists, as well as engineering and product teams. This role combines science leadership, organizational ability, technical strength, product focus, and business understanding.  
Team video https://youtu.be/zD\_6Lzw8raE  
**BASIC QUALIFICATIONS**
------------------------
* 3\+ years of building machine learning models for business application experience
* PhD, or Master's degree and 6\+ years of applied research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94">
      <c r="A94" t="inlineStr">
        <is>
          <t>in-87ae57076e2c8978</t>
        </is>
      </c>
      <c r="B94" t="inlineStr">
        <is>
          <t>Applied Scientist, Prime Video - Personalization and Discovery Science</t>
        </is>
      </c>
      <c r="C94" t="inlineStr">
        <is>
          <t>Amazon.com</t>
        </is>
      </c>
      <c r="D94" t="inlineStr">
        <is>
          <t>indeed</t>
        </is>
      </c>
      <c r="E94">
        <f>HYPERLINK("https://www.indeed.com/viewjob?jk=87ae57076e2c8978", "https://www.indeed.com/viewjob?jk=87ae57076e2c8978")</f>
        <v/>
      </c>
      <c r="F94">
        <f>HYPERLINK("https://www.amazon.jobs/jobs/3033050/applied-scientist-prime-video--personalization-and-discovery-science?cmpid=DA_INAD200785B", "https://www.amazon.jobs/jobs/3033050/applied-scientist-prime-video--personalization-and-discovery-science?cmpid=DA_INAD200785B")</f>
        <v/>
      </c>
      <c r="G94" t="inlineStr">
        <is>
          <t>Sunnyvale, CA, US</t>
        </is>
      </c>
      <c r="H94" s="1" t="n">
        <v>45845</v>
      </c>
      <c r="I94"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We are looking for a self\-motivated, passionate and resourceful Applied Scientist to bring diverse perspectives, ideas, and skill\-sets to make Prime Video even better for our customers. You will spend your time as a hands\-on machine learning practitioner and a research leader. You will play a key role on the team, building and guiding machine learning models from the ground up. At the end of the day, you will have the reward of seeing your contributions benefit millions of Amazon.com customers worldwide.  
Key job responsibilities  
* Develop AI solutions for various Prime Video Search systems using Deep learning, GenAI, Reinforcement Learning, and optimization methods;
* Work closely with engineers and product managers to design, implement and launch AI solutions end\-to\-end;
* Design and conduct offline and online (A/B) experiments to evaluate proposed solutions based on in\-depth data analyses;
* Effectively communicate technical and non\-technical ideas with teammates and stakeholders;
* Stay up\-to\-date with advancements and the latest modeling techniques in the field;
* Publish your research findings in top conferences and journals.
About the team  
Prime Video Search Science team owns science solution to power search experience on various devices, from sourcing, relevance, ranking, to name a few. We work closely with the engineering teams to launch our solutions in production.**BASIC QUALIFICATIONS**
------------------------
* PhD, or Master's degree and 4\+ years of CS, CE, ML or related field experience
* 3\+ years of building models for business application experience
* Experience programming in Java, C\+\+, Python or related language
* Experience building machine learning models or developing algorithms for business application
**PREFERRED QUALIFICATIONS**
----------------------------
* Are enrolled in a PhD in computer science, machine learning, engineering, or related fields
* Experience in search, advertising, recommendation systems or related domains;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\- 171,600\.00 \- 222,200\.00 USD annually  
USA, NY, New York \- 172,400\.00 \- 223,400\.00 USD annually  
USA, WA, Seattle \- 142,800\.00 \- 193,200\.00 USD annually</t>
        </is>
      </c>
    </row>
    <row r="95">
      <c r="A95" t="inlineStr">
        <is>
          <t>in-d26e11dfc9a497b1</t>
        </is>
      </c>
      <c r="B95" t="inlineStr">
        <is>
          <t>Applied Scientist, Prime Video - Personalization and Discovery Science</t>
        </is>
      </c>
      <c r="C95" t="inlineStr">
        <is>
          <t>Amazon.com</t>
        </is>
      </c>
      <c r="D95" t="inlineStr">
        <is>
          <t>indeed</t>
        </is>
      </c>
      <c r="E95">
        <f>HYPERLINK("https://www.indeed.com/viewjob?jk=d26e11dfc9a497b1", "https://www.indeed.com/viewjob?jk=d26e11dfc9a497b1")</f>
        <v/>
      </c>
      <c r="F95">
        <f>HYPERLINK("https://www.amazon.jobs/jobs/3033050/applied-scientist-prime-video--personalization-and-discovery-science?cmpid=DA_INAD200785B", "https://www.amazon.jobs/jobs/3033050/applied-scientist-prime-video--personalization-and-discovery-science?cmpid=DA_INAD200785B")</f>
        <v/>
      </c>
      <c r="G95" t="inlineStr">
        <is>
          <t>Seattle, WA, US</t>
        </is>
      </c>
      <c r="H95" s="1" t="n">
        <v>45845</v>
      </c>
      <c r="I95"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We are looking for a self\-motivated, passionate and resourceful Applied Scientist to bring diverse perspectives, ideas, and skill\-sets to make Prime Video even better for our customers. You will spend your time as a hands\-on machine learning practitioner and a research leader. You will play a key role on the team, building and guiding machine learning models from the ground up. At the end of the day, you will have the reward of seeing your contributions benefit millions of Amazon.com customers worldwide.  
Key job responsibilities  
* Develop AI solutions for various Prime Video Search systems using Deep learning, GenAI, Reinforcement Learning, and optimization methods;
* Work closely with engineers and product managers to design, implement and launch AI solutions end\-to\-end;
* Design and conduct offline and online (A/B) experiments to evaluate proposed solutions based on in\-depth data analyses;
* Effectively communicate technical and non\-technical ideas with teammates and stakeholders;
* Stay up\-to\-date with advancements and the latest modeling techniques in the field;
* Publish your research findings in top conferences and journals.
About the team  
Prime Video Search Science team owns science solution to power search experience on various devices, from sourcing, relevance, ranking, to name a few. We work closely with the engineering teams to launch our solutions in production.**BASIC QUALIFICATIONS**
------------------------
* PhD, or Master's degree and 4\+ years of CS, CE, ML or related field experience
* 3\+ years of building models for business application experience
* Experience programming in Java, C\+\+, Python or related language
* Experience building machine learning models or developing algorithms for business application
**PREFERRED QUALIFICATIONS**
----------------------------
* Are enrolled in a PhD in computer science, machine learning, engineering, or related fields
* Experience in search, advertising, recommendation systems or related domains;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\- 171,600\.00 \- 222,200\.00 USD annually  
USA, NY, New York \- 172,400\.00 \- 223,400\.00 USD annually  
USA, WA, Seattle \- 142,800\.00 \- 193,200\.00 USD annually</t>
        </is>
      </c>
    </row>
    <row r="96">
      <c r="A96" t="inlineStr">
        <is>
          <t>in-00c2d30de4398c51</t>
        </is>
      </c>
      <c r="B96" t="inlineStr">
        <is>
          <t>Applied Scientist, Prime Video - Personalization and Discovery Science</t>
        </is>
      </c>
      <c r="C96" t="inlineStr">
        <is>
          <t>Amazon.com</t>
        </is>
      </c>
      <c r="D96" t="inlineStr">
        <is>
          <t>indeed</t>
        </is>
      </c>
      <c r="E96">
        <f>HYPERLINK("https://www.indeed.com/viewjob?jk=00c2d30de4398c51", "https://www.indeed.com/viewjob?jk=00c2d30de4398c51")</f>
        <v/>
      </c>
      <c r="F96">
        <f>HYPERLINK("https://www.amazon.jobs/jobs/3033050/applied-scientist-prime-video--personalization-and-discovery-science?cmpid=DA_INAD200785B", "https://www.amazon.jobs/jobs/3033050/applied-scientist-prime-video--personalization-and-discovery-science?cmpid=DA_INAD200785B")</f>
        <v/>
      </c>
      <c r="G96" t="inlineStr">
        <is>
          <t>New York, NY, US</t>
        </is>
      </c>
      <c r="H96" s="1" t="n">
        <v>45845</v>
      </c>
      <c r="I96" t="inlineStr">
        <is>
          <t>**DESCRIPTION**
---------------
Prime Video is a first\-stop entertainment destination offering customers a vast collection of premium programming in one app available across thousands of devices. Prime members can customize their viewing experience and find their favorite movies, series, documentaries, and live sports – including Amazon MGM Studios\-produced series and movies; licensed fan favorites; and programming from Prime Video add\-on subscriptions such as Apple TV\+, Max, Crunchyroll and MGM\+. All customers, regardless of whether they have a Prime membership or not, can rent or buy titles via the Prime Video Store, and can enjoy even more content for free with ads.  
Are you interested in shaping the future of entertainment? Prime Video's technology teams are creating best\-in\-class digital video experience.  
As a Prime Video technologist, you’ll have end\-to\-end ownership of the product, user experience, design, and technology required to deliver state\-of\-the\-art experiences for our customers. You’ll get to work on projects that are fast\-paced, challenging, and varied. You’ll also be able to experiment with new possibilities, take risks, and collaborate with remarkable people.  
We’ll look for you to bring your diverse perspectives, ideas, and skill\-sets to make Prime Video even better for our customers. With global opportunities for talented technologists, you can decide where a career Prime Video Tech takes you!  
We are looking for a self\-motivated, passionate and resourceful Applied Scientist to bring diverse perspectives, ideas, and skill\-sets to make Prime Video even better for our customers. You will spend your time as a hands\-on machine learning practitioner and a research leader. You will play a key role on the team, building and guiding machine learning models from the ground up. At the end of the day, you will have the reward of seeing your contributions benefit millions of Amazon.com customers worldwide.  
Key job responsibilities  
* Develop AI solutions for various Prime Video Search systems using Deep learning, GenAI, Reinforcement Learning, and optimization methods;
* Work closely with engineers and product managers to design, implement and launch AI solutions end\-to\-end;
* Design and conduct offline and online (A/B) experiments to evaluate proposed solutions based on in\-depth data analyses;
* Effectively communicate technical and non\-technical ideas with teammates and stakeholders;
* Stay up\-to\-date with advancements and the latest modeling techniques in the field;
* Publish your research findings in top conferences and journals.
About the team  
Prime Video Search Science team owns science solution to power search experience on various devices, from sourcing, relevance, ranking, to name a few. We work closely with the engineering teams to launch our solutions in production.**BASIC QUALIFICATIONS**
------------------------
* PhD, or Master's degree and 4\+ years of CS, CE, ML or related field experience
* 3\+ years of building models for business application experience
* Experience programming in Java, C\+\+, Python or related language
* Experience building machine learning models or developing algorithms for business application
**PREFERRED QUALIFICATIONS**
----------------------------
* Are enrolled in a PhD in computer science, machine learning, engineering, or related fields
* Experience in search, advertising, recommendation systems or related domains;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Sunnyvale \- 171,600\.00 \- 222,200\.00 USD annually  
USA, NY, New York \- 172,400\.00 \- 223,400\.00 USD annually  
USA, WA, Seattle \- 142,800\.00 \- 193,200\.00 USD annually</t>
        </is>
      </c>
    </row>
    <row r="97">
      <c r="A97" t="inlineStr">
        <is>
          <t>in-12d0d303088ed9a9</t>
        </is>
      </c>
      <c r="B97" t="inlineStr">
        <is>
          <t>Principal Applied Scientist, Delivery Foundation Model</t>
        </is>
      </c>
      <c r="C97" t="inlineStr">
        <is>
          <t>Amazon.com</t>
        </is>
      </c>
      <c r="D97" t="inlineStr">
        <is>
          <t>indeed</t>
        </is>
      </c>
      <c r="E97">
        <f>HYPERLINK("https://www.indeed.com/viewjob?jk=12d0d303088ed9a9", "https://www.indeed.com/viewjob?jk=12d0d303088ed9a9")</f>
        <v/>
      </c>
      <c r="F97">
        <f>HYPERLINK("https://www.amazon.jobs/jobs/3006938/principal-applied-scientist-delivery-foundation-model-?cmpid=DA_INAD200785B", "https://www.amazon.jobs/jobs/3006938/principal-applied-scientist-delivery-foundation-model-?cmpid=DA_INAD200785B")</f>
        <v/>
      </c>
      <c r="G97" t="inlineStr">
        <is>
          <t>New York, NY, US</t>
        </is>
      </c>
      <c r="H97" s="1" t="n">
        <v>45810</v>
      </c>
      <c r="I97" t="inlineStr">
        <is>
          <t>**DESCRIPTION**
---------------
Join the next science and engineering revolution at Amazon's Delivery Foundation Model team, where you'll work alongside world\-class scientists and engineers to pioneer the next frontier of logistics through advanced AI and foundation models.  
We are seeking an exceptional Principal Applied Scientist to help develop innovative foundation models that enable delivery of billions of packages worldwide. In this role, you'll combine highly technical work with scientific leadership, ensuring the team delivers robust solutions for dynamic real\-world environments. Your team will leverage Amazon's vast data and computational resources to tackle ambitious problems across a diverse set of Amazon delivery use cases.  
Key job responsibilities  
* Design and implement novel deep learning architectures combining a multitude of modalities, including image, video, and geospatial data.
* Solve computational problems to train foundation models on vast amounts of Amazon data and infer at Amazon scale, taking advantage of latest developments in hardware and deep learning libraries.
* As a foundation model developer, collaborate with multiple science and engineering teams to help build adaptations that power use cases across Amazon Last Mile deliveries, improving experience and safety of a delivery driver, an Amazon customer, and improving efficiency of Amazon delivery network.
* Guide technical direction for specific research initiatives, ensuring robust performance in production environments.
* Mentor fellow scientists while maintaining strong individual technical contributions.
A day in the life  
As a member of the Delivery Foundation Model team, you’ll spend your day on the following:  
* Develop and implement novel foundation model architectures, working hands\-on with data and our extensive training and evaluation infrastructure
* Guide and support fellow scientists in solving complex technical challenges, from trajectory planning to efficient multi\-task learning
* Guide and support fellow engineers in building scalable and reusable infra to support model training, evaluation, and inference
\- Lead focused technical initiatives from conception through deployment, ensuring successful integration with production systems\- Drive technical discussions within the team and and key stakeholders  
* Conduct experiments and prototype new ideas
* Mentor team members while maintaining significant hands\-on contribution to technical solutions
About the team  
The Delivery Foundation Model team combines ambitious research vision with real\-world impact. Our foundation models provide generative reasoning capabilities required to meet the demands of Amazon's global Last Mile delivery network. We leverage Amazon's unparalleled computational infrastructure and extensive datasets to deploy state\-of\-the\-art foundation models to improve the safety, quality, and efficiency of Amazon deliveries. Our work spans the full spectrum of foundation model development, from multimodal training using images, videos, and sensor data, to sophisticated modeling strategies that can handle diverse real\-world scenarios. We build everything end to end, from data preparation to model training and evaluation to inference, along with all the tooling needed to understand and analyze model performance.  
Join us if you're excited about pushing the boundaries of what's possible in logistics, working with world\-class scientists and engineers, and seeing your innovations deployed at unprecedented scale.**BASIC QUALIFICATIONS**
------------------------
* PhD or Master's degree and 8\+ years of applied machine learning experience.
* Experience designing novel deep learning model architectures, building models from scratch
* Proficient with Data, experience with SQL and Spark
* Expert coders comfortable working in production environments using Python, C\+\+ or other languages
* Strong publication record at top\-tier conferences (NeurIPS, ICML, ICLR, CVPR, ICCV, RSS, CoRL) OR Demonstrated experience in applying machine learning innovation in industry
* Extensive track record of leading technical projects
* Experience mentoring junior scientists / engineers.
**PREFERRED QUALIFICATIONS**
----------------------------
* Experience building foundation models for industry or research
* Experience designing multi\-modal model architectures
* Experience building models for motion prediction, e.g. for autonomous driving
* Track record of successful production ML deployments
* Experience with large\-scale distributed environments for ML training and inference
* History of impactful first\-author publications at major conferences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Santa Clara \- 228,700\.00 \- 309,400\.00 USD annually  
USA, NY, New York \- 218,800\.00 \- 295,900\.00 USD annually  
USA, TX, Austin \- 198,900\.00 \- 269,000\.00 USD annually  
USA, WA, Bellevue \- 198,900\.00 \- 269,000\.00 USD annually</t>
        </is>
      </c>
    </row>
    <row r="98">
      <c r="A98" t="inlineStr">
        <is>
          <t>in-70ef6b25ef8b850b</t>
        </is>
      </c>
      <c r="B98" t="inlineStr">
        <is>
          <t>Principal Applied Scientist, Delivery Foundation Model</t>
        </is>
      </c>
      <c r="C98" t="inlineStr">
        <is>
          <t>Amazon.com</t>
        </is>
      </c>
      <c r="D98" t="inlineStr">
        <is>
          <t>indeed</t>
        </is>
      </c>
      <c r="E98">
        <f>HYPERLINK("https://www.indeed.com/viewjob?jk=70ef6b25ef8b850b", "https://www.indeed.com/viewjob?jk=70ef6b25ef8b850b")</f>
        <v/>
      </c>
      <c r="F98">
        <f>HYPERLINK("https://www.amazon.jobs/jobs/3006938/principal-applied-scientist-delivery-foundation-model-?cmpid=DA_INAD200785B", "https://www.amazon.jobs/jobs/3006938/principal-applied-scientist-delivery-foundation-model-?cmpid=DA_INAD200785B")</f>
        <v/>
      </c>
      <c r="G98" t="inlineStr">
        <is>
          <t>Bellevue, WA, US</t>
        </is>
      </c>
      <c r="H98" s="1" t="n">
        <v>45810</v>
      </c>
      <c r="I98" t="inlineStr">
        <is>
          <t>**DESCRIPTION**
---------------
Join the next science and engineering revolution at Amazon's Delivery Foundation Model team, where you'll work alongside world\-class scientists and engineers to pioneer the next frontier of logistics through advanced AI and foundation models.  
We are seeking an exceptional Principal Applied Scientist to help develop innovative foundation models that enable delivery of billions of packages worldwide. In this role, you'll combine highly technical work with scientific leadership, ensuring the team delivers robust solutions for dynamic real\-world environments. Your team will leverage Amazon's vast data and computational resources to tackle ambitious problems across a diverse set of Amazon delivery use cases.  
Key job responsibilities  
* Design and implement novel deep learning architectures combining a multitude of modalities, including image, video, and geospatial data.
* Solve computational problems to train foundation models on vast amounts of Amazon data and infer at Amazon scale, taking advantage of latest developments in hardware and deep learning libraries.
* As a foundation model developer, collaborate with multiple science and engineering teams to help build adaptations that power use cases across Amazon Last Mile deliveries, improving experience and safety of a delivery driver, an Amazon customer, and improving efficiency of Amazon delivery network.
* Guide technical direction for specific research initiatives, ensuring robust performance in production environments.
* Mentor fellow scientists while maintaining strong individual technical contributions.
A day in the life  
As a member of the Delivery Foundation Model team, you’ll spend your day on the following:  
* Develop and implement novel foundation model architectures, working hands\-on with data and our extensive training and evaluation infrastructure
* Guide and support fellow scientists in solving complex technical challenges, from trajectory planning to efficient multi\-task learning
* Guide and support fellow engineers in building scalable and reusable infra to support model training, evaluation, and inference
\- Lead focused technical initiatives from conception through deployment, ensuring successful integration with production systems\- Drive technical discussions within the team and and key stakeholders  
* Conduct experiments and prototype new ideas
* Mentor team members while maintaining significant hands\-on contribution to technical solutions
About the team  
The Delivery Foundation Model team combines ambitious research vision with real\-world impact. Our foundation models provide generative reasoning capabilities required to meet the demands of Amazon's global Last Mile delivery network. We leverage Amazon's unparalleled computational infrastructure and extensive datasets to deploy state\-of\-the\-art foundation models to improve the safety, quality, and efficiency of Amazon deliveries. Our work spans the full spectrum of foundation model development, from multimodal training using images, videos, and sensor data, to sophisticated modeling strategies that can handle diverse real\-world scenarios. We build everything end to end, from data preparation to model training and evaluation to inference, along with all the tooling needed to understand and analyze model performance.  
Join us if you're excited about pushing the boundaries of what's possible in logistics, working with world\-class scientists and engineers, and seeing your innovations deployed at unprecedented scale.**BASIC QUALIFICATIONS**
------------------------
* PhD or Master's degree and 8\+ years of applied machine learning experience.
* Experience designing novel deep learning model architectures, building models from scratch
* Proficient with Data, experience with SQL and Spark
* Expert coders comfortable working in production environments using Python, C\+\+ or other languages
* Strong publication record at top\-tier conferences (NeurIPS, ICML, ICLR, CVPR, ICCV, RSS, CoRL) OR Demonstrated experience in applying machine learning innovation in industry
* Extensive track record of leading technical projects
* Experience mentoring junior scientists / engineers.
**PREFERRED QUALIFICATIONS**
----------------------------
* Experience building foundation models for industry or research
* Experience designing multi\-modal model architectures
* Experience building models for motion prediction, e.g. for autonomous driving
* Track record of successful production ML deployments
* Experience with large\-scale distributed environments for ML training and inference
* History of impactful first\-author publications at major conferences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Santa Clara \- 228,700\.00 \- 309,400\.00 USD annually  
USA, NY, New York \- 218,800\.00 \- 295,900\.00 USD annually  
USA, TX, Austin \- 198,900\.00 \- 269,000\.00 USD annually  
USA, WA, Bellevue \- 198,900\.00 \- 269,000\.00 USD annually</t>
        </is>
      </c>
    </row>
    <row r="99">
      <c r="A99" t="inlineStr">
        <is>
          <t>in-d130551b2dd66bca</t>
        </is>
      </c>
      <c r="B99" t="inlineStr">
        <is>
          <t>Principal Applied Scientist, Delivery Foundation Model</t>
        </is>
      </c>
      <c r="C99" t="inlineStr">
        <is>
          <t>Amazon.com</t>
        </is>
      </c>
      <c r="D99" t="inlineStr">
        <is>
          <t>indeed</t>
        </is>
      </c>
      <c r="E99">
        <f>HYPERLINK("https://www.indeed.com/viewjob?jk=d130551b2dd66bca", "https://www.indeed.com/viewjob?jk=d130551b2dd66bca")</f>
        <v/>
      </c>
      <c r="F99">
        <f>HYPERLINK("https://www.amazon.jobs/jobs/3006938/principal-applied-scientist-delivery-foundation-model-?cmpid=DA_INAD200785B", "https://www.amazon.jobs/jobs/3006938/principal-applied-scientist-delivery-foundation-model-?cmpid=DA_INAD200785B")</f>
        <v/>
      </c>
      <c r="G99" t="inlineStr">
        <is>
          <t>Austin, TX, US</t>
        </is>
      </c>
      <c r="H99" s="1" t="n">
        <v>45810</v>
      </c>
      <c r="I99" t="inlineStr">
        <is>
          <t>**DESCRIPTION**
---------------
Join the next science and engineering revolution at Amazon's Delivery Foundation Model team, where you'll work alongside world\-class scientists and engineers to pioneer the next frontier of logistics through advanced AI and foundation models.  
We are seeking an exceptional Principal Applied Scientist to help develop innovative foundation models that enable delivery of billions of packages worldwide. In this role, you'll combine highly technical work with scientific leadership, ensuring the team delivers robust solutions for dynamic real\-world environments. Your team will leverage Amazon's vast data and computational resources to tackle ambitious problems across a diverse set of Amazon delivery use cases.  
Key job responsibilities  
* Design and implement novel deep learning architectures combining a multitude of modalities, including image, video, and geospatial data.
* Solve computational problems to train foundation models on vast amounts of Amazon data and infer at Amazon scale, taking advantage of latest developments in hardware and deep learning libraries.
* As a foundation model developer, collaborate with multiple science and engineering teams to help build adaptations that power use cases across Amazon Last Mile deliveries, improving experience and safety of a delivery driver, an Amazon customer, and improving efficiency of Amazon delivery network.
* Guide technical direction for specific research initiatives, ensuring robust performance in production environments.
* Mentor fellow scientists while maintaining strong individual technical contributions.
A day in the life  
As a member of the Delivery Foundation Model team, you’ll spend your day on the following:  
* Develop and implement novel foundation model architectures, working hands\-on with data and our extensive training and evaluation infrastructure
* Guide and support fellow scientists in solving complex technical challenges, from trajectory planning to efficient multi\-task learning
* Guide and support fellow engineers in building scalable and reusable infra to support model training, evaluation, and inference
\- Lead focused technical initiatives from conception through deployment, ensuring successful integration with production systems\- Drive technical discussions within the team and and key stakeholders  
* Conduct experiments and prototype new ideas
* Mentor team members while maintaining significant hands\-on contribution to technical solutions
About the team  
The Delivery Foundation Model team combines ambitious research vision with real\-world impact. Our foundation models provide generative reasoning capabilities required to meet the demands of Amazon's global Last Mile delivery network. We leverage Amazon's unparalleled computational infrastructure and extensive datasets to deploy state\-of\-the\-art foundation models to improve the safety, quality, and efficiency of Amazon deliveries. Our work spans the full spectrum of foundation model development, from multimodal training using images, videos, and sensor data, to sophisticated modeling strategies that can handle diverse real\-world scenarios. We build everything end to end, from data preparation to model training and evaluation to inference, along with all the tooling needed to understand and analyze model performance.  
Join us if you're excited about pushing the boundaries of what's possible in logistics, working with world\-class scientists and engineers, and seeing your innovations deployed at unprecedented scale.**BASIC QUALIFICATIONS**
------------------------
* PhD or Master's degree and 8\+ years of applied machine learning experience.
* Experience designing novel deep learning model architectures, building models from scratch
* Proficient with Data, experience with SQL and Spark
* Expert coders comfortable working in production environments using Python, C\+\+ or other languages
* Strong publication record at top\-tier conferences (NeurIPS, ICML, ICLR, CVPR, ICCV, RSS, CoRL) OR Demonstrated experience in applying machine learning innovation in industry
* Extensive track record of leading technical projects
* Experience mentoring junior scientists / engineers.
**PREFERRED QUALIFICATIONS**
----------------------------
* Experience building foundation models for industry or research
* Experience designing multi\-modal model architectures
* Experience building models for motion prediction, e.g. for autonomous driving
* Track record of successful production ML deployments
* Experience with large\-scale distributed environments for ML training and inference
* History of impactful first\-author publications at major conferences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Santa Clara \- 228,700\.00 \- 309,400\.00 USD annually  
USA, NY, New York \- 218,800\.00 \- 295,900\.00 USD annually  
USA, TX, Austin \- 198,900\.00 \- 269,000\.00 USD annually  
USA, WA, Bellevue \- 198,900\.00 \- 269,000\.00 USD annually</t>
        </is>
      </c>
    </row>
    <row r="100">
      <c r="A100" t="inlineStr">
        <is>
          <t>in-abfdb9e86ba30eb8</t>
        </is>
      </c>
      <c r="B100" t="inlineStr">
        <is>
          <t>Principal Applied Scientist, Delivery Foundation Model</t>
        </is>
      </c>
      <c r="C100" t="inlineStr">
        <is>
          <t>Amazon.com</t>
        </is>
      </c>
      <c r="D100" t="inlineStr">
        <is>
          <t>indeed</t>
        </is>
      </c>
      <c r="E100">
        <f>HYPERLINK("https://www.indeed.com/viewjob?jk=abfdb9e86ba30eb8", "https://www.indeed.com/viewjob?jk=abfdb9e86ba30eb8")</f>
        <v/>
      </c>
      <c r="F100">
        <f>HYPERLINK("https://www.amazon.jobs/jobs/3006938/principal-applied-scientist-delivery-foundation-model-?cmpid=DA_INAD200785B", "https://www.amazon.jobs/jobs/3006938/principal-applied-scientist-delivery-foundation-model-?cmpid=DA_INAD200785B")</f>
        <v/>
      </c>
      <c r="G100" t="inlineStr">
        <is>
          <t>Santa Clara, CA, US</t>
        </is>
      </c>
      <c r="H100" s="1" t="n">
        <v>45810</v>
      </c>
      <c r="I100" t="inlineStr">
        <is>
          <t>**DESCRIPTION**
---------------
Join the next science and engineering revolution at Amazon's Delivery Foundation Model team, where you'll work alongside world\-class scientists and engineers to pioneer the next frontier of logistics through advanced AI and foundation models.  
We are seeking an exceptional Principal Applied Scientist to help develop innovative foundation models that enable delivery of billions of packages worldwide. In this role, you'll combine highly technical work with scientific leadership, ensuring the team delivers robust solutions for dynamic real\-world environments. Your team will leverage Amazon's vast data and computational resources to tackle ambitious problems across a diverse set of Amazon delivery use cases.  
Key job responsibilities  
* Design and implement novel deep learning architectures combining a multitude of modalities, including image, video, and geospatial data.
* Solve computational problems to train foundation models on vast amounts of Amazon data and infer at Amazon scale, taking advantage of latest developments in hardware and deep learning libraries.
* As a foundation model developer, collaborate with multiple science and engineering teams to help build adaptations that power use cases across Amazon Last Mile deliveries, improving experience and safety of a delivery driver, an Amazon customer, and improving efficiency of Amazon delivery network.
* Guide technical direction for specific research initiatives, ensuring robust performance in production environments.
* Mentor fellow scientists while maintaining strong individual technical contributions.
A day in the life  
As a member of the Delivery Foundation Model team, you’ll spend your day on the following:  
* Develop and implement novel foundation model architectures, working hands\-on with data and our extensive training and evaluation infrastructure
* Guide and support fellow scientists in solving complex technical challenges, from trajectory planning to efficient multi\-task learning
* Guide and support fellow engineers in building scalable and reusable infra to support model training, evaluation, and inference
\- Lead focused technical initiatives from conception through deployment, ensuring successful integration with production systems\- Drive technical discussions within the team and and key stakeholders  
* Conduct experiments and prototype new ideas
* Mentor team members while maintaining significant hands\-on contribution to technical solutions
About the team  
The Delivery Foundation Model team combines ambitious research vision with real\-world impact. Our foundation models provide generative reasoning capabilities required to meet the demands of Amazon's global Last Mile delivery network. We leverage Amazon's unparalleled computational infrastructure and extensive datasets to deploy state\-of\-the\-art foundation models to improve the safety, quality, and efficiency of Amazon deliveries. Our work spans the full spectrum of foundation model development, from multimodal training using images, videos, and sensor data, to sophisticated modeling strategies that can handle diverse real\-world scenarios. We build everything end to end, from data preparation to model training and evaluation to inference, along with all the tooling needed to understand and analyze model performance.  
Join us if you're excited about pushing the boundaries of what's possible in logistics, working with world\-class scientists and engineers, and seeing your innovations deployed at unprecedented scale.**BASIC QUALIFICATIONS**
------------------------
* PhD or Master's degree and 8\+ years of applied machine learning experience.
* Experience designing novel deep learning model architectures, building models from scratch
* Proficient with Data, experience with SQL and Spark
* Expert coders comfortable working in production environments using Python, C\+\+ or other languages
* Strong publication record at top\-tier conferences (NeurIPS, ICML, ICLR, CVPR, ICCV, RSS, CoRL) OR Demonstrated experience in applying machine learning innovation in industry
* Extensive track record of leading technical projects
* Experience mentoring junior scientists / engineers.
**PREFERRED QUALIFICATIONS**
----------------------------
* Experience building foundation models for industry or research
* Experience designing multi\-modal model architectures
* Experience building models for motion prediction, e.g. for autonomous driving
* Track record of successful production ML deployments
* Experience with large\-scale distributed environments for ML training and inference
* History of impactful first\-author publications at major conferences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Santa Clara \- 228,700\.00 \- 309,400\.00 USD annually  
USA, NY, New York \- 218,800\.00 \- 295,900\.00 USD annually  
USA, TX, Austin \- 198,900\.00 \- 269,000\.00 USD annually  
USA, WA, Bellevue \- 198,900\.00 \- 269,000\.00 USD annually</t>
        </is>
      </c>
    </row>
    <row r="101">
      <c r="A101" t="inlineStr">
        <is>
          <t>in-0d9ce62759152ab0</t>
        </is>
      </c>
      <c r="B101" t="inlineStr">
        <is>
          <t>Senior Applied Scientist, Delivery Foundation Model</t>
        </is>
      </c>
      <c r="C101" t="inlineStr">
        <is>
          <t>Amazon.com</t>
        </is>
      </c>
      <c r="D101" t="inlineStr">
        <is>
          <t>indeed</t>
        </is>
      </c>
      <c r="E101">
        <f>HYPERLINK("https://www.indeed.com/viewjob?jk=0d9ce62759152ab0", "https://www.indeed.com/viewjob?jk=0d9ce62759152ab0")</f>
        <v/>
      </c>
      <c r="F101">
        <f>HYPERLINK("https://www.amazon.jobs/jobs/2998435/senior-applied-scientist-delivery-foundation-model-?cmpid=DA_INAD200785B", "https://www.amazon.jobs/jobs/2998435/senior-applied-scientist-delivery-foundation-model-?cmpid=DA_INAD200785B")</f>
        <v/>
      </c>
      <c r="G101" t="inlineStr">
        <is>
          <t>Santa Clara, CA, US</t>
        </is>
      </c>
      <c r="H101" s="1" t="n">
        <v>45806</v>
      </c>
      <c r="I101" t="inlineStr">
        <is>
          <t>**DESCRIPTION**
---------------
Join the next science and engineering revolution at Amazon's Delivery Foundation Model team, where you'll work alongside world\-class scientists and engineers to pioneer the next frontier of logistics through advanced AI and foundation models.  
We are seeking an exceptional Senior Applied Scientist to help develop innovative foundation models that enable delivery of billions of packages worldwide. In this role, you'll combine highly technical work with scientific leadership, ensuring the team delivers robust solutions for dynamic real\-world environments. Your team will leverage Amazon's vast data and computational resources to tackle ambitious problems across a diverse set of Amazon delivery use cases.  
Key job responsibilities  
* Design and implement novel deep learning architectures combining a multitude of modalities, including image, video, and geospatial data.
* Solve computational problems to train foundation models on vast amounts of Amazon data and infer at Amazon scale, taking advantage of latest developments in hardware and deep learning libraries.
* As a foundation model developer, collaborate with multiple science and engineering teams to help build adaptations that power use cases across Amazon Last Mile deliveries, improving experience and safety of a delivery driver, an Amazon customer, and improving efficiency of Amazon delivery network.
* Guide technical direction for specific research initiatives, ensuring robust performance in production environments.
* Mentor fellow scientists while maintaining strong individual technical contributions.
A day in the life  
As a member of the Delivery Foundation Model team, you’ll spend your day on the following:  
* Develop and implement novel foundation model architectures, working hands\-on with data and our extensive training and evaluation infrastructure
* Guide and support fellow scientists in solving complex technical challenges, from trajectory planning to efficient multi\-task learning
* Guide and support fellow engineers in building scalable and reusable infra to support model training, evaluation, and inference
\- Lead focused technical initiatives from conception through deployment, ensuring successful integration with production systems\- Drive technical discussions within the team and and key stakeholders  
* Conduct experiments and prototype new ideas
* Mentor team members while maintaining significant hands\-on contribution to technical solutions
About the team  
The Delivery Foundation Model team combines ambitious research vision with real\-world impact. Our foundation models provide generative reasoning capabilities required to meet the demands of Amazon's global Last Mile delivery network. We leverage Amazon's unparalleled computational infrastructure and extensive datasets to deploy state\-of\-the\-art foundation models to improve the safety, quality, and efficiency of Amazon deliveries. Our work spans the full spectrum of foundation model development, from multimodal training using images, videos, and sensor data, to sophisticated modeling strategies that can handle diverse real\-world scenarios. We build everything end to end, from data preparation to model training and evaluation to inference, along with all the tooling needed to understand and analyze model performance.  
Join us if you're excited about pushing the boundaries of what's possible in logistics, working with world\-class scientists and engineers, and seeing your innovations deployed at unprecedented scale.**BASIC QUALIFICATIONS**
------------------------
* PhD in engineering, technology, computer science, machine learning, robotics, operations research, statistics, mathematics or equivalent quantitative field, or Master's degree and 10\+ years of industry or academic research experience
* 5\+ years of building machine learning models or developing algorithms for business application experience
* Proficient with Data, experience with SQL and Spark
* Expert coders comfortable working in production environments using Python, C\+\+ or other languages
\- Strong publication record at top\-tier conferences (NeurIPS, ICML, ICLR, CVPR, ICCV, RSS, CoRL) OR Demonstrated experience in applying machine learning innovation in industry\- Experience mentoring junior scientists / engineers.**PREFERRED QUALIFICATIONS**
----------------------------
* Experience building foundation models for industry or research
* Experience designing multi\-modal model architectures
\- Experience building models for motion prediction, e.g. autonomous driving \- Track record of successful production ML deployments  
* Experience with large\-scale distributed environments for ML training and inference
* History of impactful first\-author publications at major conferences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02">
      <c r="A102" t="inlineStr">
        <is>
          <t>in-24a0bdb9386971e0</t>
        </is>
      </c>
      <c r="B102" t="inlineStr">
        <is>
          <t>Senior Applied Scientist, Delivery Foundation Model</t>
        </is>
      </c>
      <c r="C102" t="inlineStr">
        <is>
          <t>Amazon.com</t>
        </is>
      </c>
      <c r="D102" t="inlineStr">
        <is>
          <t>indeed</t>
        </is>
      </c>
      <c r="E102">
        <f>HYPERLINK("https://www.indeed.com/viewjob?jk=24a0bdb9386971e0", "https://www.indeed.com/viewjob?jk=24a0bdb9386971e0")</f>
        <v/>
      </c>
      <c r="F102">
        <f>HYPERLINK("https://www.amazon.jobs/jobs/2998435/senior-applied-scientist-delivery-foundation-model-?cmpid=DA_INAD200785B", "https://www.amazon.jobs/jobs/2998435/senior-applied-scientist-delivery-foundation-model-?cmpid=DA_INAD200785B")</f>
        <v/>
      </c>
      <c r="G102" t="inlineStr">
        <is>
          <t>Bellevue, WA, US</t>
        </is>
      </c>
      <c r="H102" s="1" t="n">
        <v>45806</v>
      </c>
      <c r="I102" t="inlineStr">
        <is>
          <t>**DESCRIPTION**
---------------
Join the next science and engineering revolution at Amazon's Delivery Foundation Model team, where you'll work alongside world\-class scientists and engineers to pioneer the next frontier of logistics through advanced AI and foundation models.  
We are seeking an exceptional Senior Applied Scientist to help develop innovative foundation models that enable delivery of billions of packages worldwide. In this role, you'll combine highly technical work with scientific leadership, ensuring the team delivers robust solutions for dynamic real\-world environments. Your team will leverage Amazon's vast data and computational resources to tackle ambitious problems across a diverse set of Amazon delivery use cases.  
Key job responsibilities  
* Design and implement novel deep learning architectures combining a multitude of modalities, including image, video, and geospatial data.
* Solve computational problems to train foundation models on vast amounts of Amazon data and infer at Amazon scale, taking advantage of latest developments in hardware and deep learning libraries.
* As a foundation model developer, collaborate with multiple science and engineering teams to help build adaptations that power use cases across Amazon Last Mile deliveries, improving experience and safety of a delivery driver, an Amazon customer, and improving efficiency of Amazon delivery network.
* Guide technical direction for specific research initiatives, ensuring robust performance in production environments.
* Mentor fellow scientists while maintaining strong individual technical contributions.
A day in the life  
As a member of the Delivery Foundation Model team, you’ll spend your day on the following:  
* Develop and implement novel foundation model architectures, working hands\-on with data and our extensive training and evaluation infrastructure
* Guide and support fellow scientists in solving complex technical challenges, from trajectory planning to efficient multi\-task learning
* Guide and support fellow engineers in building scalable and reusable infra to support model training, evaluation, and inference
\- Lead focused technical initiatives from conception through deployment, ensuring successful integration with production systems\- Drive technical discussions within the team and and key stakeholders  
* Conduct experiments and prototype new ideas
* Mentor team members while maintaining significant hands\-on contribution to technical solutions
About the team  
The Delivery Foundation Model team combines ambitious research vision with real\-world impact. Our foundation models provide generative reasoning capabilities required to meet the demands of Amazon's global Last Mile delivery network. We leverage Amazon's unparalleled computational infrastructure and extensive datasets to deploy state\-of\-the\-art foundation models to improve the safety, quality, and efficiency of Amazon deliveries. Our work spans the full spectrum of foundation model development, from multimodal training using images, videos, and sensor data, to sophisticated modeling strategies that can handle diverse real\-world scenarios. We build everything end to end, from data preparation to model training and evaluation to inference, along with all the tooling needed to understand and analyze model performance.  
Join us if you're excited about pushing the boundaries of what's possible in logistics, working with world\-class scientists and engineers, and seeing your innovations deployed at unprecedented scale.**BASIC QUALIFICATIONS**
------------------------
* PhD in engineering, technology, computer science, machine learning, robotics, operations research, statistics, mathematics or equivalent quantitative field, or Master's degree and 10\+ years of industry or academic research experience
* 5\+ years of building machine learning models or developing algorithms for business application experience
* Proficient with Data, experience with SQL and Spark
* Expert coders comfortable working in production environments using Python, C\+\+ or other languages
\- Strong publication record at top\-tier conferences (NeurIPS, ICML, ICLR, CVPR, ICCV, RSS, CoRL) OR Demonstrated experience in applying machine learning innovation in industry\- Experience mentoring junior scientists / engineers.**PREFERRED QUALIFICATIONS**
----------------------------
* Experience building foundation models for industry or research
* Experience designing multi\-modal model architectures
\- Experience building models for motion prediction, e.g. autonomous driving \- Track record of successful production ML deployments  
* Experience with large\-scale distributed environments for ML training and inference
* History of impactful first\-author publications at major conferences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03">
      <c r="A103" t="inlineStr">
        <is>
          <t>in-4cd5fc2198b4d068</t>
        </is>
      </c>
      <c r="B103" t="inlineStr">
        <is>
          <t>Senior Applied Scientist, Delivery Foundation Model</t>
        </is>
      </c>
      <c r="C103" t="inlineStr">
        <is>
          <t>Amazon.com</t>
        </is>
      </c>
      <c r="D103" t="inlineStr">
        <is>
          <t>indeed</t>
        </is>
      </c>
      <c r="E103">
        <f>HYPERLINK("https://www.indeed.com/viewjob?jk=4cd5fc2198b4d068", "https://www.indeed.com/viewjob?jk=4cd5fc2198b4d068")</f>
        <v/>
      </c>
      <c r="F103">
        <f>HYPERLINK("https://www.amazon.jobs/jobs/2998435/senior-applied-scientist-delivery-foundation-model-?cmpid=DA_INAD200785B", "https://www.amazon.jobs/jobs/2998435/senior-applied-scientist-delivery-foundation-model-?cmpid=DA_INAD200785B")</f>
        <v/>
      </c>
      <c r="G103" t="inlineStr">
        <is>
          <t>New York, NY, US</t>
        </is>
      </c>
      <c r="H103" s="1" t="n">
        <v>45806</v>
      </c>
      <c r="I103" t="inlineStr">
        <is>
          <t>**DESCRIPTION**
---------------
Join the next science and engineering revolution at Amazon's Delivery Foundation Model team, where you'll work alongside world\-class scientists and engineers to pioneer the next frontier of logistics through advanced AI and foundation models.  
We are seeking an exceptional Senior Applied Scientist to help develop innovative foundation models that enable delivery of billions of packages worldwide. In this role, you'll combine highly technical work with scientific leadership, ensuring the team delivers robust solutions for dynamic real\-world environments. Your team will leverage Amazon's vast data and computational resources to tackle ambitious problems across a diverse set of Amazon delivery use cases.  
Key job responsibilities  
* Design and implement novel deep learning architectures combining a multitude of modalities, including image, video, and geospatial data.
* Solve computational problems to train foundation models on vast amounts of Amazon data and infer at Amazon scale, taking advantage of latest developments in hardware and deep learning libraries.
* As a foundation model developer, collaborate with multiple science and engineering teams to help build adaptations that power use cases across Amazon Last Mile deliveries, improving experience and safety of a delivery driver, an Amazon customer, and improving efficiency of Amazon delivery network.
* Guide technical direction for specific research initiatives, ensuring robust performance in production environments.
* Mentor fellow scientists while maintaining strong individual technical contributions.
A day in the life  
As a member of the Delivery Foundation Model team, you’ll spend your day on the following:  
* Develop and implement novel foundation model architectures, working hands\-on with data and our extensive training and evaluation infrastructure
* Guide and support fellow scientists in solving complex technical challenges, from trajectory planning to efficient multi\-task learning
* Guide and support fellow engineers in building scalable and reusable infra to support model training, evaluation, and inference
\- Lead focused technical initiatives from conception through deployment, ensuring successful integration with production systems\- Drive technical discussions within the team and and key stakeholders  
* Conduct experiments and prototype new ideas
* Mentor team members while maintaining significant hands\-on contribution to technical solutions
About the team  
The Delivery Foundation Model team combines ambitious research vision with real\-world impact. Our foundation models provide generative reasoning capabilities required to meet the demands of Amazon's global Last Mile delivery network. We leverage Amazon's unparalleled computational infrastructure and extensive datasets to deploy state\-of\-the\-art foundation models to improve the safety, quality, and efficiency of Amazon deliveries. Our work spans the full spectrum of foundation model development, from multimodal training using images, videos, and sensor data, to sophisticated modeling strategies that can handle diverse real\-world scenarios. We build everything end to end, from data preparation to model training and evaluation to inference, along with all the tooling needed to understand and analyze model performance.  
Join us if you're excited about pushing the boundaries of what's possible in logistics, working with world\-class scientists and engineers, and seeing your innovations deployed at unprecedented scale.**BASIC QUALIFICATIONS**
------------------------
* PhD in engineering, technology, computer science, machine learning, robotics, operations research, statistics, mathematics or equivalent quantitative field, or Master's degree and 10\+ years of industry or academic research experience
* 5\+ years of building machine learning models or developing algorithms for business application experience
* Proficient with Data, experience with SQL and Spark
* Expert coders comfortable working in production environments using Python, C\+\+ or other languages
\- Strong publication record at top\-tier conferences (NeurIPS, ICML, ICLR, CVPR, ICCV, RSS, CoRL) OR Demonstrated experience in applying machine learning innovation in industry\- Experience mentoring junior scientists / engineers.**PREFERRED QUALIFICATIONS**
----------------------------
* Experience building foundation models for industry or research
* Experience designing multi\-modal model architectures
\- Experience building models for motion prediction, e.g. autonomous driving \- Track record of successful production ML deployments  
* Experience with large\-scale distributed environments for ML training and inference
* History of impactful first\-author publications at major conferences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04">
      <c r="A104" t="inlineStr">
        <is>
          <t>in-01456651a16481e6</t>
        </is>
      </c>
      <c r="B104" t="inlineStr">
        <is>
          <t>Sr. Applied Scientist - Privacy, Privacy Engineering</t>
        </is>
      </c>
      <c r="C104" t="inlineStr">
        <is>
          <t>Amazon.com</t>
        </is>
      </c>
      <c r="D104" t="inlineStr">
        <is>
          <t>indeed</t>
        </is>
      </c>
      <c r="E104">
        <f>HYPERLINK("https://www.indeed.com/viewjob?jk=01456651a16481e6", "https://www.indeed.com/viewjob?jk=01456651a16481e6")</f>
        <v/>
      </c>
      <c r="F104">
        <f>HYPERLINK("https://www.amazon.jobs/jobs/2997657/sr-applied-scientist--privacy-privacy-engineering?cmpid=DA_INAD200785B", "https://www.amazon.jobs/jobs/2997657/sr-applied-scientist--privacy-privacy-engineering?cmpid=DA_INAD200785B")</f>
        <v/>
      </c>
      <c r="G104" t="inlineStr">
        <is>
          <t>Sunnyvale, CA, US</t>
        </is>
      </c>
      <c r="H104" s="1" t="n">
        <v>45787</v>
      </c>
      <c r="I104" t="inlineStr">
        <is>
          <t>**DESCRIPTION**
---------------
Amazon is seeking an innovative and high\-judgement Senior Applied Scientist to join the Privacy Engineering team in the Amazon Privacy Services org. We own products and programs that deliver technical innovation for ensuring compliance with high\-impact, urgent regulation across Amazon services worldwide.
The Senior Applied Scientist will contribute to the strategic direction for Amazon’s privacy practices while building/owning the compliance approach for individual regulations such as General Data Protection Regulation (GDPR), DMA, Quebec 25 etc. This will require helping to frame, and participating in, high judgment debates and decision making across senior business, technology, legal, and public policy leaders.
A great candidate will have a unique combination of experience with innovative data governance technology, high judgement in system architecture decisions and ability to set detailed technical design from ambiguous compliance requirements. You will drive foundational, cross\-service decisions, set technical requirements, oversee technical design, and have end to end accountability for delivering technical changes across dozens of different systems. You will have high engagement with WW senior leadership via quarterly reviews, annual organizational planning, and s\-team goal updates.
Key job responsibilities  
* Develop information retrieval benchmarks related to code analysis and invent algorithms to optimize identification of privacy requirements and controls.
* Develop semantic and syntactic code analysis tools to assess privacy implementations within application code, and automatic code replacement tools to enhance privacy implementations.
* Leverage Amazon’s heterogeneous data sources and large\-scale computing resources to accelerate advances in generative artificial intelligence for privacy compliance.
* Collaborate with other science and engineering teams as well as business stakeholders to maximize the velocity and impact of your contributions.
About the team  
Amazon Privacy Services own products and programs that deliver technical innovation for ensuring Privacy Amazon services worldwide. We are hiring an innovative and high\-judgement Senior Applied Scientist to develop AI solutions for builders across Amazon’s consumer and digital businesses including but not limited to Amazon.com, Amazon Ads, Amazon Go, Prime Video, Devices and more.
Our ideal candidate is creative, has excellent problem\-solving skills, a solid understanding of computer science fundamentals, deep learning and a customer\-focused mindset. The Senior Scientist will serve as the resident expert on the development of AI agents for privacy. They build on their experiences to develop LLMs to develop AI implementations across privacy workflows. They will have responsibilities to mentor junior scientists and engineers develop AI skills.
**BASIC QUALIFICATIONS**
------------------------
* PhD, or Master's degree and 6\+ years of applied research experience
* 3\+ years of building machine learning models for business application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05">
      <c r="A105" t="inlineStr">
        <is>
          <t>in-dd6776139f86f8eb</t>
        </is>
      </c>
      <c r="B105" t="inlineStr">
        <is>
          <t>Sr. Applied Scientist - Privacy, Privacy Engineering</t>
        </is>
      </c>
      <c r="C105" t="inlineStr">
        <is>
          <t>Amazon.com</t>
        </is>
      </c>
      <c r="D105" t="inlineStr">
        <is>
          <t>indeed</t>
        </is>
      </c>
      <c r="E105">
        <f>HYPERLINK("https://www.indeed.com/viewjob?jk=dd6776139f86f8eb", "https://www.indeed.com/viewjob?jk=dd6776139f86f8eb")</f>
        <v/>
      </c>
      <c r="F105">
        <f>HYPERLINK("https://www.amazon.jobs/jobs/2997657/sr-applied-scientist--privacy-privacy-engineering?cmpid=DA_INAD200785B", "https://www.amazon.jobs/jobs/2997657/sr-applied-scientist--privacy-privacy-engineering?cmpid=DA_INAD200785B")</f>
        <v/>
      </c>
      <c r="G105" t="inlineStr">
        <is>
          <t>San Francisco, CA, US</t>
        </is>
      </c>
      <c r="H105" s="1" t="n">
        <v>45787</v>
      </c>
      <c r="I105" t="inlineStr">
        <is>
          <t>**DESCRIPTION**
---------------
Amazon is seeking an innovative and high\-judgement Senior Applied Scientist to join the Privacy Engineering team in the Amazon Privacy Services org. We own products and programs that deliver technical innovation for ensuring compliance with high\-impact, urgent regulation across Amazon services worldwide.
The Senior Applied Scientist will contribute to the strategic direction for Amazon’s privacy practices while building/owning the compliance approach for individual regulations such as General Data Protection Regulation (GDPR), DMA, Quebec 25 etc. This will require helping to frame, and participating in, high judgment debates and decision making across senior business, technology, legal, and public policy leaders.
A great candidate will have a unique combination of experience with innovative data governance technology, high judgement in system architecture decisions and ability to set detailed technical design from ambiguous compliance requirements. You will drive foundational, cross\-service decisions, set technical requirements, oversee technical design, and have end to end accountability for delivering technical changes across dozens of different systems. You will have high engagement with WW senior leadership via quarterly reviews, annual organizational planning, and s\-team goal updates.
Key job responsibilities  
* Develop information retrieval benchmarks related to code analysis and invent algorithms to optimize identification of privacy requirements and controls.
* Develop semantic and syntactic code analysis tools to assess privacy implementations within application code, and automatic code replacement tools to enhance privacy implementations.
* Leverage Amazon’s heterogeneous data sources and large\-scale computing resources to accelerate advances in generative artificial intelligence for privacy compliance.
* Collaborate with other science and engineering teams as well as business stakeholders to maximize the velocity and impact of your contributions.
About the team  
Amazon Privacy Services own products and programs that deliver technical innovation for ensuring Privacy Amazon services worldwide. We are hiring an innovative and high\-judgement Senior Applied Scientist to develop AI solutions for builders across Amazon’s consumer and digital businesses including but not limited to Amazon.com, Amazon Ads, Amazon Go, Prime Video, Devices and more.
Our ideal candidate is creative, has excellent problem\-solving skills, a solid understanding of computer science fundamentals, deep learning and a customer\-focused mindset. The Senior Scientist will serve as the resident expert on the development of AI agents for privacy. They build on their experiences to develop LLMs to develop AI implementations across privacy workflows. They will have responsibilities to mentor junior scientists and engineers develop AI skills.
**BASIC QUALIFICATIONS**
------------------------
* PhD, or Master's degree and 6\+ years of applied research experience
* 3\+ years of building machine learning models for business application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06">
      <c r="A106" t="inlineStr">
        <is>
          <t>in-1cd7156b4cda59c1</t>
        </is>
      </c>
      <c r="B106" t="inlineStr">
        <is>
          <t>Sr. Applied Scientist - Privacy, Privacy Engineering</t>
        </is>
      </c>
      <c r="C106" t="inlineStr">
        <is>
          <t>Amazon.com</t>
        </is>
      </c>
      <c r="D106" t="inlineStr">
        <is>
          <t>indeed</t>
        </is>
      </c>
      <c r="E106">
        <f>HYPERLINK("https://www.indeed.com/viewjob?jk=1cd7156b4cda59c1", "https://www.indeed.com/viewjob?jk=1cd7156b4cda59c1")</f>
        <v/>
      </c>
      <c r="F106">
        <f>HYPERLINK("https://www.amazon.jobs/jobs/2997657/sr-applied-scientist--privacy-privacy-engineering?cmpid=DA_INAD200785B", "https://www.amazon.jobs/jobs/2997657/sr-applied-scientist--privacy-privacy-engineering?cmpid=DA_INAD200785B")</f>
        <v/>
      </c>
      <c r="G106" t="inlineStr">
        <is>
          <t>Santa Clara, CA, US</t>
        </is>
      </c>
      <c r="H106" s="1" t="n">
        <v>45787</v>
      </c>
      <c r="I106" t="inlineStr">
        <is>
          <t>**DESCRIPTION**
---------------
Amazon is seeking an innovative and high\-judgement Senior Applied Scientist to join the Privacy Engineering team in the Amazon Privacy Services org. We own products and programs that deliver technical innovation for ensuring compliance with high\-impact, urgent regulation across Amazon services worldwide.
The Senior Applied Scientist will contribute to the strategic direction for Amazon’s privacy practices while building/owning the compliance approach for individual regulations such as General Data Protection Regulation (GDPR), DMA, Quebec 25 etc. This will require helping to frame, and participating in, high judgment debates and decision making across senior business, technology, legal, and public policy leaders.
A great candidate will have a unique combination of experience with innovative data governance technology, high judgement in system architecture decisions and ability to set detailed technical design from ambiguous compliance requirements. You will drive foundational, cross\-service decisions, set technical requirements, oversee technical design, and have end to end accountability for delivering technical changes across dozens of different systems. You will have high engagement with WW senior leadership via quarterly reviews, annual organizational planning, and s\-team goal updates.
Key job responsibilities  
* Develop information retrieval benchmarks related to code analysis and invent algorithms to optimize identification of privacy requirements and controls.
* Develop semantic and syntactic code analysis tools to assess privacy implementations within application code, and automatic code replacement tools to enhance privacy implementations.
* Leverage Amazon’s heterogeneous data sources and large\-scale computing resources to accelerate advances in generative artificial intelligence for privacy compliance.
* Collaborate with other science and engineering teams as well as business stakeholders to maximize the velocity and impact of your contributions.
About the team  
Amazon Privacy Services own products and programs that deliver technical innovation for ensuring Privacy Amazon services worldwide. We are hiring an innovative and high\-judgement Senior Applied Scientist to develop AI solutions for builders across Amazon’s consumer and digital businesses including but not limited to Amazon.com, Amazon Ads, Amazon Go, Prime Video, Devices and more.
Our ideal candidate is creative, has excellent problem\-solving skills, a solid understanding of computer science fundamentals, deep learning and a customer\-focused mindset. The Senior Scientist will serve as the resident expert on the development of AI agents for privacy. They build on their experiences to develop LLMs to develop AI implementations across privacy workflows. They will have responsibilities to mentor junior scientists and engineers develop AI skills.
**BASIC QUALIFICATIONS**
------------------------
* PhD, or Master's degree and 6\+ years of applied research experience
* 3\+ years of building machine learning models for business application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07">
      <c r="A107" t="inlineStr">
        <is>
          <t>in-78c1ac85760bc375</t>
        </is>
      </c>
      <c r="B107" t="inlineStr">
        <is>
          <t>Sr. Applied Scientist - Privacy, Privacy Engineering</t>
        </is>
      </c>
      <c r="C107" t="inlineStr">
        <is>
          <t>Amazon.com</t>
        </is>
      </c>
      <c r="D107" t="inlineStr">
        <is>
          <t>indeed</t>
        </is>
      </c>
      <c r="E107">
        <f>HYPERLINK("https://www.indeed.com/viewjob?jk=78c1ac85760bc375", "https://www.indeed.com/viewjob?jk=78c1ac85760bc375")</f>
        <v/>
      </c>
      <c r="F107">
        <f>HYPERLINK("https://www.amazon.jobs/jobs/2997657/sr-applied-scientist--privacy-privacy-engineering?cmpid=DA_INAD200785B", "https://www.amazon.jobs/jobs/2997657/sr-applied-scientist--privacy-privacy-engineering?cmpid=DA_INAD200785B")</f>
        <v/>
      </c>
      <c r="G107" t="inlineStr">
        <is>
          <t>Seattle, WA, US</t>
        </is>
      </c>
      <c r="H107" s="1" t="n">
        <v>45787</v>
      </c>
      <c r="I107" t="inlineStr">
        <is>
          <t>**DESCRIPTION**
---------------
Amazon is seeking an innovative and high\-judgement Senior Applied Scientist to join the Privacy Engineering team in the Amazon Privacy Services org. We own products and programs that deliver technical innovation for ensuring compliance with high\-impact, urgent regulation across Amazon services worldwide.
The Senior Applied Scientist will contribute to the strategic direction for Amazon’s privacy practices while building/owning the compliance approach for individual regulations such as General Data Protection Regulation (GDPR), DMA, Quebec 25 etc. This will require helping to frame, and participating in, high judgment debates and decision making across senior business, technology, legal, and public policy leaders.
A great candidate will have a unique combination of experience with innovative data governance technology, high judgement in system architecture decisions and ability to set detailed technical design from ambiguous compliance requirements. You will drive foundational, cross\-service decisions, set technical requirements, oversee technical design, and have end to end accountability for delivering technical changes across dozens of different systems. You will have high engagement with WW senior leadership via quarterly reviews, annual organizational planning, and s\-team goal updates.
Key job responsibilities  
* Develop information retrieval benchmarks related to code analysis and invent algorithms to optimize identification of privacy requirements and controls.
* Develop semantic and syntactic code analysis tools to assess privacy implementations within application code, and automatic code replacement tools to enhance privacy implementations.
* Leverage Amazon’s heterogeneous data sources and large\-scale computing resources to accelerate advances in generative artificial intelligence for privacy compliance.
* Collaborate with other science and engineering teams as well as business stakeholders to maximize the velocity and impact of your contributions.
About the team  
Amazon Privacy Services own products and programs that deliver technical innovation for ensuring Privacy Amazon services worldwide. We are hiring an innovative and high\-judgement Senior Applied Scientist to develop AI solutions for builders across Amazon’s consumer and digital businesses including but not limited to Amazon.com, Amazon Ads, Amazon Go, Prime Video, Devices and more.
Our ideal candidate is creative, has excellent problem\-solving skills, a solid understanding of computer science fundamentals, deep learning and a customer\-focused mindset. The Senior Scientist will serve as the resident expert on the development of AI agents for privacy. They build on their experiences to develop LLMs to develop AI implementations across privacy workflows. They will have responsibilities to mentor junior scientists and engineers develop AI skills.
**BASIC QUALIFICATIONS**
------------------------
* PhD, or Master's degree and 6\+ years of applied research experience
* 3\+ years of building machine learning models for business application experience
* Experience programming in Java, C\+\+, Python or related language
* Experience with neural deep learning methods and machine learning
**PREFERRED QUALIFICATIONS**
----------------------------
* Experience with modeling tools such as R, scikit\-learn, Spark MLLib, MxNet, Tensorflow, numpy, scipy etc.
* Experience with large scale distributed systems such as Hadoop, Spark etc.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Pursuant to the San Francisco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Our compensation reflects the cost of labor across several US geographic markets. The base pay for this position ranges from $150,400/year in our lowest geographic market up to $260,000/year in our highest geographic market. Pay is based on a number of factors including market location and may vary depending on job\-related knowledge, skills, and experience. Amazon is a total compensation company. Dependent on the position offered, equity, sign\-on payments, and other forms of compensation may be provided as part of a total compensation package, in addition to a full range of medical, financial, and/or other benefits. For more information, please visit https://www.aboutamazon.com/workplace/employee\-benefits. This position will remain posted until filled. Applicants should apply via our internal or external career site.</t>
        </is>
      </c>
    </row>
    <row r="108">
      <c r="A108" t="inlineStr">
        <is>
          <t>in-3a7d4d33c0d1e880</t>
        </is>
      </c>
      <c r="B108" t="inlineStr">
        <is>
          <t>Principal Applied Scientist, Delivery Foundation Model</t>
        </is>
      </c>
      <c r="C108" t="inlineStr">
        <is>
          <t>Amazon.com</t>
        </is>
      </c>
      <c r="D108" t="inlineStr">
        <is>
          <t>indeed</t>
        </is>
      </c>
      <c r="E108">
        <f>HYPERLINK("https://www.indeed.com/viewjob?jk=3a7d4d33c0d1e880", "https://www.indeed.com/viewjob?jk=3a7d4d33c0d1e880")</f>
        <v/>
      </c>
      <c r="F108">
        <f>HYPERLINK("https://www.amazon.jobs/jobs/2998635/principal-applied-scientist-delivery-foundation-model-?cmpid=DA_INAD200785B", "https://www.amazon.jobs/jobs/2998635/principal-applied-scientist-delivery-foundation-model-?cmpid=DA_INAD200785B")</f>
        <v/>
      </c>
      <c r="G108" t="inlineStr">
        <is>
          <t>New York, NY, US</t>
        </is>
      </c>
      <c r="H108" s="1" t="n">
        <v>45757</v>
      </c>
      <c r="I108" t="inlineStr">
        <is>
          <t>**DESCRIPTION**
---------------
Join the next science and engineering revolution at Amazon's Delivery Foundation Model team, where you'll work alongside world\-class scientists and engineers to pioneer the next frontier of logistics through advanced AI and foundation models.  
We are seeking an exceptional Principal Applied Scientist to help develop innovative foundation models that enable delivery of billions of packages worldwide. In this role, you'll combine highly technical work with scientific leadership, ensuring the team delivers robust solutions for dynamic real\-world environments. Your team will leverage Amazon's vast data and computational resources to tackle ambitious problems across a diverse set of Amazon delivery use cases.  
Key job responsibilities  
* Design and implement novel deep learning architectures combining a multitude of modalities, including image, video, and geospatial data.
* Solve computational problems to train foundation models on vast amounts of Amazon data and infer at Amazon scale, taking advantage of latest developments in hardware and deep learning libraries.
* As a foundation model developer, collaborate with multiple science and engineering teams to help build adaptations that power use cases across Amazon Last Mile deliveries, improving experience and safety of a delivery driver, an Amazon customer, and improving efficiency of Amazon delivery network.
* Guide technical direction for specific research initiatives, ensuring robust performance in production environments.
* Mentor fellow scientists while maintaining strong individual technical contributions.
A day in the life  
As a member of the Delivery Foundation Model team, you’ll spend your day on the following:  
* Develop and implement novel foundation model architectures, working hands\-on with data and our extensive training and evaluation infrastructure
* Guide and support fellow scientists in solving complex technical challenges, from trajectory planning to efficient multi\-task learning
* Guide and support fellow engineers in building scalable and reusable infra to support model training, evaluation, and inference
\- Lead focused technical initiatives from conception through deployment, ensuring successful integration with production systems\- Drive technical discussions within the team and and key stakeholders  
* Conduct experiments and prototype new ideas
* Mentor team members while maintaining significant hands\-on contribution to technical solutions
About the team  
The Delivery Foundation Model team combines ambitious research vision with real\-world impact. Our foundation models provide generative reasoning capabilities required to meet the demands of Amazon's global Last Mile delivery network. We leverage Amazon's unparalleled computational infrastructure and extensive datasets to deploy state\-of\-the\-art foundation models to improve the safety, quality, and efficiency of Amazon deliveries. Our work spans the full spectrum of foundation model development, from multimodal training using images, videos, and sensor data, to sophisticated modeling strategies that can handle diverse real\-world scenarios. We build everything end to end, from data preparation to model training and evaluation to inference, along with all the tooling needed to understand and analyze model performance.  
Join us if you're excited about pushing the boundaries of what's possible in logistics, working with world\-class scientists and engineers, and seeing your innovations deployed at unprecedented scale.**BASIC QUALIFICATIONS**
------------------------
* PhD or Master's degree and 8\+ years of applied machine learning experience.
* Experience designing novel deep learning model architectures, building models from scratch
* Proficient with Data, experience with SQL and Spark
* Expert coders comfortable working in production environments using Python, C\+\+ or other languages
* Strong publication record at top\-tier conferences (NeurIPS, ICML, ICLR, CVPR, ICCV, RSS, CoRL) OR Demonstrated experience in applying machine learning innovation in industry
* Extensive track record of leading technical projects
* Experience mentoring junior scientists / engineers.
**PREFERRED QUALIFICATIONS**
----------------------------
* Experience building foundation models for industry or research
* Experience designing multi\-modal model architectures
* Experience building models for motion prediction, e.g. for autonomous driving
* Track record of successful production ML deployments
* Experience with large\-scale distributed environments for ML training and inference
* History of impactful first\-author publications at major conferences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Santa Clara \- 228,700\.00 \- 309,400\.00 USD annually  
USA, NY, New York \- 218,800\.00 \- 295,900\.00 USD annually  
USA, WA, Bellevue \- 198,900\.00 \- 269,000\.00 USD annually</t>
        </is>
      </c>
    </row>
    <row r="109">
      <c r="A109" t="inlineStr">
        <is>
          <t>in-192d5b24cc2a06f0</t>
        </is>
      </c>
      <c r="B109" t="inlineStr">
        <is>
          <t>Principal Applied Scientist, Delivery Foundation Model</t>
        </is>
      </c>
      <c r="C109" t="inlineStr">
        <is>
          <t>Amazon.com</t>
        </is>
      </c>
      <c r="D109" t="inlineStr">
        <is>
          <t>indeed</t>
        </is>
      </c>
      <c r="E109">
        <f>HYPERLINK("https://www.indeed.com/viewjob?jk=192d5b24cc2a06f0", "https://www.indeed.com/viewjob?jk=192d5b24cc2a06f0")</f>
        <v/>
      </c>
      <c r="F109">
        <f>HYPERLINK("https://www.amazon.jobs/jobs/2998635/principal-applied-scientist-delivery-foundation-model-?cmpid=DA_INAD200785B", "https://www.amazon.jobs/jobs/2998635/principal-applied-scientist-delivery-foundation-model-?cmpid=DA_INAD200785B")</f>
        <v/>
      </c>
      <c r="G109" t="inlineStr">
        <is>
          <t>Santa Clara, CA, US</t>
        </is>
      </c>
      <c r="H109" s="1" t="n">
        <v>45757</v>
      </c>
      <c r="I109" t="inlineStr">
        <is>
          <t>**DESCRIPTION**
---------------
Join the next science and engineering revolution at Amazon's Delivery Foundation Model team, where you'll work alongside world\-class scientists and engineers to pioneer the next frontier of logistics through advanced AI and foundation models.  
We are seeking an exceptional Principal Applied Scientist to help develop innovative foundation models that enable delivery of billions of packages worldwide. In this role, you'll combine highly technical work with scientific leadership, ensuring the team delivers robust solutions for dynamic real\-world environments. Your team will leverage Amazon's vast data and computational resources to tackle ambitious problems across a diverse set of Amazon delivery use cases.  
Key job responsibilities  
* Design and implement novel deep learning architectures combining a multitude of modalities, including image, video, and geospatial data.
* Solve computational problems to train foundation models on vast amounts of Amazon data and infer at Amazon scale, taking advantage of latest developments in hardware and deep learning libraries.
* As a foundation model developer, collaborate with multiple science and engineering teams to help build adaptations that power use cases across Amazon Last Mile deliveries, improving experience and safety of a delivery driver, an Amazon customer, and improving efficiency of Amazon delivery network.
* Guide technical direction for specific research initiatives, ensuring robust performance in production environments.
* Mentor fellow scientists while maintaining strong individual technical contributions.
A day in the life  
As a member of the Delivery Foundation Model team, you’ll spend your day on the following:  
* Develop and implement novel foundation model architectures, working hands\-on with data and our extensive training and evaluation infrastructure
* Guide and support fellow scientists in solving complex technical challenges, from trajectory planning to efficient multi\-task learning
* Guide and support fellow engineers in building scalable and reusable infra to support model training, evaluation, and inference
\- Lead focused technical initiatives from conception through deployment, ensuring successful integration with production systems\- Drive technical discussions within the team and and key stakeholders  
* Conduct experiments and prototype new ideas
* Mentor team members while maintaining significant hands\-on contribution to technical solutions
About the team  
The Delivery Foundation Model team combines ambitious research vision with real\-world impact. Our foundation models provide generative reasoning capabilities required to meet the demands of Amazon's global Last Mile delivery network. We leverage Amazon's unparalleled computational infrastructure and extensive datasets to deploy state\-of\-the\-art foundation models to improve the safety, quality, and efficiency of Amazon deliveries. Our work spans the full spectrum of foundation model development, from multimodal training using images, videos, and sensor data, to sophisticated modeling strategies that can handle diverse real\-world scenarios. We build everything end to end, from data preparation to model training and evaluation to inference, along with all the tooling needed to understand and analyze model performance.  
Join us if you're excited about pushing the boundaries of what's possible in logistics, working with world\-class scientists and engineers, and seeing your innovations deployed at unprecedented scale.**BASIC QUALIFICATIONS**
------------------------
* PhD or Master's degree and 8\+ years of applied machine learning experience.
* Experience designing novel deep learning model architectures, building models from scratch
* Proficient with Data, experience with SQL and Spark
* Expert coders comfortable working in production environments using Python, C\+\+ or other languages
* Strong publication record at top\-tier conferences (NeurIPS, ICML, ICLR, CVPR, ICCV, RSS, CoRL) OR Demonstrated experience in applying machine learning innovation in industry
* Extensive track record of leading technical projects
* Experience mentoring junior scientists / engineers.
**PREFERRED QUALIFICATIONS**
----------------------------
* Experience building foundation models for industry or research
* Experience designing multi\-modal model architectures
* Experience building models for motion prediction, e.g. for autonomous driving
* Track record of successful production ML deployments
* Experience with large\-scale distributed environments for ML training and inference
* History of impactful first\-author publications at major conferences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Santa Clara \- 228,700\.00 \- 309,400\.00 USD annually  
USA, NY, New York \- 218,800\.00 \- 295,900\.00 USD annually  
USA, WA, Bellevue \- 198,900\.00 \- 269,000\.00 USD annually</t>
        </is>
      </c>
    </row>
    <row r="110">
      <c r="A110" t="inlineStr">
        <is>
          <t>in-0ac4ec83ff6368e6</t>
        </is>
      </c>
      <c r="B110" t="inlineStr">
        <is>
          <t>Principal Applied Scientist, Delivery Foundation Model</t>
        </is>
      </c>
      <c r="C110" t="inlineStr">
        <is>
          <t>Amazon.com</t>
        </is>
      </c>
      <c r="D110" t="inlineStr">
        <is>
          <t>indeed</t>
        </is>
      </c>
      <c r="E110">
        <f>HYPERLINK("https://www.indeed.com/viewjob?jk=0ac4ec83ff6368e6", "https://www.indeed.com/viewjob?jk=0ac4ec83ff6368e6")</f>
        <v/>
      </c>
      <c r="F110">
        <f>HYPERLINK("https://www.amazon.jobs/jobs/2998635/principal-applied-scientist-delivery-foundation-model-?cmpid=DA_INAD200785B", "https://www.amazon.jobs/jobs/2998635/principal-applied-scientist-delivery-foundation-model-?cmpid=DA_INAD200785B")</f>
        <v/>
      </c>
      <c r="G110" t="inlineStr">
        <is>
          <t>Bellevue, WA, US</t>
        </is>
      </c>
      <c r="H110" s="1" t="n">
        <v>45757</v>
      </c>
      <c r="I110" t="inlineStr">
        <is>
          <t>**DESCRIPTION**
---------------
Join the next science and engineering revolution at Amazon's Delivery Foundation Model team, where you'll work alongside world\-class scientists and engineers to pioneer the next frontier of logistics through advanced AI and foundation models.  
We are seeking an exceptional Principal Applied Scientist to help develop innovative foundation models that enable delivery of billions of packages worldwide. In this role, you'll combine highly technical work with scientific leadership, ensuring the team delivers robust solutions for dynamic real\-world environments. Your team will leverage Amazon's vast data and computational resources to tackle ambitious problems across a diverse set of Amazon delivery use cases.  
Key job responsibilities  
* Design and implement novel deep learning architectures combining a multitude of modalities, including image, video, and geospatial data.
* Solve computational problems to train foundation models on vast amounts of Amazon data and infer at Amazon scale, taking advantage of latest developments in hardware and deep learning libraries.
* As a foundation model developer, collaborate with multiple science and engineering teams to help build adaptations that power use cases across Amazon Last Mile deliveries, improving experience and safety of a delivery driver, an Amazon customer, and improving efficiency of Amazon delivery network.
* Guide technical direction for specific research initiatives, ensuring robust performance in production environments.
* Mentor fellow scientists while maintaining strong individual technical contributions.
A day in the life  
As a member of the Delivery Foundation Model team, you’ll spend your day on the following:  
* Develop and implement novel foundation model architectures, working hands\-on with data and our extensive training and evaluation infrastructure
* Guide and support fellow scientists in solving complex technical challenges, from trajectory planning to efficient multi\-task learning
* Guide and support fellow engineers in building scalable and reusable infra to support model training, evaluation, and inference
\- Lead focused technical initiatives from conception through deployment, ensuring successful integration with production systems\- Drive technical discussions within the team and and key stakeholders  
* Conduct experiments and prototype new ideas
* Mentor team members while maintaining significant hands\-on contribution to technical solutions
About the team  
The Delivery Foundation Model team combines ambitious research vision with real\-world impact. Our foundation models provide generative reasoning capabilities required to meet the demands of Amazon's global Last Mile delivery network. We leverage Amazon's unparalleled computational infrastructure and extensive datasets to deploy state\-of\-the\-art foundation models to improve the safety, quality, and efficiency of Amazon deliveries. Our work spans the full spectrum of foundation model development, from multimodal training using images, videos, and sensor data, to sophisticated modeling strategies that can handle diverse real\-world scenarios. We build everything end to end, from data preparation to model training and evaluation to inference, along with all the tooling needed to understand and analyze model performance.  
Join us if you're excited about pushing the boundaries of what's possible in logistics, working with world\-class scientists and engineers, and seeing your innovations deployed at unprecedented scale.**BASIC QUALIFICATIONS**
------------------------
* PhD or Master's degree and 8\+ years of applied machine learning experience.
* Experience designing novel deep learning model architectures, building models from scratch
* Proficient with Data, experience with SQL and Spark
* Expert coders comfortable working in production environments using Python, C\+\+ or other languages
* Strong publication record at top\-tier conferences (NeurIPS, ICML, ICLR, CVPR, ICCV, RSS, CoRL) OR Demonstrated experience in applying machine learning innovation in industry
* Extensive track record of leading technical projects
* Experience mentoring junior scientists / engineers.
**PREFERRED QUALIFICATIONS**
----------------------------
* Experience building foundation models for industry or research
* Experience designing multi\-modal model architectures
* Experience building models for motion prediction, e.g. for autonomous driving
* Track record of successful production ML deployments
* Experience with large\-scale distributed environments for ML training and inference
* History of impactful first\-author publications at major conferences
Amazon is an equal opportunity employer and does not discriminate on the basis of protected veteran status, disability, or other legally protected status.  
Los Angeles County applicants: Job duties for this position include: work safely and cooperatively with other employees, supervisors, and staff; adhere to standards of excellence despite stressful conditions; communicate effectively and respectfully with employees, supervisors, and staff to ensure exceptional customer service; and follow all federal, state, and local laws and Company policies. Criminal history may have a direct, adverse, and negative relationship with some of the material job duties of this position. These include the duties and responsibilities listed above, as well as the abilities to adhere to company policies, exercise sound judgment, effectively manage stress and work safely and respectfully with others, exhibit trustworthiness and professionalism, and safeguard business operations and the Company’s reputation. Pursuant to the Los Angeles County Fair Chance Ordinance, we will consider for employment qualified applicants with arrest and conviction records.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CA, Santa Clara \- 228,700\.00 \- 309,400\.00 USD annually  
USA, NY, New York \- 218,800\.00 \- 295,900\.00 USD annually  
USA, WA, Bellevue \- 198,900\.00 \- 269,000\.00 USD annually</t>
        </is>
      </c>
    </row>
    <row r="111">
      <c r="A111" t="inlineStr">
        <is>
          <t>in-422e864e7e59aa28</t>
        </is>
      </c>
      <c r="B111" t="inlineStr">
        <is>
          <t>AI/ML Engineer</t>
        </is>
      </c>
      <c r="C111" t="inlineStr">
        <is>
          <t>Forman Technology Group</t>
        </is>
      </c>
      <c r="D111" t="inlineStr">
        <is>
          <t>indeed</t>
        </is>
      </c>
      <c r="E111">
        <f>HYPERLINK("https://www.indeed.com/viewjob?jk=422e864e7e59aa28", "https://www.indeed.com/viewjob?jk=422e864e7e59aa28")</f>
        <v/>
      </c>
      <c r="F111">
        <f>HYPERLINK("http://www.indeed.com/job/aiml-engineer-422e864e7e59aa28", "http://www.indeed.com/job/aiml-engineer-422e864e7e59aa28")</f>
        <v/>
      </c>
      <c r="G111" t="inlineStr">
        <is>
          <t>Plano, TX, US</t>
        </is>
      </c>
      <c r="H111" s="1" t="n">
        <v>46084</v>
      </c>
      <c r="I111" t="inlineStr">
        <is>
          <t>We are seeking an AI/ML Engineer with experience in developing and deploying machine learning solutions. The role involves working across the ML lifecycle and collaborating with cross\-functional teams to build scalable, data\-driven AI solutions for real\-world applications.
**Key Responsibilities**  
\* Develop and implement machine learning models for business and product use cases  
\* Perform data preprocessing, feature engineering, and exploratory data analysis  
\* Train, evaluate, and tune machine learning models using standard techniques  
\* Assist in building and maintaining ML pipelines for training and inference  
\* Support the deployment of machine learning models into production environments  
\* Monitor model performance and support model improvement and retraining  
\* Work with structured and semi\-structured datasets  
\* Collaborate with cross\-functional teams to understand requirements and deliver AI solutions  
\* Write clean, maintainable, and well\-documented code  
\* Stay updated with new tools and techniques in AI and machine learning
**Qualifications**  
\* Bachelor’s or Master’s degree in Computer Science, Artificial Intelligence, Data Science, or a related field  
\* 2\+ years of professional experience in Machine Learning or AI development  
\* Strong programming skills in Python  
\* Hands\-on experience with ML libraries such as Scikit\-learn, TensorFlow, or PyTorch  
\* Good understanding of core machine learning concepts, including regression and classification, model evaluation techniques, feature engineering, and overfitting and regularization.ncepts  
\* Experience working with data using SQL or Pandas  
\* Familiarity with version control systems such as Git
Job Type: Full\-time
Pay: $88,271\.00 \- $109,459\.00 per year
Benefits:
* 401(k)
* Dental insurance
* Health insurance
* Paid time off
Work Location: In person</t>
        </is>
      </c>
    </row>
    <row r="112">
      <c r="A112" t="inlineStr">
        <is>
          <t>in-19076fb7e605099f</t>
        </is>
      </c>
      <c r="B112" t="inlineStr">
        <is>
          <t>Chief Architect &amp; AI Engineer</t>
        </is>
      </c>
      <c r="C112" t="inlineStr">
        <is>
          <t>NetCentrics</t>
        </is>
      </c>
      <c r="D112" t="inlineStr">
        <is>
          <t>indeed</t>
        </is>
      </c>
      <c r="E112">
        <f>HYPERLINK("https://www.indeed.com/viewjob?jk=19076fb7e605099f", "https://www.indeed.com/viewjob?jk=19076fb7e605099f")</f>
        <v/>
      </c>
      <c r="F112">
        <f>HYPERLINK("https://recruiting.paylocity.com/recruiting/jobs/Details/3965213/NetCentrics-Corporation/Chief-Architect-AI-Engineer?source=Indeed_Feed", "https://recruiting.paylocity.com/recruiting/jobs/Details/3965213/NetCentrics-Corporation/Chief-Architect-AI-Engineer?source=Indeed_Feed")</f>
        <v/>
      </c>
      <c r="G112" t="inlineStr">
        <is>
          <t>Herndon, VA, US</t>
        </is>
      </c>
      <c r="H112" s="1" t="n">
        <v>46083</v>
      </c>
      <c r="I112" t="inlineStr">
        <is>
          <t>NetCentrics is seeking a **Chief Architect \&amp; AI Engineer** to lead mission\-critical AI initiatives supporting federal government customers. This role combines strategic architecture leadership with hands\-on engineering execution to accelerate AI transformation from concept through enterprise production deployment.
The ideal candidate brings deep technical expertise in AI/ML systems, a strong product\-delivery mindset, and the executive presence required to operate effectively within complex government environments. This individual will serve as a trusted technical advisor, solution architect, and implementation leader across high\-visibility programs.
If you thrive at the intersection of strategy, architecture, and delivery — and are energized by solving complex national mission challenges — we encourage you to apply.
**Key Responsibilities**
**Strategic AI Leadership**
* Partner with federal stakeholders to identify high\-impact AI opportunities and define mission\-aligned use cases.
* Shape AI strategy, roadmaps, and implementation plans aligned to program goals.
* Serve as the senior technical authority for AI architecture decisions.
**Solution Architecture \&amp; Engineering**
* Architect and integrate end\-to\-end AI/ML solutions including:
	+ Large Language Models (LLMs)
	+ Retrieval\-Augmented Generation (RAG) pipelines
	+ Data architectures and vector databases
	+ Workflow orchestration frameworks
* Design scalable, secure, AI\-native systems ready for enterprise deployment.
* Lead hands\-on prototyping and proof\-of\-concept development to validate technical feasibility and mission value.
**Delivery \&amp; Execution**
* Collaborate closely with engineering teams to build, test, and iterate solutions rapidly.
* Guide solutions from ideation through production deployment.
* Translate operational feedback into platform enhancements and architectural improvements.
**Client \&amp; Executive Engagement**
* Act as the primary technical liaison between government customers, internal teams, and external partners.
* Present architectural approaches and technical strategies to executive stakeholders.
* Communicate complex AI concepts clearly to both technical and non\-technical audiences.
**Compliance \&amp; Security**
* Ensure all solutions align with federal security frameworks and compliance standards (e.g., FedRAMP, RMF).
* Design systems in accordance with ethical AI principles and data governance policies.
* Architect for secure cloud deployment within AWS, Azure, or GCP environments.
**Required Qualifications**
**Experience**
* 7\+ years of experience in technical consulting, solution architecture, field engineering, or similar roles with a focus on AI/ML.
* Proven success leading AI/ML initiatives from concept through production.
* Demonstrated ability to manage complex, high\-visibility technical programs.
**Technical Expertise**
* Deep hands\-on experience with:
	+ LLM\-based systems and Generative AI pipelines
	+ Prompt engineering, RAG, and orchestration frameworks (e.g., LangChain, Semantic Kernel)
	+ Custom software development
* Strong cloud architecture experience (AWS, Azure, or GCP).
* Expertise with:
	+ Containers (Docker, Kubernetes)
	+ Infrastructure\-as\-Code (Terraform or similar)
	+ Enterprise integration patterns
**Leadership \&amp; Communication**
* Exceptional communication and presentation skills.
* Ability to translate complex technical concepts into mission and business impact.
* Strong analytical and architectural problem\-solving skills.
* Customer\-focused mindset with emphasis on measurable outcomes.
**Clearance Requirements**
* U.S. Citizenship required.
* Active Secret clearance (minimum) required.
**Preferred Qualifications**
* Proficiency in Python and SQL.
* Experience working within federal data governance and security environments.
* Bachelor’s or Master’s degree in Computer Science, Engineering, Data Science, or related technical discipline.
* Experience supporting DoD, DHS, or Federal Civilian agencies.
**Where You Belong**
At the heart of our organization lies a set of five core values that guide every facet of our work. **"Mission First"** epitomizes our unwavering commitment to our goals. **"People Always"** underscores the significance we place on our team's well\-being and development. We continually strive to **"Be Eminent"** by consistently pushing the boundaries of excellence. **"Embrace the Team"** reflects our unwavering belief in the power of collaboration, recognizing that together, we attain greatness. With every action, we **"Act with a Purpose,"** ensuring that our efforts contribute meaningfully to a larger mission. These values serve as the bedrock of our company culture, propelling us forward as a united and purpose\-driven team.
**Why Join NetCentrics**
Join us not just to be a part of safeguarding our nation, but to be at the forefront of innovation, where your ideas and expertise play a pivotal role in shaping the future of cybersecurity and IT. Together, we're not just protecting systems; we're pioneering them. Come be a part of our team and redefine the possibilities in our industry!
**Commitment to Diversity**
This employer participates in E\-Verify and will provide the federal government with your Form I\-9 information to confirm that you are authorized to work in the U.S. All qualified applicants will receive consideration for employment without regard to race, color, religion, sex, sexual orientation, gender identity, national origin, veteran status or on the basis of disability.
*Equal Opportunity Employer/Veterans/Disabled*</t>
        </is>
      </c>
    </row>
    <row r="113">
      <c r="A113" t="inlineStr">
        <is>
          <t>in-da3a3eb4d887f8fe</t>
        </is>
      </c>
      <c r="B113" t="inlineStr">
        <is>
          <t>AI Engineering</t>
        </is>
      </c>
      <c r="C113" t="inlineStr"/>
      <c r="D113" t="inlineStr">
        <is>
          <t>indeed</t>
        </is>
      </c>
      <c r="E113">
        <f>HYPERLINK("https://www.indeed.com/viewjob?jk=da3a3eb4d887f8fe", "https://www.indeed.com/viewjob?jk=da3a3eb4d887f8fe")</f>
        <v/>
      </c>
      <c r="F113">
        <f>HYPERLINK("https://betstarters.bamboohr.com/careers/43?source=indeed&amp;src=indeed&amp;postedDate=2026-03-03", "https://betstarters.bamboohr.com/careers/43?source=indeed&amp;src=indeed&amp;postedDate=2026-03-03")</f>
        <v/>
      </c>
      <c r="G113" t="inlineStr">
        <is>
          <t>Malta, MT, US</t>
        </is>
      </c>
      <c r="H113" s="1" t="n">
        <v>46083</v>
      </c>
      <c r="I113" t="inlineStr">
        <is>
          <t>**About Us:**  
**BetStarters** is a leading iGaming platform provider specialising in **White Label and Turnkey solutions**. We empower businesses to launch their own casino and sportsbook brands through innovative technology and tailored solutions.
 **Job Overview:**  
At BetStarters, we’re building scalable technology platforms used by international operators across multiple markets. We’re now looking for a talented **AI Engineer** to help us strengthen our AI capabilities and bring intelligent systems into production. This is not a research\-only role. This is about **building AI systems** that work in real environments.
 **Key Responsibilities:**
* Design and implement end\-to\-end AI solutions
* Develop, train and deploy ML models in production
* Build scalable and modular AI pipelines
* Work closely with backend engineers to integrate AI services into a microservices architecture
* Take ownership of the full AI lifecycle: data, modeling, validation, deployment
**Requirements:**
* 2–4 years of experience building AI/ML solutions that run in real production environments
* Strong problem\-solving mindset with the ability to turn ambiguous requirements into working systems
* Experience taking ownership of the full lifecycle of an AI solution — from idea to deployment
* Ability to balance experimentation with execution and delivery
* Comfortable working in a fast\-moving, high\-accountability environment
* Strong communication skills and ability to collaborate with engineers and stakeholders
**Preferred:**
* Experience or interest in working alongside Golang\-based backend systems
* Startup mindset with a bias toward action
* Academic background in Artificial Intelligence, Machine Learning, or related field
**Nice to have:**
* Experience with Dockerized AI pipelines
* Background in computer vision or applied ML
* Academic exposure to AI research Experience collaborating across technical and non\-technical teams
**Our Tech Environment:**
* Microservices architecture
* High\-performance backend systems
* Containerized environments
* Real\-world, high\-volume datasets
* International operational scope
**Why Join BetStarters?**
* High ownership and autonomy
* Direct impact on business performance
* Fast\-moving, engineering\-driven culture Real growth path toward AI leadership
* Hybrid setup in Malta</t>
        </is>
      </c>
    </row>
    <row r="114">
      <c r="A114" t="inlineStr">
        <is>
          <t>in-3e35249a8cdfebad</t>
        </is>
      </c>
      <c r="B114" t="inlineStr">
        <is>
          <t>Senior Applied ML Engineer for AICore</t>
        </is>
      </c>
      <c r="C114" t="inlineStr">
        <is>
          <t>Google</t>
        </is>
      </c>
      <c r="D114" t="inlineStr">
        <is>
          <t>indeed</t>
        </is>
      </c>
      <c r="E114">
        <f>HYPERLINK("https://www.indeed.com/viewjob?jk=3e35249a8cdfebad", "https://www.indeed.com/viewjob?jk=3e35249a8cdfebad")</f>
        <v/>
      </c>
      <c r="F114">
        <f>HYPERLINK("https://careers.google.com/jobs/results/115275785622692550-senior-applied-ml-engineer-for-aicore/", "https://careers.google.com/jobs/results/115275785622692550-senior-applied-ml-engineer-for-aicore/")</f>
        <v/>
      </c>
      <c r="G114" t="inlineStr">
        <is>
          <t>Mountain View, CA, US</t>
        </is>
      </c>
      <c r="H114" s="1" t="n">
        <v>46083</v>
      </c>
      <c r="I114" t="inlineStr">
        <is>
          <t>### **Minimum qualifications:**
* Bachelor’s degree or equivalent practical experience.
* 5 years of experience with software development in one or more programming languages (e.g., Python).
* 3 years of experience testing, maintaining, or launching software products, and 1 year of experience with software design and architecture.
* 3 years of experience with one or more of the following: Speech/audio (e.g., technology duplicating and responding to the human voice), reinforcement learning (e.g., sequential decision making), ML infrastructure, or specialization in another ML field.
* 3 years of experience with ML infrastructure (e.g., model deployment, model evaluation, optimization, data processing, debugging).
### **Preferred qualifications:**
* Master's degree or PhD in Computer Science or a related technical field.
* 1 year of experience in a technical leadership role.
* Experience with Machine Learning models (e.g., DNN, LLM, etc.) training, data processing, and evaluation.
* Familiarity with at least one popular ML framework (e.g., PyTorch, Jax, TensorFlow).
**About the job**
-----------------
Google's software engineers develop the next\-generation technologies that change how billions of users connect, explore, and interact with information and one another. Our products need to handle information at massive scale, and extend well beyond web search. We're looking for engineers who bring fresh ideas from all areas, including information retrieval, distributed computing, large\-scale system design, networking and data storage, security, artificial intelligence, natural language processing, UI design and mobile; the list goes on and is growing every day. As a software engineer, you will work on a specific project critical to Google’s needs with opportunities to switch teams and projects as you and our fast\-paced business grow and evolve. We need our engineers to be versatile, display leadership qualities and be enthusiastic to take on new problems across the full\-stack as we continue to push technology forward. The US base salary range for this full\-time position is $166,000\-$244,000 \+ bonus \+ equity \+ benefits. Our salary ranges are determined by role, level, and location. Within the range, individual pay is determined by work location and additional factors, including job\-related skills, experience, and relevant education or training. Your recruiter can share more about the specific salary range for your preferred location during the hiring process.  
Please note that the compensation details listed in US role postings reflect the base salary only, and do not include bonus, equity, or benefits. Learn more about benefits at Google.**Responsibilities**
--------------------
* Partner with DeepMind and CoreML experts to bring Gemini to the Android ecosystem, to shape the future of mobile AI for billions.
* Design privacy\-preserving, on\-device ML systems that fundamentally change mobile interaction and enhance core functionalities at massive scale.
* Collaborate with Android partners to fine\-tune Gemini models for peak performance across a wide array of Neural Processing Unit (NPUs), to achieve cross\-ecosystem optimization.
* Develop next\-generation algorithms and models to dramatically boost the performance and efficiency of on\-device Generative AI.
* Deliver AI experiences to ensure exceptional performance, reliability, and user delight through model optimization and quality assurance.
Google is proud to be an equal opportunity workplace and is an affirmative action employer. We are committed to equal employment opportunity regardless of race, color, ancestry, religion, sex, national origin, sexual orientation, age, citizenship, marital status, disability, gender identity or Veteran status. We also consider qualified applicants regardless of criminal histories, consistent with legal requirements. See also Google's EEO Policy and EEO is the Law. If you have a disability or special need that requires accommodation, please let us know by completing our Accommodations for Applicants form.</t>
        </is>
      </c>
    </row>
    <row r="115">
      <c r="A115" t="inlineStr">
        <is>
          <t>in-551db2ff2c3b18e9</t>
        </is>
      </c>
      <c r="B115" t="inlineStr">
        <is>
          <t>Sr. AI Engineer – Enterprise Agentic AI</t>
        </is>
      </c>
      <c r="C115" t="inlineStr">
        <is>
          <t>Synopsys</t>
        </is>
      </c>
      <c r="D115" t="inlineStr">
        <is>
          <t>indeed</t>
        </is>
      </c>
      <c r="E115">
        <f>HYPERLINK("https://www.indeed.com/viewjob?jk=551db2ff2c3b18e9", "https://www.indeed.com/viewjob?jk=551db2ff2c3b18e9")</f>
        <v/>
      </c>
      <c r="F115">
        <f>HYPERLINK("https://careers.synopsys.com/job/-/-/44408/92333269744", "https://careers.synopsys.com/job/-/-/44408/92333269744")</f>
        <v/>
      </c>
      <c r="G115" t="inlineStr">
        <is>
          <t>Sunnyvale, CA, US</t>
        </is>
      </c>
      <c r="H115" s="1" t="n">
        <v>46083</v>
      </c>
      <c r="I115" t="inlineStr">
        <is>
          <t>**We Are:**
At Synopsys, we drive the innovations that shape the way we live and connect. Our technology is central to the Era of Pervasive Intelligence, from self\-driving cars to learning machines. We lead in chip design, verification, and IP integration, empowering the creation of high\-performance silicon chips and software content. Join us to transform the future through continuous technological innovation.
**You Are:**
You are a highly skilled, hands\-on engineer with a passion for embedding advanced AI into the heart of enterprise business systems. With a robust enterprise background and a minimum of 8\-10 years in software engineering, you thrive on architecting and delivering production\-grade AI solutions that drive real business outcomes. Your expertise spans Python and C\#, and you are adept at integrating AI into platforms such as Microsoft AI Copilot, SAP BTP, Salesforce, and more. You understand how to design and scale agentic AI systems, including Generative AI and Retrieval\-Augmented Generation (RAG), within complex ERP and CRM environments.
You enjoy leading from the front—mentoring engineers, partnering with business stakeholders, and ensuring that your solutions are secure, reliable, and production\-ready. You are comfortable navigating multi\-vendor, hybrid environments, and you excel at building scalable APIs, microservices, and multi\-agent workflows. Your experience integrating AI into workflows for teams like Legal, Finance, Sales, HR, and Operations sets you apart, as does your commitment to best practices in CI/CD, observability, and governance. If you’re looking for a role where you can shape the future of enterprise AI, deliver visible impact, and define standards for agentic AI adoption at scale, this is your opportunity.
**What You’ll Be Doing:**
* Lead the architecture and hands\-on development of enterprise agentic AI platforms across core business domains.
* Build and deploy AI copilots and multi\-agent workflows for business teams (Legal, Finance, Sales, HR, Operations) using Microsoft AI Copilot, SAP BTP, Salesforce, and other platforms.
* Embed AI directly into enterprise workflows, ensuring seamless integration with ERP and CRM systems.
* Design, implement, and govern secure AI solutions utilizing MCP (Model Context Protocol) and A2A (Agent\-to\-Agent) orchestration standards.
* Develop scalable APIs and microservices in Python and C\#, supporting robust, production\-ready AI deployments.
* Ensure production readiness through best practices in CI/CD, observability, reliability, and continuous evaluation.
* Mentor engineers, lead architectural discussions, and collaborate with cross\-functional business and technical stakeholders.
**The Impact You Will Have:**
* Drive the adoption of agentic AI across Synopsys' core business systems, setting standards for enterprise AI integration and governance.
* Deliver high\-visibility, high\-impact AI solutions that transform business processes and decision\-making for teams company\-wide.
* Shape the architecture and best practices for scalable, secure, and reliable AI across hybrid and multi\-vendor environments.
* Empower business teams to leverage AI copilots and intelligent workflows for increased productivity and innovation.
* Mentor and upskill engineering teams, fostering a culture of excellence, collaboration, and forward\-thinking AI adoption.
* Ensure AI solutions meet enterprise standards for security, compliance, reliability, and operational excellence.
**What You’ll Need:**
* 8\-10 years of software engineering experience, with a focus on enterprise systems.
* Expert\-level proficiency in both Python and C\#.
* Hands\-on experience building and operating production AI/GenAI systems integrated with ERP and CRM platforms.
* Deep understanding of agentic AI, RAG, multi\-step workflows, and enterprise\-grade AI architecture.
* Proven experience with Microsoft AI Copilot, Copilot Studio, Microsoft AI Foundry, SAP BTP, and Salesforce AI (including Einstein and agentic capabilities).
* Expertise in microservices, API development, CI/CD pipelines, and cloud deployments.
* Experience with SQL, NoSQL, and vector databases.
* Preferred: Familiarity with LangChain, LangGraph, LlamaIndex, MCP, A2A, and prior support for business functions such as Legal, Finance, Sales, or HR.
**Who You Are:**
* Enterprise\-minded engineer with a strong platform and architecture focus.
* Hands\-on leader who enjoys mentoring and collaborating across business and technical teams.
* Pragmatic, delivery\-oriented, and able to translate business needs into robust AI solutions.
* Adaptable and comfortable working in fast\-changing, multi\-vendor, and hybrid environments.
* Excellent communicator, able to articulate complex technical concepts to diverse audiences.
* Committed to continuous learning and keeping pace with the latest in AI and enterprise technology.
**The Team You’ll Be A Part Of:**
You will join a cross\-functional, forward\-thinking engineering team responsible for embedding trustworthy, scalable AI into Synopsys’ most critical business systems. Our team partners closely with business stakeholders and platform owners to deliver agentic AI workflows that create measurable business value. We are passionate about innovation, operational excellence, and setting the standard for enterprise AI adoption.
**Rewards and Benefits:**
We offer a comprehensive range of health, wellness, and financial benefits to cater to your needs. Our total rewards include both monetary and non\-monetary offerings. Your recruiter will provide more details about the salary range and benefits during the hiring process.</t>
        </is>
      </c>
    </row>
    <row r="116">
      <c r="A116" t="inlineStr">
        <is>
          <t>in-a5398f8b50a4af92</t>
        </is>
      </c>
      <c r="B116" t="inlineStr">
        <is>
          <t>Distinguished AI Engineer</t>
        </is>
      </c>
      <c r="C116" t="inlineStr">
        <is>
          <t>Capital One</t>
        </is>
      </c>
      <c r="D116" t="inlineStr">
        <is>
          <t>indeed</t>
        </is>
      </c>
      <c r="E116">
        <f>HYPERLINK("https://www.indeed.com/viewjob?jk=a5398f8b50a4af92", "https://www.indeed.com/viewjob?jk=a5398f8b50a4af92")</f>
        <v/>
      </c>
      <c r="F116">
        <f>HYPERLINK("https://www.capitalonecareers.com/job/-/-/1732/92321941392", "https://www.capitalonecareers.com/job/-/-/1732/92321941392")</f>
        <v/>
      </c>
      <c r="G116" t="inlineStr">
        <is>
          <t>McLean, VA, US</t>
        </is>
      </c>
      <c r="H116" s="1" t="n">
        <v>46082</v>
      </c>
      <c r="I116" t="inlineStr">
        <is>
          <t>Distinguished AI Engineer**Overview:**
At Capital One, we are creating responsible and reliable AI systems, changing banking for good. For years, Capital One has been an industry leader in using machine learning to create real\-time, personalized customer experiences. Our investments in technology infrastructure and world\-class talent — along with our deep experience in machine learning — position us to be at the forefront of enterprises leveraging AI. From informing customers about unusual charges to answering their questions in real time, our applications of AI \&amp; ML are bringing humanity and simplicity to banking. We are committed to continuing to build world\-class applied science and engineering teams to deliver our industry leading capabilities with breakthrough product experiences and scalable, high\-performance AI infrastructure. At Capital One, you will help bring the transformative power of emerging AI capabilities to reimagine how we serve our customers and businesses who have come to love the products and services we build.
**Team Description:**
The Intelligent Foundations and Experiences (IFX) team is at the center of bringing our vision for AI at Capital One to life. We work hand\-in\-hand with our partners across the company to advance the state of the art in science and AI engineering, and we build and deploy proprietary solutions that are central to our business and deliver value to millions of customers. Our AI models and platforms empower teams across Capital One to enhance their products with the transformative power of AI, in responsible and scalable ways for the highest leverage impact.
 **In this role, you will:**
* Partner with a cross\-functional team of engineers, research scientists, technical program managers, and product managers to deliver AI\-powered products that change how our associates work and how our customers interact with Capital One.
* Design, develop, test, deploy, and support AI software components including foundation model training, large language model inference, similarity search, guardrails, model evaluation, experimentation, governance, and observability, etc.
* Leverage a broad stack of Open Source and SaaS AI technologies such as AWS Ultraclusters, Huggingface, VectorDBs, Nemo Guardrails, PyTorch, and more.
* Invent and introduce state\-of\-the\-art LLM optimization techniques to improve the performance — scalability, cost, latency, throughput — of large scale production AI systems.
* Contribute to the technical vision and the long term roadmap of foundational AI systems at Capital One.
**The Ideal Candidate:**
* You love to build systems, take pride in the quality of your work, and also share our passion to do the right thing. You want to work on problems that will help change banking for good.
* Passion for staying abreast of the latest research, and an ability to intuitively understand scientific publications and judiciously apply novel techniques in production.
* You adapt quickly and thrive on bringing clarity to big, undefined problems. You love asking questions and digging deep to uncover the root of problems and can articulate your findings concisely with clarity. You have the courage to share new ideas even when they are unproven.
* You are deeply Technical. You possess a strong foundation in engineering and mathematics, and your expertise in hardware, software, and AI enable you to see and exploit optimization opportunities that others miss.
* You are a resilient trail blazer who can forge new paths to achieve business goals when the route is unknown.
**Basic Qualifications:**
* Bachelor's degree in Computer Science, AI, Electrical Engineering, Computer Engineering, or related fields plus at least 8 years of experience developing AI and ML algorithms or technologies, or a Master's degree in Computer Science, AI, Electrical Engineering, Computer Engineering, or related fields plus at least 6 years of experience developing AI and ML algorithms or technologies
* At least 8 years of experience programming with Python, Go, Scala, or Java
**Preferred Qualifications:**
* 8 years of experience deploying scalable and responsible AI solutions on cloud platforms (e.g. AWS, Google Cloud, Azure, or equivalent private cloud)
* Experience architecting, designing, developing, integrating, delivering, and supporting complex AI systems
* Demonstrated ability to lead and mentor multiple engineering teams and influence cross\-functional stakeholders up to the VP level
* Experience developing AI and ML algorithms or technologies (e.g. LLM Inference, Similarity Search and VectorDBs, Guardrails, Memory) using Python, C\+\+, C\#, Java, or Golang
* Experience developing and applying state\-of\-the\-art techniques for optimizing training and inference software to improve hardware utilization, latency, throughput, and cost
* Passion for staying abreast of the latest AI research and AI systems, and judiciously apply novel techniques in production
* Excellent communication and presentation skills, with the ability to articulate complex AI concepts to peers
 *Capital One will consider sponsoring a new qualified applicant for employment authorization for this position.*
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
Cambridge, MA: $269,100 \- $307,200 for Distinguished AI Engineer  
McLean, VA: $269,100 \- $307,200 for Distinguished AI Engineer  
New York, NY: $293,600 \- $335,100 for Distinguished AI Engineer  
San Francisco, CA: $293,600 \- $335,100 for Distinguished AI Engineer  
San Jose, CA: $293,600 \- $335,100 for Distinguished AI Engineer  
Candidates hired to work in other locations will be subject to the pay range associated with that location, and the actual annualized salary amount offered to any candidate at the time of hire will be reflected solely in the candidate’s offer letter.
This role is also eligible to earn performance based incentive compensation, which may include cash bonus(es) and/or long term incentives (LTI). Incentives could be discretionary or non discretionary depending on the plan.
Capital One offers a comprehensive, competitive, and inclusive set of health, financial and other benefits that support your total well\-being. Learn more at the Capital One Careers website. Eligibility varies based on full or part\-time status, exempt or non\-exempt status, and management level.
This role is expected to accept applications for a minimum of 5 business days.
No agencies please. Capital One is an equal opportunity employer (EOE, including disability/vet) committed to non\-discrimination in compliance with applicable federal, state, and local laws. Capital One promotes a drug\-free workplace. Capital One will consider for employment qualified applicants with a criminal history in a manner consistent with the requirements of applicable laws regarding criminal background inquiries, including, to the extent applicable, Article 23\-A of the New York Correction Law; San Francisco, California Police Code Article 49, Sections 4901\-4920; New York City’s Fair Chance Act; Philadelphia’s Fair Criminal Records Screening Act; and other applicable federal, state, and local laws and regulations regarding criminal background inquiries.
If you have visited our website in search of information on employment opportunities or to apply for a position, and you require an accommodation, please contact Capital One Recruiting at 1\-800\-304\-9102 or via email at RecruitingAccommodation@capitalone.com. All information you provide will be kept confidential and will be used only to the extent required to provide needed reasonable accommodations.
For technical support or questions about Capital One's recruiting process, please send an email to Careers@capitalone.com
Capital One does not provide, endorse nor guarantee and is not liable for third\-party products, services, educational tools or other information available through this site.
Capital One Financial is made up of several different entities. Please note that any position posted in Canada is for Capital One Canada, any position posted in the United Kingdom is for Capital One Europe and any position posted in the Philippines is for Capital One Philippines Service Corp. (COPSSC).</t>
        </is>
      </c>
    </row>
    <row r="117">
      <c r="A117" t="inlineStr">
        <is>
          <t>in-535e0842a53636fb</t>
        </is>
      </c>
      <c r="B117" t="inlineStr">
        <is>
          <t>Applied AI Engineer II</t>
        </is>
      </c>
      <c r="C117" t="inlineStr">
        <is>
          <t>Microsoft</t>
        </is>
      </c>
      <c r="D117" t="inlineStr">
        <is>
          <t>indeed</t>
        </is>
      </c>
      <c r="E117">
        <f>HYPERLINK("https://www.indeed.com/viewjob?jk=535e0842a53636fb", "https://www.indeed.com/viewjob?jk=535e0842a53636fb")</f>
        <v/>
      </c>
      <c r="F117">
        <f>HYPERLINK("https://apply.careers.microsoft.com/careers/job/1970393556824086?utm_source=indeed&amp;domain=microsoft.com", "https://apply.careers.microsoft.com/careers/job/1970393556824086?utm_source=indeed&amp;domain=microsoft.com")</f>
        <v/>
      </c>
      <c r="G117" t="inlineStr">
        <is>
          <t>Redmond, WA, US</t>
        </is>
      </c>
      <c r="H117" s="1" t="n">
        <v>46082</v>
      </c>
      <c r="I117" t="inlineStr">
        <is>
          <t>**Overview**  
Project Sophia is a new generation business application, built ground up from market\-disruptive, AI\-first product principles. The product has been designed to completely re\-define how complex, cross domain business problems are solved. Every interaction, every component and every user experience has been designed leveraging the full power and potential of generative AI and is taking the notion of AI based experiences way beyond the standard AI chat experiences.
Multi\-modal concepts, combined with an emphasis of visual appeal and ease of use, is empowering any business user to interact with an infinite, AI Powered Business Research canvas where users can explore and resolve any business question both within and across business domains. Powered by large language models and deep business domain expertise, Project Sophia will empower the user to build out research journeys, automatically suggesting relevant data sources and correlating insights, intelligently visualizing exploration outcomes and suggesting next actions in the research journey. Project Sophia represents the new way of doing business, enabling strategic business decision making in a fraction of the time – filling a gap in the market where no app exists today.
As we advance our product journey, we are innovating and iterating at a rapid pace. To further accelerate our momentum by bringing agentic, AI\-powered experiences to the business application space and transforming how people work we continue to expand our investments in generative AI capabilities.
The Team
We are a small, but very dynamic and passionate team that fully embrace the build\-measure\-learn iterative development approach. We work towards the common goal of building a product customers love. As a natural part of our product design and development process we are working very closely with customers as well as listening to telemetry and other key signals which allow us to consistently evolve based on customer demand and adoption patterns. Deep collaboration across PM, Design, Engineering, and Science is a given and all disciplines play important roles as part of the product development process.  
In Sophia’s user experience team, we are committed to building the best\-in\-class AI experiences to gain insight into strategic business questions. We foster a culture of diversity, collaboration, and innovation, valuing everyone's unique perspectives and contributions. Our agile, start\-up\-like environment encourages out\-of\-the\-box thinking and empowers each team member to contribute towards our shared mission of delivering a highly innovative, agentic, AI powered user experience that is positioned to fundamentally change what business applications look like in the future.
The Candidate Profile \&amp; Role
As an **Applied AI Engineer II** on the team, you will apply both software engineering and AI expertise to design and implement intelligent solutions and end\-to\-end experiences for Sophia. You’ll collaborate with business and technology leaders, internal users, and partners to build scalable, production\-ready systems that leverage AI to solve complex business requests. In this role, you are expected to bring software engineering fundamental architecture, coding, testing, and deployment— while pioneering AI\-centric UI and delivering unique experiences that differentiate Sophia in the market.
We are seeking individuals who are customer\-focused, passionate, creative, and collaborative. If you have a proven track record of delivering delightful experiences and are motivated by our mission to innovate in AI\-driven UI and deliver novel experiences, we encourage you to apply. Joining Project Sophia offers a unique opportunity to work on something highly strategic to Microsoft and be at the cutting edge of innovation. We provide opportunities for professional development, mentorship, and career advancement within our dynamic and fast\-paced environment.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**Responsibilities**  
As a Software Engineer with applied AI focus, you will apply both software engineering and AI expertise to build intelligent, scalable solutions. You’ll collaborate with cross\-functional teams to deliver high\-impact features aligned with enterprise standards and cloud\-scale requirements. Your responsibilities include:
* Design, implement, and ship AI\-first product capabilities end\-to\-end from rapid prototype to production, spanning LLM\-powered services, retrieval/grounding pipelines, and intelligent UX experiences that delight users through Sophia’s AI canvas.
* Own implementation across the full stack integrating front\-end experiences, back\-end services, and AI orchestration layers that connect models, context, and tools to deliver cohesive, extensible, high\-performance systems.
* Collaborate with design, research, and platform teams to adapt or fine\-tune LLMs/SLMs and multimodal models for real\-world customer scenarios, ensuring outcomes are contextual, transparent, and human\-centered.
* Build agentic, tool\-using, and multimodal workflows that reason across data and services; optimize for safety, latency, reliability, and cost efficiency.
* Contribute to engineering excellence secure\-by\-design, accessibility compliance, automated testing, and code craftsmanship across the product lifecycle.
* Instrument and evaluate AI features with telemetry, experimentation, and continuous feedback loops to refine reasoning quality and user experience.
* Drive live\-site reliability and operational excellence, participating in On\-Call rotations while maintaining a sustainable, high\-ownership engineering culture.
**Qualifications** **Required Qualifications:**
* Bachelor's Degree in Statistics, Econometrics, Computer Science, Electrical or Computer Engineering, or related field AND 2\+ years related experience (e.g., statistics, predictive analytics, research) OR Master's Degree in Statistics, Econometrics, Computer Science, Electrical or Computer Engineering, OR related field AND 1\+ year(s) related experience (e.g., statistics, predictive analytics, research) OR Doctorate in Statistics, Econometrics, Computer Science, Electrical or Computer Engineering, or related field OR equivalent experience.
 **Other Requirements:** Ability to meet Microsoft, customer and/or government security screening requirements are required for this role. These requirements include but are not limited to the following specialized security screenings:
* **Microsoft Cloud Background Check:** This position will be required to pass the Microsoft Cloud background check upon hire/transfer and every two years thereafter.
 **Preferred qualification:**
* 2\+ years of extensive experience with one or more modern web technologies such as .NET / Node / React / Angular, building RESTful APIs
* 2\+ years of solid experience in an OO Language like C\# or Java or Python
* 1\+ years of professional experience working with generative artificial intelligence, large language models, or agent\-based systems.
* BS/MS in Computer Science or equivalent or 5\+ years of industry experience.
* Excellence in one or more general programming languages including but not limited to: Python, C\#; JavaScript; TypeScript.
* Comfortable driving complex server \&amp; client architecture across large product teams.
* Hands\-on experience with modern LLM evaluation techniques, including LLM\-as\-a\-Judge, agentic evaluations, and RAG assessments.
* A track record of delivering successful, large\-scale applied ML projects in an industry setting.
* Experience with MLOps practices, including model versioning, automated testing, monitoring, and CI/CD for machine learning.
* Cloud \&amp; Infrastructure: Skilled in building and operating infrastructure using Azure, AWS, or Google Cloud, and deploying containerized models with Docker, Kubernetes, or similar tools.
* Experience with proficient coding, debugging, and problem\-solving skills.
\#BICJobs
\#CXAJOBS
Software Engineering IC3 \- The typical base pay range for this role across the U.S. is USD $100,600 \- $199,000 per year. There is a different range applicable to specific work locations, within the San Francisco Bay area and New York City metropolitan area, and the base pay range for this role in those locations is USD $131,400 \- $215,400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t>
        </is>
      </c>
    </row>
    <row r="118">
      <c r="A118" t="inlineStr">
        <is>
          <t>in-669d3958d65a0ec8</t>
        </is>
      </c>
      <c r="B118" t="inlineStr">
        <is>
          <t>Sr. Lead AI Engineer</t>
        </is>
      </c>
      <c r="C118" t="inlineStr">
        <is>
          <t>Information Technology Senior Management Forum</t>
        </is>
      </c>
      <c r="D118" t="inlineStr">
        <is>
          <t>indeed</t>
        </is>
      </c>
      <c r="E118">
        <f>HYPERLINK("https://www.indeed.com/viewjob?jk=669d3958d65a0ec8", "https://www.indeed.com/viewjob?jk=669d3958d65a0ec8")</f>
        <v/>
      </c>
      <c r="F118">
        <f>HYPERLINK("https://jobs.itsmfleaders.org/job/mq8gvz/sr-lead-ai-engineer/san-jose/ca", "https://jobs.itsmfleaders.org/job/mq8gvz/sr-lead-ai-engineer/san-jose/ca")</f>
        <v/>
      </c>
      <c r="G118" t="inlineStr">
        <is>
          <t>San Jose, CA, US</t>
        </is>
      </c>
      <c r="H118" s="1" t="n">
        <v>46079</v>
      </c>
      <c r="I118" t="inlineStr">
        <is>
          <t>Posted Date
2/27/2026
Description
Sr. Lead AI Engineer**Overview:**
At Capital One, we are creating responsible and reliable AI systems, changing banking for good. For years, Capital One has been an industry leader in using machine learning to create real\-time, personalized customer experiences. Our investments in technology infrastructure and world\-class talent — along with our deep experience in machine learning — position us to be at the forefront of enterprises leveraging AI. From informing customers about unusual charges to answering their questions in real time, our applications of AI \&amp; ML are bringing humanity and simplicity to banking. We are committed to continuing to build world\-class applied science and engineering teams to deliver our industry leading capabilities with breakthrough product experiences and scalable, high\-performance AI infrastructure. At Capital One, you will help bring the transformative power of emerging AI capabilities to reimagine how we serve our customers and businesses who have come to love the products and services we build.
**Team Description:**
The Intelligent Foundations and Experiences (IFX) team is at the center of bringing our vision for AI at Capital One to life. We work hand\-in\-hand with our partners across the company to advance the state of the art in science and AI engineering, and we build and deploy proprietary solutions that are central to our business and deliver value to millions of customers. Our AI models and platforms empower teams across Capital One to enhance their products with the transformative power of AI, in responsible and scalable ways for the highest leverage impact.
 **In this role, you will:**
* Partner with a cross\-functional team of engineers, research scientists, technical program managers, and product managers to deliver AI\-powered products that change how our associates work and how our customers interact with Capital One.
* Design, develop, test, deploy, and support AI software components including foundation model training, large language model inference, similarity search, guardrails, model evaluation, experimentation, governance, and observability, etc.
* Leverage a broad stack of Open Source and SaaS AI technologies such as AWS Ultraclusters, Huggingface, VectorDBs, Nemo Guardrails, PyTorch, and more.
* Invent and introduce state\-of\-the\-art LLM optimization techniques to improve the performance — scalability, cost, latency, throughput — of large scale production AI systems.
* Contribute to the technical vision and the long term roadmap of foundational AI systems at Capital One.
**The Ideal Candidate:**
* You love to build systems, take pride in the quality of your work, and also share our passion to do the right thing. You want to work on problems that will help change banking for good.
* Passion for staying abreast of the latest research, and an ability to intuitively understand scientific publications and judiciously apply novel techniques in production.
* You adapt quickly and thrive on bringing clarity to big, undefined problems. You love asking questions and digging deep to uncover the root of problems and can articulate your findings concisely with clarity. You have the courage to share new ideas even when they are unproven.
* You are deeply Technical. You possess a strong foundation in engineering and mathematics, and your expertise in hardware, software, and AI enable you to see and exploit optimization opportunities that others miss.
* You are a resilient trail blazer who can forge new paths to achieve business goals when the route is unknown.
**Basic Qualifications:**
* Bachelor's degree in Computer Science, AI, Electrical Engineering, Computer Engineering, or related fields plus at least 6 years of experience developing AI and ML algorithms or technologies, or a Master's degree in Computer Science, AI, Electrical Engineering, Computer Engineering, or related fields plus at least 4 years of experience developing AI and ML algorithms or technologies
* At least 6 years of experience programming with Python, Go, Scala, or Java
**Preferred Qualifications:**
* 7 years of experience deploying scalable and responsible AI solutions on cloud platforms (e.g. AWS, Google Cloud, Azure, or equivalent private cloud)
* Experience designing, developing, integrating, delivering, and supporting complex AI systems
* Demonstrated ability to lead and mentor an engineering team and influence cross\-functional stakeholders
* Experience developing AI and ML algorithms or technologies (e.g. LLM Inference, Similarity Search and VectorDBs, Guardrails, Memory) using Python, C\+\+, C\#, Java, or Golang
* Experience developing and applying state\-of\-the\-art techniques for optimizing training and inference software to improve hardware utilization, latency, throughput, and cost
* Passion for staying abreast of the latest AI research and AI systems, and judiciously apply novel techniques in production
* Excellent communication and presentation skills, with the ability to articulate complex AI concepts to peers
*Capital One will consider sponsoring a new qualified applicant for employment authorization for this position.*
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
Cambridge, MA: $229,900 \- $262,400 for Sr. Lead AI Engineer  
McLean, VA: $229,900 \- $262,400 for Sr. Lead AI Engineer  
New York, NY: $250,800 \- $286,200 for Sr. Lead AI Engineer  
San Jose, CA: $250,800 \- $286,200 for Sr. Lead AI Engineer  
Candidates hired to work in other locations will be subject to the pay range associated with that location, and the actual annualized salary amount offered to any candidate at the time of hire will be reflected solely in the candidate’s offer letter.
This role is also eligible to earn performance based incentive compensation, which may include cash bonus(es) and/or long term incentives (LTI). Incentives could be discretionary or non discretionary depending on the plan.
Capital One offers a comprehensive, competitive, and inclusive set of health, financial and other benefits that support your total well\-being. Learn more at the Capital One Careers website. Eligibility varies based on full or part\-time status, exempt or non\-exempt status, and management level.
This role is expected to accept applications for a minimum of 5 business days.No agencies please. Capital One is an equal opportunity employer (EOE, including disability/vet) committed to non\-discrimination in compliance with applicable federal, state, and local laws. Capital One promotes a drug\-free workplace. Capital One will consider for employment qualified applicants with a criminal history in a manner consistent with the requirements of applicable laws regarding criminal background inquiries, including, to the extent applicable, Article 23\-A of the New York Correction Law; San Francisco, California Police Code Article 49, Sections 4901\-4920; New York City’s Fair Chance Act; Philadelphia’s Fair Criminal Records Screening Act; and other applicable federal, state, and local laws and regulations regarding criminal background inquiries.
If you have visited our website in search of information on employment opportunities or to apply for a position, and you require an accommodation, please contact Capital One Recruiting at 1\-800\-304\-9102 or via email at RecruitingAccommodation@capitalone.com. All information you provide will be kept confidential and will be used only to the extent required to provide needed reasonable accommodations.
For technical support or questions about Capital One's recruiting process, please send an email to Careers@capitalone.com
Capital One does not provide, endorse nor guarantee and is not liable for third\-party products, services, educational tools or other information available through this site.
Capital One Financial is made up of several different entities. Please note that any position posted in Canada is for Capital One Canada, any position posted in the United Kingdom is for Capital One Europe and any position posted in the Philippines is for Capital One Philippines Service Corp. (COPSSC).
Sr. Lead AI Engineer**Overview:**
At Capital One, we are creating responsible and reliable AI systems, changing banking for good. For years, Capital One has been an industry leader in using machine learning to create real\-time, personalized customer experiences. Our investments in technology infrastructure and world\-class talent — along with our deep experience in machine learning — position us to be at the forefront of enterprises leveraging AI. From informing customers about unusual charges to answering their questions in real time, our applications of AI \&amp; ML are bringing humanity and simplicity to banking. We are committed to continuing to build world\-class applied science and engineering teams to deliver our industry leading capabilities with breakthrough product experiences and scalable, high\-performance AI infrastructure. At Capital One, you will help bring the transformative power of emerging AI capabilities to reimagine how we serve our customers and businesses who have come to love the products and services we build.
**Team Description:**
The Intelligent Foundations and Experiences (IFX) team is at the center of bringing our vision for AI at Capital One to life. We work hand\-in\-hand with our partners across the company to advance the state of the art in science and AI engineering, and we build and deploy proprietary solutions that are central to our business and deliver value to millions of customers. Our AI models and platforms empower teams across Capital One to enhance their products with the transformative power of AI, in responsible and scalable ways for the highest leverage impact.
 **In this role, you will:**
* Partner with a cross\-functional team of engineers, research scientists, technical program managers, and product managers to deliver AI\-powered products that change how our associates work and how our customers interact with Capital One.
* Design, develop, test, deploy, and support AI software components including foundation model training, large language model inference, similarity search, guardrails, model evaluation, experimentation, governance, and observability, etc.
* Leverage a broad stack of Open Source and SaaS AI technologies such as AWS Ultraclusters, Huggingface, VectorDBs, Nemo Guardrails, PyTorch, and more.
* Invent and introduce state\-of\-the\-art LLM optimization techniques to improve the performance — scalability, cost, latency, throughput — of large scale production AI systems.
* Contribute to the technical vision and the long term roadmap of foundational AI systems at Capital One.
**The Ideal Candidate:**
* You love to build systems, take pride in the quality of your work, and also share our passion to do the right thing. You want to work on problems that will help change banking for good.
* Passion for staying abreast of the latest research, and an ability to intuitively understand scientific publications and judiciously apply novel techniques in production.
* You adapt quickly and thrive on bringing clarity to big, undefined problems. You love asking questions and digging deep to uncover the root of problems and can articulate your findings concisely with clarity. You have the courage to share new ideas even when they are unproven.
* You are deeply Technical. You possess a strong foundation in engineering and mathematics, and your expertise in hardware, software, and AI enable you to see and exploit optimization opportunities that others miss.
* You are a resilient trail blazer who can forge new paths to achieve business goals when the route is unknown.
**Basic Qualifications:**
* Bachelor's degree in Computer Science, AI, Electrical Engineering, Computer Engineering, or related fields plus at least 6 years of experience developing AI and ML algorithms or technologies, or a Master's degree in Computer Science, AI, Electrical Engineering, Computer Engineering, or related fields plus at least 4 years of experience developing AI and ML algorithms or technologies
* At least 6 years of experience programming with Python, Go, Scala, or Java
**Preferred Qualifications:**
* 7 years of experience deploying scalable and responsible AI solutions on cloud platforms (e.g. AWS, Google Cloud, Azure, or equivalent private cloud)
* Experience designing, developing, integrating, delivering, and supporting complex AI systems
* Demonstrated ability to lead and mentor an engineering team and influence cross\-functional stakeholders
* Experience developing AI and ML algorithms or technologies (e.g. LLM Inference, Similarity Search and VectorDBs, Guardrails, Memory) using Python, C\+\+, C\#, Java, or Golang
* Experience developing and applying state\-of\-the\-art techniques for optimizing training and inference software to improve hardware utilization, latency, throughput, and cost
* Passion for staying abreast of the latest AI research and AI systems, and judiciously apply novel techniques in production
* Excellent communication and presentation skills, with the ability to articulate complex AI concepts to peers
*Capital One will consider sponsoring a new qualified applicant for employment authorization for this position.*
The minimum and maximum full\-time annual salaries for this role are listed below, by location. Please note that this salary information is solely for candidates hired to perform work within one of these locations, and refers to the amount Capital One is willing to pay at the time of this posting. Salaries for part\-time roles will be prorated based upon the agreed upon number of hours to be regularly worked.
Cambridge, MA: $229,900 \- $262,400 for Sr. Lead AI Engineer  
McLean, VA: $229,900 \- $262,400 for Sr. Lead AI Engineer  
New York, NY: $250,800 \- $286,200 for Sr. Lead AI Engineer  
San Jose, CA: $250,800 \- $286,200 for Sr. Lead AI Engineer  
Candidates hired to work in other locations will be subject to the pay range associated with that location, and the actual annualized salary amount offered to any candidate at the time of hire will be reflected solely in the candidate’s offer letter.
This role is also eligible to earn performance based incentive compensation, which may include cash bonus(es) and/or long term incentives (LTI). Incentives could be discretionary or non discretionary depending on the plan.
Capital One offers a comprehensive, competitive, and inclusive set of health, financial and other benefits that support your total well\-being. Learn more at the Capital One Careers website. Eligibility varies based on full or part\-time status, exempt or non\-exempt status, and management level.
This role is expected to accept applications for a minimum of 5 business days.No agencies please. Capital One is an equal opportunity employer (EOE, including disability/vet) committed to non\-discrimination in compliance with applicable federal, state, and local laws. Capital One promotes a drug\-free workplace. Capital One will consider for employment qualified applicants with a criminal history in a manner consistent with the requirements of applicable laws regarding criminal background inquiries, including, to the extent applicable, Article 23\-A of the New York Correction Law; San Francisco, California Police Code Article 49, Sections 4901\-4920; New York City’s Fair Chance Act; Philadelphia’s Fair Criminal Records Screening Act; and other applicable federal, state, and local laws and regulations regarding criminal background inquiries.
If you have visited our website in search of information on employment opportunities or to apply for a position, and you require an accommodation, please contact Capital One Recruiting at 1\-800\-304\-9102 or via email at RecruitingAccommodation@capitalone.com. All information you provide will be kept confidential and will be used only to the extent required to provide needed reasonable accommodations.
For technical support or questions about Capital One's recruiting process, please send an email to Careers@capitalone.com
Capital One does not provide, endorse nor guarantee and is not liable for third\-party products, services, educational tools or other information available through this site.
Capital One Financial is made up of several different entities. Please note that any position posted in Canada is for Capital One Canada, any position posted in the United Kingdom is for Capital One Europe and any position posted in the Philippines is for Capital One Philippines Service Corp. (COPSSC).
Salary
229,900\.00 \- 262,400\.00 Annual
Type
Full\-time</t>
        </is>
      </c>
    </row>
    <row r="119">
      <c r="A119" t="inlineStr">
        <is>
          <t>in-384f67c9dee5659e</t>
        </is>
      </c>
      <c r="B119" t="inlineStr">
        <is>
          <t>ML Engineer, GO-AI Technology &amp; Development Team</t>
        </is>
      </c>
      <c r="C119" t="inlineStr">
        <is>
          <t>Amazon.com</t>
        </is>
      </c>
      <c r="D119" t="inlineStr">
        <is>
          <t>indeed</t>
        </is>
      </c>
      <c r="E119">
        <f>HYPERLINK("https://www.indeed.com/viewjob?jk=384f67c9dee5659e", "https://www.indeed.com/viewjob?jk=384f67c9dee5659e")</f>
        <v/>
      </c>
      <c r="F119">
        <f>HYPERLINK("https://www.amazon.jobs/jobs/3173298/ml-engineer-goai-technology--development-team?cmpid=DA_INAD200785B", "https://www.amazon.jobs/jobs/3173298/ml-engineer-goai-technology--development-team?cmpid=DA_INAD200785B")</f>
        <v/>
      </c>
      <c r="G119" t="inlineStr">
        <is>
          <t>Reading, MA, US</t>
        </is>
      </c>
      <c r="H119" s="1" t="n">
        <v>45998</v>
      </c>
      <c r="I119" t="inlineStr">
        <is>
          <t>**DESCRIPTION**
---------------
Amazon Robotics is at the forefront of applying state\-of\-the\-art AI to solve real\-world challenges at unprecedented scale. Our fulfillment centers handle more individual items than any company in the world, combining computer vision, mobile robots, advanced end\-of\-arm tooling, and high\-degree of freedom movement with state\-of\-the\-art artificial intelligence. We partner with customers across Amazon worldwide to conceive, develop, prototype, and deploy intelligent robotic systems that push the boundaries of industrial automation.  
Within Amazon Robotics, the Global Operations \- Artificial Intelligence (GO\-AI) team enables Amazon to accelerate and scale the next generation of AI\-powered robotic solutions. We're transforming how complex visual reasoning tasks are performed across Amazon's robotics operations, moving from traditional manual data annotation processes to state\-of\-the\-art foundation model solutions.
As a Machine Learning Engineer on GO\-AI's Technology \&amp; Development Team, you'll be at the center of this transformation. You'll work with massive\-scale, proprietary datasets to develop vision\-language models that achieve human\-level performance on complex real\-world tasks. Your work will directly impact millions of daily operations across Amazon's global fulfillment network.
This is a rare opportunity to build AI systems that operate at Amazon scale while solving novel technical challenges in computer vision, natural language processing, and human\-AI collaboration. You'll collaborate with world\-class scientists, engineers, and operations teams to deploy state\-of\-the\-art research into production systems that deliver real\-world impact at global scale.  
Key job responsibilities  
* Build and optimize distributed training infrastructure for large\-scale vision\-language models at unprecedented scale
* Design and implement high\-throughput production inference systems that serve foundation models at Amazon scale with strict latency and reliability requirements
* Develop large\-scale data and media processing pipelines to handle massive volumes of video, image, and annotation data for model training and evaluation
* Create automated retraining pipelines and performance monitoring systems to maintain model accuracy in dynamic production environments
* Work closely with scientists and engineers to deliver scalable, high\-performance systems that power state\-of\-the\-art AI applications
A day in the life  
Amazon offers a full range of benefits that assist you and eligible family members, including domestic partners. Benefits can vary by location, the number of regularly scheduled hours you work, length of employment, and job status such as seasonal or temporary employment. The benefits that generally apply to regular, full\-time employees include:  
1\. Medical, Dental, and Vision Coverage
2\. Maternity and Parental Leave Options
3\. Paid Time Off (PTO)
4\. 401(k) Plan  
If you are not sure that every qualification on the list above describes you exactly, we'd still love to hear from you! At Amazon, we value people with unique backgrounds, experiences, and skillsets. If you’re passionate about this role and want to make an impact on a global scale, please apply!**BASIC QUALIFICATIONS**
------------------------
* 5\+ years of non\-internship professional software development experience
* 5\+ years of programming with at least one software programming language experience
* 5\+ years of leading design or architecture (design patterns, reliability and scaling) of new and existing systems experience
* Experience as a mentor, tech lead or leading an engineering team
* Experience programming in Java, C\+\+, Python or related language
* Knowledge of ML frameworks including JAX, PyTorch, vLLM, SGLang, Dynamo, TorchXLA, and TensorRT
* Experience building large\-scale machine learning and AI solutions at Internet scale
**PREFERRED QUALIFICATIONS**
----------------------------
* 5\+ years of full software development life cycle, including coding standards, code reviews, source control management, build processes, testing, and operations experience
* Bachelor's degree in computer science, engineering, mathematics or equivalent, or Master's degree
* Experience in processing data with a massively parallel technology (such as Redshift, Teradata, Netezza, Spark or Hadoop based big data solution)
* Experience with video and image processing and compression algorithms and standards, computer vision and/or machine learning
* Experience with training and deploying machine learning systems to solve large\-scale optimizations
* Experience working cross functionally with tech teams
* Knowledge of automation control system logic, mechanism and protocol
* Mathematics and Statistics: strong understanding of linear algebra, calculus, probability, and statistics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MA, Boston \- 168,100\.00 \- 227,400\.00 USD annually  
USA, MA, N.Reading \- 168,100\.00 \- 227,400\.00 USD annually  
USA, MA, Westboro \- 168,100\.00 \- 227,400\.00 USD annually  
USA, WA, Seattle \- 168,100\.00 \- 227,400\.00 USD annually</t>
        </is>
      </c>
    </row>
    <row r="120">
      <c r="A120" t="inlineStr">
        <is>
          <t>in-e00520da2f91725d</t>
        </is>
      </c>
      <c r="B120" t="inlineStr">
        <is>
          <t>ML Engineer, GO-AI Technology &amp; Development Team</t>
        </is>
      </c>
      <c r="C120" t="inlineStr">
        <is>
          <t>Amazon.com</t>
        </is>
      </c>
      <c r="D120" t="inlineStr">
        <is>
          <t>indeed</t>
        </is>
      </c>
      <c r="E120">
        <f>HYPERLINK("https://www.indeed.com/viewjob?jk=e00520da2f91725d", "https://www.indeed.com/viewjob?jk=e00520da2f91725d")</f>
        <v/>
      </c>
      <c r="F120">
        <f>HYPERLINK("https://www.amazon.jobs/jobs/3173298/ml-engineer-goai-technology--development-team?cmpid=DA_INAD200785B", "https://www.amazon.jobs/jobs/3173298/ml-engineer-goai-technology--development-team?cmpid=DA_INAD200785B")</f>
        <v/>
      </c>
      <c r="G120" t="inlineStr">
        <is>
          <t>Boston, MA, US</t>
        </is>
      </c>
      <c r="H120" s="1" t="n">
        <v>45998</v>
      </c>
      <c r="I120" t="inlineStr">
        <is>
          <t>**DESCRIPTION**
---------------
Amazon Robotics is at the forefront of applying state\-of\-the\-art AI to solve real\-world challenges at unprecedented scale. Our fulfillment centers handle more individual items than any company in the world, combining computer vision, mobile robots, advanced end\-of\-arm tooling, and high\-degree of freedom movement with state\-of\-the\-art artificial intelligence. We partner with customers across Amazon worldwide to conceive, develop, prototype, and deploy intelligent robotic systems that push the boundaries of industrial automation.  
Within Amazon Robotics, the Global Operations \- Artificial Intelligence (GO\-AI) team enables Amazon to accelerate and scale the next generation of AI\-powered robotic solutions. We're transforming how complex visual reasoning tasks are performed across Amazon's robotics operations, moving from traditional manual data annotation processes to state\-of\-the\-art foundation model solutions.
As a Machine Learning Engineer on GO\-AI's Technology \&amp; Development Team, you'll be at the center of this transformation. You'll work with massive\-scale, proprietary datasets to develop vision\-language models that achieve human\-level performance on complex real\-world tasks. Your work will directly impact millions of daily operations across Amazon's global fulfillment network.
This is a rare opportunity to build AI systems that operate at Amazon scale while solving novel technical challenges in computer vision, natural language processing, and human\-AI collaboration. You'll collaborate with world\-class scientists, engineers, and operations teams to deploy state\-of\-the\-art research into production systems that deliver real\-world impact at global scale.  
Key job responsibilities  
* Build and optimize distributed training infrastructure for large\-scale vision\-language models at unprecedented scale
* Design and implement high\-throughput production inference systems that serve foundation models at Amazon scale with strict latency and reliability requirements
* Develop large\-scale data and media processing pipelines to handle massive volumes of video, image, and annotation data for model training and evaluation
* Create automated retraining pipelines and performance monitoring systems to maintain model accuracy in dynamic production environments
* Work closely with scientists and engineers to deliver scalable, high\-performance systems that power state\-of\-the\-art AI applications
A day in the life  
Amazon offers a full range of benefits that assist you and eligible family members, including domestic partners. Benefits can vary by location, the number of regularly scheduled hours you work, length of employment, and job status such as seasonal or temporary employment. The benefits that generally apply to regular, full\-time employees include:  
1\. Medical, Dental, and Vision Coverage
2\. Maternity and Parental Leave Options
3\. Paid Time Off (PTO)
4\. 401(k) Plan  
If you are not sure that every qualification on the list above describes you exactly, we'd still love to hear from you! At Amazon, we value people with unique backgrounds, experiences, and skillsets. If you’re passionate about this role and want to make an impact on a global scale, please apply!**BASIC QUALIFICATIONS**
------------------------
* 5\+ years of non\-internship professional software development experience
* 5\+ years of programming with at least one software programming language experience
* 5\+ years of leading design or architecture (design patterns, reliability and scaling) of new and existing systems experience
* Experience as a mentor, tech lead or leading an engineering team
* Experience programming in Java, C\+\+, Python or related language
* Knowledge of ML frameworks including JAX, PyTorch, vLLM, SGLang, Dynamo, TorchXLA, and TensorRT
* Experience building large\-scale machine learning and AI solutions at Internet scale
**PREFERRED QUALIFICATIONS**
----------------------------
* 5\+ years of full software development life cycle, including coding standards, code reviews, source control management, build processes, testing, and operations experience
* Bachelor's degree in computer science, engineering, mathematics or equivalent, or Master's degree
* Experience in processing data with a massively parallel technology (such as Redshift, Teradata, Netezza, Spark or Hadoop based big data solution)
* Experience with video and image processing and compression algorithms and standards, computer vision and/or machine learning
* Experience with training and deploying machine learning systems to solve large\-scale optimizations
* Experience working cross functionally with tech teams
* Knowledge of automation control system logic, mechanism and protocol
* Mathematics and Statistics: strong understanding of linear algebra, calculus, probability, and statistics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MA, Boston \- 168,100\.00 \- 227,400\.00 USD annually  
USA, MA, N.Reading \- 168,100\.00 \- 227,400\.00 USD annually  
USA, MA, Westboro \- 168,100\.00 \- 227,400\.00 USD annually  
USA, WA, Seattle \- 168,100\.00 \- 227,400\.00 USD annually</t>
        </is>
      </c>
    </row>
    <row r="121">
      <c r="A121" t="inlineStr">
        <is>
          <t>in-0792f9724e36cd3c</t>
        </is>
      </c>
      <c r="B121" t="inlineStr">
        <is>
          <t>ML Engineer, GO-AI Technology &amp; Development Team</t>
        </is>
      </c>
      <c r="C121" t="inlineStr">
        <is>
          <t>Amazon.com</t>
        </is>
      </c>
      <c r="D121" t="inlineStr">
        <is>
          <t>indeed</t>
        </is>
      </c>
      <c r="E121">
        <f>HYPERLINK("https://www.indeed.com/viewjob?jk=0792f9724e36cd3c", "https://www.indeed.com/viewjob?jk=0792f9724e36cd3c")</f>
        <v/>
      </c>
      <c r="F121">
        <f>HYPERLINK("https://www.amazon.jobs/jobs/3173298/ml-engineer-goai-technology--development-team?cmpid=DA_INAD200785B", "https://www.amazon.jobs/jobs/3173298/ml-engineer-goai-technology--development-team?cmpid=DA_INAD200785B")</f>
        <v/>
      </c>
      <c r="G121" t="inlineStr">
        <is>
          <t>Seattle, WA, US</t>
        </is>
      </c>
      <c r="H121" s="1" t="n">
        <v>45998</v>
      </c>
      <c r="I121" t="inlineStr">
        <is>
          <t>**DESCRIPTION**
---------------
Amazon Robotics is at the forefront of applying state\-of\-the\-art AI to solve real\-world challenges at unprecedented scale. Our fulfillment centers handle more individual items than any company in the world, combining computer vision, mobile robots, advanced end\-of\-arm tooling, and high\-degree of freedom movement with state\-of\-the\-art artificial intelligence. We partner with customers across Amazon worldwide to conceive, develop, prototype, and deploy intelligent robotic systems that push the boundaries of industrial automation.  
Within Amazon Robotics, the Global Operations \- Artificial Intelligence (GO\-AI) team enables Amazon to accelerate and scale the next generation of AI\-powered robotic solutions. We're transforming how complex visual reasoning tasks are performed across Amazon's robotics operations, moving from traditional manual data annotation processes to state\-of\-the\-art foundation model solutions.
As a Machine Learning Engineer on GO\-AI's Technology \&amp; Development Team, you'll be at the center of this transformation. You'll work with massive\-scale, proprietary datasets to develop vision\-language models that achieve human\-level performance on complex real\-world tasks. Your work will directly impact millions of daily operations across Amazon's global fulfillment network.
This is a rare opportunity to build AI systems that operate at Amazon scale while solving novel technical challenges in computer vision, natural language processing, and human\-AI collaboration. You'll collaborate with world\-class scientists, engineers, and operations teams to deploy state\-of\-the\-art research into production systems that deliver real\-world impact at global scale.  
Key job responsibilities  
* Build and optimize distributed training infrastructure for large\-scale vision\-language models at unprecedented scale
* Design and implement high\-throughput production inference systems that serve foundation models at Amazon scale with strict latency and reliability requirements
* Develop large\-scale data and media processing pipelines to handle massive volumes of video, image, and annotation data for model training and evaluation
* Create automated retraining pipelines and performance monitoring systems to maintain model accuracy in dynamic production environments
* Work closely with scientists and engineers to deliver scalable, high\-performance systems that power state\-of\-the\-art AI applications
A day in the life  
Amazon offers a full range of benefits that assist you and eligible family members, including domestic partners. Benefits can vary by location, the number of regularly scheduled hours you work, length of employment, and job status such as seasonal or temporary employment. The benefits that generally apply to regular, full\-time employees include:  
1\. Medical, Dental, and Vision Coverage
2\. Maternity and Parental Leave Options
3\. Paid Time Off (PTO)
4\. 401(k) Plan  
If you are not sure that every qualification on the list above describes you exactly, we'd still love to hear from you! At Amazon, we value people with unique backgrounds, experiences, and skillsets. If you’re passionate about this role and want to make an impact on a global scale, please apply!**BASIC QUALIFICATIONS**
------------------------
* 5\+ years of non\-internship professional software development experience
* 5\+ years of programming with at least one software programming language experience
* 5\+ years of leading design or architecture (design patterns, reliability and scaling) of new and existing systems experience
* Experience as a mentor, tech lead or leading an engineering team
* Experience programming in Java, C\+\+, Python or related language
* Knowledge of ML frameworks including JAX, PyTorch, vLLM, SGLang, Dynamo, TorchXLA, and TensorRT
* Experience building large\-scale machine learning and AI solutions at Internet scale
**PREFERRED QUALIFICATIONS**
----------------------------
* 5\+ years of full software development life cycle, including coding standards, code reviews, source control management, build processes, testing, and operations experience
* Bachelor's degree in computer science, engineering, mathematics or equivalent, or Master's degree
* Experience in processing data with a massively parallel technology (such as Redshift, Teradata, Netezza, Spark or Hadoop based big data solution)
* Experience with video and image processing and compression algorithms and standards, computer vision and/or machine learning
* Experience with training and deploying machine learning systems to solve large\-scale optimizations
* Experience working cross functionally with tech teams
* Knowledge of automation control system logic, mechanism and protocol
* Mathematics and Statistics: strong understanding of linear algebra, calculus, probability, and statistics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MA, Boston \- 168,100\.00 \- 227,400\.00 USD annually  
USA, MA, N.Reading \- 168,100\.00 \- 227,400\.00 USD annually  
USA, MA, Westboro \- 168,100\.00 \- 227,400\.00 USD annually  
USA, WA, Seattle \- 168,100\.00 \- 227,400\.00 USD annually</t>
        </is>
      </c>
    </row>
    <row r="122">
      <c r="A122" t="inlineStr">
        <is>
          <t>in-9db5710aea534d43</t>
        </is>
      </c>
      <c r="B122" t="inlineStr">
        <is>
          <t>ML Engineer, GO-AI Technology &amp; Development Team</t>
        </is>
      </c>
      <c r="C122" t="inlineStr">
        <is>
          <t>Amazon.com</t>
        </is>
      </c>
      <c r="D122" t="inlineStr">
        <is>
          <t>indeed</t>
        </is>
      </c>
      <c r="E122">
        <f>HYPERLINK("https://www.indeed.com/viewjob?jk=9db5710aea534d43", "https://www.indeed.com/viewjob?jk=9db5710aea534d43")</f>
        <v/>
      </c>
      <c r="F122">
        <f>HYPERLINK("https://www.amazon.jobs/jobs/3173298/ml-engineer-goai-technology--development-team?cmpid=DA_INAD200785B", "https://www.amazon.jobs/jobs/3173298/ml-engineer-goai-technology--development-team?cmpid=DA_INAD200785B")</f>
        <v/>
      </c>
      <c r="G122" t="inlineStr">
        <is>
          <t>Westborough, MA, US</t>
        </is>
      </c>
      <c r="H122" s="1" t="n">
        <v>45998</v>
      </c>
      <c r="I122" t="inlineStr">
        <is>
          <t>**DESCRIPTION**
---------------
Amazon Robotics is at the forefront of applying state\-of\-the\-art AI to solve real\-world challenges at unprecedented scale. Our fulfillment centers handle more individual items than any company in the world, combining computer vision, mobile robots, advanced end\-of\-arm tooling, and high\-degree of freedom movement with state\-of\-the\-art artificial intelligence. We partner with customers across Amazon worldwide to conceive, develop, prototype, and deploy intelligent robotic systems that push the boundaries of industrial automation.  
Within Amazon Robotics, the Global Operations \- Artificial Intelligence (GO\-AI) team enables Amazon to accelerate and scale the next generation of AI\-powered robotic solutions. We're transforming how complex visual reasoning tasks are performed across Amazon's robotics operations, moving from traditional manual data annotation processes to state\-of\-the\-art foundation model solutions.
As a Machine Learning Engineer on GO\-AI's Technology \&amp; Development Team, you'll be at the center of this transformation. You'll work with massive\-scale, proprietary datasets to develop vision\-language models that achieve human\-level performance on complex real\-world tasks. Your work will directly impact millions of daily operations across Amazon's global fulfillment network.
This is a rare opportunity to build AI systems that operate at Amazon scale while solving novel technical challenges in computer vision, natural language processing, and human\-AI collaboration. You'll collaborate with world\-class scientists, engineers, and operations teams to deploy state\-of\-the\-art research into production systems that deliver real\-world impact at global scale.  
Key job responsibilities  
* Build and optimize distributed training infrastructure for large\-scale vision\-language models at unprecedented scale
* Design and implement high\-throughput production inference systems that serve foundation models at Amazon scale with strict latency and reliability requirements
* Develop large\-scale data and media processing pipelines to handle massive volumes of video, image, and annotation data for model training and evaluation
* Create automated retraining pipelines and performance monitoring systems to maintain model accuracy in dynamic production environments
* Work closely with scientists and engineers to deliver scalable, high\-performance systems that power state\-of\-the\-art AI applications
A day in the life  
Amazon offers a full range of benefits that assist you and eligible family members, including domestic partners. Benefits can vary by location, the number of regularly scheduled hours you work, length of employment, and job status such as seasonal or temporary employment. The benefits that generally apply to regular, full\-time employees include:  
1\. Medical, Dental, and Vision Coverage
2\. Maternity and Parental Leave Options
3\. Paid Time Off (PTO)
4\. 401(k) Plan  
If you are not sure that every qualification on the list above describes you exactly, we'd still love to hear from you! At Amazon, we value people with unique backgrounds, experiences, and skillsets. If you’re passionate about this role and want to make an impact on a global scale, please apply!**BASIC QUALIFICATIONS**
------------------------
* 5\+ years of non\-internship professional software development experience
* 5\+ years of programming with at least one software programming language experience
* 5\+ years of leading design or architecture (design patterns, reliability and scaling) of new and existing systems experience
* Experience as a mentor, tech lead or leading an engineering team
* Experience programming in Java, C\+\+, Python or related language
* Knowledge of ML frameworks including JAX, PyTorch, vLLM, SGLang, Dynamo, TorchXLA, and TensorRT
* Experience building large\-scale machine learning and AI solutions at Internet scale
**PREFERRED QUALIFICATIONS**
----------------------------
* 5\+ years of full software development life cycle, including coding standards, code reviews, source control management, build processes, testing, and operations experience
* Bachelor's degree in computer science, engineering, mathematics or equivalent, or Master's degree
* Experience in processing data with a massively parallel technology (such as Redshift, Teradata, Netezza, Spark or Hadoop based big data solution)
* Experience with video and image processing and compression algorithms and standards, computer vision and/or machine learning
* Experience with training and deploying machine learning systems to solve large\-scale optimizations
* Experience working cross functionally with tech teams
* Knowledge of automation control system logic, mechanism and protocol
* Mathematics and Statistics: strong understanding of linear algebra, calculus, probability, and statistics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MA, Boston \- 168,100\.00 \- 227,400\.00 USD annually  
USA, MA, N.Reading \- 168,100\.00 \- 227,400\.00 USD annually  
USA, MA, Westboro \- 168,100\.00 \- 227,400\.00 USD annually  
USA, WA, Seattle \- 168,100\.00 \- 227,400\.00 USD annually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60"/>
  <sheetViews>
    <sheetView workbookViewId="0">
      <selection activeCell="A1" sqref="A1"/>
    </sheetView>
  </sheetViews>
  <sheetFormatPr baseColWidth="8" defaultRowHeight="15"/>
  <sheetData>
    <row r="1">
      <c r="A1" t="inlineStr">
        <is>
          <t>job id</t>
        </is>
      </c>
      <c r="B1" t="inlineStr">
        <is>
          <t>title</t>
        </is>
      </c>
      <c r="C1" t="inlineStr">
        <is>
          <t>company</t>
        </is>
      </c>
      <c r="D1" t="inlineStr">
        <is>
          <t>site</t>
        </is>
      </c>
      <c r="E1" t="inlineStr">
        <is>
          <t>job_url</t>
        </is>
      </c>
      <c r="F1" t="inlineStr">
        <is>
          <t>job_url_direct</t>
        </is>
      </c>
      <c r="G1" t="inlineStr">
        <is>
          <t>location</t>
        </is>
      </c>
      <c r="H1" t="inlineStr">
        <is>
          <t>date posted</t>
        </is>
      </c>
      <c r="I1" t="inlineStr">
        <is>
          <t>description</t>
        </is>
      </c>
    </row>
    <row r="2">
      <c r="A2" t="inlineStr">
        <is>
          <t>li-4379288449</t>
        </is>
      </c>
      <c r="B2" t="inlineStr">
        <is>
          <t>Applied Scientist</t>
        </is>
      </c>
      <c r="C2" t="inlineStr">
        <is>
          <t>Microsoft</t>
        </is>
      </c>
      <c r="D2" t="inlineStr">
        <is>
          <t>linkedin</t>
        </is>
      </c>
      <c r="E2">
        <f>HYPERLINK("https://www.linkedin.com/jobs/view/4379288449", "https://www.linkedin.com/jobs/view/4379288449")</f>
        <v/>
      </c>
      <c r="F2" t="inlineStr"/>
      <c r="G2" t="inlineStr">
        <is>
          <t>Redmond, WA</t>
        </is>
      </c>
      <c r="H2" t="inlineStr"/>
      <c r="I2" t="inlineStr">
        <is>
          <t>**Overview**
 With continued growth in digital data and the desire to leverage data to address problems that touch all aspects of our lives, Microsoft’s AI Platform is growing to meet these challenges! The AI Platform is hiring experienced engineers to join agile and diverse engineering teams in MAI.
 As an Applied Scientist in MAI, you would be responsible for data analysis, training and building models and shipping to production high quality experiences improving Bing products. This opportunity will allow you to accelerate your career growth, develop deep business acumen, hone your selling skills, and become adept at deal structuring.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Starting January 26, 2026, Microsoft AI (MAI) employees who live within a 50\- mile commute of a designated Microsoft office in the U.S. or 25\-mile commute of a non\-U.S., country\-specific location are expected to work from the office at least four days per week. This expectation is subject to local law and may vary by jurisdiction.
**Responsibilities**
* You will gain a basic understanding of a broad area of research and applicable research techniques. You’ll also develop a basic knowledge of industry trends and share your knowledge with immediate team members.
* You will apply strategies provided by senior team members. Following guidance from team leaders you’ll also research relevant tools and technologies being used in the community.
* You will reinforce a positive environment by learning and adopting best practices. And you will maintain or develop ties with an external network of peers and identify prospective talent for Microsoft research pipelines when asked.
* You will assist with documentation for senior team members, as needed. You’ll also learn and follow ethics and privacy policies while executing research processes or collecting information.
**Qualifications**
**Required Qualifications:**
* Bachelor's Degree in Statistics, Econometrics, Computer Science, Electrical or Computer Engineering, or related field AND 2\+ years related experience (e.g., statistics, predictive analytics, research)
+ OR Master's Degree in Statistics, Econometrics, Computer Science, Electrical or Computer Engineering, or related field AND 1\+ year(s) related experience (e.g., statistics, predictive analytics, research)
+ OR Doctorate in Statistics, Econometrics, Computer Science, Electrical or Computer Engineering, or related field
+ OR equivalent experience.
**Other Requirements**
 Ability to meet Microsoft, customer and/or government security screening requirements are required for this role. These requirements include but are not limited to the following specialized security screenings:
* Microsoft Cloud Background Check: This position will be required to pass the Microsoft Cloud background check upon hire/transfer and every two years thereafter.
 \#MicrosoftAI
 Applied Sciences IC3 \- The typical base pay range for this role across the U.S. is USD $100,600 \- $199,000 per year. There is a different range applicable to specific work locations, within the San Francisco Bay area and New York City metropolitan area, and the base pay range for this role in those locations is USD $131,400 \- $215,400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t>
        </is>
      </c>
    </row>
    <row r="3">
      <c r="A3" t="inlineStr">
        <is>
          <t>li-4380323307</t>
        </is>
      </c>
      <c r="B3" t="inlineStr">
        <is>
          <t>Applied Scientist, SPX AI Lab</t>
        </is>
      </c>
      <c r="C3" t="inlineStr">
        <is>
          <t>Amazon</t>
        </is>
      </c>
      <c r="D3" t="inlineStr">
        <is>
          <t>linkedin</t>
        </is>
      </c>
      <c r="E3">
        <f>HYPERLINK("https://www.linkedin.com/jobs/view/4380323307", "https://www.linkedin.com/jobs/view/4380323307")</f>
        <v/>
      </c>
      <c r="F3">
        <f>HYPERLINK("https://www.amazon.jobs/jobs/3193573/applied-scientist-spx-ai-lab?cmpid=SPLICX0248M&amp;utm_source=linkedin.com&amp;utm_campaign=cxro&amp;utm_medium=social_media&amp;utm_content=job_posting&amp;ss=paid&amp;urlHash=Vn-q", "https://www.amazon.jobs/jobs/3193573/applied-scientist-spx-ai-lab?cmpid=SPLICX0248M&amp;utm_source=linkedin.com&amp;utm_campaign=cxro&amp;utm_medium=social_media&amp;utm_content=job_posting&amp;ss=paid&amp;urlHash=Vn-q")</f>
        <v/>
      </c>
      <c r="G3" t="inlineStr">
        <is>
          <t>Seattle, WA</t>
        </is>
      </c>
      <c r="H3" t="inlineStr"/>
      <c r="I3" t="inlineStr">
        <is>
          <t>**Description**
 Amazon Seller Assistant is our flagship GenAI\-first, multi\-agent system that reimagines seller experience. Our vision is to provide each seller with a proactive, autonomous, agentic assistant that understands their business and helps them navigate the complexities of selling by anticipating their needs, surfacing insights, resolving issues, taking actions on their behalf, and helping them grow. Amazon Seller Assistant helps millions of sellers on Amazon serve billions of customers worldwide.
 We are seeking a world\-class Applied Scientist to help define and build the next generation of Amazon Seller Assistant. You will partner with top\-tier scientists and engineers to launch production\-grade agentic capabilities at Amazon's scale — owning your problem space end\-to\-end, from a crisp customer insight to a shipped product that millions of sellers rely on.
 Key job responsibilities
* Use state\-of\-the\-art Machine Learning and Generative AI techniques to create the next generation of the tools that empower Amazon's Selling Partners to succeed.
* Design, develop and deploy highly innovative models to interact with Sellers and delight them with solutions.
* Work closely with teams of scientists and software engineers to drive real\-time model implementations and deliver novel and highly impactful features.
* Establish scalable, efficient, automated processes for large scale data analyses, model benchmarking, model validation and model implementation.
* Research and implement novel machine learning and statistical approaches.
* Participate in strategic initiatives to employ the most recent advances in ML in a fast\-paced, experimental environment.
**About The Team**
 Amazon Seller Assistant team operates at the very frontier of agentic AI and agentic commerce — not as a research group, but as a team shipping production\-grade, multi\-agent systems used by millions of sellers worldwide. We move with the urgency of a startup and the resources of the world's most customer\-obsessed company, transforming the latest breakthroughs in science and engineering into capabilities that sellers rely on every day.
**Basic Qualifications**
* PhD, or Master's degree and 4\+ years of CS, CE, ML or related field experience
* 3\+ years of building machine learning models or developing algorithms for business application experience
* Experience programming in Java, C\+\+, Python or related language
* Experience in any of the following areas: algorithms and data structures, parsing, numerical optimization, data mining, parallel and distributed computing, high\-performance computing
**Preferred Qualifications**
* Experience in patents or publications at top\-tier peer\-reviewed conferences or journals
* Experience in investigating, designing, prototyping, and delivering new and innovative system solutions
* Demonstrated experience leveraging generative AI tools to enhance workflow efficiency and productivity, with the ability to craft effective prompts and critically evaluate AI\-generated outputs in a professional setting
* Experience identifying opportunities to integrate AI solutions into products and services to drive business value.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WA, Seattle \- 142,800\.00 \- 193,200\.00 USD annually
**Company** 
 \- Amazon.com Services LLC
 Job ID: A3193573</t>
        </is>
      </c>
    </row>
    <row r="4">
      <c r="A4" t="inlineStr">
        <is>
          <t>li-4370529996</t>
        </is>
      </c>
      <c r="B4" t="inlineStr">
        <is>
          <t>Applied Scientist II, Industrial Robotics Group</t>
        </is>
      </c>
      <c r="C4" t="inlineStr">
        <is>
          <t>Amazon</t>
        </is>
      </c>
      <c r="D4" t="inlineStr">
        <is>
          <t>linkedin</t>
        </is>
      </c>
      <c r="E4">
        <f>HYPERLINK("https://www.linkedin.com/jobs/view/4370529996", "https://www.linkedin.com/jobs/view/4370529996")</f>
        <v/>
      </c>
      <c r="F4" t="inlineStr"/>
      <c r="G4" t="inlineStr">
        <is>
          <t>Massachusetts, United States</t>
        </is>
      </c>
      <c r="H4" t="inlineStr"/>
      <c r="I4" t="inlineStr">
        <is>
          <t>**Description**
 Amazon Industrial Robotics Group is seeking exceptional talent to help develop the next generation of advanced robotics systems that will transform automation at Amazon's scale. We're building revolutionary robotic systems that combine cutting\-edge AI, sophisticated control systems, and advanced mechanical design to create adaptable automation solutions capable of working safely alongside humans in dynamic environments. This is a unique opportunity to shape the future of robotics and automation at an unprecedented scale, working with world\-class teams pushing the boundaries of what's possible in robotic dexterous manipulation, locomotion, and human\-robot interaction. This role presents an opportunity to shape the future of robotics through innovative applications of deep learning and large language models.
 At Amazon Industrial Robotics Group, we leverage advanced robotics, machine learning, and artificial intelligence to solve complex operational challenges at an unprecedented scale. Our fleet of robots operates across hundreds of facilities worldwide, working in sophisticated coordination to fulfill our mission of customer excellence.
 We are pioneering the development of dexterous manipulation system that:
* Enables unprecedented generalization across diverse tasks
* Enables contact\-rich manipulation in different environments
* Seamlessly integrates low\-level skills and high\-level behaviors
* Leverage mechanical intelligence, multi\-modal sensor feedback and advanced control techniques.
 The ideal candidate will contribute to research that bridges the gap between theoretical advancement and practical implementation in robotics. You will be part of a team that's revolutionizing how robots learn, adapt, and interact with their environment.
 Join us in building the next generation of intelligent robotics systems that will transform the future of automation and human\-robot collaboration.
 Key job responsibilities
* Design and implement methods for dexterous manipulation
* Design and implement methods for use of dexterous end effectors with force and tactile sensing
* Develop a hierarchical system that combines low\-level control with high\-level planning
* Utilize state\-of\-the\-art manipulation models and optimal control techniques
**Basic Qualifications**
* PhD, or Master's degree and 4\+ years of CS, CE, ML or related field experience
* Experience with state\-of\-the\-art in robotic manipulation models
* Experience with data generation in simulation and real world
* Experience in developing techniques that utilize multi\-modal sensor data from the arm and hands
**Preferred Qualifications**
* PhD in Robotics, with focus on dexterous manipulation
* Experience in motion primitives, vision\-language\-action models, and model predictive control
* Experience with robotics frameworks for fast prototyping (Matlab, ROS, etc.)
 Amazon is an equal opportunity employer and does not discriminate on the basis of protected veteran status, disability, or other legally protected status.
 Our inclusive culture empowers Amazonians to deliver the best results for our customers. If you have a disability and need a workplace accommodation or adjustment during the application and hiring process, including support for the interview or onboarding process, please visit https://amazon.jobs/content/en/how\-we\-hire/accommodations for more information. If the country/region you’re applying in isn’t listed, please contact your Recruiting Partner.
 The base salary range for this position is listed below. Your Amazon package will include sign\-on payments and restricted stock units (RSUs). Final compensation will be determined based on factors including experience, qualifications, and location. Amazon also offers comprehensive benefits including health insurance (medical, dental, vision, prescription, Basic Life \&amp; AD\&amp;D insurance and option for Supplemental life plans, EAP, Mental Health Support, Medical Advice Line, Flexible Spending Accounts, Adoption and Surrogacy Reimbursement coverage), 401(k) matching, paid time off, and parental leave. Learn more about our benefits at https://amazon.jobs/en/benefits.
 USA, MA, N.Reading \- 142,800\.00 \- 193,200\.00 USD annually
**Company** 
 \- Amazon.com Services LLC
 Job ID: A3173326</t>
        </is>
      </c>
    </row>
    <row r="5">
      <c r="A5" t="inlineStr">
        <is>
          <t>li-4380326188</t>
        </is>
      </c>
      <c r="B5" t="inlineStr">
        <is>
          <t>Principal Applied Scientist</t>
        </is>
      </c>
      <c r="C5" t="inlineStr">
        <is>
          <t>Microsoft AI</t>
        </is>
      </c>
      <c r="D5" t="inlineStr">
        <is>
          <t>linkedin</t>
        </is>
      </c>
      <c r="E5">
        <f>HYPERLINK("https://www.linkedin.com/jobs/view/4380326188", "https://www.linkedin.com/jobs/view/4380326188")</f>
        <v/>
      </c>
      <c r="F5">
        <f>HYPERLINK("https://apply.careers.microsoft.com/careers/job/1970393556643393?utm_source=mai_linkedin&amp;domain=microsoft.com&amp;source=LinkedIn&amp;urlHash=Sfe8", "https://apply.careers.microsoft.com/careers/job/1970393556643393?utm_source=mai_linkedin&amp;domain=microsoft.com&amp;source=LinkedIn&amp;urlHash=Sfe8")</f>
        <v/>
      </c>
      <c r="G5" t="inlineStr">
        <is>
          <t>New York, NY</t>
        </is>
      </c>
      <c r="H5" t="inlineStr"/>
      <c r="I5" t="inlineStr">
        <is>
          <t>**Overview**
 Join the Signals Modeling team, part of Microsoft AI Ads Engineering, to shape the future of advanced AI at web scale.
 In this role, the
 **Principal Applied Scientist** 
 will design and implement state\-of\-the\-art machine learning models and algorithms that power key systems within Microsoft Ads, Copilot, and beyond. The work will directly impact millions of users and advertisers by delivering scalable solutions that enhance ad relevance and optimize user and advertiser experiences.
 Microsoft’s mission is to empower every person and every organization on the planet to achieve more. As employees we come together with a growth mindset, innovate to empower others, and collaborate to realize our shared goals. Each day we build on our values of respect, integrity, and accountability to create a culture of inclusion where everyone can thrive at work and beyond.
 Starting January 26, 2026, Microsoft AI (MAI) employees who live within a 50\- mile commute of a designated Microsoft office in the U.S. or 25\-mile commute of a non\-U.S., country\-specific location are expected to work from the office at least four days per week. This expectation is subject to local law and may vary by jurisdiction.
**Responsibilities**
* Develop and deploy cutting\-edge machine learning models, including transformers, generative AI, and reinforcement learning, to optimize user interactions and ad relevance across Microsoft Ads and Copilot.
* Design scalable algorithms for online and offline systems, delivering innovative solutions for ads selection, ad generation and ad relevance.
* Drive experimentation through A/B testing and offline validation to evaluate model performance and refine user behavior predictions.
* Build robust data pipelines and frameworks for handling large\-scale, high\-dimensional datasets to support advanced AI applications.
* Stay at the forefront of AI research, incorporating the latest advancements to drive innovation and impact across Microsoft platforms.
**Qualifications**
**Required Qualifications:**
* Bachelor's Degree in Statistics, Econometrics, Computer Science, Electrical or Computer Engineering, or related field AND 6\+ years related experience (e.g., statistics, predictive analytics, research)
+ OR Master's Degree in Statistics, Econometrics, Computer Science, Electrical or Computer Engineering, or related field AND 4\+ years related experience (e.g., statistics, predictive analytics, research)
+ OR Doctorate in Statistics, Econometrics, Computer Science, Electrical or Computer Engineering, or related field AND 3\+ years related experience (e.g., statistics, predictive analytics, research)
+ OR equivalent experience.
**Preferred Qualifications**
* Master's Degree in Statistics, Econometrics, Computer Science, Electrical or Computer Engineering, or related field AND 9\+ years related experience (e.g., statistics, predictive analytics, research)
+ OR Doctorate in Statistics, Econometrics, Computer Science, Electrical or Computer Engineering, or related field AND 6\+ years related experience (e.g., statistics, predictive analytics, research)
+ OR equivalent experience.
* Proven experience in programming and data analysis skills.
* Proven expertise in the areas of Generative AI, deep learning, Reinforcement learning, transformers or LLM.
* 6\+ years of experience in developing and deploying large\-scale machine learning models.
 \#MicrosoftAI
 Applied Sciences IC5 \- The typical base pay range for this role across the U.S. is USD $139,900 \- $274,800 per year. There is a different range applicable to specific work locations, within the San Francisco Bay area and New York City metropolitan area, and the base pay range for this role in those locations is USD $188,000 \- $304,200 per year.
 Certain roles may be eligible for benefits and other compensation. Find additional benefits and pay information here:
 https://careers.microsoft.com/us/en/us\-corporate\-pay
 This position will be open for a minimum of 5 days, with applications accepted on an ongoing basis until the position is filled.
 Microsoft is an equal opportunity employer. All qualified applicants will receive consideration for employment without regard to age, ancestry, citizenship, color, family or medical care leave, gender identity or expression, genetic information, immigration status, marital status, medical condition, national origin, physical or mental disability, political affiliation, protected veteran or military status, race, ethnicity, religion, sex (including pregnancy), sexual orientation, or any other characteristic protected by applicable local laws, regulations and ordinances. If you need assistance with religious accommodations and/or a reasonable accommodation due to a disability during the application process, read more about
 **requesting accommodations.**</t>
        </is>
      </c>
    </row>
    <row r="6">
      <c r="A6" t="inlineStr">
        <is>
          <t>li-4300102897</t>
        </is>
      </c>
      <c r="B6" t="inlineStr">
        <is>
          <t>Staff Applied AI and Machine Learning Engineer, Payments &amp; Risk</t>
        </is>
      </c>
      <c r="C6" t="inlineStr">
        <is>
          <t>Gusto</t>
        </is>
      </c>
      <c r="D6" t="inlineStr">
        <is>
          <t>linkedin</t>
        </is>
      </c>
      <c r="E6">
        <f>HYPERLINK("https://www.linkedin.com/jobs/view/4300102897", "https://www.linkedin.com/jobs/view/4300102897")</f>
        <v/>
      </c>
      <c r="F6" t="inlineStr"/>
      <c r="G6" t="inlineStr">
        <is>
          <t>Denver, CO</t>
        </is>
      </c>
      <c r="H6" t="inlineStr"/>
      <c r="I6" t="inlineStr">
        <is>
          <t>**About Gusto**
 At Gusto, we're on a mission to grow the small business economy. We handle the hard stuff—like payroll, health insurance, 401(k)s, and HR—so owners can focus on their craft and customers. With teams in Denver, San Francisco, and New York, we’re proud to support more than 400,000 small businesses across the country, and we’re building a workplace that represents and celebrates the customers we serve. Learn more about our Total Rewards philosophy.
**About The Role**
 Gusto’s Data Science team leverages Gusto’s rich dataset to guide product direction and decision\-making. We operate full\-stack, conducting analyses, prototyping and deploying predictive models and statistical tools both for internal use and for our customers.
 For this role, we are looking for a technical leader (an individual contributor) to drive machine learning and AI in the payment and risk domains. You will build a model\-driven risk platform to provide a trusted environment for Gusto Ecosystem.
 You’ll be working with an established team and seasoned payments and risk leaders in Engineering, Product, Design, Operation, Identity and Compliance. In this role, you’ll work cross functionally to build Platforms that span the entire breadth of the Payments and Risk Stacks, and use ML and AI to build a world\- class, high secure platform that safeguards our users’ activities and money, and ensures unparalleled reliability.
**Here’s What You’ll Do Day\-to\-day**
* Build and deploy machine learning models to identify, assess and mitigate risks
* Responsible for driving research in the problem space, working with stakeholders to understand model requirements, developing the model from scratch, deploying the model alongside your engineering counterparts, and monitoring and maintaining the model’s performance over time
* Partner with Engineering, Design, and Product counterparts in Payment and Risk to solve complex cross functional problems
* Develop scalable frameworks and libraries that enhance and contribute to the team’s core analysis and modeling capabilities, including through the integration of LLMs to improve data processing, analysis, and insights.
* Identify new opportunities to leverage data to improve Gusto’s products and help risk management team to understand business requirements and develop tailored solutions
* Present and communicate results to stakeholders across the company
**Here’s What We're Looking For**
* 8\+ years of experience conducting statistical analyses on large datasets and deep domain knowledge in machine learning and artificial intelligence, including familiarity with Large Language Models (LLMs) and their applications. This could mean either a MS or PhD in a quantitative field with at least 5 years experience in a business environment, or BS or Data Science Bootcamp graduate with at least 8 years of experience working as a data scientist or a machine learning engineer in a business setting.
* Proven experience in credit risk modeling or fraud risk modeling using logistic regression, random forest, Xgboost or neural networks, along with a strong understanding of AI\-based approaches and the potential of LLMs to enhance traditional models.
* Experience applying a variety of statistical and modeling techniques using Python, R or another statistical modeling language, as indicated by familiarity with many of the following techniques \- predictive modeling, anomaly detection, ensemble methods, natural language processing (NLP, optional). Basic understanding of LLMs and their applications.
* Strong programming skills \- comfortable with all phases of the data science development process, from initial analysis and model development to deployment
* Excellent communication skills \- able to effectively deliver findings and recommendations to non\-technical stakeholders in a clear and compelling fashion
* PhD or Masters plus equivalent experience in a quantitative field is a plus
* Experience in the Fintech industry is a plus
 Our cash compensation amount for this role is targeted at $225,000 \- $285,000 for San Francisco, New York, and Seattle, $205,000\- $255,000 in Los Angeles, $187,000 \- $235,000 in Denver, and $200,000 \- $250,000 CAD for Toronto, Canada. Final offer amounts are determined by multiple factors including candidate experience and expertise and may vary from the amounts listed above.
 Gusto has physical office spaces in Denver, San Francisco, and New York City. Employees who are based in those locations will be expected to work from the office on designated days approximately
 **2\-3 days** 
 per week (or more depending on role). The same office expectations apply to all Symmetry roles, Gusto's subsidiary, whose physical office is in Scottsdale.
 Note: The San Francisco office expectations encompass both the San Francisco and San Jose metro areas.
 When approved to work from a location other than a Gusto office, a secure, reliable, and consistent internet connection is required. This includes non\-office days for hybrid employees.
 Our customers come from all walks of life and so do we. We hire great people from a wide variety of backgrounds, not just because it's the right thing to do, but because it makes our company stronger. If you share our values and our enthusiasm for small businesses, you will find a home at Gusto.
 Gusto is proud to be an equal opportunity employer. We do not discriminate in hiring or any employment decision based on race, color, religion, national origin, age, sex (including pregnancy, childbirth, or related medical conditions), marital status, ancestry, physical or mental disability, genetic information, veteran status, gender identity or expression, sexual orientation, or other applicable legally protected characteristic. Gusto considers qualified applicants with criminal histories, consistent with applicable federal, state and local law. Gusto is also committed to providing reasonable accommodations for qualified individuals with disabilities and disabled veterans in our job application procedures. We want to see our candidates perform to the best of their ability. If you require a medical or religious accommodation at any time throughout your candidate journey, please fill out this form and a member of our team will get in touch with you.
 Gusto takes security and protection of your personal information very seriously. Please review our Fraudulent Activity Disclaimer.
 Personal information collected and processed as part of your Gusto application will be subject to Gusto's Applicant Privacy Notice.</t>
        </is>
      </c>
    </row>
    <row r="7">
      <c r="A7" t="inlineStr">
        <is>
          <t>li-4251315408</t>
        </is>
      </c>
      <c r="B7" t="inlineStr">
        <is>
          <t>AI Engineer</t>
        </is>
      </c>
      <c r="C7" t="inlineStr">
        <is>
          <t>PepsiCo</t>
        </is>
      </c>
      <c r="D7" t="inlineStr">
        <is>
          <t>linkedin</t>
        </is>
      </c>
      <c r="E7">
        <f>HYPERLINK("https://www.linkedin.com/jobs/view/4251315408", "https://www.linkedin.com/jobs/view/4251315408")</f>
        <v/>
      </c>
      <c r="F7">
        <f>HYPERLINK("https://www.pepsicojobs.com/jobs/391473?lang=en-us&amp;iisn=linkedin&amp;urlHash=ird7", "https://www.pepsicojobs.com/jobs/391473?lang=en-us&amp;iisn=linkedin&amp;urlHash=ird7")</f>
        <v/>
      </c>
      <c r="G7" t="inlineStr">
        <is>
          <t>Purchase, NY</t>
        </is>
      </c>
      <c r="H7" t="inlineStr"/>
      <c r="I7" t="inlineStr">
        <is>
          <t>**Overview**
 As an AI Engineer specializing in AI Agents, you will play a pivotal role in our organization's transformation strategies by designing and developing domain\-specific AI agents and solutions. Prototyping, iterating, and taking these solutions to production, you serve as the technical complement to the business side of the AI Solutions Lead. Your work will involve close collaboration with transformation teams, business stakeholders, and AI platform teams to create scalable, cross\-domain AI solutions that deliver actionable insights and perform intelligent tasks.
**Responsibilities**
* AI Development (40%)
* Prototyping, iterating, and taking to production domain\-specific AI agents that can communicate and work with other AI agents, performing tasks such as information gathering, insight generation, and intelligent actions.
* Writing and optimizing code for high\-performance AI models.
* Develop an actionable Generative AI roadmap and drive solution development using
* Gen\-AI and Agentic AI capabilities.
* Collaboration with Teams (20%)
* Collaborate with transformation teams and business stakeholders to understand requirements and tailor AI agents to specific domains.
* Work closely with AI platform teams to build scalable and cross\-domain AI agents while ensuring end\-to\-end observability.
* Integration \&amp; Deployment (20%)
* Lead AI projects, demonstrating hands\-on experience in code development and software engineering.
* Deploy, monitor, and optimize AI agents on cloud infrastructure, ensuring high availability and performance.
* Continuous Learning (20%)
* Stay updated with the latest advancements in AI and machine learning technologies and integrate these into existing or new AI agents.
* Conduct thorough testing and validation to ensure the reliability and accuracy of AI agents and solutions.
* Decision\-Making Autonomy Moderate – Significant autonomy in the technical aspects of AI model development and implementation, working under the strategic direction
* provided by the Senior AI Solutions Manager.
* Supervision Required Moderate – Operates with general guidance from the Senior AI Solutions Manager, with regular updates for alignment and support.
* Complexity of Role High – The role requires managing complex AI/ML projects, working with large datasets, and ensuring successful integration with existing systems while maintaining scalability.
* Cross\-Functional Interactions Yes – Regular interaction with Data Science,
* Engineering, IT, digital products and business stakeholders to ensure effective AI solution deployment.
**Compensation \&amp; Benefits:**
* The expected compensation range for this position is between $106,400 \- $178,100\.
* Location, confirmed job\-related skills, experience, and education will be considered in setting actual starting salary. Your recruiter can share more about the specific salary range during the hiring process.
* Bonus based on performance and eligibility target payout is 12% of annual salary paid out annually.
* Paid time off subject to eligibility, including paid parental leave, vacation, sick, and bereavement.
* In addition to salary, PepsiCo offers a comprehensive benefits package to support our employees and their families, subject to elections and eligibility: Medical, Dental, Vision, Disability, Health, and Dependent Care Reimbursement Accounts, Employee Assistance Program (EAP), Insurance (Accident, Group Legal, Life), Defined Contribution Retirement Plan.
**Qualifications**
* Education: Bachelor’s or Master’s degree in Computer Science, AI/ML, Data Science, or a related field.
* Experience: Proven experience in leading AI projects with hands\-on experience in code development and software engineering.
**Required Expertise:**
* Proficiency in programming languages such as Python, Java, or C(.
* Experience and working knowledge with Agentic AI frameworks (e.g., Langchain, CrewAi, MCP, A2A) and deployment of AI solutions on cloud infrastructures (AWS, Azure, or Google Cloud).
* Strong understanding and experience in designing AI agents and integrating advancements in AI/ML technologies.
* Excellent analytical, problem\-solving, and communication skills.
* Ability to work collaboratively in a cross\-functional team environment.
* Technical Proficiency: Deep understanding of new technologies, GenAI algorithms and Agentic tools.
* Problem\-Solving: Ability to translate business challenges into technical solutions.
* Collaboration Skills: Effective at working within cross\-functional teams.
* Agility: Flexibility to adapt to changing requirements and new technologies.
* Communication Skills: Capable of explaining complex technical concepts to non\-technical stakeholders.
**EEO Statement**
 Our Company will consider for employment qualified applicants with criminal histories in a manner consistent with the requirements of the Fair Credit Reporting Act, and all other applicable laws, including but not limited to, San Francisco Police Code Sections 4901\-4919, commonly referred to as the San Francisco Fair Chance Ordinance; and Chapter XVII, Article 9 of the Los Angeles Municipal Code, commonly referred to as the Fair Chance Initiative for Hiring Ordinance.
 All qualified applicants will receive consideration for employment without regard to age, race, color, religion, sex, sexual orientation, gender identity, national origin, protected veteran status, or disability status.
 PepsiCo is an Equal Opportunity Employer: Female / Minority / Disability / Protected Veteran / Sexual Orientation / Gender Identity / Age
 If you'd like more information about your EEO rights as an applicant under the law, please download the available EEO is the Law \&amp; EEO is the Law Supplement documents. View PepsiCo EEO Policy.
 Please view our Pay Transparency Statement</t>
        </is>
      </c>
    </row>
    <row r="8">
      <c r="A8" t="inlineStr">
        <is>
          <t>li-4251319178</t>
        </is>
      </c>
      <c r="B8" t="inlineStr">
        <is>
          <t>AI Engineer</t>
        </is>
      </c>
      <c r="C8" t="inlineStr">
        <is>
          <t>PepsiCo</t>
        </is>
      </c>
      <c r="D8" t="inlineStr">
        <is>
          <t>linkedin</t>
        </is>
      </c>
      <c r="E8">
        <f>HYPERLINK("https://www.linkedin.com/jobs/view/4251319178", "https://www.linkedin.com/jobs/view/4251319178")</f>
        <v/>
      </c>
      <c r="F8">
        <f>HYPERLINK("https://www.pepsicojobs.com/jobs/391473?lang=en-us&amp;iisn=linkedin&amp;urlHash=ird7", "https://www.pepsicojobs.com/jobs/391473?lang=en-us&amp;iisn=linkedin&amp;urlHash=ird7")</f>
        <v/>
      </c>
      <c r="G8" t="inlineStr">
        <is>
          <t>Chicago, IL</t>
        </is>
      </c>
      <c r="H8" t="inlineStr"/>
      <c r="I8" t="inlineStr">
        <is>
          <t>**Overview**
 As an AI Engineer specializing in AI Agents, you will play a pivotal role in our organization's transformation strategies by designing and developing domain\-specific AI agents and solutions. Prototyping, iterating, and taking these solutions to production, you serve as the technical complement to the business side of the AI Solutions Lead. Your work will involve close collaboration with transformation teams, business stakeholders, and AI platform teams to create scalable, cross\-domain AI solutions that deliver actionable insights and perform intelligent tasks.
**Responsibilities**
* AI Development (40%)
* Prototyping, iterating, and taking to production domain\-specific AI agents that can communicate and work with other AI agents, performing tasks such as information gathering, insight generation, and intelligent actions.
* Writing and optimizing code for high\-performance AI models.
* Develop an actionable Generative AI roadmap and drive solution development using
* Gen\-AI and Agentic AI capabilities.
* Collaboration with Teams (20%)
* Collaborate with transformation teams and business stakeholders to understand requirements and tailor AI agents to specific domains.
* Work closely with AI platform teams to build scalable and cross\-domain AI agents while ensuring end\-to\-end observability.
* Integration \&amp; Deployment (20%)
* Lead AI projects, demonstrating hands\-on experience in code development and software engineering.
* Deploy, monitor, and optimize AI agents on cloud infrastructure, ensuring high availability and performance.
* Continuous Learning (20%)
* Stay updated with the latest advancements in AI and machine learning technologies and integrate these into existing or new AI agents.
* Conduct thorough testing and validation to ensure the reliability and accuracy of AI agents and solutions.
* Decision\-Making Autonomy Moderate – Significant autonomy in the technical aspects of AI model development and implementation, working under the strategic direction
* provided by the Senior AI Solutions Manager.
* Supervision Required Moderate – Operates with general guidance from the Senior AI Solutions Manager, with regular updates for alignment and support.
* Complexity of Role High – The role requires managing complex AI/ML projects, working with large datasets, and ensuring successful integration with existing systems while maintaining scalability.
* Cross\-Functional Interactions Yes – Regular interaction with Data Science,
* Engineering, IT, digital products and business stakeholders to ensure effective AI solution deployment.
**Compensation \&amp; Benefits:**
* The expected compensation range for this position is between $106,400 \- $178,100\.
* Location, confirmed job\-related skills, experience, and education will be considered in setting actual starting salary. Your recruiter can share more about the specific salary range during the hiring process.
* Bonus based on performance and eligibility target payout is 12% of annual salary paid out annually.
* Paid time off subject to eligibility, including paid parental leave, vacation, sick, and bereavement.
* In addition to salary, PepsiCo offers a comprehensive benefits package to support our employees and their families, subject to elections and eligibility: Medical, Dental, Vision, Disability, Health, and Dependent Care Reimbursement Accounts, Employee Assistance Program (EAP), Insurance (Accident, Group Legal, Life), Defined Contribution Retirement Plan.
**Qualifications**
* Education: Bachelor’s or Master’s degree in Computer Science, AI/ML, Data Science, or a related field.
* Experience: Proven experience in leading AI projects with hands\-on experience in code development and software engineering.
**Required Expertise:**
* Proficiency in programming languages such as Python, Java, or C(.
* Experience and working knowledge with Agentic AI frameworks (e.g., Langchain, CrewAi, MCP, A2A) and deployment of AI solutions on cloud infrastructures (AWS, Azure, or Google Cloud).
* Strong understanding and experience in designing AI agents and integrating advancements in AI/ML technologies.
* Excellent analytical, problem\-solving, and communication skills.
* Ability to work collaboratively in a cross\-functional team environment.
* Technical Proficiency: Deep understanding of new technologies, GenAI algorithms and Agentic tools.
* Problem\-Solving: Ability to translate business challenges into technical solutions.
* Collaboration Skills: Effective at working within cross\-functional teams.
* Agility: Flexibility to adapt to changing requirements and new technologies.
* Communication Skills: Capable of explaining complex technical concepts to non\-technical stakeholders.
**EEO Statement**
 Our Company will consider for employment qualified applicants with criminal histories in a manner consistent with the requirements of the Fair Credit Reporting Act, and all other applicable laws, including but not limited to, San Francisco Police Code Sections 4901\-4919, commonly referred to as the San Francisco Fair Chance Ordinance; and Chapter XVII, Article 9 of the Los Angeles Municipal Code, commonly referred to as the Fair Chance Initiative for Hiring Ordinance.
 All qualified applicants will receive consideration for employment without regard to age, race, color, religion, sex, sexual orientation, gender identity, national origin, protected veteran status, or disability status.
 PepsiCo is an Equal Opportunity Employer: Female / Minority / Disability / Protected Veteran / Sexual Orientation / Gender Identity / Age
 If you'd like more information about your EEO rights as an applicant under the law, please download the available EEO is the Law \&amp; EEO is the Law Supplement documents. View PepsiCo EEO Policy.
 Please view our Pay Transparency Statement</t>
        </is>
      </c>
    </row>
    <row r="9">
      <c r="A9" t="inlineStr">
        <is>
          <t>li-4299408663</t>
        </is>
      </c>
      <c r="B9" t="inlineStr">
        <is>
          <t>Machine Learning Engineer</t>
        </is>
      </c>
      <c r="C9" t="inlineStr">
        <is>
          <t>JPMorganChase</t>
        </is>
      </c>
      <c r="D9" t="inlineStr">
        <is>
          <t>linkedin</t>
        </is>
      </c>
      <c r="E9">
        <f>HYPERLINK("https://www.linkedin.com/jobs/view/4299408663", "https://www.linkedin.com/jobs/view/4299408663")</f>
        <v/>
      </c>
      <c r="F9">
        <f>HYPERLINK("https://JPMorganChase.contacthr.com/150692383&amp;urlHash=rcXK", "https://JPMorganChase.contacthr.com/150692383&amp;urlHash=rcXK")</f>
        <v/>
      </c>
      <c r="G9" t="inlineStr">
        <is>
          <t>New York, NY</t>
        </is>
      </c>
      <c r="H9" t="inlineStr"/>
      <c r="I9" t="inlineStr">
        <is>
          <t>**Job Description**
 The mission of the Digital Intelligence team is to leverage large\-scale computation, substantial datasets, and machine learning to enhance our most crucial customer products across a broad spectrum. We manage a wide array of impactful products and services, reaching countless customers and households. We place high value on our customers' direct feedback and employ a truly agile methodology to incorporate improvements that enhance user experiences.
 As a Machine Learning Engineer in the Digital Intelligence team, you will leverage large\-scale computation, substantial datasets, and machine learning to enhance our most crucial customer products across a broad spectrum. Your expertise will promote the team to solve complex relevance and ranking problems, develop scalable features, and manage ML Ops for building innovative systems that benefit our customers across all lines of business.
**Job Responsibilities**
* Oversee the analysis of complex datasets to inform decisions on real\-world applications.
* Lead the development and implementation of models and algorithms to enhance existing systems, processes, and products.
* Supervise data analysis activities and ensure effective visualizations are provided.
* Ensure the writing and deployment of software code in production systems is efficient and meets standards.
* Anticipate risks associated with machine learning solutions and prediction/classification systems and strategize mitigation.
* Communicate complex issues clearly and credibly to senior management and stakeholders.
* Foster a transparent cross\-functional work environment and influence peers and team members to uphold these standards.
**Required Qualifications, Capabilities And Skills**
* Master's degree in computer Science, Machine Learning, or a related field with 3 years experience OR Ph.D in computer Science, Machine Learning, or a related field with 1 year of experience.
* Expertise in one or more of the following areas: machine learning, Graph learning, recommendation systems, network analysis, natural language processing, Reinforcement learning, MLOps, Gen AI, LLMs.
* Solid understanding of core CS concepts, including common data structures and algorithms.
**Preferred Qualifications, Capabilities And Skills**
* Experienced in conducting design and code reviews.
* Proficient in cloud environments such as AWS, GCP, or Azure.
* Experienced in managing and deriving insights from large, both unstructured and structured datasets.
**About Us**
 JPMorganChase, one of the oldest financial institutions, offers innovative financial solutions to millions of consumers, small businesses and many of the world’s most prominent corporate, institutional and government clients under the J.P. Morgan and Chase brands. Our history spans over 200 years and today we are a leader in investment banking, consumer and small business banking, commercial banking, financial transaction processing and asset management.
 We offer a competitive total rewards package including base salary determined based on the role, experience, skill set and location. Those in eligible roles may receive commission\-based pay and/or discretionary incentive compensation, paid in the form of cash and/or forfeitable equity, awarded in recognition of individual achievements and contributions. We also offer a range of benefits and programs to meet employee needs, based on eligibility. These benefits include comprehensive health care coverage, on\-site health and wellness centers, a retirement savings plan, backup childcare, tuition reimbursement, mental health support, financial coaching and more. Additional details about total compensation and benefits will be provided during the hiring process.
 We recognize that our people are our strength and the diverse talents they bring to our global workforce are directly linked to our success. We are an equal opportunity employer and place a high value on diversity and inclusion at our company. We do not discriminate on the basis of any protected attribute, including race, religion, color, national origin, gender, sexual orientation, gender identity, gender expression, age, marital or veteran status, pregnancy or disability, or any other basis protected under applicable law. We also make reasonable accommodations for applicants’ and employees’ religious practices and beliefs, as well as mental health or physical disability needs. Visit our FAQs for more information about requesting an accommodation.
 JPMorgan Chase \&amp; Co. is an Equal Opportunity Employer, including Disability/Veterans
**About The Team**
 J.P. Morgan’s Commercial \&amp; Investment Bank is a global leader across banking, markets, securities services and payments. Corporations, governments and institutions throughout the world entrust us with their business in more than 100 countries. The Commercial \&amp; Investment Bank provides strategic advice, raises capital, manages risk and extends liquidity in markets around the world.</t>
        </is>
      </c>
    </row>
    <row r="10">
      <c r="A10" t="inlineStr">
        <is>
          <t>li-4379400447</t>
        </is>
      </c>
      <c r="B10" t="inlineStr">
        <is>
          <t>Machine Learning Engineer</t>
        </is>
      </c>
      <c r="C10" t="inlineStr">
        <is>
          <t>Qualcomm</t>
        </is>
      </c>
      <c r="D10" t="inlineStr">
        <is>
          <t>linkedin</t>
        </is>
      </c>
      <c r="E10">
        <f>HYPERLINK("https://www.linkedin.com/jobs/view/4379400447", "https://www.linkedin.com/jobs/view/4379400447")</f>
        <v/>
      </c>
      <c r="F10">
        <f>HYPERLINK("https://careers.qualcomm.com/careers/job/446717216815?hl=en-US&amp;utm_source=linkedin&amp;domain=qualcomm.com&amp;source=APPLICANT_SOURCE-6-2&amp;urlHash=fyxU", "https://careers.qualcomm.com/careers/job/446717216815?hl=en-US&amp;utm_source=linkedin&amp;domain=qualcomm.com&amp;source=APPLICANT_SOURCE-6-2&amp;urlHash=fyxU")</f>
        <v/>
      </c>
      <c r="G10" t="inlineStr">
        <is>
          <t>Santa Clara, CA</t>
        </is>
      </c>
      <c r="H10" t="inlineStr"/>
      <c r="I10" t="inlineStr">
        <is>
          <t>**Company**
 Qualcomm Atheros, Inc.
**Job Area**
 Engineering Group, Engineering Group \&gt; RFIC Design
**General Summary**
 Qualcomm is seeking a motivated and talented individual to join our team in Santa Clara. This role offers a unique opportunity to work on cutting\-edge machine learning and data modeling projects and their hardware implementation. The ideal candidate will have a strong background in neural networks, autoencoders, decision trees, and other related techniques along with a basic understanding of their deployment on edge devices.
**Responsibilities**
* Explore and develop innovative modeling ideas for various datasets.
* Implement and optimize machine learning algorithms, including neural networks, autoencoders, and decision trees etc.
* Deployment of ML models on edge devices.
* Collaborate with cross\-functional teams to understand project requirements and deliver high\-quality solutions.
* Conduct experiments and analyze results to improve model performance.
* Document and present findings to the team.
**Qualifications**
* Master’s or PhD. in Computer Science, Electrical Engineering, or a related field.
* Strong proficiency in Python programming.
* Experience with machine learning frameworks such as TensorFlow, PyTorch, or similar.
* Experience with Generative AI
* Knowledge of data preprocessing, feature engineering, and model evaluation techniques.
* Excellent problem\-solving skills and attention to detail.
* Ability to work independently and as part of a team.
**Preferred Qualifications**
* Previous experience with real\-world data modeling projects.
* Deployment of ML models on edge devices.
* Experience or knowledge of on\-device algorithm development including hardware\-aware ML models.
* Familiarity with analog/RF circuits
**How to Apply** 
 : Interested candidates should submit their resume and a cover letter detailing their relevant experience and interest in the position.
**Minimum Qualifications**
* Bachelor's degree in Electrical Engineering with 3\+ years of experience with designing RF/Analog circuits for wireless products (e.g., LNA's, PLL's) and 4\+ years of ASIC design, verification, or related work experience.
 OR
 Master's degree in Electrical Engineering or related field and 4\+ years of ASIC design, verification, or related work experience.
 OR
 PhD in Electrical Engineering or related field and 2\+ years of ASIC design, verification, or related work experience.
* 2\+ years of academic or professional experience using two or more of the following software: CADENCE, Virtuoso, ADS.
 Qualcomm is an equal opportunity employer. If you are an individual with a disability and need an accommodation during the application/hiring process, rest assured that Qualcomm is committed to providing an accessible process. You may e\-mail disability\-accomodations@qualcomm.com or call Qualcomm's toll\-free number found here. Upon request, Qualcomm will provide reasonable accommodations to support individuals with disabilities to be able participate in the hiring process. Qualcomm is also committed to making our workplace accessible for individuals with disabilities. (Keep in mind that this email address is used to provide reasonable accommodations for individuals with disabilities. We will not respond here to requests for updates on applications or resume inquiries).
**To all Staffing and Recruiting Agencies** 
 : Our Careers Site is only for individuals seeking a job at Qualcomm. Staffing and recruiting agencies and individuals being represented by an agency are not authorized to use this site or to submit profiles, applications or resumes, and any such submissions will be considered unsolicited. Qualcomm does not accept unsolicited resumes or applications from agencies. Please do not forward resumes to our jobs alias, Qualcomm employees or any other company location. Qualcomm is not responsible for any fees related to unsolicited resumes/applications.
**EEO Employer: Qualcomm is an equal opportunity employer; all qualified applicants will receive consideration for employment without regard to race, color, religion, sex, sexual orientation, gender identity, national origin, disability, Veteran status, or any other protected classification.**
 Qualcomm expects its employees to abide by all applicable policies and procedures, including but not limited to security and other requirements regarding protection of Company confidential information and other confidential and/or proprietary information, to the extent those requirements are permissible under applicable law.
**Pay Range And Other Compensation \&amp; Benefits**
 $168,600\.00 \- $252,800\.00
 The above pay scale reflects the broad, minimum to maximum, pay scale for this job code for the location for which it has been posted. Even more importantly, please note that salary is only one component of total compensation at Qualcomm. We also offer a competitive annual discretionary bonus program and opportunity for annual RSU grants (employees on sales\-incentive plans are not eligible for our annual bonus). In addition, our highly competitive benefits package is designed to support your success at work, at home, and at play. Your recruiter will be happy to discuss all that Qualcomm has to offer – and you can review more details about our US benefits at this link.
 If you would like more information about this role, please contact Qualcomm Careers.</t>
        </is>
      </c>
    </row>
    <row r="11">
      <c r="A11" t="inlineStr">
        <is>
          <t>li-4380195528</t>
        </is>
      </c>
      <c r="B11" t="inlineStr">
        <is>
          <t>Junior AI/ML Engineer (Remote)</t>
        </is>
      </c>
      <c r="C11" t="inlineStr">
        <is>
          <t>Lensa</t>
        </is>
      </c>
      <c r="D11" t="inlineStr">
        <is>
          <t>linkedin</t>
        </is>
      </c>
      <c r="E11">
        <f>HYPERLINK("https://www.linkedin.com/jobs/view/4380195528", "https://www.linkedin.com/jobs/view/4380195528")</f>
        <v/>
      </c>
      <c r="F11">
        <f>HYPERLINK("https://lensa.com/cgw/b7f1dbd81bfb44858215f02a645a6d17tjo1?jpsi=directemployers&amp;publisher_preference=easier_apply&amp;utm_campaign=Computer%20Occupations&amp;utm_medium=slot&amp;utm_source=linkedin&amp;utm_term=jse&amp;urlHash=Ko_k", "https://lensa.com/cgw/b7f1dbd81bfb44858215f02a645a6d17tjo1?jpsi=directemployers&amp;publisher_preference=easier_apply&amp;utm_campaign=Computer%20Occupations&amp;utm_medium=slot&amp;utm_source=linkedin&amp;utm_term=jse&amp;urlHash=Ko_k")</f>
        <v/>
      </c>
      <c r="G11" t="inlineStr">
        <is>
          <t>Boston, MA</t>
        </is>
      </c>
      <c r="H11" t="inlineStr"/>
      <c r="I11" t="inlineStr">
        <is>
          <t>Lensa is a career site that helps job seekers find great jobs in the US. We are not a staffing firm or agency. Lensa does not hire directly for these jobs, but promotes jobs on LinkedIn on behalf of its direct clients, recruitment ad agencies, and marketing partners. Lensa partners with DirectEmployers to promote this job for FocusKPI Inc.. Clicking "Apply Now" or "Read more" on Lensa redirects you to the job board/employer site. Any information collected there is subject to their terms and privacy notice.
 Location: Remote (EST preferred)
 Type: Paid Internship or Contract (Full\-time)
 Start Date: Immediate
 Role Overview
 We are seeking a Junior AI/ML Engineer to support the development of an enterprise AI chatbot and data intelligence system. This role will focus on building interactive AI agents that connect to enterprise databases, generate insights, and support decision\-making.
 The position includes hands\-on work in both LLM\-based chatbot/agent development and machine learning , including building prediction models and integrating them into production workflows. This is a client\-facing technical role requiring strong coding ability, analytical thinking, and the ability to work in a fast\-paced environment.
 Key Responsibilities
* Develop and deploy AI chatbot/agent solutions for enterprise use cases
* Integrate LLM\-based agents with structured and unstructured enterprise data
* Connect chat interfaces to SQL/enterprise databases and internal APIs
* Build and integrate machine learning models (prediction, classification, clustering, etc.)
* Perform data preprocessing, feature engineering, and model evaluation
* Integrate ML outputs into chatbot or workflow interfaces
* Support data pipeline development and automation
* Collaborate with internal team and occasionally clients to understand requirements
* Document model logic, workflows, and implementation details
**Required Qualifications**
* Bachelor’s or Master’s degree in Computer Science, Data Science, Statistics, Engineering, or related quantitative field
* Strong Python programming skills
* Hands\-on experience with machine learning (regression, classification, clustering, or similar)
* Familiarity with ML libraries such as scikit\-learn, pandas, numpy, or similar
* Experience working with databases (SQL, PostgreSQL, or similar)
* Familiarity with LLM APIs (OpenAI, Claude, or open\-source models)
* Experience building APIs or backend services (FastAPI, Flask, or similar)
* Strong analytical and problem\-solving skills
* Ability to work independently and communicate clearly
**Preferred Qualifications**
* Graduate degree or currently pursuing MS in AI, Data Science, or related field
* Experience with agent frameworks (LangChain, LlamaIndex, LangGraph, CrewAI, etc.)
* Experience deploying or integrating ML models into applications
* Knowledge of vector databases or embeddings
* Familiarity with AWS, GCP, or Azure
* Prior internship or project experience building AI/ML applications
 How to Apply
 Please submit the following to danz@focuskpi.com :
* Resume
* GitHub or portfolio that includes at least one agentic or AI chatbot project
* A short written explanation (3–6 paragraphs) of one project, including:
* What problem the agent/chatbot solves
* Architecture and tools used (LLM, framework, database, etc.)
* Your specific contribution
* Challenges encountered and how you solved them
 Candidates without project examples or explanation will not be considered.
 Immediate start preferred.
 NOTICE: Please be aware of fraudulent emails regarding job postings, job offers and fake checks. FocusKPI's recruiting team will strictly reach out via @focuskpi.com email domain. If you have received fraudulent emails now or in the past, please report it to https://reportfraud.ftc.gov/ . The domain @focuskpijobs.com is fraudulent and not related to FocusKPI. Please do not not reply or communicate to anyone with @focuskpijobs.com.
 Powered by JazzHR
 If you have questions about this posting, please contact support@lensa.com</t>
        </is>
      </c>
    </row>
    <row r="12">
      <c r="A12" t="inlineStr">
        <is>
          <t>li-4363831618</t>
        </is>
      </c>
      <c r="B12" t="inlineStr">
        <is>
          <t>Machine Learning Engineer III, Shield</t>
        </is>
      </c>
      <c r="C12" t="inlineStr">
        <is>
          <t>Box</t>
        </is>
      </c>
      <c r="D12" t="inlineStr">
        <is>
          <t>linkedin</t>
        </is>
      </c>
      <c r="E12">
        <f>HYPERLINK("https://www.linkedin.com/jobs/view/4363831618", "https://www.linkedin.com/jobs/view/4363831618")</f>
        <v/>
      </c>
      <c r="F12" t="inlineStr"/>
      <c r="G12" t="inlineStr">
        <is>
          <t>Redwood City, CA</t>
        </is>
      </c>
      <c r="H12" t="inlineStr"/>
      <c r="I12" t="inlineStr">
        <is>
          <t>**WHAT IS BOX?**
 Box (NYSE BOX) is the leader in Intelligent Content Management. Our platform enables organizations to fuel collaboration, manage the entire content lifecycle, secure critical content, and transform business workflows with enterprise AI. We help companies thrive in the new AI\-first era of business. Founded in 2005, Box simplifies work for leading global organizations, including JLL, Morgan Stanley, and Nationwide. Box is headquartered in Redwood City, CA, with offices across the United States, Europe, and Asia.
 By joining Box, you will have the unique opportunity to continue driving our platform forward. Content powers how we work. It’s the billions of files and information flowing across teams, departments, and key business processes every single day contracts, invoices, employee records, financials, product specs, marketing assets, and more. Our mission is to bring intelligence to the world of content management and empower our customers to completely transform workflows across their organizations. With the combination of AI and enterprise content, the opportunity has never been greater to transform how the world works together and at Box you will be on the front lines of this massive shift.
**WHY BOX NEEDS YOU**
 Box Shield is an add\-on security layer that protects the flow of information and reduces content\-centric risk without adding friction. It uses classification\-based controls to prevent data loss and AI\-powered, context\-aware alerts to detect malware, compromised accounts, and malicious behavior at scale.
 Shield’s mission is to secure enterprise content while delivering a seamless user experience, ensuring Box remains the platform of choice for secure Intelligent Content Management. Shield keeps customer content safe by surfacing malware, compromised accounts, and anomalous behavior early, giving administrators the context they need to take proactive action before incidents escalate.
 The Shield team is hiring Machine Learning engineers to build and scale ML systems that safeguard millions of users and billions of files from ransomware, data exfiltration, insider threats, and emerging AI\-based attacks. As part of a fast\-paced backend/core team, you’ll collaborate across Box to ship future\-proof security capabilities for high\-demand use cases.
**What You'll Do**
* Build Threat Detection Models Design, train, and deploy ML models for ransomware detection, suspicious session identification, and user behavior analytics
* Scale Data Pipelines Own end\-to\-end ML pipelines that process high\-volume security event streams using Apache Spark, GCP Dataflow, and Vertex AI
* Feature Engineering Create and maintain feature stores that power real\-time and batch anomaly detection systems
* Production ML Systems Deploy, monitor, and iterate on ML models in production, serving enterprise customers at scale
* Cross\-functional Collaboration Partner with Platform, Application Engineering, and Product teams to translate security requirements into ML solutions
* Participate in our on\-call rotation, available at all times while on\-call to help respond to and triage any issues that arise.
**Who You Are**
 We are an AI\-first company. This means you approach your work with a growth mindset and find ways to leverage AI to help make faster, smarter decisions that will 10X your impact at Box.
**Must Have Experience**
* 3\+ years of experience in applied machine learning
* Strong programming skills in Python
* Deployed and maintained ML models serving real traffic
* Experience with GCP (Vertex AI, BigQuery, Dataflow) or equivalent (AWS SageMaker, Azure ML)
* Deep understanding of feature engineering, model evaluation, and MLOps
* Strong communication skills with ability to explain complex ML concepts to non\-technical stakeholders
**Nice To Have Experience**
* Experience in security/threat detection, anomaly detection, or fraud detection
* Experience with sequential data, anomaly detection, or behavioral modeling (time\-series forecasting, LSTM, Transformers, or similar)
* Knowledge of LLMs and AI safety (prompt injection, guardrails, red\-teaming)
* Experience with streaming/real\-time ML systems
* Familiarity with Java for service integrations
* Publications or contributions in ML security
**Tech Stack You’ll Work With**
* Languages Python, Scala, Java
* ML/Data Apache Spark, Vertex AI, BigQuery, TensorFlow/PyTorch
* Infrastructure GCP, Kubernetes
* Domains User Behavior Analytics, Time\-Series Anomaly Detection, AI Security, Content classification, Ransomware Detection
 Box lives its values, with community and in\-person collaboration being a core part of our culture. Boxers are expected to work from their assigned office a minimum of 3 days per week.Your Recruiter will share more about how we work and company culture during the hiring process.
 At Box, we believe unique and diverse experiences benefit our culture, our products, our customers, our company, and our world. We aim to recruit a passionate, high\-performing workforce that reflects the world we live in. If you are head\-over\-heels about this role but unsure if you meet all the requirements, we encourage you to apply!
**EQUAL OPPORTUNITY**
 We are an equal opportunity employer and value diversity at our company. We do not discriminate on the basis of race, religion, color, national origin, gender, sexual orientation, age, marital status, veteran status, disability, and any other protected ground of discrimination under applicable human rights legislation. Box strives to respect the dignity and ‎‎independence of people with disabilities and is committed to giving them the same ‎‎opportunity to succeed as all other employees. Inclusiveness is core to our culture at Box, and we strive to ensure you get the most from your interview experience.
 Box makes reasonable accommodations for applicants with disabilities. If a reasonable accommodation is needed to participate in the job application or interview process, please complete this form. Reasonable accommodations may include scheduling adjustments, document dictation and beyond.
 Notice to applicants in Los Angeles Box, Inc and its related branches will consider for employment, qualified applicants with criminal histories in a manner consistent with the Los Angeles Fair Chair Ordinance. The Fair Chance Ordinance is provided here.
 Notice to applicants in San Francisco Box, Inc and its related branches will consider for employment, qualified applicants with criminal histories in a manner consistent with the San Francisco Fair Chair Ordinance. The Fair Chance Ordinance is provided here.
 For details on how we protect your information when you apply, please see our Personnel Privacy Notice. If you are a California\-resident, please read our California Applicant \&amp; Candidate Privacy Notice here.
*Box is committed to fair and equitable compensation practices. Actual base salary (or OTE if commissionable role) is dependent upon factors such as knowledge, skill level, experience, and work location. This role is also eligible for equity and benefits. For more information on benefits, check out our* 
*healthcare benefits* 
*and additional* 
*Box Benefits \+ Perks* 
*.*
**In accordance with OFCCP compliance, here is the Pay Transparency Provision.**
 United States Pay Range
 $175,500 \- $219,500 USD</t>
        </is>
      </c>
    </row>
    <row r="13">
      <c r="A13" t="inlineStr">
        <is>
          <t>li-4379410437</t>
        </is>
      </c>
      <c r="B13" t="inlineStr">
        <is>
          <t>Machine Learning Engineer</t>
        </is>
      </c>
      <c r="C13" t="inlineStr">
        <is>
          <t>Bright Vision Technologies</t>
        </is>
      </c>
      <c r="D13" t="inlineStr">
        <is>
          <t>linkedin</t>
        </is>
      </c>
      <c r="E13">
        <f>HYPERLINK("https://www.linkedin.com/jobs/view/4379410437", "https://www.linkedin.com/jobs/view/4379410437")</f>
        <v/>
      </c>
      <c r="F13" t="inlineStr"/>
      <c r="G13" t="inlineStr">
        <is>
          <t>Orlando, FL</t>
        </is>
      </c>
      <c r="H13" t="inlineStr"/>
      <c r="I13" t="inlineStr">
        <is>
          <t>Bright Vision Technologies is a forward\-thinking software development company dedicated to building innovative solutions that help businesses automate and optimize their operations.
 We leverage cutting\-edge machine learning technologies to build scalable, reliable, and production\-grade intelligent systems. As we continue to grow, we’re looking for a skilled
 **Machine Learning Engineer** 
 to join our dynamic team and contribute to our mission of transforming business processes through technology.
 This is a fantastic opportunity to join an established and well\-respected organization offering tremendous career growth potential.
 We are looking for
 **OPT/CPT/H4 EAD/TN/E3 or any other Non\-immigrant visa people** 
 who are looking for an
 **H1B sponsorship for the year 2027 quota** 
 .
**Company:** 
 Bright Vision Technologies ( www.bvteck.com )
**Job Title:** 
 Machine Learning Engineer
**Onsite/Hybrid:** 
 Remote
**FULL\-TIME ROLE WITH BRIGHT VISION**
**Environment**
**Job Description:**
 Machine Learning, Python, TensorFlow, PyTorch, Scikit\-learn, Feature Engineering, Model Training \&amp; Evaluation, Model Deployment, RESTful APIs, Data Pipelines, SQL, NoSQL Databases, Cloud Platforms (AWS / Azure / GCP), Docker, Kubernetes, Linux, CI/CD pipelines, Git, Agile methodologies
 Again,
 **we work only with direct clients** 
 . If you are already on
 **H\-1 B** 
 and are open to an
 **H\-1 B transfer** 
 , feel free to apply.
**BUT STRICTLY NO C2C/1099/3RD PARTY COMPANIES. ALL OUR ROLES ARE W2 AND NO 3RD PARTY BROKERING PLEASE.**
 For every role, a
 **coding test is required** 
 , so apply only if you are
 **confident and technically strong** 
 .
 We prefer
 **at least 3 to 5 years of real\-time experience** 
 .
**Thanks\&amp; Regards**
 Best Regards,
 Sridhar Pagolu
 Senior Manager
 Bright Vision Technologies
 Phone: 908\-938\-4442
 Address: \#991 Route 22 West, Suite 200,
 Bridgewater, New Jersey \- 08807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
 Powered by JazzHR</t>
        </is>
      </c>
    </row>
    <row r="14">
      <c r="A14" t="inlineStr">
        <is>
          <t>li-4379419210</t>
        </is>
      </c>
      <c r="B14" t="inlineStr">
        <is>
          <t>Machine Learning Engineer</t>
        </is>
      </c>
      <c r="C14" t="inlineStr">
        <is>
          <t>Bright Vision Technologies</t>
        </is>
      </c>
      <c r="D14" t="inlineStr">
        <is>
          <t>linkedin</t>
        </is>
      </c>
      <c r="E14">
        <f>HYPERLINK("https://www.linkedin.com/jobs/view/4379419210", "https://www.linkedin.com/jobs/view/4379419210")</f>
        <v/>
      </c>
      <c r="F14">
        <f>HYPERLINK("https://www.adzuna.com/details/5620918984?v=57E7DDEDB2169D5B08FF83B29552B462F36894EF&amp;r=21370417&amp;ccd=70918703a0458b1bc57253631a9895ed&amp;frd=581c255a9df15592517d4d7d6ed53271&amp;utm_source=linkedin6&amp;utm_medium=organic&amp;partnerb=1&amp;chnlid=1098&amp;title=Machine%20Learning%20Engineer&amp;a=e&amp;urlHash=HvEN", "https://www.adzuna.com/details/5620918984?v=57E7DDEDB2169D5B08FF83B29552B462F36894EF&amp;r=21370417&amp;ccd=70918703a0458b1bc57253631a9895ed&amp;frd=581c255a9df15592517d4d7d6ed53271&amp;utm_source=linkedin6&amp;utm_medium=organic&amp;partnerb=1&amp;chnlid=1098&amp;title=Machine%20Learning%20Engineer&amp;a=e&amp;urlHash=HvEN")</f>
        <v/>
      </c>
      <c r="G14" t="inlineStr">
        <is>
          <t>Boston, MA</t>
        </is>
      </c>
      <c r="H14" t="inlineStr"/>
      <c r="I14" t="inlineStr">
        <is>
          <t>Bright Vision Technologies is a forward\-thinking software development company dedicated to building innovative solutions that help businesses automate and optimize their operations.
 We leverage cutting\-edge machine learning technologies to build scalable, reliable, and production\-grade intelligent systems. As we continue to grow, we’re looking for a skilled
 **Machine Learning Engineer** 
 to join our dynamic team and contribute to our mission of transforming business processes through technology.
 This is a fantastic opportunity to join an established and well\-respected organization offering tremendous career growth potential.
 We are looking for
 **OPT/CPT/H4 EAD/TN/E3 or any other Non\-immigrant visa people** 
 who are looking for an
 **H1B sponsorship for the year 2027 quota** 
 .
**Company:** 
 Bright Vision Technologies ( www.bvteck.com )
**Job Title:** 
 Machine Learning Engineer
**Onsite/Hybrid:** 
 Remote
**FULL\-TIME ROLE WITH BRIGHT VISION**
**Environment**
**Job Description:**
 Machine Learning, Python, TensorFlow, PyTorch, Scikit\-learn, Feature Engineering, Model Training \&amp; Evaluation, Model Deployment, RESTful APIs, Data Pipelines, SQL, NoSQL Databases, Cloud Platforms (AWS / Azure / GCP), Docker, Kubernetes, Linux, CI/CD pipelines, Git, Agile methodologies
 Again,
 **we work only with direct clients** 
 . If you are already on
 **H\-1 B** 
 and are open to an
 **H\-1 B transfer** 
 , feel free to apply.
**BUT STRICTLY NO C2C/1099/3RD PARTY COMPANIES. ALL OUR ROLES ARE W2 AND NO 3RD PARTY BROKERING PLEASE.**
 For every role, a
 **coding test is required** 
 , so apply only if you are
 **confident and technically strong** 
 .
 We prefer
 **at least 3 to 5 years of real\-time experience** 
 .
**Thanks\&amp; Regards**
 Best Regards,
 Sridhar Pagolu
 Senior Manager
 Bright Vision Technologies
 Phone: 908\-938\-4442
 Address: \#991 Route 22 West, Suite 200,
 Bridgewater, New Jersey \- 08807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
 Powered by JazzHR</t>
        </is>
      </c>
    </row>
    <row r="15">
      <c r="A15" t="inlineStr">
        <is>
          <t>li-4379400830</t>
        </is>
      </c>
      <c r="B15" t="inlineStr">
        <is>
          <t>Machine Learning Engineer</t>
        </is>
      </c>
      <c r="C15" t="inlineStr">
        <is>
          <t>Bright Vision Technologies</t>
        </is>
      </c>
      <c r="D15" t="inlineStr">
        <is>
          <t>linkedin</t>
        </is>
      </c>
      <c r="E15">
        <f>HYPERLINK("https://www.linkedin.com/jobs/view/4379400830", "https://www.linkedin.com/jobs/view/4379400830")</f>
        <v/>
      </c>
      <c r="F15" t="inlineStr"/>
      <c r="G15" t="inlineStr">
        <is>
          <t>Denver, CO</t>
        </is>
      </c>
      <c r="H15" t="inlineStr"/>
      <c r="I15" t="inlineStr">
        <is>
          <t>Bright Vision Technologies is a forward\-thinking software development company dedicated to building innovative solutions that help businesses automate and optimize their operations.
 We leverage cutting\-edge machine learning technologies to build scalable, reliable, and production\-grade intelligent systems. As we continue to grow, we’re looking for a skilled
 **Machine Learning Engineer** 
 to join our dynamic team and contribute to our mission of transforming business processes through technology.
 This is a fantastic opportunity to join an established and well\-respected organization offering tremendous career growth potential.
 We are looking for
 **OPT/CPT/H4 EAD/TN/E3 or any other Non\-immigrant visa people** 
 who are looking for an
 **H1B sponsorship for the year 2027 quota** 
 .
**Company:** 
 Bright Vision Technologies ( www.bvteck.com )
**Job Title:** 
 Machine Learning Engineer
**Onsite/Hybrid:** 
 Remote
**FULL\-TIME ROLE WITH BRIGHT VISION**
**Environment**
**Job Description:**
 Machine Learning, Python, TensorFlow, PyTorch, Scikit\-learn, Feature Engineering, Model Training \&amp; Evaluation, Model Deployment, RESTful APIs, Data Pipelines, SQL, NoSQL Databases, Cloud Platforms (AWS / Azure / GCP), Docker, Kubernetes, Linux, CI/CD pipelines, Git, Agile methodologies
 Again,
 **we work only with direct clients** 
 . If you are already on
 **H\-1 B** 
 and are open to an
 **H\-1 B transfer** 
 , feel free to apply.
**BUT STRICTLY NO C2C/1099/3RD PARTY COMPANIES. ALL OUR ROLES ARE W2 AND NO 3RD PARTY BROKERING PLEASE.**
 For every role, a
 **coding test is required** 
 , so apply only if you are
 **confident and technically strong** 
 .
 We prefer
 **at least 3 to 5 years of real\-time experience** 
 .
**Thanks\&amp; Regards**
 Best Regards,
 Sridhar Pagolu
 Senior Manager
 Bright Vision Technologies
 Phone: 908\-938\-4442
 Address: \#991 Route 22 West, Suite 200,
 Bridgewater, New Jersey \- 08807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
 Powered by JazzHR</t>
        </is>
      </c>
    </row>
    <row r="16">
      <c r="A16" t="inlineStr">
        <is>
          <t>li-4379408464</t>
        </is>
      </c>
      <c r="B16" t="inlineStr">
        <is>
          <t>Machine Learning Engineer</t>
        </is>
      </c>
      <c r="C16" t="inlineStr">
        <is>
          <t>Bright Vision Technologies</t>
        </is>
      </c>
      <c r="D16" t="inlineStr">
        <is>
          <t>linkedin</t>
        </is>
      </c>
      <c r="E16">
        <f>HYPERLINK("https://www.linkedin.com/jobs/view/4379408464", "https://www.linkedin.com/jobs/view/4379408464")</f>
        <v/>
      </c>
      <c r="F16" t="inlineStr"/>
      <c r="G16" t="inlineStr">
        <is>
          <t>Cleveland, OH</t>
        </is>
      </c>
      <c r="H16" t="inlineStr"/>
      <c r="I16" t="inlineStr">
        <is>
          <t>Bright Vision Technologies is a forward\-thinking software development company dedicated to building innovative solutions that help businesses automate and optimize their operations.
 We leverage cutting\-edge machine learning technologies to build scalable, reliable, and production\-grade intelligent systems. As we continue to grow, we’re looking for a skilled
 **Machine Learning Engineer** 
 to join our dynamic team and contribute to our mission of transforming business processes through technology.
 This is a fantastic opportunity to join an established and well\-respected organization offering tremendous career growth potential.
 We are looking for
 **OPT/CPT/H4 EAD/TN/E3 or any other Non\-immigrant visa people** 
 who are looking for an
 **H1B sponsorship for the year 2027 quota** 
 .
**Company:** 
 Bright Vision Technologies ( www.bvteck.com )
**Job Title:** 
 Machine Learning Engineer
**Onsite/Hybrid:** 
 Remote
**FULL\-TIME ROLE WITH BRIGHT VISION**
**Environment**
**Job Description:**
 Machine Learning, Python, TensorFlow, PyTorch, Scikit\-learn, Feature Engineering, Model Training \&amp; Evaluation, Model Deployment, RESTful APIs, Data Pipelines, SQL, NoSQL Databases, Cloud Platforms (AWS / Azure / GCP), Docker, Kubernetes, Linux, CI/CD pipelines, Git, Agile methodologies
 Again,
 **we work only with direct clients** 
 . If you are already on
 **H\-1 B** 
 and are open to an
 **H\-1 B transfer** 
 , feel free to apply.
**BUT STRICTLY NO C2C/1099/3RD PARTY COMPANIES. ALL OUR ROLES ARE W2 AND NO 3RD PARTY BROKERING PLEASE.**
 For every role, a
 **coding test is required** 
 , so apply only if you are
 **confident and technically strong** 
 .
 We prefer
 **at least 3 to 5 years of real\-time experience** 
 .
**Thanks\&amp; Regards**
 Best Regards,
 Sridhar Pagolu
 Senior Manager
 Bright Vision Technologies
 Phone: 908\-938\-4442
 Address: \#991 Route 22 West, Suite 200,
 Bridgewater, New Jersey \- 08807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
 Powered by JazzHR</t>
        </is>
      </c>
    </row>
    <row r="17">
      <c r="A17" t="inlineStr">
        <is>
          <t>li-4380354938</t>
        </is>
      </c>
      <c r="B17" t="inlineStr">
        <is>
          <t>AI Engineer</t>
        </is>
      </c>
      <c r="C17" t="inlineStr">
        <is>
          <t>Cerberus Capital Management</t>
        </is>
      </c>
      <c r="D17" t="inlineStr">
        <is>
          <t>linkedin</t>
        </is>
      </c>
      <c r="E17">
        <f>HYPERLINK("https://www.linkedin.com/jobs/view/4380354938", "https://www.linkedin.com/jobs/view/4380354938")</f>
        <v/>
      </c>
      <c r="F17" t="inlineStr"/>
      <c r="G17" t="inlineStr"/>
      <c r="H17" t="inlineStr"/>
      <c r="I17" t="inlineStr">
        <is>
          <t>**AI Engineer \[Analyst/Associate]** 
***About the job***
 As an AI engineer on the AI team at Cerberus, you’ll work on high\-impact projects that combine the pace of a startup with the reach of a global investment platform. Our team partners directly with internal investment desks as well as portfolio companies across industries to build and deploy machine learning systems that accelerate decision\-making and unlock business value.
 You’ll design, implement and deploy production\-grade AI and ML systems, ranging from NLP pipelines that extract insights from complex documents to integrating models with third\-party services to streamline workflows.
 We’re looking for AI engineers who care about impact: people who want to see their models not just trained, but deployed, adopted, and driving measurable results.
***What You’ll Do***
* Design and deliver AI systems: Build and deploy machine learning models and data\-driven products that directly impact investment decisions and portfolio company performance.
* Drive measurable impact: Partner with internal desks and portfolio teams to integrate ML products into their existing workflows to drive high adoption and value.
* Move fast and iterate: Work in an agile environment where experimentation, pragmatic engineering, and rapid iteration are key to creating business value.
* Leverage modern tools and methods: Use contemporary ML frameworks, cloud platforms, and MLOps best practices to build scalable, reusable solutions.
* Communicate insights clearly: Distill complex technical findings into concise, actionable narratives for technical and business audiences alike.
* Keep learning and pushing boundaries: Expand your engineering toolkit across the full ML development lifecycle—from prototyping to deployment—and explore new architectures, tools, and approaches to solving complex, real\-world problems.
***Sample Projects You’ll Work On***
* Generative AI for due diligence: Lead the rollout of our in\-house GenAI platform across investment desks to automate and accelerate due diligence. You’ll configure and extend the system for desk\-specific processes, run proof\-of\-value pilots, measure business impact, and collaborate closely with users to drive adoption and effectiveness.
* Automated Deal Sourcing Workflows: Prototype experimental systems to automate early\-stage deal sourcing. You’ll build integrations to extract signals from public and proprietary data sources, integrate with third\-party APIs to enrich lead information, and integrate with in\-house GenAI platform to create a structured data asset. This includes designing modular components for adaptability across investment strategies, running pilot deployments, and collaborating with users to refine workflows and measure sourcing efficiency.
***Your Experience***
 We’re a small, high\-impact team with a broad remit and diverse technical backgrounds. We don’t expect any single candidate to check every box below \- if your experience overlaps strongly with what we do and you’re excited to apply your skills in a fast\-moving, real\-world environment, we’d love to hear from you.
* **Strong technical foundation:** 
 Degree in a STEM field (or equivalent experience) with hands\-on expertise in applied statistics, machine learning, forecasting, NLP, computer vision, or optimization.
* **Python expertise:** 
 Skilled in writing production\-grade code in Python (e.g., using type hints and understanding the limitations of the language) and in building data pipelines and ML models using modern libraries across multiple domains:
* *Data science stack:* 
 NumPy, pandas / polars, scikit\-learn, XGBoost, LightGBM
* *Deep learning:* 
 PyTorch, JAX
* *Statistical programming:* 
 NumPyro, PyMC
* **Data skills:** 
 Proficient in SQL, with the ability to write efficient, maintainable queries and manage data pipelines for analytics and modeling workflows.
* **ML Ops \&amp; deployment:** 
 Familiarity with deploying models into production using APIs or microservices, and applying ML Ops practices such as experiment tracking (e.g., MLflow, Weights \&amp; Biases), model versioning, and performance monitoring. Experience collaborating with engineering teams to ensure scalable and maintainable deployment.
* **Backend \&amp; service development:** 
 Experience building production\-grade Python webservices (e.g., FastAPI, Flask), developing APIs, and integrating ML components into broader systems.
* **Software engineering practices:** 
 Comfortable with testing, code reviews, CI/CD pipelines, and version control (Git, Azure DevOps) beyond the very basics, ensuring reliable and maintainable codebases.
* **Infrastructure \&amp; cloud** 
 : Familiarity with cloud platforms (Azure preferred; AWS or GCP also valuable), containerization (Docker, Kubernetes), and infrastructure\-as\-code tools like Terraform.
* **Applied AI development:** 
 Experience working with LLM APIs (e.g., OpenAI) and building lightweight AI agents. Familiarity with orchestration tools like Temporal is a plus.
* **Collaboration and impact:** 
 Strong problem\-solving ability, intellectual curiosity, and a pragmatic approach to delivering solutions that create measurable business value, while remaining statistically robust.
**About Us** 
 We are a new, but growing team of AI specialists \- data scientists, software engineers, and technology strategists \- working to transform how an alternative investment firm with $65B in assets under management leverages technology and data. Our remit is broad, spanning investment operations, portfolio companies, and internal systems, giving the team the opportunity to shape the way the firm approaches analytics, automation, and decision\-making.
 We operate with the creativity and agility of a small team, tackling diverse, high\-impact challenges across the firm. While we are embedded within a global investment platform, we maintain a collaborative, innovative culture where our AI talent can experiment, learn, and have real influence on business outcomes.</t>
        </is>
      </c>
    </row>
    <row r="18">
      <c r="A18" t="inlineStr">
        <is>
          <t>li-4379197894</t>
        </is>
      </c>
      <c r="B18" t="inlineStr">
        <is>
          <t>Machine Learning Engineer</t>
        </is>
      </c>
      <c r="C18" t="inlineStr">
        <is>
          <t>Bright Vision Technologies</t>
        </is>
      </c>
      <c r="D18" t="inlineStr">
        <is>
          <t>linkedin</t>
        </is>
      </c>
      <c r="E18">
        <f>HYPERLINK("https://www.linkedin.com/jobs/view/4379197894", "https://www.linkedin.com/jobs/view/4379197894")</f>
        <v/>
      </c>
      <c r="F18">
        <f>HYPERLINK("https://www.adzuna.com/details/5620918942?v=B1C48F8CCD1172E382CD7B094D50E760EEB35EA5&amp;r=21370417&amp;frd=1894a82bfa9fea04455e51875031e312&amp;ccd=a98c430a89b654c180e7de6b5f6b4f89&amp;utm_source=linkedin6&amp;utm_medium=organic&amp;partnerb=1&amp;chnlid=1098&amp;title=Machine%20Learning%20Engineer&amp;a=e&amp;urlHash=VQ4Q", "https://www.adzuna.com/details/5620918942?v=B1C48F8CCD1172E382CD7B094D50E760EEB35EA5&amp;r=21370417&amp;frd=1894a82bfa9fea04455e51875031e312&amp;ccd=a98c430a89b654c180e7de6b5f6b4f89&amp;utm_source=linkedin6&amp;utm_medium=organic&amp;partnerb=1&amp;chnlid=1098&amp;title=Machine%20Learning%20Engineer&amp;a=e&amp;urlHash=VQ4Q")</f>
        <v/>
      </c>
      <c r="G18" t="inlineStr">
        <is>
          <t>Raleigh, NC</t>
        </is>
      </c>
      <c r="H18" t="inlineStr"/>
      <c r="I18" t="inlineStr">
        <is>
          <t>Bright Vision Technologies is a forward\-thinking software development company dedicated to building innovative solutions that help businesses automate and optimize their operations.
 We leverage cutting\-edge machine learning technologies to build scalable, reliable, and production\-grade intelligent systems. As we continue to grow, we’re looking for a skilled
 **Machine Learning Engineer** 
 to join our dynamic team and contribute to our mission of transforming business processes through technology.
 This is a fantastic opportunity to join an established and well\-respected organization offering tremendous career growth potential.
 We are looking for
 **OPT/CPT/H4 EAD/TN/E3 or any other Non\-immigrant visa people** 
 who are looking for an
 **H1B sponsorship for the year 2027 quota** 
 .
**Company:** 
 Bright Vision Technologies ( www.bvteck.com )
**Job Title:** 
 Machine Learning Engineer
**Onsite/Hybrid:** 
 Remote
**FULL\-TIME ROLE WITH BRIGHT VISION**
**Environment**
**Job Description:**
 Machine Learning, Python, TensorFlow, PyTorch, Scikit\-learn, Feature Engineering, Model Training \&amp; Evaluation, Model Deployment, RESTful APIs, Data Pipelines, SQL, NoSQL Databases, Cloud Platforms (AWS / Azure / GCP), Docker, Kubernetes, Linux, CI/CD pipelines, Git, Agile methodologies
 Again,
 **we work only with direct clients** 
 . If you are already on
 **H\-1 B** 
 and are open to an
 **H\-1 B transfer** 
 , feel free to apply.
**BUT STRICTLY NO C2C/1099/3RD PARTY COMPANIES. ALL OUR ROLES ARE W2 AND NO 3RD PARTY BROKERING PLEASE.**
 For every role, a
 **coding test is required** 
 , so apply only if you are
 **confident and technically strong** 
 .
 We prefer
 **at least 3 to 5 years of real\-time experience** 
 .
**Thanks\&amp; Regards**
 Best Regards,
 Sridhar Pagolu
 Senior Manager
 Bright Vision Technologies
 Phone: 908\-938\-4442
 Address: \#991 Route 22 West, Suite 200,
 Bridgewater, New Jersey \- 08807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
 Powered by JazzHR</t>
        </is>
      </c>
    </row>
    <row r="19">
      <c r="A19" t="inlineStr">
        <is>
          <t>li-4380382426</t>
        </is>
      </c>
      <c r="B19" t="inlineStr">
        <is>
          <t>Machine Learning Engineer</t>
        </is>
      </c>
      <c r="C19" t="inlineStr">
        <is>
          <t>Relate Search</t>
        </is>
      </c>
      <c r="D19" t="inlineStr">
        <is>
          <t>linkedin</t>
        </is>
      </c>
      <c r="E19">
        <f>HYPERLINK("https://www.linkedin.com/jobs/view/4380382426", "https://www.linkedin.com/jobs/view/4380382426")</f>
        <v/>
      </c>
      <c r="F19" t="inlineStr"/>
      <c r="G19" t="inlineStr">
        <is>
          <t>Michigan, United States</t>
        </is>
      </c>
      <c r="H19" t="inlineStr"/>
      <c r="I19" t="inlineStr">
        <is>
          <t>AI/ML Medical Imaging Manager
 United States (Eastern or Central Time Zone Preferred)
 Remote
**What You’ll Do:** 
 Relate Search has partnered with an innovative surgical robotics organization in its search for an AI/ML Medical Imaging Manager to establish and lead its internal medical imaging AI/ML capability. This newly created role will define and execute the model development strategy across CT, MRI, and X\-ray applications, owning the lifecycle from intake through deployment. The position blends hands\-on technical execution with strategic leadership, guiding supplier relationships and setting scalable MLOps standards in a growing R\&amp;D environment.
**Responsibilities:** 
* Establish and execute the AI/ML model development strategy for medical imaging applications (CT, MRI, X\-ray).
* Own the complete lifecycle of medical imaging models including intake, training, validation, deployment, and optimization.
* Define and implement scalable MLOps processes and standards to support long\-term growth.
* Provide strategic direction on technology selection, neural network and transformer\-based model evaluation, and platform integration.
* Manage and guide external supplier teams while balancing hands\-on technical contribution with strategic leadership.
**Qualifications:** 
* 7–15 years of total experience with at least 7 years focused on AI/ML (depth of expertise prioritized over exact years).
* Medical imaging domain expertise including imaging pipelines, model development, repeatable models, and training optimization.
* Experience with GCP or AWS and cloud\-based ML platforms such as Vertex AI or SageMaker.
* Strong knowledge of convolutional neural networks, transformer\-based models, DICOM, and multiple ML frameworks.
* Demonstrated leadership ability with hands\-on technical capability and experience driving strategy in fast\-paced environments.
**About Relate Search** 
 Relate Search is a Woman, Minority, and LGBTQIA\+ owned executive and professional search firm dedicated to connecting top talent with meaningful opportunity. With deep expertise across Supply Chain \&amp; Operations, Technology, Sales \&amp; Marketing, Human Resources, and Accounting \&amp; Finance we deliver customized, people\-first recruiting solutions that drive lasting impact.
**Equal Opportunity \&amp; Diversity Statement** 
 Relate Search is proud to be an Equal Opportunity Employer. We value diversity and are committed to building inclusive teams where everyone belongs. All qualified applicants are encouraged to apply.</t>
        </is>
      </c>
    </row>
    <row r="20">
      <c r="A20" t="inlineStr">
        <is>
          <t>li-4379424195</t>
        </is>
      </c>
      <c r="B20" t="inlineStr">
        <is>
          <t>AI Engineer</t>
        </is>
      </c>
      <c r="C20" t="inlineStr">
        <is>
          <t>MassMutual</t>
        </is>
      </c>
      <c r="D20" t="inlineStr">
        <is>
          <t>linkedin</t>
        </is>
      </c>
      <c r="E20">
        <f>HYPERLINK("https://www.linkedin.com/jobs/view/4379424195", "https://www.linkedin.com/jobs/view/4379424195")</f>
        <v/>
      </c>
      <c r="F20">
        <f>HYPERLINK("https://linkedin.sonicapply.com/us/linkedin/69a6eb3e35e73781444d7d98&amp;urlHash=po7P", "https://linkedin.sonicapply.com/us/linkedin/69a6eb3e35e73781444d7d98&amp;urlHash=po7P")</f>
        <v/>
      </c>
      <c r="G20" t="inlineStr">
        <is>
          <t>New York, NY</t>
        </is>
      </c>
      <c r="H20" t="inlineStr"/>
      <c r="I20" t="inlineStr">
        <is>
          <t>**Job Description**
**AI Engineer**
**Full Time Hybrid (Boston, NYC, Springfield)**
**The Opportunity**
 This is a unique opportunity to work alongside experts in applied mathematics, statistics, computer science, and
 physics—collaborating
 on initiatives that shape the future of MassMutual and the life insurance industry at large.
**The Team**
 MassMutual’s Data Science team is seeking an impact\-driven AI Engineer to join our high\-performing, cross\-functional team. In this role, you will develop and deploy advanced AI solutions that drive strategic decision\-making and business transformation. You’ll apply cutting\-edge techniques in machine learning, generative AI, and large language models (LLMs) to solve complex, high\-value problems across the enterprise.
**The Impact**
* Develop and deploy end\-to\-end ML/AI solutions supporting various use cases for a large enterprise using LLMs, deep learning, and probabilistic modeling—from ideation to production.
* Deploy scalable GenAI and Agentic AI systems that directly support business goals.
* Establish and promote best practices in AI development and responsible AI deployment.
* Collaborate with engineering teams to build robust, production\-grade AI pipelines and APIs.
* Prototype and deliver AI\-powered applications (e.g., web apps, dashboards, visualizations) that enable data\-driven decisions.
**Minimum Requirements:**
* 5\+ years proficiency in SQL and database design; familiarity with cloud\-native data platforms, vector databases, and semantic search is a plus.
* 5\+ years skills in Python. Proficiency in R is a plus.
* 5\+ years experience Deep understanding of machine learning, statistics, NLP, optimization, and LLMs.
* 3\+ years of experience in data science, machine learning, or AI engineering roles.
* 2\+ years experience Hands\-on with AI deployment and orchestration frameworks and protocols (e.g., agentcore, strands, langchain, MCP, A2A).
* 2\+ years extensive experience and background in AI agents and LLM systems, including tool use, multi\-step workflows, RAG, prompt management, and evaluating LLM and agentic behavior across a variety of foundation models and benchmarks.
* 2\+ years experience building AI\-powered applications and collaborating with software engineers and product managers.
* 2\+ years experience with cloud\-native development, containerization, and orchestration technologies such as Docker and Kubernetes
* M.S. in Computer Science, Statistics, Applied Mathematics, Electrical Engineering, Physics, or a related quantitative field.
**Ideal Qualifications**
* Track record of delivering impactful solutions.
* Exceptional communication skills, with the ability to explain complex concepts to non\-technical stakeholders.
 MassMutual is an equal employment opportunity employer. We welcome all persons to apply.
 If you need an accommodation to complete the application process, please contact us and share the specifics of the assistance you need.
 California residents: For detailed information about your rights under the California Consumer Privacy Act (CCPA), please visit our California Consumer Privacy Act Disclosures page.</t>
        </is>
      </c>
    </row>
    <row r="21">
      <c r="A21" t="inlineStr">
        <is>
          <t>li-4379429105</t>
        </is>
      </c>
      <c r="B21" t="inlineStr">
        <is>
          <t>AI ML Engineer (7+ Years)</t>
        </is>
      </c>
      <c r="C21" t="inlineStr">
        <is>
          <t>InApp</t>
        </is>
      </c>
      <c r="D21" t="inlineStr">
        <is>
          <t>linkedin</t>
        </is>
      </c>
      <c r="E21">
        <f>HYPERLINK("https://www.linkedin.com/jobs/view/4379429105", "https://www.linkedin.com/jobs/view/4379429105")</f>
        <v/>
      </c>
      <c r="F21" t="inlineStr"/>
      <c r="G21" t="inlineStr"/>
      <c r="H21" t="inlineStr"/>
      <c r="I21" t="inlineStr">
        <is>
          <t>* Notice Period: Immediate joiners Number of Openings: 1 Working hours : 3 PM – 12 AM IST
**Job Summary**
 We are seeking a Senior Python Developer who excels at building scalable, AI\-integrated systems using modern tools and frameworks. The ideal candidate embraces AI\-assisted development (GitHub Copilot, ChatGPT, AutoGen, etc.) to boost productivity, improve code quality, and drive innovation across our application stack. This role combines backend expertise, cloud\-native architecture, and hands\-on AI integration to deliver intelligent, high\-performance solutions.
 Key Responsibilities
**AI Model Integration \&amp; Optimization**
* Integrate APIs from multiple AI platforms (OpenAI, Anthropic, Gemini, Llama, Mistral, etc.) into scalable backend systems.
* Build multi\-model orchestration layers balancing cost, latency, and accuracy.
* Fine\-tune prompts, manage context windows, and implement RAG (Retrieval\-Augmented Generation) solutions for domain\-specific use cases.
* Optimize token usage, caching, and filtering strategies to enhance system efficiency and user experience.
**Application \&amp; System Development**
* Design and implement AI\-enabled workflows seamlessly integrated with web, mobile, or enterprise ecosystems.
* Develop Python\-based backends and APIs using frameworks like FastAPI, Flask, or Django.
* Build and deploy microservices and cloud\-native services leveraging Docker, Kubernetes, and serverless architectures
* Collaborate with frontend, DevOps, and product teams to ensure smooth feature delivery and deployment.
* Monitor and evaluate AI responses through metrics, evaluation frameworks, or RLHF\-inspired feedback loops.
* Implement AI guardrails for responsible usage including bias detection, toxicity filtering, and compliance enforcement.
* Debug and resolve performance or reliability issues in AI\-powered production systems.
**Innovation \&amp; Collaboration**
* Stay up to date with the evolving AI model landscape, exploring new models, APIs, and orchestration frameworks.
* Experiment with multi\-modal AI (vision, text, speech) for applicability in client scenarios.
* Work closely with cross\-functional teams to translate business goals into intelligent, automated features.
**Primary Skills**
* Python backend expert: FastAPI, async I/O, API design, testing.
* Production LLM integration: OpenAI/Anthropic/Gemini/Mistral; prompt and context strategies; RAG with a vector DB.
* Cloud\-native delivery: Docker, AWS (preferred), CI/CD, IaC basics (Terraform or Pulumi).
* Data layer: SQL (PostgreSQL), caching/queues (Redis \+ Celery/RQ/SQS/Kafka).
* Daily AI\-assisted development (Copilot/Others) for coding and tests.
**Required Skills \&amp; Qualifications**
* Expert in Python backend development with hands\-on experience integrating AI models, building cloud\-native microservices, and using AI\-assisted coding tools for faster, smarter development.
* Proven hands\-on experience integrating LLM APIs (OpenAI, Claude, Gemini, Llama, etc.).
* Strong expertise in AI/ML frameworks (TensorFlow, PyTorch, scikit\-learn, Hugging Face, etc.)” as essential qualification
* Practical knowledge of LangChain, LlamaIndex, Codium or similar frameworks for AI workflow orchestration.
* Understanding of prompt engineering, embeddings, vector databases (Pinecone, Weaviate, FAISS, pgvector), and RAG pipelines.
* Strong background in cloud platforms (AWS, GCP, Azure), containerization, and orchestration.
* Deep understanding of REST/GraphQL APIs, async programming, task queues, and caching mechanisms.
* Familiarity with SQL/NoSQL databases (PostgreSQL, MongoDB, Redis).
* Experience using AI\-assisted tools such as GitHub Copilot, ChatGPT API, AutoGen, or OpenDevin for coding and testing automation.
* Exposure to CI/CD pipelines and Infrastructure as Code (Terraform, Pulumi).
* Knowledge of data preprocessing, NLP/NLU, and model evaluation techniques.
* Data Engineering \&amp; Processing, Data pipeline development , ETL/ELT processes, Batch processing and stream processing frameworks, Large\-scale data handling with pandas, NumPy, Dask
**Preferred Skills**
* Hands\-on with multi\-modal AI (vision, text\-to\-speech, speech\-to\-text).
* Experience with MLOps practices including CI/CD for AI pipelines, model monitoring, and drift detection.
* Background in fine\-tuning, reinforcement learning, or custom model training.
* Familiarity with enterprise security standards (GDPR, HIPAA, SOC2\).
* Contributions to open\-source or personal AI\-assisted coding initiatives.
 Soft Skills
* Excellent problem\-solving and analytical thinking ability.
* Strong cross\-functional collaboration and communication skills.
* Clear technical documentation habits.
* Curious, experimental mindset with a drive to explore the next frontier in AI\-driven development.</t>
        </is>
      </c>
    </row>
    <row r="22">
      <c r="A22" t="inlineStr">
        <is>
          <t>li-4366771346</t>
        </is>
      </c>
      <c r="B22" t="inlineStr">
        <is>
          <t>AI Engineer</t>
        </is>
      </c>
      <c r="C22" t="inlineStr">
        <is>
          <t>Berkley Hunt</t>
        </is>
      </c>
      <c r="D22" t="inlineStr">
        <is>
          <t>linkedin</t>
        </is>
      </c>
      <c r="E22">
        <f>HYPERLINK("https://www.linkedin.com/jobs/view/4366771346", "https://www.linkedin.com/jobs/view/4366771346")</f>
        <v/>
      </c>
      <c r="F22" t="inlineStr"/>
      <c r="G22" t="inlineStr">
        <is>
          <t>San Francisco, CA</t>
        </is>
      </c>
      <c r="H22" t="inlineStr"/>
      <c r="I22" t="inlineStr">
        <is>
          <t>ML Engineer \| Hybrid – San Francisco, CA
**\*\*DUE TO FEDERAL REGULATIONS, CANDIDATES MUST BE US CITIZENS\*\*** 
 Berkley Hunt has partnered with a fast\-growing, Series B technology company that is redefining manufacturing engineering through cutting\-edge AI solutions. As the demand for intelligent automation in manufacturing accelerates, they are tackling the complex challenges of deploying AI in real\-world industrial systems \- ranging from large language models for classification to optimizing cloud infrastructure for production\-scale deployment. To drive this mission forward, they are seeking a product\-focused AI Engineer to design, build, and deploy high\-impact AI features that fundamentally transform the way engineers work.
**About the Role:** 
* As an AI Engineer, you will work closely with cross\-functional teams to shape the AI features that power the platform.
* You will have ownership over developing and deploying large language models (LLMs), collaborating with engineers to integrate AI capabilities into the platform’s infrastructure, and optimizing performance at scale.
* This role requires a combination of strong expertise in NLP, MLOps, and a solid understanding of building scalable, production\-ready machine learning systems in a cloud environment.
**Responsibilities:** 
* Develop and fine\-tune large language models (LLMs) for classifying aerospace engineering text, categorizing, and linking requirements across the platform
* Implement end\-to\-end ML features from product requirements to production deployment, including backend infrastructure
* Collaborate cross\-functionally with app engineers, infrastructure, and security engineers to integrate AI capabilities seamlessly into our platform
* Design and maintain reproducible training pipelines ensuring model consistency across different environments
* Optimize model training processes, inference performance, and associated cloud infrastructure costs
* Establish MLOps best practices for versioning, monitoring, and maintaining AI systems in production
* Mentor team members on AI concepts and best practices to build organizational knowledge
**Expectations:** 
* 5\+ years of professional experience developing AI/ML solutions in production environments
* Strong expertise in NLP, particularly with transformer\-based models (BERT, GPT, etc.)
* Experience taking ML features from concept to production without extensive specialist support
* Full\-stack development capabilities to build complete AI features
* Cross\-functional collaboration skills and the ability to communicate complex AI concepts to non\-specialists
* Independent problem\-solving abilities and resourcefulness when tackling novel AI challenges
* Product thinking – ability to translate business requirements into pragmatic AI solutions</t>
        </is>
      </c>
    </row>
    <row r="23">
      <c r="A23" t="inlineStr">
        <is>
          <t>li-4380195896</t>
        </is>
      </c>
      <c r="B23" t="inlineStr">
        <is>
          <t>Machine Learning Engineer</t>
        </is>
      </c>
      <c r="C23" t="inlineStr">
        <is>
          <t>Wiraa</t>
        </is>
      </c>
      <c r="D23" t="inlineStr">
        <is>
          <t>linkedin</t>
        </is>
      </c>
      <c r="E23">
        <f>HYPERLINK("https://www.linkedin.com/jobs/view/4380195896", "https://www.linkedin.com/jobs/view/4380195896")</f>
        <v/>
      </c>
      <c r="F23" t="inlineStr"/>
      <c r="G23" t="inlineStr"/>
      <c r="H23" t="inlineStr"/>
      <c r="I23" t="inlineStr">
        <is>
          <t>**About The Company**
 Aimpoint Digital is a leading analytics consulting firm dedicated to delivering innovative data\-driven solutions that generate measurable business value. With a focus on data strategy, data analytics, decision sciences, and data engineering, Aimpoint Digital empowers organizations to harness the full potential of their data assets. Our expertise spans across industries, enabling clients to make informed decisions, optimize operations, and foster sustainable growth. Committed to excellence and continuous innovation, Aimpoint Digital prides itself on building strong client relationships and fostering a collaborative environment that encourages professional development and technological advancement.
**About The Role**
 As a Lead Data Scientist at Aimpoint Digital, you will play a pivotal role in designing, developing, and deploying advanced analytical solutions for our clients. You will work closely with stakeholders across various industries to understand their unique challenges and craft tailored machine learning and statistical models that drive business impact. Your expertise will enable clients to unlock insights from complex data sets, automate processes, and implement scalable solutions. This role requires a proactive, independent professional with a strong foundation in data science methodologies, software engineering best practices, and a passion for innovation. You will also contribute to the growth of our decision sciences practice by mentoring team members, participating in business development activities, and sharing your knowledge through thought leadership and technical initiatives.
**Qualifications**
* Degree in Computer Science, Engineering, Mathematics, or a related field, or equivalent practical experience
* Minimum of 3\+ years of experience developing and deploying machine learning models on platforms such as Azure, AWS, GCP, or Databricks
* Proficiency in programming languages including Python, SQL, and Spark
* Experience with building high\-quality data science models to solve complex business problems
* Strong understanding of software engineering principles, CI/CD pipelines, and best practices
* Excellent communication skills, both written and verbal
* Proven ability to manage individual workstreams independently and collaborate effectively with stakeholders
* Willingness to travel as required
 Want to stand out? Additional qualifications include:
* Consulting experience in data science or analytics
* Databricks Machine Learning Associate or Professional Certification
* Experience with deep learning frameworks like TensorFlow or PyTorch
* Knowledge of ML deployment options such as Azure Functions, FastAPI, or Kubernetes
* Experience with MLOps or LLMOps practices
* Familiarity with generative AI, large language models, and related tools like LLamaIndex and LangChain
* Knowledge of infrastructure as code tools such as Terraform or ARM Templates
* Experience with advanced techniques including graph processing, computer vision, natural language processing, and simulation modeling
* Understanding of Agile methodologies, especially Scrum
**Responsibilities**
* Design and develop end\-to\-end analytical solutions tailored to client needs, including feature engineering, model development, and deployment
* Build and optimize machine learning and artificial intelligence infrastructure, ensuring scalability and robustness
* Write clean, efficient, and well\-documented code in Python, SQL, and Spark following industry best practices
* Collaborate with stakeholders to gather requirements, present insights, and ensure successful project delivery
* Train clients and internal teams on managing and maintaining deployed solutions
* Lead and manage individual workstreams, ensuring timely and quality outputs
* Contribute to business development efforts by identifying new opportunities and crafting innovative solutions
* Mentor junior team members and share knowledge to foster a collaborative learning environment
* Stay updated with the latest advancements in data science, machine learning, and AI technologies
**Benefits**
* Competitive salary package
* Flexible remote working arrangements within the US, UK, or Colombia
* Health insurance and wellness benefits
* Professional development opportunities, including certifications and training
* Collaborative and innovative work environment
* Opportunities to work on cutting\-edge projects across various industries
* Paid time off and holidays
* Supportive company culture that values diversity and inclusion
 Equal Opportunity
 Aimpoint Digital is an equal opportunity employer committed to fostering an inclusive environment for all employees. We celebrate diversity and do not discriminate based on race, ethnicity, gender, age, sexual orientation, disability, or any other protected characteristic. We believe that diverse perspectives and experiences drive innovation and excellence, and we are dedicated to providing equal employment opportunities to all qualified candidates.</t>
        </is>
      </c>
    </row>
    <row r="24">
      <c r="A24" t="inlineStr">
        <is>
          <t>li-4380179694</t>
        </is>
      </c>
      <c r="B24" t="inlineStr">
        <is>
          <t>Machine Learning Engineer II (Remote)</t>
        </is>
      </c>
      <c r="C24" t="inlineStr">
        <is>
          <t>Lensa</t>
        </is>
      </c>
      <c r="D24" t="inlineStr">
        <is>
          <t>linkedin</t>
        </is>
      </c>
      <c r="E24">
        <f>HYPERLINK("https://www.linkedin.com/jobs/view/4380179694", "https://www.linkedin.com/jobs/view/4380179694")</f>
        <v/>
      </c>
      <c r="F24">
        <f>HYPERLINK("https://lensa.com/cgw/b36139dfab10416c82340b925c1cd10etjo1?jpsi=directemployers&amp;publisher_preference=easier_apply&amp;utm_campaign=Computer%20Occupations&amp;utm_medium=slot&amp;utm_source=linkedin&amp;utm_term=jse&amp;urlHash=UyRd", "https://lensa.com/cgw/b36139dfab10416c82340b925c1cd10etjo1?jpsi=directemployers&amp;publisher_preference=easier_apply&amp;utm_campaign=Computer%20Occupations&amp;utm_medium=slot&amp;utm_source=linkedin&amp;utm_term=jse&amp;urlHash=UyRd")</f>
        <v/>
      </c>
      <c r="G24" t="inlineStr">
        <is>
          <t>Atlanta, GA</t>
        </is>
      </c>
      <c r="H24" t="inlineStr"/>
      <c r="I24" t="inlineStr">
        <is>
          <t>Lensa is a career site that helps job seekers find great jobs in the US. We are not a staffing firm or agency. Lensa does not hire directly for these jobs, but promotes jobs on LinkedIn on behalf of its direct clients, recruitment ad agencies, and marketing partners. Lensa partners with DirectEmployers to promote this job for Home Depot. Clicking "Apply Now" or "Read more" on Lensa redirects you to the job board/employer site. Any information collected there is subject to their terms and privacy notice.
**Position Purpose**
 The Machine Learning Engineer II is responsible for joining a product team and contributing to the software design, algorithm design, and overall product lifecycle for a product that our users love. The engineering process is highly collaborative. ML Engineers are expected to pair daily as they work through user stories and support products as they evolve.
 ML Engineers may be involved in designing and implementing AI/ML algorithms to embed directly into software products. Activities may include using specific HD process techniques, integration, design, and development. The role could interface with Business Stakeholders, Technology Infrastructure teams, and Development teams to ensure that business requirements are properly met within a machine learning solution. The role may also be involved in performance tuning, testing, and product monitoring. Other responsibilities may include performing customer outreach, designing ML educational material, and data engineering.
 ML Engineers should be able to operate independently with minimum guidance from others, although will typically work as part of a team with varying skill levels to create, support, and deploy production applications. This role will review submitted code and provide feedback to improve, based on best practices.
**Key Responsibilities**
* 65% Delivery and Execution \- Collaborates and pairs with other product team members (UX, engineering, and product management) to create secure, reliable, scalable machine learning solutions; Documents, reviews, and ensures that all quality and change control standards are met; Works with Product Team to ensure user stories that are developer\-ready, easy to understand, and testable; Writes custom code or scripts to automate infrastructure, monitoring services, and test cases; Writes custom code or scripts to do "destructive testing" to ensure adequate resiliency in production; Program configuration/modification and setup activities on large projects using HD approved methodology; Configures commercial off the shelf solutions to align with evolving business needs; Creates meaningful dashboards, logging, alerting, and responses to ensure that issues are captured and addressed proactively
* 15% Learning \- Participates in learning activities around modern software design, machine learning, and development core practices (communities of practice); Proactively views articles, tutorials, and videos to learn about new technologies and best practices being used within other technology organizations
* 20% Support and Enablement \- Fields questions from other product teams or support teams; Monitors tools and participates in conversations to encourage collaboration across product teams; Provides application support for software running in production; Proactively monitors production Service Level Objectives for products; Proactively reviews the Performance and Capacity of all aspects of production: code, infrastructure, data, message processing, and prediction quality
**Direct Manager/Direct Reports**
* This Position typically reports to Software Engineer Manager or Sr Software Engineer Manager
* This Position has 0 Direct Reports
**Travel Requirements**
* Typically requires overnight travel 5% to 20% of the time.
**Physical Requirements**
* Most of the time is spent sitting in a comfortable position and there is frequent opportunity to move about. On rare occasions there may be a need to move or lift light articles.
**Working Conditions**
* Located in a comfortable indoor area. Any unpleasant conditions would be infrequent and not objectionable.
**Minimum Qualifications**
* Must be eighteen years of age or older.
* Must be legally permitted to work in the United States.
**Preferred Qualifications**
* 1 \- 3 years of relevant work experience
* Experience in a modern scripting language (preferably Python)
* Experience in effective data engineering practices and big data platforms such as BigQuery, Data Store, etc
* Experience in modern web application framework such as Node.js
* Experience in a front\-end technology and framework such as HTML, CCS, JavaScript, ReactJS, D3
* Experience in writing SQL queries against a relational database
* Experience in version control systems (preferable Git)
* Familiarity with algorithms such as clustering, forecasting, anomaly detection, and neural networks.
* Familiarity with basic statistics and regression algorithms
* Familiarity with advanced statistics such as bayesian statistics
* Familiarity with Data Analysis and Machine Learning Tools and Libraries like Jupyter Notebooks, Pandas, SciPy, Scikit\-learn, Gensim, tensorflow, pytorch, etc.
* Familiarity with Google Cloud Platform and AI/ML related components such as Vertex AI, BigQueryML, and AutoML
* Familiarity with a Linux or Unix based environment
* Familiarity with a CI/CD toolchain
* Familiarity with REST and effective web service design
* Familiarity with production systems design including High Availability, Disaster Recovery, Performance, Efficiency, and Security
**Minimum Education**
* The knowledge, skills and abilities typically acquired through the completion of a high school diploma and/or GED.
**Preferred Education**
* No additional education
**Minimum Years Of Work Experience**
* 1
**Preferred Years Of Work Experience**
* No additional years of experience
**Minimum Leadership Experience**
* None
**Preferred Leadership Experience**
* None
**Certifications**
* None
**Competencies**
* Global Perspective
* Manages Ambiguity
* Nimble Learning
* Self\-Development
* Collaborates
* Cultivates Innovation
* Situational Adaptability
* Communicates Effectively
* Drives Results
* Interpersonal Savvy
 We are an Equal Opportunity Employer and do not discriminate against any employee or applicant for employment because of race, color, sex, age, national origin, religion, sexual orientation, gender identity, status as a veteran, and basis of disability or any other federal, state or local protected class. \- $90,000\.00 \- $170,000\.00
 If you have questions about this posting, please contact support@lensa.com</t>
        </is>
      </c>
    </row>
    <row r="25">
      <c r="A25" t="inlineStr">
        <is>
          <t>li-4380319114</t>
        </is>
      </c>
      <c r="B25" t="inlineStr">
        <is>
          <t>Senior ML Engineer</t>
        </is>
      </c>
      <c r="C25" t="inlineStr">
        <is>
          <t>CSG Talent</t>
        </is>
      </c>
      <c r="D25" t="inlineStr">
        <is>
          <t>linkedin</t>
        </is>
      </c>
      <c r="E25">
        <f>HYPERLINK("https://www.linkedin.com/jobs/view/4380319114", "https://www.linkedin.com/jobs/view/4380319114")</f>
        <v/>
      </c>
      <c r="F25" t="inlineStr"/>
      <c r="G25" t="inlineStr">
        <is>
          <t>Arlington, VA</t>
        </is>
      </c>
      <c r="H25" t="inlineStr"/>
      <c r="I25" t="inlineStr">
        <is>
          <t>We are seeking an experienced Machine Learning Engineer to design, build, and operationalize scalable AI/ML solutions supporting mission\-critical initiatives. This role focuses on transforming data science prototypes into secure, high\-performing production systems using Python, leading ML frameworks, and modern cloud infrastructure.
 What You'll Do:
**Model Development** 
* Partner with data scientists and domain experts to design, build, and train ML systems
* Develop experiments, prototypes, and proof\-of\-concepts to refine model performance
* Build scalable, reusable training pipelines using Databricks and MLflow
**LLM \&amp; Advanced AI Implementation** 
* Implement and optimize Large Language Models (LLMs)
* Develop Retrieval\-Augmented Generation (RAG) systems
* Design and deploy AI agent architectures for enterprise applications
**Deployment \&amp; MLOps** 
* Productionize models using CI/CD best practices
* Deploy solutions via MLflow, AWS SageMaker, or custom APIs
* Monitor models for performance, drift, latency, and accuracy
* Continuously improve efficiency and scalability
**Data Architecture \&amp; Integration** 
* Align ML pipelines with Bronze, Silver, and Gold layers in a Medallion Architecture
* Engineer high\-quality features and maintain robust training/inference pipelines
**Collaboration \&amp; Leadership** 
* Document ML processes, artifacts, and outcomes clearly
* Contribute to agile ceremonies and stakeholder updates
* Mentor junior engineers and promote ML best practices
 Required Qualifications
* 5\+ years of experience in ML Engineering or Applied Machine Learning
* Strong Python programming expertise
* Hands\-on experience with ML frameworks (scikit\-learn, XGBoost, PyTorch, TensorFlow)
* Experience with TensorFlow, PyTorch, or Hugging Face training frameworks
* Proficiency in Databricks, MLflow, and PySpark
* Strong understanding of end\-to\-end model lifecycle and MLOps
* Experience with AWS\-based infrastructure and DevOps workflows
* Proven experience productionizing ML models
* Experience with supervised, unsupervised, and deep learning techniques
* Solid software engineering fundamentals
* Practical experience building and deploying LLMs, RAG systems, and AI agents
* Experience with AWS services including S3, EC2, Lambda, SageMaker, and Step Functions
* Strong communication and teamwork skills
 Clearance Requirement
* Must be a U.S. Citizen
* Must be able to obtain a U.S. Federal Government client badge
* Ability to pass a government background investigation required
* Active DOT clearance preferred</t>
        </is>
      </c>
    </row>
    <row r="26">
      <c r="A26" t="inlineStr">
        <is>
          <t>li-4380313023</t>
        </is>
      </c>
      <c r="B26" t="inlineStr">
        <is>
          <t>AI/ML Engineer</t>
        </is>
      </c>
      <c r="C26" t="inlineStr">
        <is>
          <t>Wiraa</t>
        </is>
      </c>
      <c r="D26" t="inlineStr">
        <is>
          <t>linkedin</t>
        </is>
      </c>
      <c r="E26">
        <f>HYPERLINK("https://www.linkedin.com/jobs/view/4380313023", "https://www.linkedin.com/jobs/view/4380313023")</f>
        <v/>
      </c>
      <c r="F26" t="inlineStr"/>
      <c r="G26" t="inlineStr"/>
      <c r="H26" t="inlineStr"/>
      <c r="I26" t="inlineStr">
        <is>
          <t>**About The Company**
 GreenFi is at the forefront of transforming how organizations approach sustainability, environmental, social, and governance (ESG) initiatives, and climate accountability. Our innovative platform leverages advanced AI\-driven solutions to streamline ESG reporting, risk management, and sustainable decision\-making processes. By developing the next generation of AI\-native sustainability infrastructure, GreenFi empowers businesses, financial institutions, and regulators to go beyond mere compliance and turn ESG considerations into strategic growth opportunities. Our comprehensive suite of tools includes automated ESG reporting, carbon footprint tracking, climate risk modeling, and supply chain transparency, all designed to help organizations meet international standards while preparing for a low\-carbon future. Supported by leading sustainability funds, accelerators, and climate\-tech investors, GreenFi boasts a world\-class team of experts from organizations such as McKinsey, Microsoft, Meta, and top ESG think tanks. Our commitment to innovation and impact drives us to build technology at the intersection of AI, climate, and finance, making a tangible difference in global sustainability efforts.
**About The Role**
 We are seeking a talented and motivated AI/ML Engineer specialized in sustainability and ESG systems to join our dynamic team. In this role, you will be instrumental in designing and implementing AI\-powered solutions that analyze complex ESG data, climate disclosures, and sustainability risks. Your work will directly contribute to enhancing GreenFi’s platform capabilities, enabling clients to meet regulatory requirements and achieve their sustainability goals more effectively. You will collaborate with cross\-disciplinary teams—including product engineers, climate scientists, and ESG experts—to translate sustainability requirements into scalable AI solutions. Your responsibilities will include managing end\-to\-end data pipelines for large language models (LLMs) and ESG models, ensuring data quality, model fine\-tuning, and deployment. Additionally, you will help establish trustworthy AI frameworks to guarantee transparency, accuracy, and compliance in ESG reporting. This role offers an exciting opportunity to work at the cutting edge of climate\-tech and AI, making a meaningful impact on global sustainability initiatives.
**Qualifications**
* Bachelor’s or Master’s degree in AI/ML, Data Science, Climate Science, Sustainability, Finance, or related fields
* Proven experience developing or deploying advanced AI/ML systems in complex industries such as finance, compliance, climate, or sustainability
* Strong skills in fine\-tuning large language models (LLMs), domain\-specific models, and applying them to ESG and sustainability use cases
* Familiarity with ESG frameworks and climate disclosure requirements (SEC, EU CSRD, IFRS S1 \&amp; S2, BRSR, GRI, SASB, TCFD, etc.)
* Experience in building and managing data pipelines, including data curation, model evaluation, and deployment
* Knowledge of regulatory standards and ability to integrate them into AI solutions
* Excellent analytical and problem\-solving skills with a focus on ESG metrics and risk modeling
* Passion for climate\-tech and sustainability, with a strong belief in technology’s role in addressing global challenges
**Responsibilities**
* Design and develop AI systems that analyze ESG data, climate disclosures, and sustainability risks to generate actionable insights and recommendations
* Build frameworks that align AI solutions with major regulatory standards such as SEC, EU CSRD, IFRS, BRSR, and others
* Enhance AI reasoning capabilities to support complex domains like carbon accounting, supply chain emissions, and regulatory compliance
* Collaborate with product engineers, climate scientists, and ESG experts to translate sustainability requirements into scalable AI models
* Manage end\-to\-end data pipelines for LLMs and ESG models, including data collection, preprocessing, fine\-tuning, and deployment
* Establish evaluation and assurance methods to ensure AI solutions are transparent, accurate, and compliant with standards
* Stay updated on emerging trends in AI, climate science, and ESG regulations to continuously improve platform capabilities
**Benefits**
* Competitive salary and equity package
* Fully remote work environment with flexible scheduling
* Opportunity to work on impactful projects at the intersection of AI, climate, and finance
* Collaborate with a diverse, world\-class team of experts
* Access to professional development and continuous learning opportunities
* Be part of a rapidly expanding global organization with growth opportunities across North America, Europe, and APAC
 Equal Opportunity
 GreenFi is an equal opportunity employer. We celebrate diversity and are committed to creating an inclusive environment for all employees. All qualified applicants will receive consideration for employment without regard to race, color, religion, gender identity, sexual orientation, age, national origin, disability, or any other protected status under applicable law.</t>
        </is>
      </c>
    </row>
    <row r="27">
      <c r="A27" t="inlineStr">
        <is>
          <t>li-4370924662</t>
        </is>
      </c>
      <c r="B27" t="inlineStr">
        <is>
          <t>Machine Learning Engineer - Robotics, Platforms for Vision Language Action Foundation Models</t>
        </is>
      </c>
      <c r="C27" t="inlineStr">
        <is>
          <t>Toyota Research Institute</t>
        </is>
      </c>
      <c r="D27" t="inlineStr">
        <is>
          <t>linkedin</t>
        </is>
      </c>
      <c r="E27">
        <f>HYPERLINK("https://www.linkedin.com/jobs/view/4370924662", "https://www.linkedin.com/jobs/view/4370924662")</f>
        <v/>
      </c>
      <c r="F27" t="inlineStr"/>
      <c r="G27" t="inlineStr">
        <is>
          <t>Los Altos, CA</t>
        </is>
      </c>
      <c r="H27" t="inlineStr"/>
      <c r="I27" t="inlineStr">
        <is>
          <t>At Toyota Research Institute (TRI), we’re on a mission to improve the quality of human life. We’re developing new tools and capabilities to amplify the human experience. To lead this transformative shift in mobility, we’ve built a world\-class team advancing the state of the art in AI, robotics, driving, and material sciences.
 We are looking for a machine learning engineer to develop our infrastructure and support researchers in the development of foundation models for robotics.
**The Mission** 
 We are working to create general\-purpose robots capable of accomplishing a wide variety of dexterous tasks. To do this, our team is building general\-purpose machine learning foundation models for dexterous robot manipulation. These models, which we call Large Behavior Models (LBMs), use generative AI techniques to produce robot action from sensor data and human request. To accomplish this, we are creating a large curriculum of embodied robot demonstration data and combining that data with a rich corpus of internet\-scale text, image, and video data. We are also using high\-quality simulation to augment real world robot data with procedurally\-generated synthetic demonstrations.
**The Team** 
 The Robotics Machine Learning Team’s charter is to push the frontiers of research in robotics and machine learning to develop the future capabilities required for general\-purpose robots able to operate in realistic environments such as homes or factories.
**The Job** 
 We have several research thrusts under our broad mission, and we are looking for a machine learning engineer to contribute to some of the following objectives:
**Hardware Infrastructure:** 
 Develop our hardware platform, making sure the robots and software stack are state\-of\-the\-art, operational, and continuously improved with new functionalities. This includes the robot hardware (YAM, Franka, and custom), the sensors (monocular, stereo, depth, etc), the robot/computer interface, the human/robot interface, the data logging, and the controls.
**Inference \&amp; Deployment:** 
 Build APIs and systems for high\-throughput inference and logging in simulation and on real robot platforms. Enable low\-latency model serving and robust policy–environment communication.
**Evaluation \&amp; Monitoring:** 
 Design metrics pipelines for quantitative and qualitative evaluation. Build tools for experiment tracking, logging, visualization, and leaderboard management using systems like
**Weights \&amp; Biases** 
 ,
**MLflow** 
 , or
**ClearML** 
 .
**Data Infrastructure:** 
 Build scalable pipelines for heterogeneous multimodal data (images, text, video, touch, depth, proprioception). Work with data storage, versioning, streaming, and visualization systems optimized for throughput and accessibility.
 The machine learning engineer who joins our team will be expected to create working code, and interact frequently with researchers. They will run experiments with both simulated and real (physical) robots, and participate in publishing the work to peer\-reviewed venues. We’re looking for an engineer who is comfortable working with multiple robotic embodiments and stacks as well as a growing dynamic corpus of robot data.
**Qualifications** 
* Hardware experience on robots
* Communication protocol experience (ROS, WebSocket, RPC…)
* Strong software engineering skills in
 **Python** 
 ,
 **PyTorch** 
 , and distributed systems.
* Experience with large\-scale data handling, including streaming, preprocessing, and storage of video or sensor data.
* A “make it happen” attitude and comfort with fast prototyping.
* A passion for robotics and development grounded in important fundamental problems.
* Continuous integration
**Bonus Qualifications** 
* Familiarity with modern ML efficiency frameworks (e.g., FSDP, DeepSpeed, XLA, Ray, Hugging Face Accelerate).
* Experience with machine learning and familiarity with large multi\-modal datasets and models.
* Experience working in a research environment, published research papers, open\-source projects
*The pay range for this position at commencement of employment is expected to be between $176,000 and $264,000/year for California\-based roles. Base pay offered will depend on multiple individualized factors, including, but not limited to, business or organizational needs, market location, job\-related knowledge, skills, and experience. TRI offers a generous benefits package including medical, dental, and vision insurance, 401(k) eligibility, paid time off benefits (including vacation, sick time, and parental leave), and an annual cash bonus structure. Additional details regarding these benefit plans will be provided if an employee receives an offer of employment.* 
 Please reference this 
 Candidate Privacy Notice
  to inform you of the categories of personal information that we collect from individuals who inquire about and/or apply to work for Toyota Research Institute, Inc. or its subsidiaries, including Toyota A.I. Ventures GP, L.P., and the purposes for which we use such personal information.
 TRI is fueled by a diverse and inclusive community of people with unique backgrounds, education and life experiences. We are dedicated to fostering an innovative and collaborative environment by living the values that are an essential part of our culture. We believe diversity makes us stronger and are proud to provide Equal Employment Opportunity for all, without regard to an applicant’s race, color, creed, gender, gender identity or expression, sexual orientation, national origin, age, physical or mental disability, medical condition, religion, marital status, genetic information, veteran status, or any other status protected under federal, state or local laws.
 It is unlawful in Massachusetts to require or administer a lie detector test as a condition of employment or continued employment. An employer who violates this law shall be subject to criminal penalties and civil liability. Pursuant to the San Francisco Fair Chance Ordinance, we will consider qualified applicants with arrest and conviction records for employment.
 We may use artificial intelligence (AI) tools to support parts of the hiring process, such as reviewing applications, analyzing resumes, or assessing responses. These tools assist our recruitment team but do not replace human judgment. Final hiring decisions are ultimately made by humans. If you would like more information about how your data is processed, please contact us.</t>
        </is>
      </c>
    </row>
    <row r="28">
      <c r="A28" t="inlineStr">
        <is>
          <t>li-4379421396</t>
        </is>
      </c>
      <c r="B28" t="inlineStr">
        <is>
          <t>AI Engineer</t>
        </is>
      </c>
      <c r="C28" t="inlineStr">
        <is>
          <t>MassMutual</t>
        </is>
      </c>
      <c r="D28" t="inlineStr">
        <is>
          <t>linkedin</t>
        </is>
      </c>
      <c r="E28">
        <f>HYPERLINK("https://www.linkedin.com/jobs/view/4379421396", "https://www.linkedin.com/jobs/view/4379421396")</f>
        <v/>
      </c>
      <c r="F28" t="inlineStr"/>
      <c r="G28" t="inlineStr">
        <is>
          <t>Hartford, CT</t>
        </is>
      </c>
      <c r="H28" t="inlineStr"/>
      <c r="I28" t="inlineStr">
        <is>
          <t>**Job Description**
**AI Engineer**
**Full Time Hybrid (Boston, NYC, Springfield)**
**The Opportunity**
 This is a unique opportunity to work alongside experts in applied mathematics, statistics, computer science, and
 physics—collaborating
 on initiatives that shape the future of MassMutual and the life insurance industry at large.
**The Team**
 MassMutual’s Data Science team is seeking an impact\-driven AI Engineer to join our high\-performing, cross\-functional team. In this role, you will develop and deploy advanced AI solutions that drive strategic decision\-making and business transformation. You’ll apply cutting\-edge techniques in machine learning, generative AI, and large language models (LLMs) to solve complex, high\-value problems across the enterprise.
**The Impact**
* Develop and deploy end\-to\-end ML/AI solutions supporting various use cases for a large enterprise using LLMs, deep learning, and probabilistic modeling—from ideation to production.
* Deploy scalable GenAI and Agentic AI systems that directly support business goals.
* Establish and promote best practices in AI development and responsible AI deployment.
* Collaborate with engineering teams to build robust, production\-grade AI pipelines and APIs.
* Prototype and deliver AI\-powered applications (e.g., web apps, dashboards, visualizations) that enable data\-driven decisions.
**Minimum Requirements:**
* 5\+ years proficiency in SQL and database design; familiarity with cloud\-native data platforms, vector databases, and semantic search is a plus.
* 5\+ years skills in Python. Proficiency in R is a plus.
* 5\+ years experience Deep understanding of machine learning, statistics, NLP, optimization, and LLMs.
* 3\+ years of experience in data science, machine learning, or AI engineering roles.
* 2\+ years experience Hands\-on with AI deployment and orchestration frameworks and protocols (e.g., agentcore, strands, langchain, MCP, A2A).
* 2\+ years extensive experience and background in AI agents and LLM systems, including tool use, multi\-step workflows, RAG, prompt management, and evaluating LLM and agentic behavior across a variety of foundation models and benchmarks.
* 2\+ years experience building AI\-powered applications and collaborating with software engineers and product managers.
* 2\+ years experience with cloud\-native development, containerization, and orchestration technologies such as Docker and Kubernetes
* M.S. in Computer Science, Statistics, Applied Mathematics, Electrical Engineering, Physics, or a related quantitative field.
**Ideal Qualifications**
* Track record of delivering impactful solutions.
* Exceptional communication skills, with the ability to explain complex concepts to non\-technical stakeholders.
 MassMutual is an equal employment opportunity employer. We welcome all persons to apply.
 If you need an accommodation to complete the application process, please contact us and share the specifics of the assistance you need.
 California residents: For detailed information about your rights under the California Consumer Privacy Act (CCPA), please visit our California Consumer Privacy Act Disclosures page.</t>
        </is>
      </c>
    </row>
    <row r="29">
      <c r="A29" t="inlineStr">
        <is>
          <t>li-4375581493</t>
        </is>
      </c>
      <c r="B29" t="inlineStr">
        <is>
          <t>Senior AI/ML Engineer</t>
        </is>
      </c>
      <c r="C29" t="inlineStr">
        <is>
          <t>Tetrix</t>
        </is>
      </c>
      <c r="D29" t="inlineStr">
        <is>
          <t>linkedin</t>
        </is>
      </c>
      <c r="E29">
        <f>HYPERLINK("https://www.linkedin.com/jobs/view/4375581493", "https://www.linkedin.com/jobs/view/4375581493")</f>
        <v/>
      </c>
      <c r="F29">
        <f>HYPERLINK("https://jobs.ashbyhq.com/tetrix/653d5ed7-c53c-45eb-b2a3-d110ef18c3ae/application?utm_source=linkedin&amp;urlHash=3BaS", "https://jobs.ashbyhq.com/tetrix/653d5ed7-c53c-45eb-b2a3-d110ef18c3ae/application?utm_source=linkedin&amp;urlHash=3BaS")</f>
        <v/>
      </c>
      <c r="G29" t="inlineStr">
        <is>
          <t>New York, NY</t>
        </is>
      </c>
      <c r="H29" t="inlineStr"/>
      <c r="I29" t="inlineStr">
        <is>
          <t>**✨ Overview**
 Tetrix is a fast\-growing startup on a mission to empower institutional investors to confidently invest in alternative markets (think Bloomberg, but for private markets). Our AI\-native product transforms messy, unstructured private market data into real\-time insights, combining automated document retrieval, AI\-powered data extraction, and on\-demand portfolio analytics \- all in one seamless platform. We are growing quickly to becoming a category\-defining product, and are working with some of the world's leading capital allocators. This is a unique opportunity to join a talented and driven team that wants to build next\-generation infrastructure in financial markets, and is backed by stellar investors that include Innovation Endeavors, Eric Schmidt’s VC firm, and angels from BlackRock, CPPIB, SoftBank, Lending Club, and Plaid.
**🤷🏽️ Who We Are**
 We are a small but mighty startup with deep industry background and expertise in both financial markets and modern technologies. We’ve worked hard to build a culture of trust, high ownership, and curiosity—where everyone feels empowered to contribute, challenge ideas, and grow together. We are led by our two co\-founders, Olivier (CEO) \&amp; Naunidh (CTO), who met on the first day of school whilst pursuing their MBAs at Stanford and co\-founded Tetrix in the Summer of 23\.
**🤞🏽 Who You Are**
* You’re proactive and hands\-on – someone who takes initiative, figures things out, and keeps things moving.
* You learn and adapt quickly – someone who approaches problems with creativity and energy, and is resourceful, adaptable and excited by tough challenges.
* You’re customer\-oriented – whether you’re making backend decisions or improving UI, you keep the customer in mind and push for delightful experiences.
* You’re collaborative – someone who values transparency, good communication, and knows that the best outcomes come from working well with others.
* You’re experienced and thoughtful – we are looking for folks with 5\+ years of work experience in AI/ML, ideally in fast\-paced or entrepreneurial environments. Bonus points if you’ve contributed to open source.
**💻 What You’ll Do**
* You’ll build – You’ll contribute across our tech stack \- our SaaS product, data pipelines, AI agents, telemetry infrastructure, and more.
* You’ll brainstorm – We’re not looking for someone to just take tickets—we want you in the room helping us shape product direction and tech strategy.
* You’ll work with clients – From pitching customers, to designing features, to soliciting feedback, you’ll do some non\-engineering work. We believe in all\-rounded team members.
* You’ll champion best practices and guide others – As a B2B SaaS platform, our technology needs to be secure, robust and scalable. You’ll help set and maintain standards and mentor future team members.
**🙌🏾 Why join us**
* You’ll have real impact \- We are at an inflection point \- your work will directly shape our product, team, and company trajectory.
* You’ll be supported \- We’re committed to helping you do your best work and grow both professionally and personally.
* You’ll be rewarded \- Competitive salary, meaningful equity, and benefits including unlimited vacation, healthcare, and retirement plans.
* You’ll grow fast \- We move quickly, think deeply, and believe in learning through doing. You’ll be surrounded by smart, driven, kind people.
* You’ll have fun \- Shipping is inherently fun, winning is even more fun, and when all else fails, we have plenty of fun in and out of the office.
**🫶🏽** 
 One more thing
 If this role sounds exciting but you’re second\-guessing whether you’re “qualified” enough—please apply. Great talent doesn’t always fit neatly into a checklist, and we know that underrepresented folks often underestimate their fit. We care more about the ideas you bring, your ability to learn, and your enthusiasm for the work than about whether your resume matches every bullet point. The company we’re building will shape how financial systems work for years to come. That’s why we’re committed to building a team with diverse voices, perspectives, and lived experiences. Diversity isn’t a nice\-to\-have—it’s a must\-have. And we’d love to have you be part of that.
 Compensation Range: $120K \- $220K</t>
        </is>
      </c>
    </row>
    <row r="30">
      <c r="A30" t="inlineStr">
        <is>
          <t>li-4380308707</t>
        </is>
      </c>
      <c r="B30" t="inlineStr">
        <is>
          <t>Machine Learning Engineer, Ads</t>
        </is>
      </c>
      <c r="C30" t="inlineStr">
        <is>
          <t>Wiraa</t>
        </is>
      </c>
      <c r="D30" t="inlineStr">
        <is>
          <t>linkedin</t>
        </is>
      </c>
      <c r="E30">
        <f>HYPERLINK("https://www.linkedin.com/jobs/view/4380308707", "https://www.linkedin.com/jobs/view/4380308707")</f>
        <v/>
      </c>
      <c r="F30" t="inlineStr"/>
      <c r="G30" t="inlineStr"/>
      <c r="H30" t="inlineStr"/>
      <c r="I30" t="inlineStr">
        <is>
          <t>**About The Company**
 Instacart is revolutionizing the grocery industry by providing innovative solutions that connect customers with their favorite foods and household essentials through a seamless delivery experience. Committed to making food accessible to everyone, Instacart emphasizes community, convenience, and safety. The company’s mission is to deliver love through food, fostering connections and enhancing everyday life. With a focus on leveraging technology and data\-driven insights, Instacart continuously pushes the boundaries of grocery delivery, creating opportunities for both customers and flexible earning options for its Personal Shoppers. As a lifeline for millions, Instacart is dedicated to building a diverse, inclusive, and innovative team that drives its growth and impact.
**About The Role**
 We are seeking a highly experienced and visionary ML Engineering Leader to join our Ads Engineering team as the Area Tech Lead of Ads Quality. This role offers an exciting opportunity to apply cutting\-edge AI and ML models at the forefront of digital advertising, impacting tens of millions of users and partners globally. As a core technical contributor and leader, you will be responsible for designing and implementing next\-generation AI\-powered solutions that enhance ad quality, optimize bidding and auction processes, and improve overall campaign efficacy. You will collaborate closely with product managers, data scientists, and engineering teams to develop scalable, reliable, and innovative systems that support Instacart’s growth in the retail media space. This position emphasizes technical excellence, mentorship, and cross\-functional collaboration, with a focus on shaping the future of advertising technology within the company.
**Qualifications**
* PhD in Artificial Intelligence, Machine Learning, Computer Science, or a related field, or equivalent academic and research experience.
* 10\+ years of experience as a software engineer and/or ML engineer with a proven track record of building production\-grade AI systems.
* Extensive experience architecting and deploying large\-scale AI/ML solutions, including generative AI, predictive modeling, and recommendation engines.
* Strong understanding of Ads Quality systems such as pacing, bidding, yield optimization, retrieval processes, and auction dynamics.
* Proficiency with cloud platforms and tools such as AWS, TensorFlow, Spark, Clickhouse, Snowflake, and Golang.
* Demonstrated ability to lead technical discussions, influence stakeholders, and drive consensus at senior and executive levels.
* Experience mentoring engineering teams and fostering a collaborative, innovative engineering culture.
**Responsibilities**
* Design, develop, and implement advanced AI\-powered systems to address Ads Quality challenges, including optimizing ad pacing, bidding, retrieval, and auction processes.
* Create innovative solutions leveraging generative AI and recommendation frameworks to enhance advertiser experience and campaign performance.
* Build systems that provide intelligent recommendations and automation tools to support advertisers’ needs.
* Collaborate with Data Scientists to define metrics, establish methodologies for tracking, optimization, and goal setting.
* Define and execute the technical strategy and roadmap for Ads Quality, balancing immediate needs with long\-term sustainability.
* Architect scalable, reliable, and secure AI components, ensuring high performance and robustness.
* Mentor and guide junior and senior engineers through code reviews, design discussions, and knowledge sharing initiatives.
* Act as a technical leader across teams, fostering collaboration and representing Ads initiatives in broader company forums.
* Contribute to company\-wide engineering initiatives, driving innovation and aligning with Instacart’s strategic goals.
**Benefits**
* Competitive compensation packages tailored to location and experience.
* Equity grants for new hires and annual refresh grants to share in the company's success.
* Flexible work arrangements including remote work options, with a supportive and inclusive work environment.
* Comprehensive health, dental, and vision insurance plans.
* Paid time off, holidays, and wellness programs to promote work\-life balance.
* Opportunities for professional development, training, and career growth.
* Participation in company events and initiatives that foster community and collaboration.
 Equal Opportunity
 Instacart is an equal opportunity employer. We celebrate diversity and are committed to creating an inclusive environment for all employees. All qualified applicants will receive consideration regardless of race, color, religion, gender, gender identity or expression, sexual orientation, national origin, genetics, disability, age, or veteran status. We believe that diverse perspectives and experiences enrich our community and drive innovation.</t>
        </is>
      </c>
    </row>
    <row r="31">
      <c r="A31" t="inlineStr">
        <is>
          <t>li-4379178702</t>
        </is>
      </c>
      <c r="B31" t="inlineStr">
        <is>
          <t>Machine Learning Engineer</t>
        </is>
      </c>
      <c r="C31" t="inlineStr">
        <is>
          <t>RemoteHunter</t>
        </is>
      </c>
      <c r="D31" t="inlineStr">
        <is>
          <t>linkedin</t>
        </is>
      </c>
      <c r="E31">
        <f>HYPERLINK("https://www.linkedin.com/jobs/view/4379178702", "https://www.linkedin.com/jobs/view/4379178702")</f>
        <v/>
      </c>
      <c r="F31">
        <f>HYPERLINK("https://www.remotehunter.com/apply-with-ai/eaee4e8d-159e-490f-a656-10c2aff6c404?utm_medium=job_posting&amp;utm_source=linkedin&amp;utm_campaign=software_engineer&amp;utm_category=software_engineer&amp;utm_term=machine_learning_engineer&amp;urlHash=dcrS", "https://www.remotehunter.com/apply-with-ai/eaee4e8d-159e-490f-a656-10c2aff6c404?utm_medium=job_posting&amp;utm_source=linkedin&amp;utm_campaign=software_engineer&amp;utm_category=software_engineer&amp;utm_term=machine_learning_engineer&amp;urlHash=dcrS")</f>
        <v/>
      </c>
      <c r="G31" t="inlineStr"/>
      <c r="H31" t="inlineStr"/>
      <c r="I31" t="inlineStr">
        <is>
          <t>**1\. About Our Client** 
 : This organization operates within the academic health research sector, addressing challenges in integrating advanced computational tools with healthcare research. It supports a broad research community by providing data services, infrastructure, and consulting to enable complex biomedical and clinical projects. The program focuses on developing scalable, low\-cost technical solutions embedded within healthcare systems, particularly by leveraging electronic health records (EHR) and AI/ML technologies. Its work includes delivering clinical trial interventions, digital tools, and algorithms that are integrated into healthcare delivery to generate scientific evidence and improve patient care. The organization manages cloud\-based platforms that facilitate the deployment and monitoring of AI/ML models at scale, illustrating a focus on innovation and collaboration across technical and research teams.
**2\. About the Opportunity** 
 : The
 **Machine Learning Engineer** 
 will lead the design, implementation, and maintenance of data pipelines and infrastructure that support the deployment and continuous monitoring of machine learning and generative AI tools within a research\-focused team. This role is critical for enabling cutting\-edge AI/ML applications within clinical research environments by optimizing cloud infrastructure and integrating new data sources. The engineer will work closely with data scientists and technical teams to productionize AI tools and develop monitoring metrics, ensuring these tools operate reliably in healthcare settings. This position is essential for advancing research capabilities through robust and scalable AI infrastructure.
**3\. Responsibilities** 
 :
* Lead development and maintenance of data pipelines and infrastructure for AI/ML tool deployment
* Manage and optimize Health IT cloud platform components, including ETL processes
* Implement new data integrations to support AI/ML workflows
* Productionize machine learning tools developed by research teams
* Design and implement monitoring metrics for deployed AI/ML applications
* Collaborate with cross\-functional technical and research teams on customized solutions
* Support scalable and cost\-effective infrastructure for ongoing research projects
**4\. Requirements** 
 :
* Bachelor’s degree in Computer Science, Computer Engineering, or related field, or equivalent experience
* 5\+ years of experience designing, implementing, and maintaining AI/ML applications
* Proficiency in Python with ability to write clean, production\-level code
* Advanced SQL skills (e.g., SQLServer, PostgreSQL)
* Experience with machine learning tools such as Jupyter, Pandas, scikit\-learn, PyTorch
* Knowledge of full software development lifecycle and CI/CD pipelines
* Experience deploying, monitoring, and maintaining AI/ML models and pipelines
* Advanced database, data warehousing, and ETL pipeline experience
* Skilled in MLOps, DevOps, and automated testing
* Experience with cloud platforms such as AWS, GCP, or Azure
* Strong communication skills for technical and non\-technical stakeholders
* Ability to work independently and as part of a team, with effective problem\-solving skills
* Project leadership and management experience
* Understanding of Epic data models (Clarity and Caboodle) and ability to obtain Epic Clinical/Clarity certification shortly after onboarding
**Preferred Qualifications** 
 :
* Master’s or PhD in Computer Science, Computer Engineering, or related area
* Epic Clarity certification
* Cloud development certifications
* Experience with large language models and generative AI in production
* Familiarity with data visualization tools (e.g., Tableau)
* Experience with Epic data structures
**5\. Pay Range and Compensation Package** 
 :
* The salary range for this position is $132,000 to $180,000 (Annual Rate)
* Final salary and offer components are subject to additional approvals based on policy
* Placement within the salary range depends on experience and internal equity
* For union\-represented positions, placement follows collective bargaining agreement rules
**6\. Benefits \&amp; Perks** 
 :
* Information about benefits can be found at https://ucnet.universityofcalifornia.edu/compensation\-and\-benefits/index.html
**7\. Equal Opportunity Statement** 
 : Our client is an equal opportunity employer. They celebrate diversity and are committed to creating an inclusive environment for all employees. All qualified applicants will receive consideration for employment without regard to race, color, religion, gender, gender identity or expression, sexual orientation, or national origin.
 Note: RemoteHunter is not the Employer of Record (EOR) for this role. Our purpose in this opportunity is to connect exceptional candidates with leading employers. We help job seekers worldwide discover roles that match their goals and guide them to complete their full application directly through the hiring company’s career page or ATS.</t>
        </is>
      </c>
    </row>
    <row r="32">
      <c r="A32" t="inlineStr">
        <is>
          <t>li-4378194856</t>
        </is>
      </c>
      <c r="B32" t="inlineStr">
        <is>
          <t>Senior Machine Learning Engineer</t>
        </is>
      </c>
      <c r="C32" t="inlineStr">
        <is>
          <t>Empathy Talent</t>
        </is>
      </c>
      <c r="D32" t="inlineStr">
        <is>
          <t>linkedin</t>
        </is>
      </c>
      <c r="E32">
        <f>HYPERLINK("https://www.linkedin.com/jobs/view/4378194856", "https://www.linkedin.com/jobs/view/4378194856")</f>
        <v/>
      </c>
      <c r="F32" t="inlineStr"/>
      <c r="G32" t="inlineStr"/>
      <c r="H32" t="inlineStr"/>
      <c r="I32" t="inlineStr">
        <is>
          <t>We are seeking a
 **Senior Machine Learning Engineer** 
 to lead the design, development, and deployment of predictive models across Risk and Fraud. This role is central to strengthening intelligent decision systems through scalable, production\-grade machine learning infrastructure.
 You’ll operate at the intersection of modeling, engineering, and business impact — building systems that directly protect customers and reduce financial risk.
**What You’ll Own** 
* Architect and deploy machine learning models for fraud detection and risk assessment
* Design and maintain scalable ML pipelines from experimentation to production
* Lead model validation, monitoring, and performance optimization
* Apply rigorous statistical methodologies to experimentation and evaluation
* Partner cross\-functionally with Risk, Operations, and Product teams
* Contribute to long\-term ML infrastructure and modeling strategy
**What We’re Looking For** 
* 5\+ years of experience in Machine Learning Engineering or applied ML
* Strong proficiency in Python and SQL
* Demonstrated experience deploying and maintaining production ML systems
* Deep statistical intuition and strong experimentation framework
* Clear communicator across technical and business stakeholders
* Strong academic foundation in Computer Science or a closely related technical discipline from a leading program
* Experience in financial systems, lending, fraud, or risk modeling is a plus
**Location** 
 Remote (U.S.) or Palo Alto, CA (hybrid option available).
**What We Offer** 
* Competitive compensation \+ equity
* Comprehensive medical and dental benefits
* 401(k) plan
* Paid parental leave
* Flexible work policy</t>
        </is>
      </c>
    </row>
    <row r="33">
      <c r="A33" t="inlineStr">
        <is>
          <t>li-4379411819</t>
        </is>
      </c>
      <c r="B33" t="inlineStr">
        <is>
          <t>AI Engineer</t>
        </is>
      </c>
      <c r="C33" t="inlineStr">
        <is>
          <t>MassMutual</t>
        </is>
      </c>
      <c r="D33" t="inlineStr">
        <is>
          <t>linkedin</t>
        </is>
      </c>
      <c r="E33">
        <f>HYPERLINK("https://www.linkedin.com/jobs/view/4379411819", "https://www.linkedin.com/jobs/view/4379411819")</f>
        <v/>
      </c>
      <c r="F33">
        <f>HYPERLINK("https://linkedin.sonicapply.com/us/linkedin/69a6eb3d35e73781444d7d96&amp;urlHash=r15I", "https://linkedin.sonicapply.com/us/linkedin/69a6eb3d35e73781444d7d96&amp;urlHash=r15I")</f>
        <v/>
      </c>
      <c r="G33" t="inlineStr">
        <is>
          <t>Springfield, MA</t>
        </is>
      </c>
      <c r="H33" t="inlineStr"/>
      <c r="I33" t="inlineStr">
        <is>
          <t>**Job Description**
**AI Engineer**
**Full Time Hybrid (Boston, NYC, Springfield)**
**The Opportunity**
 This is a unique opportunity to work alongside experts in applied mathematics, statistics, computer science, and
 physics—collaborating
 on initiatives that shape the future of MassMutual and the life insurance industry at large.
**The Team**
 MassMutual’s Data Science team is seeking an impact\-driven AI Engineer to join our high\-performing, cross\-functional team. In this role, you will develop and deploy advanced AI solutions that drive strategic decision\-making and business transformation. You’ll apply cutting\-edge techniques in machine learning, generative AI, and large language models (LLMs) to solve complex, high\-value problems across the enterprise.
**The Impact**
* Develop and deploy end\-to\-end ML/AI solutions supporting various use cases for a large enterprise using LLMs, deep learning, and probabilistic modeling—from ideation to production.
* Deploy scalable GenAI and Agentic AI systems that directly support business goals.
* Establish and promote best practices in AI development and responsible AI deployment.
* Collaborate with engineering teams to build robust, production\-grade AI pipelines and APIs.
* Prototype and deliver AI\-powered applications (e.g., web apps, dashboards, visualizations) that enable data\-driven decisions.
**Minimum Requirements:**
* 5\+ years proficiency in SQL and database design; familiarity with cloud\-native data platforms, vector databases, and semantic search is a plus.
* 5\+ years skills in Python. Proficiency in R is a plus.
* 5\+ years experience Deep understanding of machine learning, statistics, NLP, optimization, and LLMs.
* 3\+ years of experience in data science, machine learning, or AI engineering roles.
* 2\+ years experience Hands\-on with AI deployment and orchestration frameworks and protocols (e.g., agentcore, strands, langchain, MCP, A2A).
* 2\+ years extensive experience and background in AI agents and LLM systems, including tool use, multi\-step workflows, RAG, prompt management, and evaluating LLM and agentic behavior across a variety of foundation models and benchmarks.
* 2\+ years experience building AI\-powered applications and collaborating with software engineers and product managers.
* 2\+ years experience with cloud\-native development, containerization, and orchestration technologies such as Docker and Kubernetes
* M.S. in Computer Science, Statistics, Applied Mathematics, Electrical Engineering, Physics, or a related quantitative field.
**Ideal Qualifications**
* Track record of delivering impactful solutions.
* Exceptional communication skills, with the ability to explain complex concepts to non\-technical stakeholders.
 MassMutual is an equal employment opportunity employer. We welcome all persons to apply.
 If you need an accommodation to complete the application process, please contact us and share the specifics of the assistance you need.
 California residents: For detailed information about your rights under the California Consumer Privacy Act (CCPA), please visit our California Consumer Privacy Act Disclosures page.</t>
        </is>
      </c>
    </row>
    <row r="34">
      <c r="A34" t="inlineStr">
        <is>
          <t>li-4283312917</t>
        </is>
      </c>
      <c r="B34" t="inlineStr">
        <is>
          <t>Machine Learning Engineer Graduate (Monetization Technology - TikTok Ads Creative &amp; Ecosystem) - 2026 Start (BS/MS)</t>
        </is>
      </c>
      <c r="C34" t="inlineStr">
        <is>
          <t>TikTok</t>
        </is>
      </c>
      <c r="D34" t="inlineStr">
        <is>
          <t>linkedin</t>
        </is>
      </c>
      <c r="E34">
        <f>HYPERLINK("https://www.linkedin.com/jobs/view/4283312917", "https://www.linkedin.com/jobs/view/4283312917")</f>
        <v/>
      </c>
      <c r="F34">
        <f>HYPERLINK("https://lifeattiktok.com/search/7535606471191824647?spread=5MWH5CQ&amp;urlHash=Wci6", "https://lifeattiktok.com/search/7535606471191824647?spread=5MWH5CQ&amp;urlHash=Wci6")</f>
        <v/>
      </c>
      <c r="G34" t="inlineStr">
        <is>
          <t>San Jose, CA</t>
        </is>
      </c>
      <c r="H34" t="inlineStr"/>
      <c r="I34" t="inlineStr">
        <is>
          <t>**Responsibilities**
 A "creative" is the ad (in the form of a short\-form video) served to TikTok users, composed of video, background music, call\-to\-action card, post\-click landing page, and other formats that get delivered to users. A quote goes "creativity is the soul of advertising", because a good ad creative is effective, yet difficult to produce, especially at the scale of TikTok advertising.
 The TikTok Ads Creative \&amp; Ecosystem team's mission is to solve the above dilemma, by building industry\-leading tech solutions for ads creative/landing page understanding, production/generation, and optimization, to inspire and empower advertisers, creators, and other 3rd parties in the ecosystem to create and deliver the best engaging creative experiences to the end users. Our work is at the core of TikTok and creator monetization. Examples of our team's work include TikTok video editor, AI\-powered smart video generation (we are also exploring AIGC), and TikTok creative exchange (a creative marketplace to connect TikTok advertisers with creators or third\-party creative agencies).
 We are user/product oriented and dedicated to technical excellence. We aim to drive and lead the technology renovation in the ads tech and creative industry, powering products and driving values for our clients, creators, and the whole ecosystem.
 We are looking for talented individuals to join our team in 2026\. As a graduate, you will get opportunities to pursue bold ideas, tackle complex challenges, and unlock limitless growth. Launch your career where inspiration is infinite at TikTok.
 Successful candidates must be able to commit to an onboarding date by end of year 2026\. Please state your availability and graduation date clearly in your resume.
 Candidates can apply to a maximum of two positions and will be considered for jobs in the order you apply. The application limit is applicable to TikTok and its affiliates' jobs globally. Applications will be reviewed on a rolling basis \- we encourage you to apply early.
**Responsibilities:**
* Apply algorithms to gain insights into advertisers, creators, and creatives, helping to improve the precision of match\-making in the system.
* Assist in conducting online modeling on large\-scale commercial traffic, optimizing how creatives are distributed within the recommendation and ads systems.
* Contribute to the development of strategies that optimize the allocation of both natural and ad traffic, aimed at increasing short\-term and long\-term value for advertisers and creators.
**Qualifications**
 Minimum Qualifications:
* Bachelor's degree or higher in Computer Science or a related technical field.
* Relevant development experience with expertise in machine learning (RecSys/NLP/CV/GE), and hands\-on experience with recommendation systems, computational advertising, or operational planning algorithms.
* Strong foundation in data structures and algorithms, with proficiency in Python, C\+\+, or Golang.
* Proven analytical and problem\-solving abilities, with a passion for learning new technologies.
* Strong team player with excellent communication skills and experience in project management.
**Preferred Qualifications:**
* Experience with large\-scale machine learning systems or cloud\-based platforms (e.g., AWS, Google Cloud, Azure).
* Knowledge of advanced machine learning techniques such as deep learning or reinforcement learning.
* Familiarity with A/B testing and performance optimization in recommendation systems and advertising algorithms.
* Demonstrated ability to drive innovation and business growth through technical leadership and strategic thinking.
 By submitting an application for this role, you accept and agree to our global applicant privacy policy, which may be accessed here: https://careers.tiktok.com/legal/privacy
 Job Information
**【For Pay Transparency】Compensation Description (Annually)**
 The base salary range for this position in the selected city is $122574 \- $259200 annually.
 Compensation may vary outside of this range depending on a number of factors, including a candidate’s qualifications, skills, competencies and experience, and location. Base pay is one part of the Total Package that is provided to compensate and recognize employees for their work, and this role may be eligible for additional discretionary bonuses/incentives, and restricted stock units.
 Benefits may vary depending on the nature of employment and the country work location. Employees have day one access to medical, dental, and vision insurance, a 401(k) savings plan with company match, paid parental leave, short\-term and long\-term disability coverage, life insurance, wellbeing benefits, among others. Employees also receive 10 paid holidays per year, 10 paid sick days per year and 17 days of Paid Personal Time (prorated upon hire with increasing accruals by tenure).
 The Company reserves the right to modify or change these benefits programs at any time, with or without notice.
**For Los Angeles County (unincorporated) Candidates:**
 Qualified applicants with arrest or conviction records will be considered for employment in accordance with all federal, state, and local laws including the Los Angeles County Fair Chance Ordinance for Employers and the California Fair Chance Act. Our company believes that criminal history may have a direct, adverse and negative relationship on the following job duties, potentially resulting in the withdrawal of the conditional offer of employment:
* Interacting and occasionally having unsupervised contact with internal/external clients and/or colleagues;
* Appropriately handling and managing confidential information including proprietary and trade secret information and access to information technology systems; and
* Exercising sound judgment.
**About TikTok**
 TikTok is the leading destination for short\-form mobile video. At TikTok, our mission is to inspire creativity and bring joy. TikTok's global headquarters are in Los Angeles and Singapore, and we also have offices in New York City, London, Dublin, Paris, Berlin, Dubai, Jakarta, Seoul, and Tokyo.
 Why Join Us
 Inspiring creativity is at the core of TikTok's mission. Our innovative product is built to help people authentically express themselves, discover and connect – and our global, diverse teams make that possible. Together, we create value for our communities, inspire creativity and bring joy \- a mission we work towards every day.
 We strive to do great things with great people. We lead with curiosity, humility, and a desire to make impact in a rapidly growing tech company. Every challenge is an opportunity to learn and innovate as one team. We're resilient and embrace challenges as they come. By constantly iterating and fostering an "Always Day 1" mindset, we achieve meaningful breakthroughs for ourselves, our company, and our users. When we create and grow together, the possibilities are limitless. Join us.
 Diversity \&amp; Inclusion
 TikTok is committed to creating an inclusive space where employees are valued for their skills, experiences, and unique perspectives. Our platform connects people from across the globe and so does our workplace. At TikTok, our mission is to inspire creativity and bring joy. To achieve that goal, we are committed to celebrating our diverse voices and to creating an environment that reflects the many communities we reach. We are passionate about this and hope you are too.
 TikTok Accommodation
 TikTok is committed to providing reasonable accommodations in our recruitment processes for candidates with disabilities, pregnancy, sincerely held religious beliefs or other reasons protected by applicable laws. If you need assistance or a reasonable accommodation, please reach out to us at https://tinyurl.com/RA\-request</t>
        </is>
      </c>
    </row>
    <row r="35">
      <c r="A35" t="inlineStr">
        <is>
          <t>li-4122325478</t>
        </is>
      </c>
      <c r="B35" t="inlineStr">
        <is>
          <t>Sr. Machine Learning Engineer, Applied Research Science</t>
        </is>
      </c>
      <c r="C35" t="inlineStr">
        <is>
          <t>Pinterest</t>
        </is>
      </c>
      <c r="D35" t="inlineStr">
        <is>
          <t>linkedin</t>
        </is>
      </c>
      <c r="E35">
        <f>HYPERLINK("https://www.linkedin.com/jobs/view/4122325478", "https://www.linkedin.com/jobs/view/4122325478")</f>
        <v/>
      </c>
      <c r="F35">
        <f>HYPERLINK("https://www.pinterestcareers.com/jobs/6121464/sr-machine-learning-engineer-applied-research-science/?source=linkedin_limited_listing&amp;utm_source=linkedin_limited_listing&amp;urlHash=1gQa", "https://www.pinterestcareers.com/jobs/6121464/sr-machine-learning-engineer-applied-research-science/?source=linkedin_limited_listing&amp;utm_source=linkedin_limited_listing&amp;urlHash=1gQa")</f>
        <v/>
      </c>
      <c r="G35" t="inlineStr">
        <is>
          <t>Palo Alto, CA</t>
        </is>
      </c>
      <c r="H35" t="inlineStr"/>
      <c r="I35" t="inlineStr">
        <is>
          <t>**About Pinterest**
 Millions of people around the world come to our platform to find creative ideas, dream about new possibilities and plan for memories that will last a lifetime. At Pinterest, we’re on a mission to bring everyone the inspiration to create a life they love, and that starts with the people behind the product.
 Discover a career where you ignite innovation for millions, transform passion into growth opportunities, celebrate each other’s unique experiences and embrace the flexibility to do your best work. Creating a career you love? It’s Possible.
 With more than 500 million users around the world and 300 billion ideas saved, Pinterest Machine Learning engineers build personalized experiences to help Pinners create a life they love. With just over 3,000 global employees, our teams are small, mighty, and still growing. At Pinterest, you’ll experience hands\-on access to an incredible vault of data and contribute large\-scale recommendation systems in ways you won’t find anywhere else.
**What You’ll Do**
* Build cutting edge technology using the latest advances in deep learning and machine learning to personalize Pinterest
* Partner closely with teams across Pinterest to experiment and improve ML models for various product surfaces (Homefeed, Ads, Growth, Shopping, and Search), while gaining knowledge of how ML works in different areas
* Use data driven methods and leverage the unique properties of our data to improve candidates retrieval
* Work in a high\-impact environment with quick experimentation and product launches
* Keeping up with industry trends in recommendation systems
**What We’re Looking For** 
* 4\+ years of industry experience applying machine learning methods (e.g., user modeling, personalization, recommender systems, search, ranking, natural language processing, reinforcement learning, and graph representation learning)
* End\-to\-end hands\-on experience with building data processing pipelines, large scale machine learning systems, and big data technologies (e.g., Hadoop/Spark)
* Degree in computer science, machine learning, statistics, or related field
* Nice to have:
+ Publications at top ML conferences
+ Expertise in scalable realtime systems that process stream data
+ Passion for applied ML and the Pinterest product
+ MS/PhD in Computer Science, ML, NLP, Statistics, Information Sciences, related field, or equivalent experience.
**Relocation Statement:**
* This position is not eligible for relocation assistance. Visit our PinFlex page to learn more about our working model.
 At Pinterest we believe the workplace should be equitable, inclusive, and inspiring for every employee. In an effort to provide greater transparency, we are sharing the base salary range for this position. The position is also eligible for equity. Final salary is based on a number of factors including location, travel, relevant prior experience, or particular skills and expertise.
*Information regarding the culture at Pinterest and benefits available for this position can be found here.*
 US based applicants only
 $189,721—$332,012 USD
**Our Commitment To Inclusion**
 Pinterest is an equal opportunity employer and makes employment decisions on the basis of merit. We want to have the best qualified people in every job. All qualified applicants will receive consideration for employment without regard to race, color, ancestry, national origin, religion or religious creed, sex (including pregnancy, childbirth, or related medical conditions), sexual orientation, gender, gender identity, gender expression, age, marital status, status as a protected veteran, physical or mental disability, medical condition, genetic information or characteristics (or those of a family member) or any other consideration made unlawful by applicable federal, state or local laws. We also consider qualified applicants regardless of criminal histories, consistent with legal requirements. If you require a medical or religious accommodation during the job application process, please complete this form for support.</t>
        </is>
      </c>
    </row>
    <row r="36">
      <c r="A36" t="inlineStr">
        <is>
          <t>li-4379412825</t>
        </is>
      </c>
      <c r="B36" t="inlineStr">
        <is>
          <t>Python AI Engineer</t>
        </is>
      </c>
      <c r="C36" t="inlineStr">
        <is>
          <t>Baanyan Software Services, Inc.</t>
        </is>
      </c>
      <c r="D36" t="inlineStr">
        <is>
          <t>linkedin</t>
        </is>
      </c>
      <c r="E36">
        <f>HYPERLINK("https://www.linkedin.com/jobs/view/4379412825", "https://www.linkedin.com/jobs/view/4379412825")</f>
        <v/>
      </c>
      <c r="F36" t="inlineStr"/>
      <c r="G36" t="inlineStr">
        <is>
          <t>Plano, TX</t>
        </is>
      </c>
      <c r="H36" t="inlineStr"/>
      <c r="I36" t="inlineStr">
        <is>
          <t>**In\-person Interview Required** 
* Python Programming: Advanced proficiency in Python, including experience with asynchronous programming, data structures, and object\-oriented design.
* LangChain \&amp; LangGraph: Hands\-on experience building, deploying, and maintaining applications using LangChain and LangGraph frameworks.
* Large Language Models (LLMs): In\-depth understanding and practical experience with LLMs such as OpenAI GPT\-3/4, Anthropic Claude, Meta Llama, or similar.
* Prompt Engineering: Expertise in designing, testing, and optimizing prompts for generative models to achieve desired outputs.
* Graph\-Based Workflow Design: Demonstrated ability to architect, implement, and debug complex, stateful, branching conversational flows using LangGraph.
* API Development \&amp; Integration: Experience integrating external APIs, tools, and data sources into AI\-driven workflows.
* Machine Learning Libraries: Familiarity with ML/AI libraries such as PyTorch, TensorFlow, Hugging Face Transformers, or similar.
* Ability to develop workflow automation via an agentic framework
* Azure experience preferred</t>
        </is>
      </c>
    </row>
    <row r="37">
      <c r="A37" t="inlineStr">
        <is>
          <t>li-4348883636</t>
        </is>
      </c>
      <c r="B37" t="inlineStr">
        <is>
          <t>Applied AI Engineer</t>
        </is>
      </c>
      <c r="C37" t="inlineStr">
        <is>
          <t>Twenty</t>
        </is>
      </c>
      <c r="D37" t="inlineStr">
        <is>
          <t>linkedin</t>
        </is>
      </c>
      <c r="E37">
        <f>HYPERLINK("https://www.linkedin.com/jobs/view/4348883636", "https://www.linkedin.com/jobs/view/4348883636")</f>
        <v/>
      </c>
      <c r="F37" t="inlineStr"/>
      <c r="G37" t="inlineStr">
        <is>
          <t>Washington, DC</t>
        </is>
      </c>
      <c r="H37" t="inlineStr"/>
      <c r="I37" t="inlineStr">
        <is>
          <t>**About The Company**
 At Twenty, we're taking on one of the most critical challenges of our time: defending democracies in the digital age. We develop revolutionary technologies that operate at the intersection of the cyber and electromagnetic domains, where the speed of operations exceeds human sensing and complexity transcends conventional boundaries. Our team doesn't just solve problems – we deliver game\-changing outcomes that directly impact national security. We're pragmatic optimists who understand that while our mission of protecting America and its allies is challenging, success is possible.
 Role Summary
 You’ll build and ship language\-model\-powered systems that strengthen Twenty’s mission\-critical cyber capabilities for U.S. national security. You’ll own the end\-to\-end workflow—from curating specialized datasets and post\-training models to deploying reliable inference and retrieval systems in production. You’ll partner closely with product and engineering to translate real operational needs into high\-performing AI features, operating across cloud and on\-premises environments where speed, correctness, and security matter.
 Who You Are
* You’re motivated by real\-world outcomes and want your work to directly impact national security missions.
* You care about rigor: clean data, measurable evaluation, and repeatable experiments beat demos.
* You balance research curiosity with product instincts—you ship, observe, iterate, and harden.
* You’re comfortable working across cloud and on\-premises constraints and adapting to the environment.
* You communicate clearly with engineers and non\-ML partners, and you write documentation people use.
* You think in systems: models, retrieval, infrastructure, and feedback loops all have to work together.
* You thrive in fast\-moving teams with high standards, direct feedback, and high ownership.
 What You’ll Do
* Create, clean, and maintain high\-quality training and evaluation datasets for specialized AI use cases.
* Fine\-tune language models (small specialized through medium foundation models) for mission needs.
* Implement post\-training and alignment approaches to improve task performance and reliability.
* Build retrieval\-augmented generation (RAG) systems that ground model outputs in external knowledge.
* Develop and optimize model serving infrastructure for production deployments.
* Design evaluation frameworks and test harnesses to measure quality, latency, and regressions.
* Integrate AI capabilities into applications and workflows using modern orchestration frameworks.
* Collaborate with cross\-functional partners to identify high\-leverage use cases and deliver solutions.
* Produce clear technical documentation for models, datasets, and operational processes.
 Must Have
* You have 4\+ years of professional software development experience building and supporting ML/AI\-enabled applications.
* You have strong Python skills and deep learning experience with PyTorch, TensorFlow, or JAX.
* You have hands\-on experience with LLM post\-training methods (e.g., continued pre\-training, SFT, RLHF, DPO, PPO, GRPO).
* You have experience curating, cleaning, and preprocessing datasets for training and evaluation.
* You have working knowledge of relational, graph, and vector database concepts.
* You have experience designing or using evaluation metrics and testing procedures for LLMs and agents.
* You have experience integrating LLM/agent systems using frameworks like Pydantic\-AI, LangChain/LangGraph, or CrewAI.
* You have a Bachelor’s degree in Computer Science, Software Engineering, or a related field (or equivalent practical experience).
 Nice To Have
* You have deployed models to production and supported them through real\-world usage and incidents.
* You have experience with distributed training systems and performance debugging at scale.
* You have implemented quantization or other optimization techniques to improve inference efficiency.
* You have strong prompt engineering and model alignment instincts for reliability and control.
* You have experience building MLOps/LLMOps/AgentOps practices (versioning, rollout, monitoring).
 Tech Environment (You Might Work With)
* Deep learning stacks: PyTorch, TensorFlow, JAX
* LLMOps and serving: vLLM, TensorRT, ONNX
* Retrieval and storage: pgvector, ChromaDB, Pinecone, Milvus, Weaviate; relational/graph databases
* Orchestration: Pydantic\-AI, LangChain/LangGraph, CrewAI
* Infra: Docker, Kubernetes; cloud platforms (AWS, GCP, Azure)
* Experiment and artifact tracking: dataset/prompt/model versioning
 Security / Work Environment
 Must be eligible to obtain and maintain a U.S. Government security clearance.
**If this role sounds like you, apply and share with us your interest.**
*Some positions may require eligibility to obtain a U.S. Government security clearance. Any clearance requirement will be listed in the role description.*
*Twenty is an equal opportunity employer. We consider all qualified applicants without regard to race, color, religion, sex, sexual orientation, gender identity, national origin, age, veteran status, disability, or any other protected status.*
*If you need a reasonable accommodation during the hiring process, let us know and we will work with you.*</t>
        </is>
      </c>
    </row>
    <row r="38">
      <c r="A38" t="inlineStr">
        <is>
          <t>li-4370932476</t>
        </is>
      </c>
      <c r="B38" t="inlineStr">
        <is>
          <t>Staff Applied AI Engineer</t>
        </is>
      </c>
      <c r="C38" t="inlineStr">
        <is>
          <t>Google DeepMind</t>
        </is>
      </c>
      <c r="D38" t="inlineStr">
        <is>
          <t>linkedin</t>
        </is>
      </c>
      <c r="E38">
        <f>HYPERLINK("https://www.linkedin.com/jobs/view/4370932476", "https://www.linkedin.com/jobs/view/4370932476")</f>
        <v/>
      </c>
      <c r="F38">
        <f>HYPERLINK("https://job-boards.greenhouse.io/deepmind/jobs/7561938?gh_src=d39b99f31&amp;urlHash=IfnQ", "https://job-boards.greenhouse.io/deepmind/jobs/7561938?gh_src=d39b99f31&amp;urlHash=IfnQ")</f>
        <v/>
      </c>
      <c r="G38" t="inlineStr">
        <is>
          <t>Mountain View, CA</t>
        </is>
      </c>
      <c r="H38" t="inlineStr"/>
      <c r="I38" t="inlineStr">
        <is>
          <t>**Snapshot**
 We are seeking a Staff Applied AI Engineer to lead the development and deployment of novel applications, leveraging Google’s generative AI models. This role focuses on rapidly developing new features, and working across partner teams to deliver solutions, and maximize impact for Google and top customers. You will be instrumental in translating cutting\-edge AI research into real\-world products, and demonstrating the capabilities of latest\-generation models. We are looking for engineers with a strong track record of building and shipping AI\-powered software, ideally with experience in early\-stage environments where they have contributed to scaling products from initial concept to production. The ideal candidate will be motivated by the opportunity to drive product \&amp; business impact.
**About Us**
 Artificial Intelligence could be one of humanity’s most useful inventions. At Google DeepMind, we’re a team of scientists, engineers, machine learning experts and more, working together to advance the state of the art in artificial intelligence. We use our technologies for widespread public benefit and scientific discovery, and collaborate with others on critical challenges, ensuring safety and ethics are the highest priority.
**The role**
 This role requires a strong machine learning foundation and a passion for building and iterating on software products. We are looking for machine learning engineers who thrive in fast\-paced environments and have a proven ability to deliver high\-quality code. Experience in prototyping, building, and scaling software is essential. We particularly value experience in early\-stage or startup environments, where engineers take ownership and drive product development from the ground up.
**Key Responsibilities**
* Harness frontier models to drive real\-world high\-impact outcomes
* Build evaluations, training data, and infrastructure to support AI deployments and rapid iterations
* Collaborate with researchers and product managers to translate research advancements into tangible product features.
* Contribute to the development of best practices for building and deploying generative AI applications.
* Contribute signal to influence the development of frontier models
* Lead the architecture and development of new products \&amp; features from 0 to 1\.
**About You**
 In order to set you up for success as a Staff Applied AI Engineer at Google DeepMind, we look for the following skills and experience:
**Required Skills**
* Bachelor’s degree or equivalent practical experience.
* 8 years of experience in software development, and with data structures/algorithms.
* 5 years of hands\-on experience in AI research (e.g. RL, finetuning, evals), AI applications, or model deployment
* Proven experience in rapidly developing and shipping software products.
* Deep understanding of software development best practices, including testing \&amp; deployment.
* Experience with cloud computing platforms and infrastructure (e.g., Google Cloud Platform, AWS, Azure).
* Substantial experience with machine learning frameworks and libraries such as TensorFlow, PyTorch, Hugging Face, etc.
* Ability to work in a fast\-paced environment and adapt to changing priorities.
**Preferred Skills**
* Experience with generative AI research or applications.
* Contributions to open\-source projects.
* Experience working in, or founding early stage startups.
* Experience delivering software solutions in a fast\-paced, customer\-facing environment.
 If you are a passionate machine learning engineer with a drive to build innovative products and a desire to work at the forefront of AI, we encourage you to apply!
*The US base salary range for this full\-time position is between $197,000 \- $291,000 \+ bonus \+ equity \+ benefits. Your recruiter can share more about the specific salary range for your targeted location during the hiring process.*
*Note: In the event your application is successful and an offer of employment is made to you, any offer of employment will be conditional on the results of a background check, performed by a third party acting on our behalf. For more information on how we handle your data, please see our Applicant and Candidate Privacy Policy.*
*At Google DeepMind, we value diversity of experience, knowledge, backgrounds, and perspectives and harness these qualities to create extraordinary impact. We are committed to equal employment opportunities regardless of sex, race, religion or belief, ethnic or national origin, disability, age, citizenship, marital, domestic or civil partnership status, sexual orientation, gender identity, pregnancy, or related condition (including breastfeeding) or any other basis as protected by applicable law. If you have a disability or additional need that requires accommodation, please do not hesitate to let us know.*</t>
        </is>
      </c>
    </row>
    <row r="39">
      <c r="A39" t="inlineStr">
        <is>
          <t>li-4379137105</t>
        </is>
      </c>
      <c r="B39" t="inlineStr">
        <is>
          <t>Agentic AI engineer - 10+ Years- NJ, GA, MA, IL, NC (Multi location)</t>
        </is>
      </c>
      <c r="C39" t="inlineStr">
        <is>
          <t>Jobs via Dice</t>
        </is>
      </c>
      <c r="D39" t="inlineStr">
        <is>
          <t>linkedin</t>
        </is>
      </c>
      <c r="E39">
        <f>HYPERLINK("https://www.linkedin.com/jobs/view/4379137105", "https://www.linkedin.com/jobs/view/4379137105")</f>
        <v/>
      </c>
      <c r="F39">
        <f>HYPERLINK("https://click.appcast.io/t/9V5-VYEiyWih1wabUYWvBXJjPklUkX9GF4hAGMqOJa0=&amp;urlHash=jzVG", "https://click.appcast.io/t/9V5-VYEiyWih1wabUYWvBXJjPklUkX9GF4hAGMqOJa0=&amp;urlHash=jzVG")</f>
        <v/>
      </c>
      <c r="G39" t="inlineStr">
        <is>
          <t>Mt. Laurel, NJ</t>
        </is>
      </c>
      <c r="H39" t="inlineStr"/>
      <c r="I39" t="inlineStr">
        <is>
          <t>Dice is the leading career destination for tech experts at every stage of their careers. Our client, K\-Tek Resourcing LLC, is seeking the following. Apply via Dice today!
 JD\-
 Design, develop, and support cloud\-native automation and Al agent workflows using Python, and LLM orchestration frameworks (LangChain / LangGraph), deployed on AWS using containerized architectures.
**Responsibilities**
* Develop automation solutions using Python.
* Build Al agents using LangChain and LangGraph to orchestrate tools, APls, and workflows.
* Integrate automations with enterprise systems via REST APIs and databases.
* Containerize services using Docker and support CI/CD pipelines.
* Deploy and operate solutions on AWS (IAM, S3, Lambda, ECS/Fargate, CloudWatch).
* Reasoning Engines: Experience with frontier models like GPT\-4o, Claude 3\.5, and Llama 3\.x/4 specifically for tool\-calling and JSON\-mode outputs
 Azure OpenAI proficiency .
* Agentic RAG 2\.0: Develop "iterative retrieval" systems where agents autonomously decide if they have enough information or if they need to perform additional searches/queries.
* Implement logging, error handling, and basic monitoring.
* Collaborate with onshore architects and follow defined architecture standards.
**Required Skills**
* Python (automation, backend services).
* JavaScript (React/Node JS)
* LangChain and/or LangGraph hands\-on experience.
* Docker and container\-based deployments.
* AWS Cloud Practitioner\-level knowledge with hands\-on exposure.
* REST APIS, JSON, Git.</t>
        </is>
      </c>
    </row>
    <row r="40">
      <c r="A40" t="inlineStr">
        <is>
          <t>li-4379408409</t>
        </is>
      </c>
      <c r="B40" t="inlineStr">
        <is>
          <t>AI Engineer</t>
        </is>
      </c>
      <c r="C40" t="inlineStr">
        <is>
          <t>Bright Vision Technologies</t>
        </is>
      </c>
      <c r="D40" t="inlineStr">
        <is>
          <t>linkedin</t>
        </is>
      </c>
      <c r="E40">
        <f>HYPERLINK("https://www.linkedin.com/jobs/view/4379408409", "https://www.linkedin.com/jobs/view/4379408409")</f>
        <v/>
      </c>
      <c r="F40" t="inlineStr"/>
      <c r="G40" t="inlineStr">
        <is>
          <t>Charlotte, NC</t>
        </is>
      </c>
      <c r="H40" t="inlineStr"/>
      <c r="I40" t="inlineStr">
        <is>
          <t>Bright Vision Technologies is a forward\-thinking software development company dedicated to building innovative solutions that help businesses automate and optimize their operations.
 We leverage cutting\-edge artificial intelligence technologies to build scalable, secure, and production\-grade intelligent systems. As we continue to grow, we’re looking for a skilled
 **AI Engineer** 
 to join our dynamic team and contribute to our mission of transforming business processes through technology.
 This is a fantastic opportunity to join an established and well\-respected organization offering tremendous career growth potential.
 We are looking for
 **OPT/CPT/H4 EAD/TN/E3 or any other Non\-immigrant visa people** 
 who are looking for an
 **H1B sponsorship for the year 2027 quota** 
 .
**Company:** 
 Bright Vision Technologies ( www.bvteck.com )
**Job Title:** 
 AI Engineer
**Job Location:** 
 Bridgewater, New Jersey \- 08807
**Onsite/Hybrid:** 
 Remote
**FULL\-TIME ROLE WITH BRIGHT VISION**
**Environment**
 Artificial Intelligence, Machine Learning, Python, TensorFlow, PyTorch, Scikit\-learn, Deep Learning, Model Training \&amp; Evaluation, Feature Engineering, Data Pipelines, RESTful APIs, Model Deployment, Cloud Platforms (AWS / Azure / GCP), Docker, Kubernetes, Linux, CI/CD pipelines, Git, Agile methodologies
**BUT STRICTLY NO C2C/1099/3RD PARTY COMPANIES. ALL OUR ROLES ARE W2 AND NO 3RD PARTY BROKERING PLEASE.**
 For every role, a
 **coding test is required** 
 , so apply only if you are
 **confident and technically strong** 
 .
 We prefer
 **at least 3 to 5 years real time experience** 
 .
 If you are an
 **AI Engineer** 
 with the above skills and are looking for an
 **H\-1 B sponsorship** 
 this year, please send your resume immediately to
 **Jaya** 
**@bvteck.com** 
 .
**Best Regards,**
**VENKAT RAJU**
 Senior Technical Recruiter
 Bright Vision Technologies
 Cell: \+1 908\-505\-3899
 Email: Venkat.r@bvteck.com
 Address: \#991 Route 22 West, Suite 200,
 Bridgewater, New Jersey – 08807
 we are committed to providing equal employment opportunities and fostering an inclusive work environment. We encourage applications from all qualified individuals regardless of race, ethnicity, religion, gender identity, sexual orientation, age, disability, or any other protected status. If you require accommodations during the recruitment process, please let us know.
**Position offered by “No Fee agency.”**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
 Powered by JazzHR</t>
        </is>
      </c>
    </row>
    <row r="41">
      <c r="A41" t="inlineStr">
        <is>
          <t>li-4380324696</t>
        </is>
      </c>
      <c r="B41" t="inlineStr">
        <is>
          <t>Staff Machine Learning Engineer, Monetization</t>
        </is>
      </c>
      <c r="C41" t="inlineStr">
        <is>
          <t>Pinterest</t>
        </is>
      </c>
      <c r="D41" t="inlineStr">
        <is>
          <t>linkedin</t>
        </is>
      </c>
      <c r="E41">
        <f>HYPERLINK("https://www.linkedin.com/jobs/view/4380324696", "https://www.linkedin.com/jobs/view/4380324696")</f>
        <v/>
      </c>
      <c r="F41" t="inlineStr"/>
      <c r="G41" t="inlineStr">
        <is>
          <t>Seattle, WA</t>
        </is>
      </c>
      <c r="H41" t="inlineStr"/>
      <c r="I41" t="inlineStr">
        <is>
          <t>**About Pinterest**
 Millions of people around the world come to our platform to find creative ideas, dream about new possibilities and plan for memories that will last a lifetime. At Pinterest, we’re on a mission to bring everyone the inspiration to create a life they love, and that starts with the people behind the product.
 Discover a career where you ignite innovation for millions, transform passion into growth opportunities, celebrate each other’s unique experiences and embrace the flexibility to do your best work. Creating a career you love? It’s Possible.
 Within our Ads Performance and Ads Delivery teams, we connect the dots between what Pinners aspire to do and the products our advertising partners offer—building personalized, discovery\-driven experiences that help people create a life they love. Pinterest is just over 4,000 employees globally, which means our teams stay small, high\-ownership, and fast\-moving, with hands\-on access to an exceptional vault of data and the chance to build and evolve large\-scale recommendation and ranking systems at real\-world scale.
 We’re hiring multiple Staff Machine Learning Engineers across our Ads Machine Learning org within Monetization Engineering. In this role, you’ll lead innovation across core applied ML and marketplace technologies that power our ads ecosystem—advancing our ads ranking stack, building the next generation of scalable ads retrieval models, and improving shopping discovery for millions of users. You’ll also help shape the evolution of the Pinterest marketplace by designing systems and experiments that improve the ads delivery funnel, inform the utility function, and influence auction mechanisms and ad allocation—using deep analysis of marketplace dynamics to unlock new insights. Overall, this is a high\-impact opportunity to define what great looks like for Pinterest Shopping Ads, directly improving both user experience and advertiser outcomes in a uniquely discovery\-first marketplace.
**What You’ll Do**
* Design features and build large\-scale machine learning models to improve user ads action prediction with low latency
* Drive innovation in personalized Shopping Ads recommendations through advanced modeling
* Develop new methods for inferring user interests from online and offline activity
* Mine text, visual, user signals to better understand user intention
* Leverage multimodal signals (text, visual, user) to better understand user intent
* Collaborate with product and sales teams to design and implement new ad products
* Partner cross\-functionally with product, sales, data science, and engineering teams to design and improve user journey and optimize ads performance across all stages of retrieval and ranking
* Build and improve backend systems and statistical models that underlay the marketplace to maximize value for Pinners, Partners and Pinterest.
* Define and implement experiments to understand long term Marketplace effects
* Develop strategies to balance long and short term business objectives.
* Drive multi\-functional collaboration with peers and partners across the company to improve knowledge of marketplace design and operations.
**What We’re Looking For**
* Degree in Computer Science, Machine Learning, Statistics or related field
* Experience building production machine learning systems at scale, data mining, search, recommendations, and/or natural language processing
* Experience leading projects and mentoring team members
* Strong mathematical skills with knowledge of statistical methods
* Excellent written and verbal communication skills and strong cross\-functional collaboration
* Background in computational advertising is a plus, but not required
 This position is not eligible for relocation assistance.
 At Pinterest we believe the workplace should be equitable, inclusive, and inspiring for every employee. In an effort to provide greater transparency, we are sharing the base salary range for this position. The position is also eligible for equity. Final salary is based on a number of factors including location, travel, relevant prior experience, or particular skills and expertise.
*Information regarding the culture at Pinterest and benefits available for this position can be found here.*
 US based applicants only
 $189,308—$389,753 USD
**Our Commitment To Inclusion**
 Pinterest is an equal opportunity employer and makes employment decisions on the basis of merit. We want to have the best qualified people in every job. All qualified applicants will receive consideration for employment without regard to race, color, ancestry, national origin, religion or religious creed, sex (including pregnancy, childbirth, or related medical conditions), sexual orientation, gender, gender identity, gender expression, age, marital status, status as a protected veteran, physical or mental disability, medical condition, genetic information or characteristics (or those of a family member) or any other consideration made unlawful by applicable federal, state or local laws. We also consider qualified applicants regardless of criminal histories, consistent with legal requirements. If you require a medical or religious accommodation during the job application process, please complete this form for support.</t>
        </is>
      </c>
    </row>
    <row r="42">
      <c r="A42" t="inlineStr">
        <is>
          <t>li-4379403600</t>
        </is>
      </c>
      <c r="B42" t="inlineStr">
        <is>
          <t>AI Engineer</t>
        </is>
      </c>
      <c r="C42" t="inlineStr">
        <is>
          <t>Bright Vision Technologies</t>
        </is>
      </c>
      <c r="D42" t="inlineStr">
        <is>
          <t>linkedin</t>
        </is>
      </c>
      <c r="E42">
        <f>HYPERLINK("https://www.linkedin.com/jobs/view/4379403600", "https://www.linkedin.com/jobs/view/4379403600")</f>
        <v/>
      </c>
      <c r="F42" t="inlineStr"/>
      <c r="G42" t="inlineStr">
        <is>
          <t>Houston, TX</t>
        </is>
      </c>
      <c r="H42" t="inlineStr"/>
      <c r="I42" t="inlineStr">
        <is>
          <t>Bright Vision Technologies is a forward\-thinking software development company dedicated to building innovative solutions that help businesses automate and optimize their operations.
 We leverage cutting\-edge artificial intelligence technologies to build scalable, secure, and production\-grade intelligent systems. As we continue to grow, we’re looking for a skilled
 **AI Engineer** 
 to join our dynamic team and contribute to our mission of transforming business processes through technology.
 This is a fantastic opportunity to join an established and well\-respected organization offering tremendous career growth potential.
 We are looking for
 **OPT/CPT/H4 EAD/TN/E3 or any other Non\-immigrant visa people** 
 who are looking for an
 **H1B sponsorship for the year 2027 quota** 
 .
**Company:** 
 Bright Vision Technologies ( www.bvteck.com )
**Job Title:** 
 AI Engineer
**Job Location:** 
 Bridgewater, New Jersey \- 08807
**Onsite/Hybrid:** 
 Remote
**FULL\-TIME ROLE WITH BRIGHT VISION**
**Environment**
 Artificial Intelligence, Machine Learning, Python, TensorFlow, PyTorch, Scikit\-learn, Deep Learning, Model Training \&amp; Evaluation, Feature Engineering, Data Pipelines, RESTful APIs, Model Deployment, Cloud Platforms (AWS / Azure / GCP), Docker, Kubernetes, Linux, CI/CD pipelines, Git, Agile methodologies
**BUT STRICTLY NO C2C/1099/3RD PARTY COMPANIES. ALL OUR ROLES ARE W2 AND NO 3RD PARTY BROKERING PLEASE.**
 For every role, a
 **coding test is required** 
 , so apply only if you are
 **confident and technically strong** 
 .
 We prefer
 **at least 3 to 5 years real time experience** 
 .
 If you are an
 **AI Engineer** 
 with the above skills and are looking for an
 **H\-1 B sponsorship** 
 this year, please send your resume immediately to
 **Jaya** 
**@bvteck.com** 
 .
**Best Regards,**
**VENKAT RAJU**
 Senior Technical Recruiter
 Bright Vision Technologies
 Cell: \+1 908\-505\-3899
 Email: Venkat.r@bvteck.com
 Address: \#991 Route 22 West, Suite 200,
 Bridgewater, New Jersey – 08807
 we are committed to providing equal employment opportunities and fostering an inclusive work environment. We encourage applications from all qualified individuals regardless of race, ethnicity, religion, gender identity, sexual orientation, age, disability, or any other protected status. If you require accommodations during the recruitment process, please let us know.
**Position offered by “No Fee agency.”**
 Equal Employment Opportunity (EEO) Statement
 Bright Vision Technologies (BV Teck) is committed to equal employment opportunity (EEO) for all employees and applicants without regard to race, color, religion, sex, sexual orientation, gender identity or expression, national origin, age, genetic information, disability, veteran status, or any other protected status as defined by applicable federal, state, or local laws. This commitment extends to all aspects of employment, including recruitment, hiring, training, compensation, promotion, transfer, leaves of absence, termination, layoffs, and recall.
 BV Teck expressly prohibits any form of workplace harassment or discrimination. Any improper interference with employees' ability to perform their job duties may result in disciplinary action up to and including termination of employment.
 Powered by JazzHR</t>
        </is>
      </c>
    </row>
    <row r="43">
      <c r="A43" t="inlineStr">
        <is>
          <t>li-4362275018</t>
        </is>
      </c>
      <c r="B43" t="inlineStr">
        <is>
          <t>AI Engineer</t>
        </is>
      </c>
      <c r="C43" t="inlineStr">
        <is>
          <t>Jobot</t>
        </is>
      </c>
      <c r="D43" t="inlineStr">
        <is>
          <t>linkedin</t>
        </is>
      </c>
      <c r="E43">
        <f>HYPERLINK("https://www.linkedin.com/jobs/view/4362275018", "https://www.linkedin.com/jobs/view/4362275018")</f>
        <v/>
      </c>
      <c r="F43" t="inlineStr"/>
      <c r="G43" t="inlineStr">
        <is>
          <t>Nashville, TN</t>
        </is>
      </c>
      <c r="H43" t="inlineStr"/>
      <c r="I43" t="inlineStr">
        <is>
          <t>Want to learn more about this role and Jobot? Click our Jobot logo and follow
 our LinkedIn page!
 Job details:
**RAG \- Vector Databases \- Cloud \- AI/ML**
 This Jobot Job is hosted by: Chuck Wirtz
 Are you a fit? Easy Apply now by clicking the "Easy Apply" button
 and sending us your resume.
 Salary: $175,000 \- $200,000 per year
**A bit about us:**
 We are a rapidly\-growing and well\-funded women\-lead AI start\-up that innovates our client's projects from concept to delivery.
**Why join us?**
 We work with highly recognizable enterprise clients to deliver a fully customized solution. Our technology solution is best\-in\-class and proven. This is a fully remote role. Report directly to the VP of Tech \&amp; work directly with the Founders. Start\-up experience is ideal. Base \+ bonus \+ equity.
**Job Details**
 This is not a Data Scientist role \- This is an experienced, AI\-focused Software Engineer role.
 Python API
 Agentic/Orchestration Frameworks:
 Langchan \- Langgraph \- Autogen \- Semantic Kernel \- Lamaindex
 RAG
 ML
 AI
 Vector Databases:
 Pinecone \- Weaviate \- Chroma
 AWS \- GCP \- Azure
 Domain\-driven design and microservices architecture
 TensorFlow \- PyTorch
 Inheritance \- Polymorphism \- Design Patterns
 No C2C or Sponsorship
 Interested in hearing more? Easy Apply now by clicking the "Easy Apply" button.
**Want to learn more about this role
 and Jobot?**
 Click our Jobot logo and follow our LinkedIn page!\\n</t>
        </is>
      </c>
    </row>
    <row r="44">
      <c r="A44" t="inlineStr">
        <is>
          <t>li-4379175882</t>
        </is>
      </c>
      <c r="B44" t="inlineStr">
        <is>
          <t>AI Engineer, Quality</t>
        </is>
      </c>
      <c r="C44" t="inlineStr">
        <is>
          <t>RemoteHunter</t>
        </is>
      </c>
      <c r="D44" t="inlineStr">
        <is>
          <t>linkedin</t>
        </is>
      </c>
      <c r="E44">
        <f>HYPERLINK("https://www.linkedin.com/jobs/view/4379175882", "https://www.linkedin.com/jobs/view/4379175882")</f>
        <v/>
      </c>
      <c r="F44" t="inlineStr"/>
      <c r="G44" t="inlineStr"/>
      <c r="H44" t="inlineStr"/>
      <c r="I44" t="inlineStr">
        <is>
          <t>**About the Company** 
 : The organization operates in the assurance and audit sector, focusing on cybersecurity, privacy, and financial audit within global commerce and capital markets. It addresses the challenge of enabling trust between businesses by automating and streamlining the work of audit and assurance practitioners through specialized software. The company supports over 50 of the top 100 accounting and consulting firms, working in a market valued at over $100 billion. It functions as a remote\-first company with a base in San Francisco, backed by notable investors in technology and venture capital. The team values diversity and a supportive culture with a strong emphasis on collaboration and mutual growth.
**About the Role** 
 : The AI Engineer, Quality will develop and maintain the evaluation infrastructure that ensures AI agents perform reliably at enterprise scale. This role focuses exclusively on elevating evaluations as a core engineering practice by creating unified platforms, automated testing pipelines, and feedback mechanisms to assess new AI models quickly across critical workflows. The position contributes to maintaining high standards of quality and reliability for AI\-driven audit workflows, influencing both product development and customer satisfaction. It requires close collaboration with machine learning engineers and subject matter experts and emphasizes in\-person teamwork at the San Francisco office.
**Responsibilities** 
 :
* Design and build a unified evaluation platform for agentic systems and audit workflows
* Develop observability tools to track agent behavior, execution, and failures in production
* Manage evaluation infrastructure, including integration with LangSmith and LangGraph
* Translate customer needs into actionable agent behaviors and workflows
* Integrate LLMs, tools, retrieval systems, and logic into reliable agent experiences
* Create automated pipelines for rapid model evaluation across critical workflows
* Design evaluation frameworks measuring effectiveness, consistency, latency, and cost
* Implement monitoring systems to detect quality regressions before customer impact
* Use AI\-driven methods for designing, building, testing, and iterating evaluations
* Collaborate with SMEs and ML engineers to curate evaluation datasets from production data
* Develop prompts, retrieval pipelines, and orchestration systems for scalable performance
* Define and document evaluation standards and best practices for the engineering team
* Promote evaluation\-driven development and facilitate evaluation processes for the team
* Partner with product and ML teams to embed evaluation requirements from project start
* Own large product areas related to evaluation infrastructure and quality assurance
**Qualifications** 
 :
* Multiple years of experience delivering production software in complex systems
* Proficiency with TypeScript, React, Python, and Postgres
* Experience building and deploying LLM\-powered features in production environments
* Experience implementing evaluation frameworks for model outputs and agent behaviors
* Strong understanding of AI evaluation as an integral engineering function
* Ability to make data\-driven decisions and measure key performance metrics
* Experience with building production\-grade observability and feedback systems
* Strong product judgement and independence in decision\-making
* Preference for rapid prototyping and iterative, reliable system development
**Pay Range and Compensation Package** 
 : The pay range and compensation package for this role will be determined based on the candidate’s experience, skills, and other relevant factors.
**Equal Opportunity Statement** 
 : Our client is an equal opportunity employer. They celebrate diversity and are committed to creating an inclusive environment for all employees. All qualified applicants will receive consideration for employment without regard to race, color, religion, gender, gender identity or expression, sexual orientation, or national origin.
 Note: RemoteHunter is not the Employer of Record (EOR) for this role. Our purpose in this opportunity is to connect exceptional candidates with leading employers. We help job seekers worldwide discover roles that match their goals and guide them to complete their full application directly through the hiring company’s career page or ATS.</t>
        </is>
      </c>
    </row>
    <row r="45">
      <c r="A45" t="inlineStr">
        <is>
          <t>li-4288991884</t>
        </is>
      </c>
      <c r="B45" t="inlineStr">
        <is>
          <t>Machine Learning Engineer Graduate (E-Commerce Risk Control)- 2026 Start (Phd)</t>
        </is>
      </c>
      <c r="C45" t="inlineStr">
        <is>
          <t>ByteDance</t>
        </is>
      </c>
      <c r="D45" t="inlineStr">
        <is>
          <t>linkedin</t>
        </is>
      </c>
      <c r="E45">
        <f>HYPERLINK("https://www.linkedin.com/jobs/view/4288991884", "https://www.linkedin.com/jobs/view/4288991884")</f>
        <v/>
      </c>
      <c r="F45">
        <f>HYPERLINK("https://joinbytedance.com/search/7515568044521834770&amp;urlHash=ZZEO", "https://joinbytedance.com/search/7515568044521834770&amp;urlHash=ZZEO")</f>
        <v/>
      </c>
      <c r="G45" t="inlineStr">
        <is>
          <t>Seattle, WA</t>
        </is>
      </c>
      <c r="H45" t="inlineStr"/>
      <c r="I45" t="inlineStr">
        <is>
          <t>**Responsibilities**
 Team Introduction:
**The E\-Commerce Risk Control (ECRC) Team's Mission Is :**
* To protect TikTok e\-commerce users, including and beyond buyer, seller, creator;
* To make Tiktok e\-commerce the safest and most trusted place worldwide to transact online by securing the integrity of the e\-commerce ecosystem and providing a safe shopping experience on the platform;
* Through building software systems, risk models and operational processes, as well as collaborating with many cross\-functional teams and stakeholders.
 The ECRC team works to prevent and detect any risk attempts in Tiktok e\-commerce platforms (e.g. TikTok Shop) and to mitigate the negative impact on our customers and Selling Partners (Sps), covering multiple classical and novel business risk areas such as account integrity, incentive abuse, malicious activities, brushing, click\-farm, information leakage etc.
 We achieve our mission by a) developing state\-of\-art Machine Learning (ML) solutions to prevent customers, SPs, and Tiktok from being impacted by bad actors’ actions and practices to gain unfair business advantages; b) empowering Tiktok teams, both internal to GNE and external, to reduce risk attempts by utilizing our mechanisms.
 We are looking for talented individuals to join our team in 2026\. As a graduate, you will get unparalleled opportunities for you to kickstart your career, pursue bold ideas and explore limitless growth opportunities. Co\-create a future driven by your inspiration with ByteDance
 Successful candidates must be able to commit to an onboarding date by end of year 2026\.
 Please state your availability and graduation date clearly in your resume.
 Applications will be reviewed on a rolling basis \- we encourage you to apply early.
**Responsibilities:**
* Develop and implement innovative machine learning algorithms to manage business risks in TikTok's products and platforms.
* Prototype and explore novel solutions, conduct experiments to validate hypotheses, and provide insights to Product and Tech teams.
* Collaborate with multidisciplinary teams to enhance current automation processes.
* Build efficient data querying infrastructure for real\-time and offline analysis. Identify opportunities to strengthen risk defense solutions.
* Define risk control metrics and promote data\-driven practices. Align teams and stakeholders on numeric goals for risk control.
* Document technical processes and effectively communicate results through writing, visualizations, and presentations.
**Qualifications**
 Minimum Qualifications:
* Master's or PhD degree in Computer Science, Engineering, Operations Research, or related fields.
* Final year or recent graduate with a background in Computer Science, Computer Engineering, or a related technical discipline
* Proficiency in modern machine learning theories and applications, including ensemble trees, deep neural networks, transfer/multi\-task learning, reinforcement learning, graph theory, and unsupervised learning.
* Experience with Python, SQL/Hive, and Hadoop
* Strong understanding of data structures and algorithms, with excellent problem\-solving ability
* Detail oriented, effective time management, and strong analytical skills
**Preferred Qualifications:**
* Demonstrated software engineering experience from previous internship, work experience, coding competitions, or publications
* Internship experience or research experience, especially in e\-commerce, risk control domian
* Curiosity towards new technologies and entrepreneurship
* High levels of creativity and quick problem\-solving capabilities
 At ByteDance Our Benefits Are Designed To Convey Company Culture And Values, To Create An Efficient And Inspiring Work Environment, And To Support Employees To Give Their Best In Both Work And Life. We Offer The Following Benefits To Eligible Employees:
 We cover 100% premium coverage for employee medical insurance, approximately 75% premium coverage for dependents and offer a Health Savings Account(HSA) with a company match. As well as Dental, Vision, Short/Long term Disability, Basic Life, Voluntary Life and AD\&amp;D insurance plans. In addition to Flexible Spending Account(FSA) Options like Health Care, Limited Purpose and Dependent Care.
 Our time off and leave plans are: 10 paid holidays per year plus 17 days of Paid Personal Time Off(PPTO) (prorated upon hire and increased by tenure) and 10 paid sick days per year as well as 12 weeks of paid Parental leave and 8 weeks of paid Supplemental Disability.
 We also provide generous benefits like mental and emotional health benefits through our EAP and Lyra. A 401K company match, gym and cellphone service reimbursements. The Company reserves the right to modify or change these benefits programs at any time, with or without notice.
 Job Information
**【For Pay Transparency】Compensation Description (Annually)**
 The base salary range for this position in the selected city is $129960 \- $246240 annually.
 Compensation may vary outside of this range depending on a number of factors, including a candidate’s qualifications, skills, competencies and experience, and location. Base pay is one part of the Total Package that is provided to compensate and recognize employees for their work, and this role may be eligible for additional discretionary bonuses/incentives, and restricted stock units.
 Benefits may vary depending on the nature of employment and the country work location. Employees have day one access to medical, dental, and vision insurance, a 401(k) savings plan with company match, paid parental leave, short\-term and long\-term disability coverage, life insurance, wellbeing benefits, among others. Employees also receive 10 paid holidays per year, 10 paid sick days per year and 17 days of Paid Personal Time (prorated upon hire with increasing accruals by tenure).
 The Company reserves the right to modify or change these benefits programs at any time, with or without notice.
**For Los Angeles County (unincorporated) Candidates:**
 Qualified applicants with arrest or conviction records will be considered for employment in accordance with all federal, state, and local laws including the Los Angeles County Fair Chance Ordinance for Employers and the California Fair Chance Act. Our company believes that criminal history may have a direct, adverse and negative relationship on the following job duties, potentially resulting in the withdrawal of the conditional offer of employment:
* Interacting and occasionally having unsupervised contact with internal/external clients and/or colleagues;
* Appropriately handling and managing confidential information including proprietary and trade secret information and access to information technology systems; and
* Exercising sound judgment.
**About Us**
 Founded in 2012, ByteDance's mission is to inspire creativity and enrich life. With a suite of more than a dozen products, including TikTok, Lemon8, CapCut and Pico as well as platforms specific to the China market, including Toutiao, Douyin, and Xigua, ByteDance has made it easier and more fun for people to connect with, consume, and create content.
 Why Join ByteDance
 Inspiring creativity is at the core of ByteDance's mission. Our innovative products are built to help people authentically express themselves, discover and connect – and our global, diverse teams make that possible. Together, we create value for our communities, inspire creativity and enrich life \- a mission we work towards every day.
 As ByteDancers, we strive to do great things with great people. We lead with curiosity, humility, and a desire to make impact in a rapidly growing tech company. By constantly iterating and fostering an "Always Day 1" mindset, we achieve meaningful breakthroughs for ourselves, our Company, and our users. When we create and grow together, the possibilities are limitless. Join us.
 Diversity \&amp; Inclusion
 ByteDance is committed to creating an inclusive space where employees are valued for their skills, experiences, and unique perspectives. Our platform connects people from across the globe and so does our workplace. At ByteDance, our mission is to inspire creativity and enrich life. To achieve that goal, we are committed to celebrating our diverse voices and to creating an environment that reflects the many communities we reach. We are passionate about this and hope you are too.
 Reasonable Accommodation
 ByteDance is committed to providing reasonable accommodations in our recruitment processes for candidates with disabilities, pregnancy, sincerely held religious beliefs or other reasons protected by applicable laws. If you need assistance or a reasonable accommodation, please reach out to us at https://tinyurl.com/RA\-request</t>
        </is>
      </c>
    </row>
    <row r="46">
      <c r="A46" t="inlineStr">
        <is>
          <t>li-4379412920</t>
        </is>
      </c>
      <c r="B46" t="inlineStr">
        <is>
          <t>Principal Machine Learning Engineer, Engineering Efficiency</t>
        </is>
      </c>
      <c r="C46" t="inlineStr">
        <is>
          <t>Roblox</t>
        </is>
      </c>
      <c r="D46" t="inlineStr">
        <is>
          <t>linkedin</t>
        </is>
      </c>
      <c r="E46">
        <f>HYPERLINK("https://www.linkedin.com/jobs/view/4379412920", "https://www.linkedin.com/jobs/view/4379412920")</f>
        <v/>
      </c>
      <c r="F46">
        <f>HYPERLINK("https://careers.roblox.com/jobs/7669310?gh_jid=7669310&amp;gh_src=da92d0c91&amp;urlHash=JFKD", "https://careers.roblox.com/jobs/7669310?gh_jid=7669310&amp;gh_src=da92d0c91&amp;urlHash=JFKD")</f>
        <v/>
      </c>
      <c r="G46" t="inlineStr">
        <is>
          <t>San Mateo, CA</t>
        </is>
      </c>
      <c r="H46" t="inlineStr"/>
      <c r="I46" t="inlineStr">
        <is>
          <t>Every day, tens of millions of people come to Roblox to explore, create, play, learn, and connect with friends in 3D immersive digital experiences– all created by our global community of developers and creators.
 At Roblox, we’re building the tools and platform that empower our community to bring any experience that they can imagine to life. Our vision is to reimagine the way people come together, from anywhere in the world, and on any device. We’re on a mission to connect a billion people with optimism and civility, and looking for amazing talent to help us get there.
 A career at Roblox means you’ll be working to shape the future of human interaction, solving unique technical challenges at scale, and helping to create safer, more civil shared experiences for everyone.
**Why Engineering Efficiency?**
 The Engineering Efficiency AI Infrastructure Pod acts as Roblox’s center of excellence for applying AI to software engineering. We develop the Code Intelligence components of the Builder AI Platform, enabling first\-party agents to automate engineering toil such as refactoring and unit test generation
 At Roblox, we aren't just trying to build another autocomplete tool or a basic LLM wrapper; we are architecting a Code Intelligence platform. Our mission is to move beyond simple code suggestions and into the realm of "agentic reasoning", creating a system that understands the deep, multi\-dimensional context of a massive, 20\-year\-old engine and can autonomously handle the mechanical toil of modern development.
 As AI makes it possible to generate code at an unprecedented velocity, our team’s focus shifts from writing code to maintaining quality, safety, and performance at a planetary scale. We are building the reasoning layer and the "Human\-in\-the\-Loop" (HITL) gates that ensure this AI\-driven evolution doesn't compromise the stability of a platform serving 100M\+ daily active users. We aren't just using the industry standard; we are inventing the new one.
 Joining this team means you will be a leader, bridging the gap between our AI teams, Eng Efficiency and Feature devolvement teams. We are looking for a visionary who can build platforms and first\-party agents that don't just suggest code, but actually understand how to refactor, tune, and evolve the Roblox ecosystem.
**You Will**
* Architect the Reasoning Layer and design systems that allow agents to navigate a billion\-line codebase with high precision.
* AI Workload Optimization: Ensure our AI infrastructure is performant and cost\-effective as it scales to become our primary compute driver.
* Lead New Techniques: Develop new methods for synthetic data generation and agent evaluations that outperform current industry benchmarks.
**You Have**
* Beyond "Off\-the\-Shelf": We are looking for an expert who can move past basic LoRA or full\-parameter fine\-tuning to implement Reinforcement Learning from Compiler Feedback (RLCF) and Domain\-Specific Distillation.
* Code\-Specific Optimization: The goal is to fine\-tune models to understand the unique constraints of the Roblox Luau language, our internal APIs, and our proprietary high\-performance engine architecture.
* Continuous Learning Loops: Architecting the infrastructure that allows our models to "learn" from every human\-corrected diff, ensuring our internal models stay ahead of general\-purpose industry standards.
**You Are**
* Comfortable with Ambiguity: You thrive in undefined or open\-ended problem spaces, providing structure, clarity, and decisive direction to your teams.
* A Pragmatic Builder: You are scrappy and impact\-oriented. You view undefined data and messy systems as opportunities to build structure rather than blockers to progress.
* An Inspiring Leader: Passionate about developing the next generation of technical leaders, managers, and engineers.
* An Executive Communicator: Highly effective at communicating complex technical concepts to both engineering teams and non\-technical executive leadership.
* Data \&amp; System Oriented: You understand that robust data and systems are the foundation of any production application, and you design infrastructure for scale, correctness, and reliability.
* Curious \&amp; Creative: You enjoy tackling hard problems, exploring new technologies, and driving continuous improvements in both systems and workflows.
 For roles that are based at our headquarters in San Mateo, CA: The starting base pay for this position is as shown below. The actual base pay is dependent upon a variety of job\-related factors such as professional background, training, work experience, location, business needs and market demand. Therefore, in some circumstances, the actual salary could fall outside of this expected range. This pay range is subject to change and may be modified in the future. All full\-time employees are also eligible for equity compensation and for benefits as described on
 **this page** 
 .
 Annual Salary Range
 $345,040—$399,420 USD
 Roles that are based in an office are onsite Tuesday, Wednesday, and Thursday, with optional presence on Monday and Friday (unless otherwise noted).
 Roblox provides equal employment opportunities to all employees and applicants for employment and prohibits discrimination and harassment of any type without regard to race, color, religion, age, sex, national origin, disability status, genetics, protected veteran status, sexual orientation, gender identity or expression, or any other characteristic protected by federal, state or local laws. Roblox also provides reasonable accommodations to candidates with qualifying disabilities or religious beliefs during the recruiting process.</t>
        </is>
      </c>
    </row>
    <row r="47">
      <c r="A47" t="inlineStr">
        <is>
          <t>li-4361888373</t>
        </is>
      </c>
      <c r="B47" t="inlineStr">
        <is>
          <t>Senior Machine Learning Engineer, Data Mining</t>
        </is>
      </c>
      <c r="C47" t="inlineStr">
        <is>
          <t>Motional</t>
        </is>
      </c>
      <c r="D47" t="inlineStr">
        <is>
          <t>linkedin</t>
        </is>
      </c>
      <c r="E47">
        <f>HYPERLINK("https://www.linkedin.com/jobs/view/4361888373", "https://www.linkedin.com/jobs/view/4361888373")</f>
        <v/>
      </c>
      <c r="F47" t="inlineStr"/>
      <c r="G47" t="inlineStr">
        <is>
          <t>Las Vegas, NV</t>
        </is>
      </c>
      <c r="H47" t="inlineStr"/>
      <c r="I47" t="inlineStr">
        <is>
          <t>**Mission Summary:** 
 At Motional, we're transforming how autonomous vehicles discover critical intelligence hidden within petabytes of multimodal sensor data. Our next\-generation autonomous driving stack depends on finding the rare edge cases, long\-tail scenarios, and model errors that matter most. Omnitag, our ML\-powered multimodal data mining framework, is the engine that powers this discovery.
 As a Senior Machine Learning Engineer on the Data Mining team, your mission is to build the "Brain" of this engine: designing massive multimodal Teacher models that understand the world, and distilling them into hyper\-efficient Student models that can scour exabytes of data in near real\-time. You will work at the intersection of large\-scale representation learning, retrieval optimization, and reasoning systems. Your work will directly influence how we compress knowledge into efficient encoders for fast search, and how we apply reinforcement learning to optimize data discovery workflows and intelligent querying. By building smarter mining tools, you will accelerate the entire model improvement lifecycle for teams working on post\-training analysis, error diagnosis, and dataset curation.
**What You'll Do:** 
* **Architect and Train Distilled Models:** 
 Design and implement teacher\-student model frameworks for multimodal sensor data. Develop training pipelines for knowledge distillation. Ensure student models maintain high accuracy while drastically reducing inference latency and memory footprint.
* **Reinforcement Learning for Data Discover** 
 : Build RL\-based policy learning and reasoning systems for autonomous driving applications. Implement and scale RL training workflows (e.g., PPO, DQN, actor\-critic methods) for simulation and real\-world interaction. Explore reward shaping, environment modeling, and multi\-agent RL where applicable.
* **Optimize Model Deployment for Real\-Time Inference:** 
 Collaborate with backend engineers to deploy distilled and RL models into production. Optimize for latency, throughput, and hardware efficiency across GPU/CPU clusters. Implement model versioning, A/B testing, and monitoring for performance regressions.
* **Research and Integrate Agentic Systems:** 
 Explore and prototype agentic workflows for autonomous reasoning, chain\-of\-thought prompting, and goal\-directed behavior. Integrate such systems into our broader autonomy stack as experimental or production components.
* **Drive Production Reliability** 
 : Establish patterns for graceful degradation, fault tolerance, and cost optimization. Operate Omnitag as a mission\-critical data platform serving the entire ML organization, with a focus on reliability, debuggability, and operational excellence.
* **Mentor and Collaborate** 
 : Work closely with ML scientists, data engineers, and autonomy teams to translate research advances into scalable engineering solutions. Guide junior engineers in best practices for model training, evaluation, and deployment.
**What We're Looking For:** 
* BS in Computer Science, Machine Learning, or related field, or equivalent professional experience.
* 6\+ years of hands\-on experience in machine learning engineering, with a focus on model post training, optimization, and deployment.
* Strong experience with model distillation or teacher\-student training \- practical knowledge of loss functions, training strategies, and evaluation of compressed models.
* Proven experience with reinforcement learning in production or research settings: policy optimization, reward design, simulation environments, and RL\-based reasoning.
* Expert\-level proficiency in Python and ML frameworks (PyTorch, TensorFlow, or JAX).
* Strong software engineering fundamentals: testing, CI/CD, containerization, and system design.
* Experience deploying ML models in cloud environments (AWS, GCP, or Azure) and optimizing for inference.
* Demonstrated ability to ship production\-grade ML systems and mentor team members.
* Demonstrated track record of shipping robust, well\-tested, production\-grade systems and mentoring junior engineers
**Bonus Points (Nice\-to\-Haves):** 
* MS/PhD in Computer Science, Machine Learning, or related field.
* Experience with agentic systems, autonomous reasoning, chain\-of\-thought models, or LLM\-based planning.
* Background in autonomous driving, robotics, or real\-time decision\-making systems.
* Familiarity with multimodal learning, sensor fusion, or embodied AI.
* Experience building active learning loops, using the model to find the data that breaks the model.
* Experience with ML\-based data mining, active learning, or contrastive learning.
* Knowledge of model serving tools (TF Serving, Triton, TorchServe) and MLOps platforms.
* Publications or open\-source contributions in RL, distillation, or efficient ML.
**We encourage a hybrid schedule with in\-office time at one of our locations in Boston, Pittsburgh, or Las Vegas to support collaboration, or this role can be fully remote.** 
 The salary range for this role is an estimate based on a wide range of compensation factors including but not limited to specific skills, experience and expertise, role location, certifications, licenses, and business needs. The estimated compensation range listed in this job posting reflects base salary only. This role may include additional forms of compensation such as a bonus or company equity. The recruiter assigned to this role can share more information about the specific compensation and benefit details associated with this role during the hiring process. Candidates for certain positions are eligible to participate in Motional’s benefits program. Motional’s benefits include but are not limited to medical, dental, vision, 401k with a company match, health saving accounts, life insurance, pet insurance, and more.
 Salary Range: $172,000 USD \- $229,000 USD
**Motional is a driverless technology company making autonomous vehicles a safe, reliable, and accessible reality. We’re driven by something more.** 
**Our journey is always people first.** 
 We aren't just developing driverless cars; we're creating safer roadways, more equitable transportation options, and making our communities better places to live, work, and connect. Our team is made up of engineers, researchers, innovators, dreamers and doers, who are creating a technology with the potential to transform the way we move.
**Higher purpose, greater impact.** 
 We’re creating first\-of\-its\-kind technology that will transform transportation. To do so successfully, we must design for everyone in our cities and on our roads. We believe in building a great place to work through a progressive, global culture that is diverse, inclusive, and ensures people feel valued at every level of the organization. Diversity helps us to see the world differently; it’s not only good for our business, it’s the right thing to do.
**Scale up, not starting up.** 
 Our team is behind some of the industry's largest leaps forward, including the first fully\-autonomous cross\-country drive in the U.S, the launch of the world's first robotaxi pilot, and operation of the world's longest\-standing public robotaxi fleet. We’re driven to scale; we’re moving towards commercialization of our technology, and we need team members who are ready to embrace change and challenges.
 Formed as a joint venture between Hyundai Motor Group and Aptiv, Motional is fundamentally changing how people move through their lives. Headquartered in Boston, Motional has operations in the U.S and Asia. For more information, visit www.Motional.com and follow us on Twitter, LinkedIn, Instagram and YouTube.
*Motional AD Inc. is an EOE. We celebrate diversity and are committed to creating an inclusive environment for all employees. To comply with Federal Law, we participate in E\-Verify. All newly\-hired employees are queried through this electronic system established by the DHS and the SSA to verify their identity and employment eligibility.*</t>
        </is>
      </c>
    </row>
    <row r="48">
      <c r="A48" t="inlineStr">
        <is>
          <t>li-4380357140</t>
        </is>
      </c>
      <c r="B48" t="inlineStr">
        <is>
          <t>Senior ML Engineer, Perception</t>
        </is>
      </c>
      <c r="C48" t="inlineStr">
        <is>
          <t>Motion Recruitment</t>
        </is>
      </c>
      <c r="D48" t="inlineStr">
        <is>
          <t>linkedin</t>
        </is>
      </c>
      <c r="E48">
        <f>HYPERLINK("https://www.linkedin.com/jobs/view/4380357140", "https://www.linkedin.com/jobs/view/4380357140")</f>
        <v/>
      </c>
      <c r="F48">
        <f>HYPERLINK("https://motionrecruitment.com/tech-jobs/boston/direct-hire/senior-ml-engineer-perception/868025?utm_source=linkedin&amp;utm_medium=feed&amp;utm_campaign=paid-20210428&amp;urlHash=d112", "https://motionrecruitment.com/tech-jobs/boston/direct-hire/senior-ml-engineer-perception/868025?utm_source=linkedin&amp;utm_medium=feed&amp;utm_campaign=paid-20210428&amp;urlHash=d112")</f>
        <v/>
      </c>
      <c r="G48" t="inlineStr">
        <is>
          <t>Boston, MA</t>
        </is>
      </c>
      <c r="H48" t="inlineStr"/>
      <c r="I48" t="inlineStr">
        <is>
          <t>**Job Description**
 Join a fast\-moving robotics company building the next generation of warehouse automation. This role focuses on advancing a cutting\-edge perception stack, combining modern machine learning with real\-world hardware deployment. You’ll work across 2D/3D vision, data systems, and edge inference to help robots operate reliably in unpredictable physical environments.
 The team is looking for someone who can balance deep technical expertise with practical problem\-solving, and who’s motivated by seeing their work directly influence real\-world systems.
 This is a hybrid full\-time position.
**Required Skills \&amp; Experience**
* 5\+ years of experience in computer vision and machine learning with production deployment in robotics, autonomous systems, or IoT
* Strong Python and PyTorch expertise
* Experience deploying models using C\+\+ or integrating with production systems
* Hands\-on experience with inference optimization (TensorRT, ONNX Runtime, CUDA)
* Background in both 2D vision (e.g., object detection/segmentation, transformers) and 3D vision (point clouds, geometry, calibration)
* Experience working with large\-scale datasets, including labeling, QA, and bias detection
* Ability to translate ambiguous product requirements into clear technical execution
**Desired Skills \&amp; Experience**
* Experience with multi\-modal perception systems (2D \+ 3D fusion)
* Familiarity with edge deployment on embedded hardware
* Exposure to active learning or iterative data improvement pipelines
* Experience with cloud environments (AWS or GCP)
* Familiarity with Docker, experiment tracking tools, and labeling platforms
* Prior experience mentoring engineers or contributing to technical roadmap decisions
**What You Will Be Doing**
**Tech Breakdown**
 40% Model Development (2D/3D Vision, Multi\-Modal Systems)
 30% Deployment \&amp; Optimization (Edge Inference, Performance Tuning)
 20% Data Strategy \&amp; Pipeline Improvements
 10% System Integration (Robotics Stack, Production Code)
**Daily Responsibilities**
 70% Hands On
 10% Mentorship / Technical Leadership
 20% Team Collaboration
* Design and train models that combine visual and spatial data for perception and grasping tasks
* Own deployment workflows, including optimization and runtime performance on edge devices
* Improve and scale data pipelines, including dataset quality and edge case handling
* Write production\-grade code to integrate perception into robotic systems
* Contribute to code reviews, technical direction, and team development
**The Offer**
* Competitive base salary \+ bonus potential
**You Will Receive The Following Benefits**
* Medical Insurance
* Dental Benefits
* Vision Benefits
* Paid Time Off (PTO)
* 401(k) (with match, if applicable)
 Applicants must be currently authorized to work in the US on a full\-time basis now and in the future.
**Posted By:** 
 Sarah Carroll</t>
        </is>
      </c>
    </row>
    <row r="49">
      <c r="A49" t="inlineStr">
        <is>
          <t>li-4363043614</t>
        </is>
      </c>
      <c r="B49" t="inlineStr">
        <is>
          <t>Senior Machine Learning Engineer, Data Mining</t>
        </is>
      </c>
      <c r="C49" t="inlineStr">
        <is>
          <t>Motional</t>
        </is>
      </c>
      <c r="D49" t="inlineStr">
        <is>
          <t>linkedin</t>
        </is>
      </c>
      <c r="E49">
        <f>HYPERLINK("https://www.linkedin.com/jobs/view/4363043614", "https://www.linkedin.com/jobs/view/4363043614")</f>
        <v/>
      </c>
      <c r="F49">
        <f>HYPERLINK("https://grnh.se/lg6dfq0j3us?gh_src=f16e0ebe4us&amp;gh_src=1f90d4ae3us&amp;gh_src=61bee8d12us&amp;gh_src=6d383ce23us&amp;gh_src=ec0eddf03us&amp;gh_src=2dc205461&amp;utm_source=LinkedIn&amp;src=93c4f47a1us&amp;gh_src=de9c92c2teu&amp;gh_src=85642ca12us&amp;mode=job&amp;gh_src=5ylsd31&amp;gh_src=7cc214831us&amp;gh_src=1ev8671&amp;gh_src=3def3d492us&amp;gh_src=5ac1e5d54us&amp;gh_src=9bba01a71us&amp;source=LinkedIn&amp;gh_src=d0d015e96us&amp;gh_src=f242f2062us&amp;gh_src=d39591f15us&amp;gh_src=b13de4e21&amp;iis=Job%2BBoard&amp;iisn=LinkedIn&amp;gh_src=769307a46us&amp;urlHash=2l-z", "https://grnh.se/lg6dfq0j3us?gh_src=f16e0ebe4us&amp;gh_src=1f90d4ae3us&amp;gh_src=61bee8d12us&amp;gh_src=6d383ce23us&amp;gh_src=ec0eddf03us&amp;gh_src=2dc205461&amp;utm_source=LinkedIn&amp;src=93c4f47a1us&amp;gh_src=de9c92c2teu&amp;gh_src=85642ca12us&amp;mode=job&amp;gh_src=5ylsd31&amp;gh_src=7cc214831us&amp;gh_src=1ev8671&amp;gh_src=3def3d492us&amp;gh_src=5ac1e5d54us&amp;gh_src=9bba01a71us&amp;source=LinkedIn&amp;gh_src=d0d015e96us&amp;gh_src=f242f2062us&amp;gh_src=d39591f15us&amp;gh_src=b13de4e21&amp;iis=Job%2BBoard&amp;iisn=LinkedIn&amp;gh_src=769307a46us&amp;urlHash=2l-z")</f>
        <v/>
      </c>
      <c r="G49" t="inlineStr">
        <is>
          <t>Pittsburgh, PA</t>
        </is>
      </c>
      <c r="H49" t="inlineStr"/>
      <c r="I49" t="inlineStr">
        <is>
          <t>**Mission Summary:** 
 At Motional, we're transforming how autonomous vehicles discover critical intelligence hidden within petabytes of multimodal sensor data. Our next\-generation autonomous driving stack depends on finding the rare edge cases, long\-tail scenarios, and model errors that matter most. Omnitag, our ML\-powered multimodal data mining framework, is the engine that powers this discovery.
 As a Senior Machine Learning Engineer on the Data Mining team, your mission is to build the "Brain" of this engine: designing massive multimodal Teacher models that understand the world, and distilling them into hyper\-efficient Student models that can scour exabytes of data in near real\-time. You will work at the intersection of large\-scale representation learning, retrieval optimization, and reasoning systems. Your work will directly influence how we compress knowledge into efficient encoders for fast search, and how we apply reinforcement learning to optimize data discovery workflows and intelligent querying. By building smarter mining tools, you will accelerate the entire model improvement lifecycle for teams working on post\-training analysis, error diagnosis, and dataset curation.
**What You'll Do:** 
* **Architect and Train Distilled Models:** 
 Design and implement teacher\-student model frameworks for multimodal sensor data. Develop training pipelines for knowledge distillation. Ensure student models maintain high accuracy while drastically reducing inference latency and memory footprint.
* **Reinforcement Learning for Data Discover** 
 : Build RL\-based policy learning and reasoning systems for autonomous driving applications. Implement and scale RL training workflows (e.g., PPO, DQN, actor\-critic methods) for simulation and real\-world interaction. Explore reward shaping, environment modeling, and multi\-agent RL where applicable.
* **Optimize Model Deployment for Real\-Time Inference:** 
 Collaborate with backend engineers to deploy distilled and RL models into production. Optimize for latency, throughput, and hardware efficiency across GPU/CPU clusters. Implement model versioning, A/B testing, and monitoring for performance regressions.
* **Research and Integrate Agentic Systems:** 
 Explore and prototype agentic workflows for autonomous reasoning, chain\-of\-thought prompting, and goal\-directed behavior. Integrate such systems into our broader autonomy stack as experimental or production components.
* **Drive Production Reliability** 
 : Establish patterns for graceful degradation, fault tolerance, and cost optimization. Operate Omnitag as a mission\-critical data platform serving the entire ML organization, with a focus on reliability, debuggability, and operational excellence.
* **Mentor and Collaborate** 
 : Work closely with ML scientists, data engineers, and autonomy teams to translate research advances into scalable engineering solutions. Guide junior engineers in best practices for model training, evaluation, and deployment.
**What We're Looking For:** 
* BS in Computer Science, Machine Learning, or related field, or equivalent professional experience.
* 6\+ years of hands\-on experience in machine learning engineering, with a focus on model post training, optimization, and deployment.
* Strong experience with model distillation or teacher\-student training \- practical knowledge of loss functions, training strategies, and evaluation of compressed models.
* Proven experience with reinforcement learning in production or research settings: policy optimization, reward design, simulation environments, and RL\-based reasoning.
* Expert\-level proficiency in Python and ML frameworks (PyTorch, TensorFlow, or JAX).
* Strong software engineering fundamentals: testing, CI/CD, containerization, and system design.
* Experience deploying ML models in cloud environments (AWS, GCP, or Azure) and optimizing for inference.
* Demonstrated ability to ship production\-grade ML systems and mentor team members.
* Demonstrated track record of shipping robust, well\-tested, production\-grade systems and mentoring junior engineers
**Bonus Points (Nice\-to\-Haves):** 
* MS/PhD in Computer Science, Machine Learning, or related field.
* Experience with agentic systems, autonomous reasoning, chain\-of\-thought models, or LLM\-based planning.
* Background in autonomous driving, robotics, or real\-time decision\-making systems.
* Familiarity with multimodal learning, sensor fusion, or embodied AI.
* Experience building active learning loops, using the model to find the data that breaks the model.
* Experience with ML\-based data mining, active learning, or contrastive learning.
* Knowledge of model serving tools (TF Serving, Triton, TorchServe) and MLOps platforms.
* Publications or open\-source contributions in RL, distillation, or efficient ML.
**We encourage a hybrid schedule with in\-office time at one of our locations in Boston, Pittsburgh, or Las Vegas to support collaboration, or this role can be fully remote.** 
 The salary range for this role is an estimate based on a wide range of compensation factors including but not limited to specific skills, experience and expertise, role location, certifications, licenses, and business needs. The estimated compensation range listed in this job posting reflects base salary only. This role may include additional forms of compensation such as a bonus or company equity. The recruiter assigned to this role can share more information about the specific compensation and benefit details associated with this role during the hiring process. Candidates for certain positions are eligible to participate in Motional’s benefits program. Motional’s benefits include but are not limited to medical, dental, vision, 401k with a company match, health saving accounts, life insurance, pet insurance, and more.
 Salary Range: $172,000 USD \- $229,000 USD
**Motional is a driverless technology company making autonomous vehicles a safe, reliable, and accessible reality. We’re driven by something more.** 
**Our journey is always people first.** 
 We aren't just developing driverless cars; we're creating safer roadways, more equitable transportation options, and making our communities better places to live, work, and connect. Our team is made up of engineers, researchers, innovators, dreamers and doers, who are creating a technology with the potential to transform the way we move.
**Higher purpose, greater impact.** 
 We’re creating first\-of\-its\-kind technology that will transform transportation. To do so successfully, we must design for everyone in our cities and on our roads. We believe in building a great place to work through a progressive, global culture that is diverse, inclusive, and ensures people feel valued at every level of the organization. Diversity helps us to see the world differently; it’s not only good for our business, it’s the right thing to do.
**Scale up, not starting up.** 
 Our team is behind some of the industry's largest leaps forward, including the first fully\-autonomous cross\-country drive in the U.S, the launch of the world's first robotaxi pilot, and operation of the world's longest\-standing public robotaxi fleet. We’re driven to scale; we’re moving towards commercialization of our technology, and we need team members who are ready to embrace change and challenges.
 Formed as a joint venture between Hyundai Motor Group and Aptiv, Motional is fundamentally changing how people move through their lives. Headquartered in Boston, Motional has operations in the U.S and Asia. For more information, visit www.Motional.com and follow us on Twitter, LinkedIn, Instagram and YouTube.
*Motional AD Inc. is an EOE. We celebrate diversity and are committed to creating an inclusive environment for all employees. To comply with Federal Law, we participate in E\-Verify. All newly\-hired employees are queried through this electronic system established by the DHS and the SSA to verify their identity and employment eligibility.*</t>
        </is>
      </c>
    </row>
    <row r="50">
      <c r="A50" t="inlineStr">
        <is>
          <t>li-4380343428</t>
        </is>
      </c>
      <c r="B50" t="inlineStr">
        <is>
          <t>Risk Management - AI/ML Engineer</t>
        </is>
      </c>
      <c r="C50" t="inlineStr">
        <is>
          <t>JPMorganChase</t>
        </is>
      </c>
      <c r="D50" t="inlineStr">
        <is>
          <t>linkedin</t>
        </is>
      </c>
      <c r="E50">
        <f>HYPERLINK("https://www.linkedin.com/jobs/view/4380343428", "https://www.linkedin.com/jobs/view/4380343428")</f>
        <v/>
      </c>
      <c r="F50" t="inlineStr"/>
      <c r="G50" t="inlineStr">
        <is>
          <t>Plano, TX</t>
        </is>
      </c>
      <c r="H50" t="inlineStr"/>
      <c r="I50" t="inlineStr">
        <is>
          <t>**Job Description**
 Bring your expertise to JPMorganChase. As part of Risk Management and Compliance, you are at the center of keeping JPMorganChase strong and resilient. You help the firm grow its business in a responsible way by anticipating new and emerging risks, and using your expert judgement to solve real\-world challenges that impact our company, customers and communities. Our culture in Risk Management and Compliance is all about thinking outside the box, challenging the status quo and striving to be best\-in\-class.
 As an Artificial Intelligence/Machine Learning ("AI/ML") Engineer within the Corporate and Investment Bank, you will support the design, development, and operationalization of AI/ML/LLM/Gen AI solutions that deliver measurable business impact. Working under the guidance of senior engineers, you will help prepare and transform data, build and maintain scalable ETL pipelines in Python and Databricks, and contribute to fine‑tuning and evaluating generative models for domain specific tasks such as summarization and text generation. You will assist in developing and deploying microservices on cloud platforms using Docker and Kubernetes, and support real‑time monitoring to ensure model and system performance.
 The Corporate \&amp; Investment Bank is a global leader across investment banking, wholesale payments, markets and securities services. The world’s most important corporations, governments and institutions entrust us with their business in more than 100 countries. We provide strategic advice, raise capital, manage risk and extend liquidity in markets around the world.
**Job Responsibilities**
* Design, develop, and deploy state\-of\-the\-art AI/ML/LLM/GenAI solutions to meet business objectives.
* Develop and maintain automated pipelines for data, ensuring scalability, reliability, and efficiency.
* Implement optimization strategies to fine\-tune generative models for domain specific use cases, ensuring high\-quality outputs in summarization and text generation.
* Conduct thorough evaluations of generative models iterate on model architectures and implement improvements to enhance overall performance in AI/ML applications.
* Implement monitoring mechanisms to track AI/ML solutions performance in real\-time and ensure model reliability.
* Communicate AI/ML/LLM/GenAI capabilities and results to both technical and non\-technical audiences.
* Implement knowledge of latest trends and advancements in the latest AI/ML/LLM/GenAI research, implement cutting\-edge techniques, and leverage external APIs for enhanced functionality.
**Required Qualifications, Capabilities And Skills**
* Master’s degree
* Minimum 2 years of experience in Computer Science, Data Science, Machine Learning, or a related field
* Proficiency in Python for model development, experimentation, and integration with the LLM APIs
* Ability to identify and address AI/ML/LLM/GenAI challenges, implement optimizations, and fine\-tune models for optimal performance in AI/ML applications
* Experience with cloud platforms (AWS), containerization technologies (Docker and Kubernetes), and microservices design, implementation, and performance optimization
* Proficient in building AI Agents (e.g., LangChain, LangGraph), integration of tools, and RAG\-based solutions, Knowledge Graphs (e.g., neo4J).
* Experience developing end\-to\-end data workflows and ETL pipelines using Python and Databricks
* Strong understanding of data modeling, normalization, and database design principles
* Experience developing, debugging, and maintaining code in a large corporate environment using one or more modern programming languages and database querying languages
* Ability to gather, analyze, and synthesize large, diverse data sets and to develop visualizations and reports in support of continuous improvement of applications and systems
* Strong collaboration skills to work effectively with cross\-functional teams, communicate complex concepts, and contribute to interdisciplinary projects.
**ABOUT US**
 JPMorganChase, one of the oldest financial institutions, offers innovative financial solutions to millions of consumers, small businesses and many of the world’s most prominent corporate, institutional and government clients under the J.P. Morgan and Chase brands. Our history spans over 200 years and today we are a leader in investment banking, consumer and small business banking, commercial banking, financial transaction processing and asset management.
 We offer a competitive total rewards package including base salary determined based on the role, experience, skill set and location. Those in eligible roles may receive commission\-based pay and/or discretionary incentive compensation, paid in the form of cash and/or forfeitable equity, awarded in recognition of individual achievements and contributions. We also offer a range of benefits and programs to meet employee needs, based on eligibility. These benefits include comprehensive health care coverage, on\-site health and wellness centers, a retirement savings plan, backup childcare, tuition reimbursement, mental health support, financial coaching and more. Additional details about total compensation and benefits will be provided during the hiring process.
 We recognize that our people are our strength and the diverse talents they bring to our global workforce are directly linked to our success. We are an equal opportunity employer and place a high value on diversity and inclusion at our company. We do not discriminate on the basis of any protected attribute, including race, religion, color, national origin, gender, sexual orientation, gender identity, gender expression, age, marital or veteran status, pregnancy or disability, or any other basis protected under applicable law. We also make reasonable accommodations for applicants’ and employees’ religious practices and beliefs, as well as mental health or physical disability needs. Visit our FAQs for more information about requesting an accommodation.
 JPMorgan Chase \&amp; Co. is an Equal Opportunity Employer, including Disability/Veterans
**About The Team**
 J.P. Morgan’s Commercial \&amp; Investment Bank is a global leader across banking, markets, securities services and payments. Corporations, governments and institutions throughout the world entrust us with their business in more than 100 countries. The Commercial \&amp; Investment Bank provides strategic advice, raises capital, manages risk and extends liquidity in markets around the world.</t>
        </is>
      </c>
    </row>
    <row r="51">
      <c r="A51" t="inlineStr">
        <is>
          <t>li-4380345800</t>
        </is>
      </c>
      <c r="B51" t="inlineStr">
        <is>
          <t>Founding AI Engineer</t>
        </is>
      </c>
      <c r="C51" t="inlineStr">
        <is>
          <t>Harnham</t>
        </is>
      </c>
      <c r="D51" t="inlineStr">
        <is>
          <t>linkedin</t>
        </is>
      </c>
      <c r="E51">
        <f>HYPERLINK("https://www.linkedin.com/jobs/view/4380345800", "https://www.linkedin.com/jobs/view/4380345800")</f>
        <v/>
      </c>
      <c r="F51" t="inlineStr"/>
      <c r="G51" t="inlineStr"/>
      <c r="H51" t="inlineStr"/>
      <c r="I51" t="inlineStr">
        <is>
          <t>**Founding AI Engineer** 
 📍
 **San Francisco, CA (Hybrid/On‑site preferred)** 
 💼
 **Founding Team • Full‑Time** 
 💰
 **$250,000–$300,000 salary \+ equity** 
**🚀 About the Role** 
 I’m looking for a
 **hands‑on Founding AI Engineer** 
 to build and ship the core AI systems that will drive the product forward. Your work will center on
 **fine‑tuning large language models** 
 , designing and owning training pipelines, and deploying models that perform reliably in real‑world production environments.
 This role is ideal for someone who loves building: running experiments, writing code, optimizing models, and taking features from early prototype to fully deployed. You’ll work directly with me, help define our technical direction, and make an outsized impact from day one.
**🧠 What You’ll Do** 
* Fine‑tune and adapt leading LLMs (OpenAI, Claude, Llama, Mistral, OSS) for production use cases.
* Build hands‑on data pipelines for SFT, DPO, LoRA, RL methods, and synthetic data generation.
* Design evaluation systems to measure accuracy, reliability, grounding, and hallucination reduction.
* Develop high‑performance inference infrastructure (quantization, batching, GPU optimization).
* Own the full lifecycle of ML features: modeling → pipelines → infra → deployment.
* Rapidly experiment, iterate, and improve model performance with tight feedback loops.
* Collaborate with me on architecture decisions and product direction.
**🧩 What I’m Looking For** 
* Strong experience fine‑tuning and deploying LLMs in production.
* Deep ML engineering skills: Python, PyTorch, transformers, distributed/accelerated training.
* Comfort handling messy, real‑world data and building robust pipelines.
* Ability to move quickly, make informed tradeoffs, and deliver production\-quality systems.
* A builder’s mindset—resourceful, execution‑driven, and energized by 0→1 challenges.
**⭐ Bonus Points** 
* Experience with agentic systems, tool‑calling, or structured reasoning workflows.
* Background in MLOps, model evaluation frameworks, or GPU\-aware engineering.
* Early‑stage startup or founding\-team experience.
**📈 Why Join** 
* **Founding\-level equity** 
 with meaningful ownership.
* Massive responsibility and autonomy over the AI systems at the heart of the product.
* Freedom to experiment, move fast, and push the boundaries of what LLMs can do.
 📍
 **San Francisco, CA (Hybrid/On‑site preferred)** 
 💼
 **Founding Team • Full‑Time** 
 💰
 **$250,000–$300,000 salary \+ equity**</t>
        </is>
      </c>
    </row>
    <row r="52">
      <c r="A52" t="inlineStr">
        <is>
          <t>li-4379419615</t>
        </is>
      </c>
      <c r="B52" t="inlineStr">
        <is>
          <t>Lead AI Engineer</t>
        </is>
      </c>
      <c r="C52" t="inlineStr">
        <is>
          <t>MassMutual</t>
        </is>
      </c>
      <c r="D52" t="inlineStr">
        <is>
          <t>linkedin</t>
        </is>
      </c>
      <c r="E52">
        <f>HYPERLINK("https://www.linkedin.com/jobs/view/4379419615", "https://www.linkedin.com/jobs/view/4379419615")</f>
        <v/>
      </c>
      <c r="F52">
        <f>HYPERLINK("https://linkedin.sonicapply.com/us/linkedin/69a6eb3d35e73781444d7d94&amp;urlHash=NGVz", "https://linkedin.sonicapply.com/us/linkedin/69a6eb3d35e73781444d7d94&amp;urlHash=NGVz")</f>
        <v/>
      </c>
      <c r="G52" t="inlineStr">
        <is>
          <t>New York, NY</t>
        </is>
      </c>
      <c r="H52" t="inlineStr"/>
      <c r="I52" t="inlineStr">
        <is>
          <t>MassMutual’s Data Science team is seeking an impact\-driven Lead AI Engineer to join our high\-performing, cross\-functional team. In this role, you will lead the design and deployment of advanced AI solutions that drive strategic decision\-making and business transformation. You’ll apply cutting\-edge techniques in machine learning, generative AI, and large language models (LLMs) to solve complex, high\-value problems across the enterprise. 
 This is a unique opportunity to work alongside experts in applied mathematics, statistics, computer science, and physics—collaborating on initiatives that shape the future of MassMutual and the life insurance industry at large.
**Overall
 Responsibilities:**
* **Architect and lead end\-to\-end ML/AI solutions**
 s
 upporting various use cases for a large enterprise
 using
 LLMs, deep learning, and probabilistic modeling—from ideation to production
 .
* **Deploy scalable
 GenAI
 and Agentic AI
 systems**
 that directly support business goals.
* **Establish and promote best practices**
 in AI development
 and
 responsible AI
 deployment
 .
* **Drive innovation**
 by
 identifying
 emerging
 technologies and translating research into practical applications.
* **Collaborate with engineering teams**
 to build robust, production\-grade AI pipelines and APIs.
* **Prototype and deliver AI\-powered applications**
 (e.g., web apps, dashboards, visualizations) that enable data\-driven decisions.
* **Influence senior leadership**
 by aligning AI initiatives with enterprise strategy and communicating insights effectively.
* **Mentor and develop junior talent**
 , fostering a culture of technical excellence and continuous learning.
**Candidate Requirements:**
* **Recognized industry
 expertise**
 in AI/ML, with
 a track record
 of delivering impactful solutions.
* **7\+ years of experience**
 in data science, machine learning, or AI engineering roles.
* **Deep understanding**
 of machine learning, statistics, NLP, optimization, and LLMs.
* **Hands\-on experience**
 with AI deployment
 and orchestration
 frameworks
 and protocols
 (e.g.,
 MLflow
 ,
 llama\-index,
 MCP
 ).
* **Extensive experience testing**
 LLM behavior
 across a variety of foundation models and benchmarks.
* **Experience building AI\-powered applications**
 and collaborating with software engineers
 and product managers.
* **Strong programming skills**
 in Python.
 Proficiency
 in R is a plus.
* **Proficiency
 in SQL and database design**
 ; familiarity with cloud\-native data platforms
 , vector databases, and semantic search
 is a plus.
* **Exceptional communication skills**
 , with the ability to explain complex concepts to non\-technical stakeholders.
**Education:**
 M.S. or Ph.D. in Computer Science, Statistics, Applied Mathematics, Electrical Engineering, Physics, or a related quantitative field.
 MassMutual is an equal employment opportunity employer. We welcome all persons to apply.
 If you need an accommodation to complete the application process, please contact us and share the specifics of the assistance you need.
 California residents: For detailed information about your rights under the California Consumer Privacy Act (CCPA), please visit our California Consumer Privacy Act Disclosures page.</t>
        </is>
      </c>
    </row>
    <row r="53">
      <c r="A53" t="inlineStr">
        <is>
          <t>li-4379930817</t>
        </is>
      </c>
      <c r="B53" t="inlineStr">
        <is>
          <t>Lead Foundry AI Engineer</t>
        </is>
      </c>
      <c r="C53" t="inlineStr">
        <is>
          <t>Capgemini</t>
        </is>
      </c>
      <c r="D53" t="inlineStr">
        <is>
          <t>linkedin</t>
        </is>
      </c>
      <c r="E53">
        <f>HYPERLINK("https://www.linkedin.com/jobs/view/4379930817", "https://www.linkedin.com/jobs/view/4379930817")</f>
        <v/>
      </c>
      <c r="F53" t="inlineStr"/>
      <c r="G53" t="inlineStr">
        <is>
          <t>Atlanta, GA</t>
        </is>
      </c>
      <c r="H53" t="inlineStr"/>
      <c r="I53" t="inlineStr">
        <is>
          <t>Choosing Capgemini means choosing a company where you will be empowered to shape your career in the way you’d like, where you’ll be supported and inspired by a collaborative community of colleagues around the world, and where you’ll be able to reimagine what’s possible. Join us and help the world’s leading organizations unlock the value of technology and build a more sustainable, more inclusive world.
**Job Description**
**Responsibilities:**
* Total experience of 10\+ years in Data Engineering using PySpark and must have at least 3\-4 years of experience in Palantir Foundry.
* Strong experience with Palantir Data Engineering features such as, Code Repo, Code Workbook, Pipeline Build, AIP logic, OSDK, migration techniques, Data Integration and Security setup.
* Design, develop Data Pipelines, and have excellent skills in PySpark and Spark SQL, hands on with code Build and deployment in Palantir.
* Good to know on Contour, Quiver and other Analytical Solution
* Added advantage to have API skills and basics (such as React JS)
* Must lead a team of 6\-7 technical associates with PySpark skills.
* Willingness to mentor the team and onboard in new technologies.
* Work with Solution Architect, Product Owner, and Business users to understand the requirements to lead and deliver the products.
* Adopt and propose innovative solutions in Palantir Platform.
**Life at Capgemini**
 Capgemini supports all aspects of your well\-being throughout the changing stages of your life and career. For eligible employees, we offer:
 Flexible work
 Healthcare including dental, vision, mental health, and well\-being programs
 Financial well\-being programs such as 401(k) and Employee Share Ownership Plan
 Paid time off and paid holidays
 Paid parental leave
 Family building benefits like adoption assistance, surrogacy, and cryopreservation
 Social well\-being benefits like subsidized back\-up child/elder care and tutoring
 Mentoring, coaching and learning programs
 Employee Resource Groups
 Disaster Relief
 The base compensation range for this role in the posted location is: 140,000 \- 150,000
 Capgemini provides compensation range information in accordance with applicable national, state, provincial, and local pay transparency laws. The base compensation range listed for this position reflects the minimum and maximum target compensation Capgemini, in good faith, believes it may pay for the role at the time of this posting. This range may be subject to change as permitted by law.
 The actual compensation offered to any candidate may fall outside of the posted range and will be determined based on multiple factors legally permitted in the applicable jurisdiction.
 These may include, but are not limited to: Geographic location, Education and qualifications, Certifications and licenses, Relevant experience and skills, Seniority and performance, Market and business consideration, Internal pay equity.
 It is not typical for candidates to be hired at or near the top of the posted compensation range.
 In addition to base salary, this role may be eligible for additional compensation such as variable incentives, bonuses, or commissions, depending on the position and applicable laws.
**Capgemini offers a comprehensive, non\-negotiable benefits package to all regular, full\-time employees.** 
 In the U.S. and Canada, available benefits are determined by local policy and eligibility and may include:
* Paid time off based on employee grade (A\-F), defined by policy: Vacation: 12\-25 days, depending on grade, Company paid holidays, Personal Days, Sick Leave
* Medical, dental, and vision coverage (or provincial healthcare coordination in Canada)
* Retirement savings plans (e.g., 401(k) in the U.S., RRSP in Canada)
* Life and disability insurance
* Employee assistance programs
* Other benefits as provided by local policy and eligibility
**Important Notice:** 
 Compensation (including bonuses, commissions, or other forms of incentive pay) is not considered earned, vested, or payable until it becomes due under the terms of applicable plans or agreements and is subject to Capgemini’s discretion, consistent with applicable laws. The Company reserves the right to amend or withdraw compensation programs at any time, within the limits of applicable legislation.
**Disclaimers**
 Capgemini is an Equal Opportunity Employer encouraging inclusion in the workplace. Capgemini also participates in the Partnership Accreditation in Indigenous Relations (PAIR) program which supports meaningful engagement with Indigenous communities across Canada by promoting fairness, accessibility, inclusion and respect. We value the rich cultural heritage and contributions of Indigenous Peoples and actively work to create a welcoming and respectful environment. All qualified applicants will receive consideration for employment without regard to race, national origin, gender identity/expression, age, religion, disability, sexual orientation, genetics, veteran status, marital status or any other characteristic protected by law.
 This is a general description of the Duties, Responsibilities and Qualifications required for this position. Physical, mental, sensory or environmental demands may be referenced in an attempt to communicate the manner in which this position traditionally is performed. Whenever necessary to provide individuals with disabilities an equal employment opportunity, Capgemini will consider reasonable accommodations that might involve varying job requirements and/or changing the way this job is performed, provided that such accommodation does not pose an undue hardship. Capgemini is committed to providing reasonable accommodation during our recruitment process. If you need assistance or accommodation, please reach out to your recruiting contact.
 Please be aware that Capgemini may capture your image (video or screenshot) during the interview process and that image may be used for verification, including during the hiring and onboarding process.
 Click the following link for more information on your rights as an Applicant in the United States. http://www.capgemini.com/resources/equal\-employment\-opportunity\-is\-the\-law
 Capgemini is a global business and technology transformation partner, helping organizations to accelerate their dual transition to a digital and sustainable world, while creating tangible impact for enterprises and society. It is a responsible and diverse group of 340,000 team members in more than 50 countries. With its strong over 55\-year heritage, Capgemini is trusted by its clients to unlock the value of technology to address the entire breadth of their business needs. It delivers end\-to\-end services and solutions leveraging strengths from strategy and design to engineering, all fueled by its market leading capabilities in AI, generative AI, cloud and data, combined with its deep industry expertise and partner ecosystem.</t>
        </is>
      </c>
    </row>
    <row r="54">
      <c r="A54" t="inlineStr">
        <is>
          <t>li-4378876451</t>
        </is>
      </c>
      <c r="B54" t="inlineStr">
        <is>
          <t>Machine Learning Engineer (12+ Years -- Local to NY/NJ)</t>
        </is>
      </c>
      <c r="C54" t="inlineStr">
        <is>
          <t>Jobs via Dice</t>
        </is>
      </c>
      <c r="D54" t="inlineStr">
        <is>
          <t>linkedin</t>
        </is>
      </c>
      <c r="E54">
        <f>HYPERLINK("https://www.linkedin.com/jobs/view/4378876451", "https://www.linkedin.com/jobs/view/4378876451")</f>
        <v/>
      </c>
      <c r="F54" t="inlineStr"/>
      <c r="G54" t="inlineStr">
        <is>
          <t>New York, NY</t>
        </is>
      </c>
      <c r="H54" t="inlineStr"/>
      <c r="I54" t="inlineStr">
        <is>
          <t>Dice is the leading career destination for tech experts at every stage of their careers. Our client, Byteware Inc., is seeking the following. Apply via Dice today!
 We are seeking a ML Engineer LLM Platforms \&amp; Assistants will design, build, and operate production\-grade large language model (LLM) pipelines primarily within AWS\-based environments. This role focuses on integrating OpenAI models into modular Python services, implementing Retrieval\-Augmented Generation (RAG) and semantic search, and deploying scalable, secure, and observable AI assistants.
**Key Responsibilities**
* Design and maintain LLM integrations using OpenAI APIs within AWS environments.
* Build Python\-based LLM services deployed on AWS compute platforms (ECS, EKS, Lambda, or EC2\).
* Implement RAG workflows and semantic search using AWS data and storage services.
* Develop LangChain or agentic workflows supporting reasoning and tool use.
* Integrate LLM pipelines with ETL/ELT workflows and enterprise data systems.
* Deploy and integrate MCP servers and emerging orchestration tools.
* Apply AWS security best practices using IAM, KMS, and Secrets Manager.
* Implement monitoring and observability using CloudWatch and related tools.
* Migrate custom GPT solutions into production\-grade AWS\-hosted assistants.
**Ideal Candidate Profile**
* 12\+ years of overall IT development experience, with a strong background in backend and distributed systems.
* 7\+ years of experience in Machine Learning, Data Engineering, or Applied AI engineering.
* Strong proficiency in Python, with experience building modular, production\-grade services.
* Proven experience implementing Retrieval\-Augmented Generation (RAG) and semantic search architectures.
* Hands\-on experience integrating and operationalizing OpenAI LLM APIs in production environments.
* Solid experience deploying and managing systems within AWS environments, including services such as S3, Lambda, ECS/EKS, and IAM.
* Experience building scalable, secure, and observable AI/ML systems in production.
**Qualifications Desired**
* Experience working with Amazon SageMaker and/or Amazon Bedrock for model development, deployment, or managed LLM services.
* Strong familiarity with AWS data services, including AWS Glue, Amazon Athena, Amazon OpenSearch Service, and Amazon Aurora.
* Hands\-on experience designing and implementing ETL/ELT data pipelines in cloud environments.
* Experience building LLM orchestration pipelines, including reasoning workflows, tool usage, and multi\-step agent architectures.
* Knowledge of LLM benchmarking, evaluation frameworks, and performance optimization (latency, cost, quality metrics).
* Experience integrating enterprise systems using SnapLogic.
* Exposure to Craxel Black Forest Time\-Series Database (or similar time\-series platforms); willingness to learn/train if not previously experienced.
* Experience implementing Infrastructure as Code (IaC) using AWS CDK, CloudFormation, or Terraform.
**Education:**
* Bachelor s degree in computer science or a related field..</t>
        </is>
      </c>
    </row>
    <row r="55">
      <c r="A55" t="inlineStr">
        <is>
          <t>li-4353435328</t>
        </is>
      </c>
      <c r="B55" t="inlineStr">
        <is>
          <t>Full Stack Lead AI Engineer</t>
        </is>
      </c>
      <c r="C55" t="inlineStr">
        <is>
          <t>National Grid</t>
        </is>
      </c>
      <c r="D55" t="inlineStr">
        <is>
          <t>linkedin</t>
        </is>
      </c>
      <c r="E55">
        <f>HYPERLINK("https://www.linkedin.com/jobs/view/4353435328", "https://www.linkedin.com/jobs/view/4353435328")</f>
        <v/>
      </c>
      <c r="F55" t="inlineStr"/>
      <c r="G55" t="inlineStr">
        <is>
          <t>Syracuse, NY</t>
        </is>
      </c>
      <c r="H55" t="inlineStr"/>
      <c r="I55" t="inlineStr">
        <is>
          <t>**About Us**
 At National Grid, we keep people connected and society moving. But it’s so much more than that. National Grid supplies us with the environment to make it happen. As we generate momentum in the energy transition for all, we don’t plan on leaving any of our customers in the dark. So, join us as a Full Stack Lead AI Engineer, and find your superpower. We need you!
 We want to find an innovative, adaptable, and results\-oriented Full Stack Lead AI Engineer for our IT \&amp; Digital department
 **.** 
 This position can be located in
 **Waltham, MA, Brooklyn, NY or Syracuse, NY** 
 (candidates may also reside in either Connecticut, New Jersey, New Hampshire, Pennsylvania, Rhode Island, Vermont, Maine or the UK). If you yearn to be innovative, contribute new ideas, and play a critical part in our Enterprise Architecture Center of Excellence, we want to hear from you!
**Job Purpose**
 As a Full Stack Lead AI Engineer on the National Grid Data Science team, you will work with the team to help design, build, and maintain National Grid’s enterprise AI platform to help National Grid accelerate its AI capability.
 In addition, depending on team needs, you are also expected to develop data pipelines, take prototype models to production, fix production bugs, monitor operations, and provision infrastructure in Azure.
**Key Accountabilities**
* Assist with designing the enterprise AI platform
* Build and maintain the AI platform
* Lead Machine Learning and AI projects end\-to\-end
* Develop platform tooling (e.g., internal conda library, CLI tool for project setup, and internal terraform package etc.) for the Data Science team.
* Work with data scientists to understand their data needs and put together data pipelines to ingest data.
* Work with data scientists to take model prototypes to production.
* Mentor and train junior team members
* Work with internal IT teams (security, Cloud, Global Active Directory, Architecture, Networking, etc.) to advance the team’s projects
* Enhance code deployment lifecycle
* Improve model monitoring frameworks
* Refine project operations documentation
* Design, provision, and maintain the cloud infrastructure needed to support Data Engineering, Data Science, Machine Learning Engineers, and Machine Learning Operations
* Write high\-quality code that has high test coverage
* Participate in code reviews to help improve code quality
* Work closely with IT to stay up to date on upcoming changes to National Grid's infrastructure
* Technologies/Tools we use: Python, JavaScript/TypeScript, React, Azure (Virtual Machines, Azure Web Apps, Cloud Storage, Azure ML), Anaconda packages, Git, GitHub, GitHub Actions, Terraform, SQL, Artifactory, Airflow, Docker, Kubernetes, Linux/Windows VMs
**Qualifications**
* At least 7 years of hands\-on industry experience in some combination of Software Engineering, Web Development, AI/ML Engineering, Data Science, DevOps, and Cloud Infrastructure work.
* Expertise in React. You should be confident building performant user interfaces in TypeScript using the React library and its ecosystem. Experience with NextJS is a bonus but not essential.
* Expertise in Python which includes experience in libraries such as Pandas \&amp; scikit\-learn. High proficiency in SQL.
* Knowledge of best practices in software engineering is necessary.
* At least 5 years of hands\-on industry experience in some combination of the following technologies: Python ecosystem, React, Azure (VMs, Web Apps, Managed Databases, Azure AI suite of services), GitHub Actions, Terraform, Packer, Airflow, Docker, Kubernetes, Linux/Windows VM administration, Shell scripting (primary Bash but PowerShell as well).
* A solid understanding of modern security and networking principles and standards.
* A foundational knowledge of Data Science and LLMs is strongly preferred.
* Bachelor’s or higher degree in Computer Science, Data Science, and/or related quantitative degree is preferred from an accredited institution.
 More Information
 Are you the right fit for this exciting role? You want to learn more about the position and National Grid's ambitious Digital Transformation? Then let's chat!
**Rewarding work and a collaborative, team\-oriented culture are just the beginning** 
 . Review our digital benefit guide at
 **ngbenefitslivebrighter.com** 
 for full details and descriptions.
 Our organization follows a hybrid work structure in our service territory (NY \&amp; MA and adjacent states) where employees can work remotely or from the office, as needed. Working from the office is encouraged when working on tasks that require a high degree of collaboration. We work with our employees to foster a flexible work schedule.
 Salary
 Waltham: $150K \- $176K a year
 Brooklyn: $161K \- $189K a year
 Syracuse: $133K \- $157K a year
 National Grid utilizes an assessment that evaluates the job qualifications/characteristics using AI or statistically based scoring. For more information, please view NYC Local Law 144\.
 This position has a career path which provides for advancement opportunities within and across bands as you develop and evolve in the position; gaining experience, expertise and acquiring and applying technical skills. Candidates will be assessed and provided offers against the minimum qualifications of this role and their individual experience.
 National Grid is an equal opportunity employer that values a broad diversity of talent, knowledge, experience and expertise. We foster a culture of inclusion that drives employee engagement to deliver superior performance to the communities we serve. National Grid is proud to be an affirmative action employer. We encourage minorities, women, individuals with disabilities and protected veterans to join the National Grid team.</t>
        </is>
      </c>
    </row>
    <row r="56">
      <c r="A56" t="inlineStr">
        <is>
          <t>li-4378502688</t>
        </is>
      </c>
      <c r="B56" t="inlineStr">
        <is>
          <t>Senior Data &amp; AI Engineer</t>
        </is>
      </c>
      <c r="C56" t="inlineStr">
        <is>
          <t>Phoenix Staff, Inc.</t>
        </is>
      </c>
      <c r="D56" t="inlineStr">
        <is>
          <t>linkedin</t>
        </is>
      </c>
      <c r="E56">
        <f>HYPERLINK("https://www.linkedin.com/jobs/view/4378502688", "https://www.linkedin.com/jobs/view/4378502688")</f>
        <v/>
      </c>
      <c r="F56" t="inlineStr"/>
      <c r="G56" t="inlineStr">
        <is>
          <t>Phoenix, AZ</t>
        </is>
      </c>
      <c r="H56" t="inlineStr"/>
      <c r="I56" t="inlineStr">
        <is>
          <t>**Title:** 
 Senior
 Data \&amp; AI Engineer
**Location:** 
 Phoenix, AZ (hybrid remote)
**Type:** 
 6\-month contract to hire
 We’re looking for a Senior
 Data \&amp; AI Engineer to lead the design and delivery of secure, scalable data and AI solutions within complex healthcare environments. The position focuses on building modern data platforms, integrating diverse clinical and claims datasets, and operationalizing machine learning models that improve cost, quality, and patient outcomes.
**Your role** 
 · Design, implement, and optimize data platforms using Snowflake and Microsoft Fabric, including Lakehouses, Warehouses, OneLake, and engineering pipelines.
 · Build and maintain scalable ingestion frameworks for batch and streaming data sources such as APIs, ADLS, SFTP, and event streams with full lineage and governance.
 · Develop secure data environments that comply with HIPAA and PHI requirements using role\-based access, masking, tokenization, and de\-identification.
 · Create conceptual, logical, and physical data models using dimensional, normalized, and data vault approaches.
 · Transform and normalize structured and unstructured healthcare data including claims, eligibility, enrollment, provider, and clinical documentation.
 · Integrate and harmonize data using FHIR, HL7, X12/EDI 837/835, NCPDP, and CMS standards across payer, provider, EHR, and HIE systems.
 · Build and deploy machine learning pipelines for risk modeling, utilization forecasting, fraud detection, quality measurement, and care gap analysis.
 · Operationalize models with strong MLOps practices including versioning, CI/CD, monitoring, and drift detection.
 · Implement data cataloging, metadata management, lineage tracking, and quality validation using tools such as Microsoft Purview or equivalent.
 · Monitor and optimize pipeline performance, cost, and reliability across Snowflake and Fabric environments.
 · Collaborate with clinicians, actuaries, product teams, and analysts to translate business needs into scalable technical solutions.
 · Document architecture, data mappings, and design standards while mentoring engineers and contributing to enterprise best practices.
**What you’ve got** 
 · 8\+ years of experience in data engineering or analytics with at least 5 years of hands\-on Snowflake expertise including virtual warehouses, tasks, streams, Snowpipe, RBAC, masking, and data sharing.
 · 2\+ years of experience with Microsoft Fabric including OneLake, Lakehouses, Warehouses, Dataflows Gen2, Notebooks, and Pipelines.
 · Advanced SQL skills with strong experience in ETL/ELT development using Python, dbt, Dataflows, or Fabric/ADF pipelines.
 · Deep knowledge of healthcare data standards including CMS datasets, FHIR, HL7, X12/EDI, provider data, eligibility, and claims processing.
 · Strong data modeling experience including dimensional modeling, SCD types, surrogate keys, 3NF, and data vault methodologies.
 · Experience building and deploying machine learning solutions using tools such as scikit\-learn, PyTorch, TensorFlow, Azure ML, or Fabric ML.
 · Practical experience managing HIPAA compliance, PHI handling, auditing, and secure access controls within cloud data environments.
 · Experience working with both structured data formats such as Parquet and CSV and unstructured data such as clinical notes and PDFs.
 · Strong communication skills with the ability to produce mapping specifications, lineage documentation, and present technical trade\-offs clearly.
 · Preferred: Experience with Epic or Cerner integrations, HEDIS or risk adjustment programs, MLOps tools such as MLflow or GitHub Actions, Power BI semantic modeling, and relevant Snowflake or Microsoft certifications.
 To find more great tech\-centric jobs, please visit www.phoenixstaff.com.</t>
        </is>
      </c>
    </row>
    <row r="57">
      <c r="A57" t="inlineStr">
        <is>
          <t>li-4379403435</t>
        </is>
      </c>
      <c r="B57" t="inlineStr">
        <is>
          <t>Senior Machine Learning Engineer, E-Commerce Risk Control - USDS</t>
        </is>
      </c>
      <c r="C57" t="inlineStr">
        <is>
          <t>TikTok USDS Joint Venture</t>
        </is>
      </c>
      <c r="D57" t="inlineStr">
        <is>
          <t>linkedin</t>
        </is>
      </c>
      <c r="E57">
        <f>HYPERLINK("https://www.linkedin.com/jobs/view/4379403435", "https://www.linkedin.com/jobs/view/4379403435")</f>
        <v/>
      </c>
      <c r="F57">
        <f>HYPERLINK("https://lifeattiktok.com/search/7612772141033539893?spread=5MWH5CQ&amp;source=linkedin&amp;urlHash=zldY", "https://lifeattiktok.com/search/7612772141033539893?spread=5MWH5CQ&amp;source=linkedin&amp;urlHash=zldY")</f>
        <v/>
      </c>
      <c r="G57" t="inlineStr">
        <is>
          <t>San Jose, CA</t>
        </is>
      </c>
      <c r="H57" t="inlineStr"/>
      <c r="I57" t="inlineStr">
        <is>
          <t>**Responsibilities**
 About the team
 The E\-Commerce Risk Control team works to minimize the damage of inauthentic behaviors on TikTok E\-Commerce platforms, covering multiple classical and novel business risk areas such as account integrity, incentive abuse, malicious behaviors, brushing, click\-farm, information leakage, etc.
 In this team you'll have a unique opportunity to have first\-hand exposure to the strategy of the company in key security initiatives, especially in building scalable and robust, intelligent and privacy\-safe, secure and product\-friendly systems and solutions. Our challenges are not some regular day\-to\-day technical puzzles \-\- You'll be part of a team that's developing novel solutions to first\-seen challenges of a non\-stop evolution of a phenomenal product eco\-system. The work needs to be fast, transferable, while still down to the ground to make quick and solid differences.
**Responsibilities:**
* Invent, implement, and deploy cutting\-edge machine learning algorithms, build prototypes, and explore entirely new conceptual solutions to respond to and mitigate business risks in TikTok e\-commerce/platforms, including but not limited to fraudulent merchants, cheating influencers, malicious users, information security issues, and cross\-domain risk challenges.
* Leverage techniques such as representation learning, graph models, deep learning, transfer learning, and multi\-task learning to improve the efficiency of problem detection, thereby rapidly blocking risks and optimizing various metrics in the e\-commerce community ecosystem.
* Monitor and attribute key metrics to quickly detect changes in risk and business trends, proactively identify potential attacks, continuously refine and adjust risk control strategies, and drive risk governance development and business model improvements.
* Mine and analyze massive e\-commerce content and user behavior data to build both short\-term and long\-term user profiles, improve model precision and recall, and enhance robustness, automation, and generalization capabilities.
* Advance risk ML capabilities in privacy/compliance, interpretability, risk perception, and analysis; innovate models and algorithms tailored to the characteristics of content e\-commerce, and build an industry\-leading content e\-commerce risk control algorithm system.
**Qualifications**
 Minimum Qualifications
* Master’s degree in Computer Science, Mathematics, Machine Learning, or other relevant STEM disciplines.
* 3\+ years of hands\-on experience in building and delivering machine learning models for large\-scale projects in internet companies.
* Proficiency in C\+\+/Java/Python with strong coding skills, and familiarity with at least one common machine learning/deep learning platform.
* Deep understanding of supervised learning, unsupervised learning, and deep learning techniques, and the ability to build business algorithm models using relevant algorithms.
* Ability to think critically, objectively; reason and communicate in a results\-oriented, data\-driven manner; and work with high autonomy.
**Preferred Qualifications:**
* PhD in Computer Science, Machine Learning, Statistics, Operations Research, or related field.
* 4\+ years of hands\-on experience in building and delivering machine learning models for large\-scale projects in internet companies.
* Experience in e\-commerce/internet companies in fraud or risk control roles, with a track record of building fraud detection, anomaly detection, or similar risk control models using relevant algorithms.
* Ability to keep up with and proactively apply relevant technological advancements, incorporating the latest technologies (e.g., LLM, Multi\-agent systems) into daily work.
 Job Information
**【For Pay Transparency】Compensation Description (Annually)**
 The base salary range for this position in the selected city is $187040 \- $359720 annually.
 Compensation may vary outside of this range depending on a number of factors, including a candidate’s qualifications, skills, competencies and experience, and location. Base pay is one part of the Total Package that is provided to compensate and recognize employees for their work, and this role may be eligible for additional discretionary bonuses/incentives, and restricted stock units.
 Benefits may vary depending on the nature of employment and the country work location. Employees have day one access to medical, dental, and vision insurance, a 401(k) savings plan with company match, paid parental leave, short\-term and long\-term disability coverage, life insurance, wellbeing benefits, among others. Employees also receive 10 paid holidays per year, 10 paid sick days per year and 17 days of Paid Personal Time (prorated upon hire with increasing accruals by tenure).
 The Company reserves the right to modify or change these benefits programs at any time, with or without notice.
**For Los Angeles County (unincorporated) Candidates:**
 Qualified applicants with arrest or conviction records will be considered for employment in accordance with all federal, state, and local laws including the Los Angeles County Fair Chance Ordinance for Employers and the California Fair Chance Act. Our company believes that criminal history may have a direct, adverse and negative relationship on the following job duties, potentially resulting in the withdrawal of the conditional offer of employment:
* Interacting and occasionally having unsupervised contact with internal/external clients and/or colleagues;
* Appropriately handling and managing confidential information including proprietary and trade secret information and access to information technology systems; and
* Exercising sound judgment.
**About USDS**
 TikTok USDS Joint Venture LLC is dedicated to the safety and security of millions of Americans who create, discover, and connect with what they love on the apps we operate. The Joint Venture has been established in compliance with the Executive Order signed by President Trump on September 25, 2025\. Our foundation is a comprehensive data privacy and cybersecurity program we operate under defined safeguards to protect national security and secure U.S. user data, apps and the algorithm. We safeguard the U.S. content ecosystem, holding decision\-making authority for trust and safety policies and moderation. USDS Joint Venture helps ensure Americans can continue to express their creativity, discover new hobbies and interests, and build thriving communities and businesses on a global scale.
 On\-site presence across teams allows the company to operate with greater speed, alignment, and agility — especially in areas like real\-time decision\-making, team development, and integrated execution. As such, the company is shifting from a hybrid work model to a fully in\-person schedule up to 5 days a week.
 Why Join Us
 Inspiring creativity is at the core of TikTok's mission. Our innovative product is built to help people authentically express themselves, discover and connect – and our global, diverse teams make that possible. Together, we create value for our communities, inspire creativity and bring joy \- a mission we work towards every day.
 We strive to do great things with great people. We lead with curiosity, humility, and a desire to make impact in a rapidly growing tech company. Every challenge is an opportunity to learn and innovate as one team. We're resilient and embrace challenges as they come. By constantly iterating and fostering an "Always Day 1" mindset, we achieve meaningful breakthroughs for ourselves, our company, and our users. When we create and grow together, the possibilities are limitless. Join us.
 Diversity \&amp; Inclusion
 TikTok is committed to creating an inclusive space where employees are valued for their skills, experiences, and unique perspectives. Our platform connects people from across the globe and so does our workplace. At TikTok, our mission is to inspire creativity and bring joy. To achieve that goal, we are committed to celebrating our diverse voices and to creating an environment that reflects the many communities we reach. We are passionate about this and hope you are too.
 USDS Reasonable Accommodation
 USDS is committed to providing reasonable accommodations in our recruitment processes for candidates with disabilities, pregnancy, sincerely held religious beliefs or other reasons protected by applicable laws. If you need assistance or a reasonable accommodation, please reach out to us at https://tinyurl.com/USDS\-RA</t>
        </is>
      </c>
    </row>
    <row r="58">
      <c r="A58" t="inlineStr">
        <is>
          <t>li-4380119337</t>
        </is>
      </c>
      <c r="B58" t="inlineStr">
        <is>
          <t>Lead AI Engineer Palantir Foundry</t>
        </is>
      </c>
      <c r="C58" t="inlineStr">
        <is>
          <t>HCA Healthcare</t>
        </is>
      </c>
      <c r="D58" t="inlineStr">
        <is>
          <t>linkedin</t>
        </is>
      </c>
      <c r="E58">
        <f>HYPERLINK("https://www.linkedin.com/jobs/view/4380119337", "https://www.linkedin.com/jobs/view/4380119337")</f>
        <v/>
      </c>
      <c r="F58">
        <f>HYPERLINK("https://careers.hcahealthcare.com/en/jobs/17206873-lead-ai-engineer?tm_job=1-INFOR-4104016&amp;tm_event=view&amp;tm_company=2537&amp;bid=370&amp;urlHash=wzkO", "https://careers.hcahealthcare.com/en/jobs/17206873-lead-ai-engineer?tm_job=1-INFOR-4104016&amp;tm_event=view&amp;tm_company=2537&amp;bid=370&amp;urlHash=wzkO")</f>
        <v/>
      </c>
      <c r="G58" t="inlineStr">
        <is>
          <t>Nashville, TN</t>
        </is>
      </c>
      <c r="H58" t="inlineStr"/>
      <c r="I58" t="inlineStr">
        <is>
          <t>This is our story
 With 43 million patient encounters each year, HCA Healthcare offers a depth of data few can match. DT\&amp;I identifies patterns across our network to deliver real\-time insights that empower care teams and improve outcomes. Rooted in our mission, “Above all else, we are committed to the care and improvement of human life”, we transform data into action to improve the lives of every patient we serve. Join us!
 What you will accomplish in this role
 At HCA Healthcare, we are redefining what’s possible in patient care. Our Digital Transformation and Innovation (DT\&amp;I) team is accelerating this mission—integrating cutting‑edge digital capabilities and AI technologies directly into clinical workflows to improve outcomes, empower providers, and elevate the care experience for millions.
 We’re looking for a Lead AI Engineer with deep, hands\-on expertise in Palantir Foundry and Palantir’s Artificial Intelligence Platform (AIP) to shape and deliver high\-impact AI solutions at scale. This is a unique opportunity to lead enterprise\-level AI initiatives that directly support clinicians and drive meaningful, measurable change in healthcare.
**What You Will Do In This Role \-**
**As a Lead AI Engineer, you will:**
* Serve as the technical lead partnering with clinical, operational, and business stakeholders to deliver mission‑critical AI applications in a fast\-paced, high‑visibility environment.
* Architect and implement complex Palantir Foundry solutions, from Ontology design to end\-to\-end workflow execution.
* Design and deploy LLM\-powered agents, intelligent workflows, and decision\-support systems using Foundry and AIP.
* Develop scalable data pipelines and production\-grade workflows to support ML, GenAI, and enterprise analytics.
* Build, fine‑tune, evaluate, and operationalize AI/ML models embedded directly within Foundry’s ecosystem.
* Establish and uphold MLOps best practices, including CI/CD, monitoring, governance, and performance management.
* Mentor engineers and collaborate closely with engineering leadership to shape long\-term AI strategy and roadmaps.
**What Qualifications You Will Need \-**
**Education:**
* Bachelor’s degree in Computer Science, Engineering, or related technical field — Required
* Master’s degree — Preferred
**Experience:**
* 7\+ years in software engineering with a focus on AI/ML engineering — Required
* 2\+ years of hands\-on experience in Palantir Foundry in production environments — Required
* Demonstrated success leading engineering teams and delivering in Agile environments — Required
**Certifications:**
* Palantir certifications (Foundry Data Engineer, Solution Architect, or Application Developer) — Preferred
**Knowledge, Skills, Abilities, Behaviors \-**
**We’re looking for someone with:**
* Extensive experience building Foundry data pipelines, Ontology models, Workshop applications, and operational workflows.
* Strong proficiency in Python, PySpark/Spark, and advanced SQL.
* Hands\-on experience developing, deploying, and maintaining AI/ML models in production.
* Proven experience with Generative AI / LLM\-based systems and enterprise scaling patterns.
* Expertise in ETL/ELT data engineering, especially using Foundry, Python, and SQL.
* Experience delivering solutions in regulated industries (healthcare, finance, etc.).
* Bonus: Frontend development skills using TypeScript and React.
**Why Join HCA Healthcare DT\&amp;I?**
* Impact millions of patients and frontline clinicians nationwide.
* Leverage cutting\-edge AI platforms like Palantir Foundry and AIP.
* Work in a clinically led, innovation\-forward environment where your work has direct real\-world outcomes.
* Grow alongside a rapidly expanding AI engineering team shaping the future of healthcare.
 If you want to build AI systems that truly matter, this is the place to do it.
**Work Location/Schedule:**
* Remote (U.S. Only) \- M\-F, 8am – 5pm \- Central Time
**Travel Required:**
* This job requires travel to Nashville, TN to attend final in\-person interview, 3\-day New Hire Orientation, quarterly team meetings, and other travel on an as\-needed basis
**Visa Sponsorship:**
* Not offered, now or in the future
 At HCA Healthcare, we are committed to fostering a culture of growth that allows you to build the career of a lifetime. We encourage you to apply for our Lead AI Engineer Palantir Foundry today. We review all applications promptly, and qualified candidates will be contacted to continue the process. Join us!
 We are an equal opportunity employer. We do not discriminate on the basis of race, religion, color, national origin, gender, sexual orientation, age, marital status, veteran status, or disability status.</t>
        </is>
      </c>
    </row>
    <row r="59">
      <c r="A59" t="inlineStr">
        <is>
          <t>li-4370908665</t>
        </is>
      </c>
      <c r="B59" t="inlineStr">
        <is>
          <t>Fullstack AI Engineer/ Onsite/ Houston, TX</t>
        </is>
      </c>
      <c r="C59" t="inlineStr">
        <is>
          <t>Motion Recruitment</t>
        </is>
      </c>
      <c r="D59" t="inlineStr">
        <is>
          <t>linkedin</t>
        </is>
      </c>
      <c r="E59">
        <f>HYPERLINK("https://www.linkedin.com/jobs/view/4370908665", "https://www.linkedin.com/jobs/view/4370908665")</f>
        <v/>
      </c>
      <c r="F59">
        <f>HYPERLINK("https://motionrecruitment.com/tech-jobs/houston/direct-hire/fullstack-ai-engineer-onsite-houston-tx/793919?utm_source=linkedin&amp;utm_medium=feed&amp;utm_campaign=paid-20210428&amp;urlHash=FW6F", "https://motionrecruitment.com/tech-jobs/houston/direct-hire/fullstack-ai-engineer-onsite-houston-tx/793919?utm_source=linkedin&amp;utm_medium=feed&amp;utm_campaign=paid-20210428&amp;urlHash=FW6F")</f>
        <v/>
      </c>
      <c r="G59" t="inlineStr">
        <is>
          <t>Houston, TX</t>
        </is>
      </c>
      <c r="H59" t="inlineStr"/>
      <c r="I59" t="inlineStr">
        <is>
          <t>We are on a mission to redefine workforce scaling — enabling businesses to instantly expand their capabilities without hiring, overhead, or human constraints by delivering
 **digital employees** 
 that operate faster, scale instantly, and work around the clock.
 Our team is based in the heart of
 **downtown Austin** 
 , where a tight\-knit group of experienced SaaS operators and engineers are building a foundational product from the ground up. We’re committed to solving tough challenges, creating simple solutions, and fostering a culture built on trust, ownership, and optimism.
 Why You Should Join Us
* Be a key contributor in building a game\-changing product from day one
* Solve meaningful problems that impact real industries and people
* Collaborate with a seasoned team that’s taken SaaS businesses from zero to success
* Thrive in a dynamic, in\-person startup environment in vibrant Austin
 What You’ll Do
* Design, develop, and maintain scalable production systems and APIs
* Integrate and deploy AI/LLM\-powered automation to streamline complex workflows
* Work across the entire tech stack — from backend services to frontend applications
* Contribute to architecture and technical strategy in a fast\-paced startup setting
* Prototype and iterate rapidly to deliver new features and capabilities
* Partner with cross\-functional teams to align engineering work with business objectives
* Manage integration with legacy systems while ensuring compliance with regulatory standards
 What We’re Looking For
* Startup mindset \&amp; initiative: A self\-starter who excels in ambiguity and fast\-moving environments, driving results independently
* AI \&amp; innovation focus: Hands\-on experience with large language models, automation frameworks, or AI\-powered products, and a practical understanding of generative AI in production
* Technical excellence: 3\+ years building and maintaining production\-grade software, with strong engineering fundamentals and sound judgment
* Full\-stack development skills: Proficiency with REST APIs, web frameworks, relational databases, and modern backend languages; experience with NodeJS / NestJS, Prisma, PostgreSQL, OpenAI / Gemini, and Google Cloud Platform is a plus
* Collaborative spirit: Excellent communicator who thrives working closely with teammates across disciplines
**Posted By:** 
 Joshua Cairns</t>
        </is>
      </c>
    </row>
    <row r="60">
      <c r="A60" t="inlineStr">
        <is>
          <t>li-4379130410</t>
        </is>
      </c>
      <c r="B60" t="inlineStr">
        <is>
          <t>Senior AI/ML Engineer</t>
        </is>
      </c>
      <c r="C60" t="inlineStr">
        <is>
          <t>Jobs via Dice</t>
        </is>
      </c>
      <c r="D60" t="inlineStr">
        <is>
          <t>linkedin</t>
        </is>
      </c>
      <c r="E60">
        <f>HYPERLINK("https://www.linkedin.com/jobs/view/4379130410", "https://www.linkedin.com/jobs/view/4379130410")</f>
        <v/>
      </c>
      <c r="F60">
        <f>HYPERLINK("https://click.appcast.io/t/nX0-8Y5AgbU7qOvddV9dzjlRtOiBKo_eq5JbJmoa898=&amp;urlHash=RGIn", "https://click.appcast.io/t/nX0-8Y5AgbU7qOvddV9dzjlRtOiBKo_eq5JbJmoa898=&amp;urlHash=RGIn")</f>
        <v/>
      </c>
      <c r="G60" t="inlineStr">
        <is>
          <t>Florham Park, NJ</t>
        </is>
      </c>
      <c r="H60" t="inlineStr"/>
      <c r="I60" t="inlineStr">
        <is>
          <t>Dice is the leading career destination for tech experts at every stage of their careers. Our client, Apex Systems, is seeking the following. Apply via Dice today!
**Job\#: 3023867**
**Job Description:**
**Location: Florham Park, NJ \- 3x hybrid**
**6\+ Month contract**
**Role: Senior AI/ML Engineer (Contractor)**
**Core Programming**
* Python (Backend Engineering): 6\+ Years
* Must include: AsyncIO (async/await), Pydantic, and REST API development (FastAPI)
* Containerization (Docker): 4\+ Years
* Must include: Multi\-stage builds and optimization for serverless containers.
**AWS Cloud Infrastructure**
* AWS Compute \&amp; Networking (ECS Fargate, ECR, API Gateway, Route 53\): 4\+ Years
* AWS Security (IAM, Secrets Manager, VPC Config): 4\+ Years
* Infrastructure as Code (Terraform or AWS CDK): 3\+ Years
**Generative AI \&amp; LLMs**
* LLM Integration (Azure OpenAI / Azure AI Gateway): 2 Years (Market Max). I'll take 1 year too because it's urgent req.
* Agent Frameworks (Strands SDK, LangChain, or LlamaIndex): 2\+ Years again 1 year can make do
* Must include: Experience building stateful agents, custom tool creation, and Model Context Protocol (MCP).
* Vector Databases \&amp; RAG (Pinecone, Qdrant, or similar): 1\+ Years
**System Integration**
* API Client Architecture: 5\+ Years
* Must include: Building robust API adapters for internal/corporate gateways, handling custom authentication, retries, and circuit breakers.
 Apex Systems is a world\-class IT services company that serves thousands of clients across the globe. When you join Apex, you become part of a team that values innovation, collaboration, and continuous learning. We offer quality career resources, training, certifications, development opportunities, and a comprehensive benefits package. Our commitment to excellence is reflected in many awards, including ClearlyRated's Best of Staffing in Talent Satisfaction in the United States and Great Place to Work in the United Kingdom and Mexico. Apex uses a virtual recruiter as part of the application process. Click for more details.
**Apex Benefits Overview:** 
 Apex offers a range of supplemental benefits, including medical, dental, vision, life, disability, and other insurance plans that offer an optional layer of financial protection. We offer an ESPP (employee stock purchase program) and a 401K program which allows you to contribute typically within 30 days of starting, with a company match after 12 months of tenure. Apex also offers a HSA (Health Savings Account on the HDHP plan), a SupportLinc Employee Assistance Program (EAP) with up to 8 free counseling sessions, a corporate discount savings program and other discounts. In terms of professional development, Apex hosts an on\-demand training program, provides access to certification prep and a library of technical and leadership courses/books/seminars once you have 6\+ months of tenure, and certification discounts and other perks to associations that include CompTIA and IIBA. Apex has a dedicated customer service team for our Consultants that can address questions around benefits and other resources, as well as a certified Career Coach. You can access a full list of our benefits, programs, support teams and resources within our 'Welcome Packet' as well, which an Apex team member can provide.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2026-03-03T16:58:17Z</dcterms:created>
  <dcterms:modified xsi:type="dcterms:W3CDTF">2026-03-03T16:58:17Z</dcterms:modified>
</cp:coreProperties>
</file>