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deed" sheetId="1" state="visible" r:id="rId1"/>
    <sheet name="linkedin" sheetId="2" state="visible" r:id="rId2"/>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28"/>
  <sheetViews>
    <sheetView workbookViewId="0">
      <selection activeCell="A1" sqref="A1"/>
    </sheetView>
  </sheetViews>
  <sheetFormatPr baseColWidth="8" defaultRowHeight="15"/>
  <sheetData>
    <row r="1">
      <c r="A1" t="inlineStr">
        <is>
          <t>job id</t>
        </is>
      </c>
      <c r="B1" t="inlineStr">
        <is>
          <t>title</t>
        </is>
      </c>
      <c r="C1" t="inlineStr">
        <is>
          <t>company</t>
        </is>
      </c>
      <c r="D1" t="inlineStr">
        <is>
          <t>site</t>
        </is>
      </c>
      <c r="E1" t="inlineStr">
        <is>
          <t>job_url</t>
        </is>
      </c>
      <c r="F1" t="inlineStr">
        <is>
          <t>job_url_direct</t>
        </is>
      </c>
      <c r="G1" t="inlineStr">
        <is>
          <t>location</t>
        </is>
      </c>
      <c r="H1" t="inlineStr">
        <is>
          <t>date posted</t>
        </is>
      </c>
      <c r="I1" t="inlineStr">
        <is>
          <t>description</t>
        </is>
      </c>
    </row>
    <row r="2">
      <c r="A2" t="inlineStr">
        <is>
          <t>in-9649d08cb62a9ac0</t>
        </is>
      </c>
      <c r="B2" t="inlineStr">
        <is>
          <t>Senior Data Engineer</t>
        </is>
      </c>
      <c r="C2" t="inlineStr">
        <is>
          <t>LTIMindtree</t>
        </is>
      </c>
      <c r="D2" t="inlineStr">
        <is>
          <t>indeed</t>
        </is>
      </c>
      <c r="E2">
        <f>HYPERLINK("https://www.indeed.com/viewjob?jk=9649d08cb62a9ac0", "https://www.indeed.com/viewjob?jk=9649d08cb62a9ac0")</f>
        <v/>
      </c>
      <c r="F2">
        <f>HYPERLINK("https://ltimindtree.ripplehire.com/candidate/?token=AAmlv7Nzg2n83GegrHgv&amp;lang=en&amp;source=INDEED&amp;ref=INDEED#detail/job/848053", "https://ltimindtree.ripplehire.com/candidate/?token=AAmlv7Nzg2n83GegrHgv&amp;lang=en&amp;source=INDEED&amp;ref=INDEED#detail/job/848053")</f>
        <v/>
      </c>
      <c r="G2" t="inlineStr">
        <is>
          <t>Tampa, FL, US</t>
        </is>
      </c>
      <c r="H2" s="1" t="n">
        <v>46083</v>
      </c>
      <c r="I2" t="inlineStr">
        <is>
          <t>**Role description** **Job Title: Python Developer**
**Work Location:** **Tampa,Florida**
**Job Description:**
* We are looking for an experienced Python Developer who can design develop and maintain scalable backend and data driven applications The role requires strong core Python skills experience with frameworks APIs databases and exposure to cloud or data processing environments The candidate is expected to work independently contribute to architecture decisions and collaborate closely with cross functional teams
* Key Responsibilities Design develop test and maintain high quality Python applications following best coding practices Build and consume RESTful APIs using frameworks such as Flask Fast API or Django Work on data processing transformation and analysis for medium to large datasets where applicable Collaborate with product owners architects and other developers in Agile Scrum teams Write clean maintainable and well documented code perform code reviews and mentor junior developers Troubleshoot production issues and optimize application performance and scalability Participate in design discussions and contribute to technical standards and best practices
* Mandatory Technical Skills Strong proficiency in Python core language OOP concepts data structures algorithms Experience with at least one Python framework Django Flask Fast API Hands on experience with SQL databases PostgreSQL MySQL Oracle Experience with REST APIs JSON and API integration Familiarity with Git CICD pipelines and development best practices Understanding of Linux Unix environments
* Good to Have Skills Experience with data engineering or big data tools PySpark Spark ETL pipelines Exposure to cloud platforms AWS Azure GCP Knowledge of Docker containerization Experience in domains such as Banking Finance Analytics or Automation RPA Exposure to AIML or GenAI projects is a plus
* Education Bachelors degree in computer science engineering or related field
* Soft Skills Strong problem solving and analytical skills good communication and stakeholder management Ability to work independently and take ownership of deliverables Team player with mentoring mindset
**Skills** **Mandatory Skills :** Django, Flask, Python
 **Other details**  
Benefits/perks listed below may vary depending on the nature of your employment with LTIMindtree (“LTIM”):
Benefits and Perks:
* Comprehensive Medical Plan Covering Medical, Dental, Vision
* Short Term and Long\-Term Disability Coverage
* 401(k) Plan with Company match
* Life Insurance
* Vacation Time, Sick Leave, Paid Holidays
* Paid Paternity and Maternity Leave
The range displayed on each job posting reflects the minimum and maximum salary target for the position across all US locations. Within the range, individual pay is determined by work location and job level and additional factors including job\-related skills, experience, and relevant education or training. Depending on the position offered, other forms of compensation may be provided as part of overall compensation like an annual performance\-based bonus, sales incentive pay and other forms of bonus or variable compensation.
**Disclaimer**: The compensation and benefits information provided herein is accurate as of the date of this posting.
**LTIMindtree** is an equal opportunity employer that is committed to diversity in the workplace. Our employment decisions are made without regard to race, color, creed, religion, sex (including pregnancy, childbirth or related medical conditions), gender identity or expression, national origin, ancestry, age, family\-care status, veteran status, marital status, civil union status, domestic partnership status, military service, handicap or disability or history of handicap or disability, genetic information, atypical hereditary cellular or blood trait, union affiliation, affectional or sexual orientation or preference, or any other characteristic protected by applicable federal, state, or local law, except where such considerations are bona fide occupational qualifications permitted by law. **Benefits**  
Compensation range: $86,031\.00 to $113,900\.00 per year  
**About LTM**  
LTM is an AI\-centric global technology services company and the Business Creativity partner to the world’s largest and most disruptive enterprises. We bring human insights and intelligent systems together to help clients create greater value at the intersection of technology and domain expertise. Our capabilities span integrated operations, transformation, and business AI — enabling new ways of working, new productivity paradigms, and new roads to value. Together with over 87,000 employees across 40 countries and our global network of partners, LTM — a Larsen \&amp; Toubro company — owns business outcomes for our clients, helping them not just outperform the market, but to Outcreate it. Please also note that neither LTM nor any of its authorized recruitment agencies/partners charge any candidate registration fee or any other fees from talent (candidates) towards appearing for an interview or securing employment/internship. Candidates shall be solely responsible for verifying the credentials of any agency/consultant that claims to be working with LTM for recruitment. Please note that anyone who relies on the representations made by fraudulent employment agencies does so at their own risk, and LTM disclaims any liability in case of loss or damage suffered as a consequence of the same. Recruitment Fraud Alert \- https://www.ltimindtree.com/recruitment\-fraud\-alert/</t>
        </is>
      </c>
    </row>
    <row r="3">
      <c r="A3" t="inlineStr">
        <is>
          <t>in-b5fdd13d31dd0aa1</t>
        </is>
      </c>
      <c r="B3" t="inlineStr">
        <is>
          <t>Senior Data Engineer(61249-1)</t>
        </is>
      </c>
      <c r="C3" t="inlineStr">
        <is>
          <t>Vytwo Technologies</t>
        </is>
      </c>
      <c r="D3" t="inlineStr">
        <is>
          <t>indeed</t>
        </is>
      </c>
      <c r="E3">
        <f>HYPERLINK("https://www.indeed.com/viewjob?jk=b5fdd13d31dd0aa1", "https://www.indeed.com/viewjob?jk=b5fdd13d31dd0aa1")</f>
        <v/>
      </c>
      <c r="F3">
        <f>HYPERLINK("https://samt.careerplug.com/j/02wlu1q", "https://samt.careerplug.com/j/02wlu1q")</f>
        <v/>
      </c>
      <c r="G3" t="inlineStr">
        <is>
          <t>Prosper, TX, US</t>
        </is>
      </c>
      <c r="H3" s="1" t="n">
        <v>46084</v>
      </c>
      <c r="I3" t="inlineStr">
        <is>
          <t>**Role : Senior Data Engineer(61249\-1\)**
**Work Location: Sunnyvale, California, United States**
**Work Type: Hybrid 3 days a week onsite**  
**Rate: Depends on Experience**  
**Job Description**  
We are seeking a highly skilled Senior Data Engineer with strong expertise in big data technologies, cloud platforms, and backend development. You will design, develop, and maintain scalable data processing and streaming solutions, build and optimize big\-data pipelines with Apache Hadoop, Apache Spark, and Apache Kafka, and develop backend systems using Java, J2EE, Scala, and Python. Responsibilities include implementing real\-time streaming and batch data processing, ensuring high standards of code quality, system reliability, and performance, designing data models, supporting data\-migration protocols, and integrating data workflows with tools such as Automic and Apache Airflow.  
**Required Skills \&amp; Qualifications:**  
* Strong expertise in Hadoop, Spark, cloud technologies (Google Cloud Platform), Python, Scala, Java/J2EE, Kafka, and streaming technologies.
* Experience with at least one cloud computing platform such as GCP or Azure.
* Proven coding track record in a programming language like Scala or Python.
* Strong skills in data modeling and data\-migration protocols.
* Commitment to maintaining high standards of code quality, reliability, and performance.
**Preferred Qualifications:**  
* Experience with GCP, data warehousing, and business\-intelligence (BI) solutions.
* Experience integrating enterprise data workflows using tools such as Automic and Apache Airflow.
Flexible work from home options available.</t>
        </is>
      </c>
    </row>
    <row r="4">
      <c r="A4" t="inlineStr">
        <is>
          <t>in-e2c72debe6340cd1</t>
        </is>
      </c>
      <c r="B4" t="inlineStr">
        <is>
          <t>Data Engineer</t>
        </is>
      </c>
      <c r="C4" t="inlineStr">
        <is>
          <t>Group1001</t>
        </is>
      </c>
      <c r="D4" t="inlineStr">
        <is>
          <t>indeed</t>
        </is>
      </c>
      <c r="E4">
        <f>HYPERLINK("https://www.indeed.com/viewjob?jk=e2c72debe6340cd1", "https://www.indeed.com/viewjob?jk=e2c72debe6340cd1")</f>
        <v/>
      </c>
      <c r="F4">
        <f>HYPERLINK("https://group1001wd.wd5.myworkdayjobs.com/en-US/Careers/job/Zionsville-Indiana/Data-Engineer_R26_0081", "https://group1001wd.wd5.myworkdayjobs.com/en-US/Careers/job/Zionsville-Indiana/Data-Engineer_R26_0081")</f>
        <v/>
      </c>
      <c r="G4" t="inlineStr">
        <is>
          <t>Zionsville, IN, US</t>
        </is>
      </c>
      <c r="H4" s="1" t="n">
        <v>46083</v>
      </c>
      <c r="I4" t="inlineStr">
        <is>
          <t>Group 1001 is a consumer\-centric, technology\-driven family of insurance companies on a mission to deliver outstanding value and operational performance by combining financial strength and stability with deep insurance expertise and a can\-do culture. Group1001’s culture emphasizes the importance of collaboration, communication, core business focus, risk management, and striving for outcomes. This goal extends to how we hire and onboard our most valuable assets – our employees.
Why This Role Matters:
The Staff Data Engineer at Group 1001 will serve as a key technical leader, defining strategies for data pipeline development and establishing standards for data warehouse design across the organization. This role is pivotal in shaping our data architecture and capabilities to support Group 1001's mission of delivering outstanding value in the insurance and annuity marketplace. This position requires 7\-10 years of experience, working autonomously, defining problems and solutions to deliver organization\-level impact. You will provide technical leadership across multiple teams. This is an opportunity to contribute to Group 1001's mission of delivering outstanding value through data\-driven insights and innovative solutions in the insurance and annuity business.
Please note: This position requires an in\-person interview.
How You'll Contribute:* Define data engineering strategy and technical roadmap for the organization, balancing innovation with operational stability
* Lead organization\-wide initiatives to modernize data infrastructure, improve data quality, and enable self\-service analytics
* Establish standards and best practices for data engineering across multiple teams, ensuring consistency and quality
* Partner with platform and infrastructure teams to optimize data systems for performance, cost, and scalability
* Mentor senior engineers and technical leads, developing the next generation of data engineering leadership
What We're Looking For:
Technical Skills:
Advanced in Python, SQL, RDS, Snowflake, ETL/ELT, dbt/Coalesce, Airflow/Dagster, Data warehousing, Stream processing, and Data quality frameworks
Education:* Bachelor's degree in Computer Science, Data Science, Engineering, or related field
* Master's degree or equivalent experience preferred
Experience:* 7\-10 years of experience in data engineering or related field
* Demonstrated experience defining technical strategy and driving organization\-wide initiatives
* Proven track record of leading complex, high\-impact projects with broad organizational scope
* Experience mentoring and developing senior engineers and technical leaders
* Strong executive presence with ability to influence stakeholders at all levels of the organization
Preferred Qualifications:* Extensive experience in insurance or financial services with deep understanding of industry challenges
* Recognized expertise through conference presentations, publications, or industry speaking engagements
* Experience with enterprise\-scale systems and complex technical environments
* Proven ability to build consensus and drive alignment across multiple teams and stakeholders
* Track record of successful vendor partnerships and technology evaluations
Competencies and Soft Skills:* Executive presence with ability to influence senior leadership and drive organizational change
* Strategic vision with ability to define long\-term technical direction aligned with business goals
* Strong leadership skills with proven ability to develop and mentor senior technical talent
* Exceptional communication skills with ability to articulate technical strategy to executive audiences
* Political acumen with ability to navigate complex organizational dynamics and build consensus
\*This job description is intended to convey information essential to understanding the scope of the position and is not an exhaustive list of skills, efforts, duties, responsibilities, or working conditions associated with it.\*
Benefits Highlights:
Employees who meet benefit eligibility guidelines and work 30 hours or more weekly, have the ability to enroll in Group 1001’s benefits package. Employees (and their families) are eligible to participate in the Company’s comprehensive health, dental, and vision insurance plan options. Employees are also eligible for Basic and Supplemental Life Insurance, Short and Long\-Term Disability. All employees (regardless of hours worked) have immediate access to the Company’s Employee Assistance Program and wellness programs—no enrollment is required. Employees may also participate in the Company’s 401K plan, with matching contributions by the Company.  
Group 1001, and its affiliated companies, is strongly committed to providing a supportive work environment where employee differences are valued. Diversity is an essential ingredient in making Group 1001 a welcoming place to work and is fundamental in building a high\-performance team. Diversity embodies all the differences that make us unique individuals. All employees share the responsibility for maintaining a workplace culture of dignity, respect, understanding and appreciation of individual and group differences.
\#LI\-REMOTE</t>
        </is>
      </c>
    </row>
    <row r="5">
      <c r="A5" t="inlineStr">
        <is>
          <t>in-c53ccd650746fe27</t>
        </is>
      </c>
      <c r="B5" t="inlineStr">
        <is>
          <t>Principal Data Engineer</t>
        </is>
      </c>
      <c r="C5" t="inlineStr">
        <is>
          <t>Disney Experiences</t>
        </is>
      </c>
      <c r="D5" t="inlineStr">
        <is>
          <t>indeed</t>
        </is>
      </c>
      <c r="E5">
        <f>HYPERLINK("https://www.indeed.com/viewjob?jk=c53ccd650746fe27", "https://www.indeed.com/viewjob?jk=c53ccd650746fe27")</f>
        <v/>
      </c>
      <c r="F5">
        <f>HYPERLINK("https://www.disneycareers.com/job/-/-/391/92323560928", "https://www.disneycareers.com/job/-/-/391/92323560928")</f>
        <v/>
      </c>
      <c r="G5" t="inlineStr">
        <is>
          <t>Orlando, FL, US</t>
        </is>
      </c>
      <c r="H5" s="1" t="n">
        <v>46083</v>
      </c>
      <c r="I5" t="inlineStr">
        <is>
          <t>At Disney, we’re storytellers. We make the impossible, possible. The Walt Disney Company (TWDC) is a world\-class entertainment and technological leader. Walt’s passion was to continuously envision new ways to move audiences around the world—a passion that remains our touchstone in an enterprise that stretches from theme parks, resorts and a cruise line to sports, news, movies and a variety of other businesses. Uniting each endeavor is a commitment to creating and delivering unforgettable experiences — and we’re constantly looking for new ways to enhance these exciting experiences.
At Disney Experiences Technology, we design and deliver more than 400 digital and physical products that bring Disney stories to life in unexpected ways. From theme parks and resorts to cruise ships and beyond, our global team of technologists, designers, and innovators creates seamless, immersive experiences that delight millions of Guests and Cast Members around the world.
The Disney Signature Experiences and Data team delivers innovative technology solutions across Disney Cruise Line, Disney Vacation Club, and our global tour businesses. We support Guest and Crew experiences at sea, enable commercial growth through digital platforms, and lead the segment’s data strategy. With a strong focus on reliability, scalability, and strategic expansion, we build systems that support immersive experiences and unlock new opportunities for growth.
 Data Platform – This role is on the Data Platform team, which builds and manages the data architecture, governance, and engineering capabilities that power insights and decision\-making across Disney Experiences. We are looking for a Principal Solution Architect on the Reference Architecture team to lead the design vision of data products and solutions. You will lead all aspects of assigned data initiatives working with multiple engineering and product teams.
**What You Will Do:**
 Define and/or influence the design, development, and roadmap of highly scalable software systems and applications
* Create, maintain, and evangelize data architecture standards, patterns, and best practices to ensure alignment with established principles and technologies
* Architect end\-to\-end data pipelines from ingestion through consumption layers that support business requirements and analytical needs
* Facilitate work, intake discussions to ensure solutions are well\-architected to meet standards and requirements (e.g., SLA, resiliency, security, and privacy requirements)
* Provide architectural input for the scope, estimation, prioritization, and planning of highly sophisticated scalable projects and their budget allocations
* Create and maintain clear communication, documents, and diagrams that define, guide, and influence engineering and product teams
* Lead projects that may be used in commercial and end\-user applications, focusing on software and tools supporting infrastructure and technology platforms
* Continuously monitor and evaluate emerging technologies within your area of expertise to drive informed decision\-making and recommendations
* Foster and maintain productive engagement with executive leadership and partners to ensure solutions are right\-sized and strategically aligned to the overall data strategy and architecture principles
**Required Qualifications \&amp; Skills:**
* 10\+ years of experience with the delivery of data solutions
* Expertise in current programming languages and technologies, with strong skills in writing code and programming tasks
* Deep technical expertise in data, platforms, and tools—including AWS, Snowflake, dbt, SQL \&amp; SQL optimization, data modeling, Python, RESTful APIs, near real\-time stream processing, ETL \&amp; ELT approaches, and infrastructure\-as\-code (Terraform/CDK)
* Strong problem solving and influencing skills, able to critically think through and elegantly address logic problems with code
* Ability to navigate in the gray easily and work independently to guide the design and implementation of solutions and strategies
* Excellent communicator and partnership skills with the ability to interface and influence across the organization, including executives
* Experience creating architectural diagrams and artifacts that clearly and consistently define solutions used by product managers and engineering teams
* Ability to create reference implementations used as initial working solutions
* Solid grasp and believer of agile development approaches, including DevOps concepts
**Preferred Qualifications\&amp; Skills:**
* Experience working in the hospitality, travel, or entertainment industry
* Master’s degree in Computer Science, Information Systems, Software, Electrical or Electronics Engineering, or comparable field of study, and/or equivalent work experience
**Required Education:**
* Bachelor's degree in Computer Science, Information Systems, Software, Electrical or Electronics Engineering, or comparable field of study, and/or equivalent work experience.
\#DISNEYTECH</t>
        </is>
      </c>
    </row>
    <row r="6">
      <c r="A6" t="inlineStr">
        <is>
          <t>in-f856a7c38932ff6b</t>
        </is>
      </c>
      <c r="B6" t="inlineStr">
        <is>
          <t>Data Engineer</t>
        </is>
      </c>
      <c r="C6" t="inlineStr">
        <is>
          <t>Changeis, Inc.</t>
        </is>
      </c>
      <c r="D6" t="inlineStr">
        <is>
          <t>indeed</t>
        </is>
      </c>
      <c r="E6">
        <f>HYPERLINK("https://www.indeed.com/viewjob?jk=f856a7c38932ff6b", "https://www.indeed.com/viewjob?jk=f856a7c38932ff6b")</f>
        <v/>
      </c>
      <c r="F6">
        <f>HYPERLINK("https://changeis.com/job-posts/?gnk=job&amp;gni=8a7887ac9ac19e7a019ae07e2ad638d3&amp;gns=Indeed+Free", "https://changeis.com/job-posts/?gnk=job&amp;gni=8a7887ac9ac19e7a019ae07e2ad638d3&amp;gns=Indeed+Free")</f>
        <v/>
      </c>
      <c r="G6" t="inlineStr">
        <is>
          <t>Remote, US</t>
        </is>
      </c>
      <c r="H6" s="1" t="n">
        <v>46083</v>
      </c>
      <c r="I6" t="inlineStr">
        <is>
          <t>**Data Engineer – Expression of Interest**
At ChangeIs, we collaborate with U.S. Federal organizations to deliver innovative data solutions, and we're continually seeking talented Data Engineers for future opportunities. If you have experience in data engineering, ETL development, or related fields, and you're interested in exciting contract roles with competitive pay and benefits, we'd love to connect with you!
By joining our talent pool, you’ll be among the first to learn about upcoming contract positions that match your expertise and career goals. We welcome candidates at all experience levels—whether you’re just starting your career or are a seasoned professional—we encourage you to apply. Most of our positions are remote, providing flexibility while working on impactful federal projects.
**Key Skills \&amp; Qualifications We’re Looking For:**
* **Data Engineering \&amp; ETL:** Experience designing, building, and maintaining data pipelines, including reverse\-engineering legacy systems and implementing scalable solutions on modern platforms.
* **Collaboration:** Ability to work with stakeholders across teams to translate business and technical requirements into robust data solutions.
* **Tools \&amp; Techniques:** Proficiency with ETL and data engineering tools (e.g., StreamSets, Palantir Foundry, Pentaho, Informatica, Talend), SQL, and programming languages such as Python or Java. Experience with AWS data services is a plus.
* **Problem Solving \&amp; Critical Thinking:** Ability to analyze complex data problems, handle schema drift, and ensure high\-quality, reliable solutions.
* **Leadership \&amp; Mentorship:** Experience mentoring junior engineers, conducting code reviews, and promoting best practices (preferred for senior\-level candidates).
* **Federal Experience:** Prior work with U.S. Federal organizations, FAA projects, or eligibility for federal security clearance is preferred but not required.
***Please note that this is not a job posting but an opportunity to express your interest in potential Data Engineering roles within ChangeIs. By submitting an application of interest, you will be considered for any suitable positions that may arise in the future.***</t>
        </is>
      </c>
    </row>
    <row r="7">
      <c r="A7" t="inlineStr">
        <is>
          <t>in-ef38f666c24e9058</t>
        </is>
      </c>
      <c r="B7" t="inlineStr">
        <is>
          <t>IT Senior Data Engineer (Hybrid)</t>
        </is>
      </c>
      <c r="C7" t="inlineStr">
        <is>
          <t>Eversource Energy</t>
        </is>
      </c>
      <c r="D7" t="inlineStr">
        <is>
          <t>indeed</t>
        </is>
      </c>
      <c r="E7">
        <f>HYPERLINK("https://www.indeed.com/viewjob?jk=ef38f666c24e9058", "https://www.indeed.com/viewjob?jk=ef38f666c24e9058")</f>
        <v/>
      </c>
      <c r="F7">
        <f>HYPERLINK("https://jobs.eversource.com/job/-/-/7774/92308796240", "https://jobs.eversource.com/job/-/-/7774/92308796240")</f>
        <v/>
      </c>
      <c r="G7" t="inlineStr">
        <is>
          <t>Westwood, MA, US</t>
        </is>
      </c>
      <c r="H7" s="1" t="n">
        <v>46082</v>
      </c>
      <c r="I7" t="inlineStr">
        <is>
          <t>Eversource will not offer immigration\-related sponsorship for this position. Applicants who require immigration sponsorship—either now or in the future—should not apply. This includes, but is not limited to, direct company sponsorship, listing Eversource as the employer of record on immigration documents, or any work authorization that requires company involvement or documentation (e.g., H\-1B, OPT, STEM OPT, CPT, TN, J\-1, O\-1, etc.).
*Eversource supports work\-life balance by offering hybrid schedules for certain roles. Eligibility is based on job responsibilities, operational needs, nature of**work**and team dynamics. Current guidelines require employees to work at least three days in the office, including Tuesdays and Wednesdays, with the third day set by the employee and supervisor based on department needs. These guidelines apply to roles approved for remote work and are subject to**change, based**on managerial discretion and work performance. All applicants must be able to**work* *up to five days in the office if needed (for example: emergencies, training, or other business needs) or should the policy change.*
The IT Senior Data Engineer requires supporting Operational Technology portfolio projects in managing and supporting multiple applications databases across operations technology organization covering applications like Maximo, Power Plan, MWM, GIS, . The individual will support applications databases and coordinate all master data activities with other organizational Governance teams. The IT Senior Data Engineer maintain appropriate data documentation, including master data management, data quality, report inventory, enterprise data definitions, policies and procedures and others.
**Essential Functions:**
* Design, develop, and optimize complex SQL queries, stored procedures, views, and database objects relevant to the application
* Support Oracle, SQL Server, or other enterprise RDBMS platforms at a technical level.
* Configure and validate ODBC connections for application connectivity across environments.
* Write clean, efficient, well‑structured SQL queries, stored procedures, and database objects.
* Perform SQL performance tuning, including indexing strategies, query plan analysis, and code optimization.
* Assist with schema design, data modeling, and normalization/denormalization decisions.
* Enforce data governance standards, naming conventions, and metadata documentation.
* Able to create dashboards or reports in Power BI.
**Technical Knowledge/Skill/Education/Licenses/Certifications:**
*Technical Knowledge/Skill:*
* Azure Ecosystem, ETL, Power BI, Oracle, SQL
	+ ODBC/JDBC connectivity configuration \&amp; troubleshooting
	+ API integration (REST, JSON, XML parsing)
	+ Experience of building data processing pipelines for use in production “hands off” batch systems, including either traditional ETL pipelines and/or analytics pipelines.
* Hands\-on experience in Infrastructure\-as\-Code and Configuration management tools and technologies: Terraform, CI/CD. Experience on Databricks, including ETL and job creation/scheduling is preferred.
* Strong Experience in agile projects and highly proficient in the agile framework
*Education:*
* Bachelor's or master's degree in a related field. Computer Science preferred.
*Experience*:
* Five (5\) to eight (8\) years related experience
*Licenses \&amp; Certifications:*
* Any Cloud certification is required; Azure certification preferred.
**Working Conditions:**
* Must be available to work emergency restoration assignment as required.
* Must be available to travel between MA/CT/NH as necessary.
\#LI\-ES3
\#corpajd
**Competencies:**
Build trusting relationships
Manage and develop people
Foster teamwork and cross\-functional collaboration
Lead change
Communicate strategic vision
Create an engaged workforce
Focus on the customer
Take ownership \&amp; accountability
**Compensation and Benefits:**
Eversource offers a competitive total rewards program. Check out our careers site for an overview of our benefits programs. Salary is commensurate with your experience. This position is eligible for a potential incentive. The annual salary range for this position is:
$132,210\.00\-$146,900\.00**Worker Type:**
Regular**Number of Openings:**
1**Emergency Response:**
Responding to emergency situations to meet customers’ needs is part of every employee’s role. If employed, you will be given an Emergency Restoration assignment. This means you may be called to assist during an emergency outside of your normal responsibilities, work hours and location.
**EEO Statement**:
Eversource Energy is an Equal Opportunity and Affirmative Action Employer. All qualified applicants will receive consideration for employment without regard to age, race, color, sex, sexual orientation, gender identity, national origin, religion, disability status, or protected veteran status.
VEVRRA Federal Contractor</t>
        </is>
      </c>
    </row>
    <row r="8">
      <c r="A8" t="inlineStr">
        <is>
          <t>in-6112b2ec3bc215a7</t>
        </is>
      </c>
      <c r="B8" t="inlineStr">
        <is>
          <t>IT Senior Data Engineer (Hybrid)</t>
        </is>
      </c>
      <c r="C8" t="inlineStr">
        <is>
          <t>Eversource Energy</t>
        </is>
      </c>
      <c r="D8" t="inlineStr">
        <is>
          <t>indeed</t>
        </is>
      </c>
      <c r="E8">
        <f>HYPERLINK("https://www.indeed.com/viewjob?jk=6112b2ec3bc215a7", "https://www.indeed.com/viewjob?jk=6112b2ec3bc215a7")</f>
        <v/>
      </c>
      <c r="F8">
        <f>HYPERLINK("https://jobs.eversource.com/job/-/-/7774/92308796240", "https://jobs.eversource.com/job/-/-/7774/92308796240")</f>
        <v/>
      </c>
      <c r="G8" t="inlineStr">
        <is>
          <t>East Berlin, CT, US</t>
        </is>
      </c>
      <c r="H8" s="1" t="n">
        <v>46082</v>
      </c>
      <c r="I8" t="inlineStr">
        <is>
          <t>Eversource will not offer immigration\-related sponsorship for this position. Applicants who require immigration sponsorship—either now or in the future—should not apply. This includes, but is not limited to, direct company sponsorship, listing Eversource as the employer of record on immigration documents, or any work authorization that requires company involvement or documentation (e.g., H\-1B, OPT, STEM OPT, CPT, TN, J\-1, O\-1, etc.).
*Eversource supports work\-life balance by offering hybrid schedules for certain roles. Eligibility is based on job responsibilities, operational needs, nature of**work**and team dynamics. Current guidelines require employees to work at least three days in the office, including Tuesdays and Wednesdays, with the third day set by the employee and supervisor based on department needs. These guidelines apply to roles approved for remote work and are subject to**change, based**on managerial discretion and work performance. All applicants must be able to**work* *up to five days in the office if needed (for example: emergencies, training, or other business needs) or should the policy change.*
The IT Senior Data Engineer requires supporting Operational Technology portfolio projects in managing and supporting multiple applications databases across operations technology organization covering applications like Maximo, Power Plan, MWM, GIS, . The individual will support applications databases and coordinate all master data activities with other organizational Governance teams. The IT Senior Data Engineer maintain appropriate data documentation, including master data management, data quality, report inventory, enterprise data definitions, policies and procedures and others.
**Essential Functions:**
* Design, develop, and optimize complex SQL queries, stored procedures, views, and database objects relevant to the application
* Support Oracle, SQL Server, or other enterprise RDBMS platforms at a technical level.
* Configure and validate ODBC connections for application connectivity across environments.
* Write clean, efficient, well‑structured SQL queries, stored procedures, and database objects.
* Perform SQL performance tuning, including indexing strategies, query plan analysis, and code optimization.
* Assist with schema design, data modeling, and normalization/denormalization decisions.
* Enforce data governance standards, naming conventions, and metadata documentation.
* Able to create dashboards or reports in Power BI.
**Technical Knowledge/Skill/Education/Licenses/Certifications:**
*Technical Knowledge/Skill:*
* Azure Ecosystem, ETL, Power BI, Oracle, SQL
	+ ODBC/JDBC connectivity configuration \&amp; troubleshooting
	+ API integration (REST, JSON, XML parsing)
	+ Experience of building data processing pipelines for use in production “hands off” batch systems, including either traditional ETL pipelines and/or analytics pipelines.
* Hands\-on experience in Infrastructure\-as\-Code and Configuration management tools and technologies: Terraform, CI/CD. Experience on Databricks, including ETL and job creation/scheduling is preferred.
* Strong Experience in agile projects and highly proficient in the agile framework
*Education:*
* Bachelor's or master's degree in a related field. Computer Science preferred.
*Experience*:
* Five (5\) to eight (8\) years related experience
*Licenses \&amp; Certifications:*
* Any Cloud certification is required; Azure certification preferred.
**Working Conditions:**
* Must be available to work emergency restoration assignment as required.
* Must be available to travel between MA/CT/NH as necessary.
\#LI\-ES3
\#corpajd
**Competencies:**
Build trusting relationships
Manage and develop people
Foster teamwork and cross\-functional collaboration
Lead change
Communicate strategic vision
Create an engaged workforce
Focus on the customer
Take ownership \&amp; accountability
**Compensation and Benefits:**
Eversource offers a competitive total rewards program. Check out our careers site for an overview of our benefits programs. Salary is commensurate with your experience. This position is eligible for a potential incentive. The annual salary range for this position is:
$132,210\.00\-$146,900\.00**Worker Type:**
Regular**Number of Openings:**
1**Emergency Response:**
Responding to emergency situations to meet customers’ needs is part of every employee’s role. If employed, you will be given an Emergency Restoration assignment. This means you may be called to assist during an emergency outside of your normal responsibilities, work hours and location.
**EEO Statement**:
Eversource Energy is an Equal Opportunity and Affirmative Action Employer. All qualified applicants will receive consideration for employment without regard to age, race, color, sex, sexual orientation, gender identity, national origin, religion, disability status, or protected veteran status.
VEVRRA Federal Contractor</t>
        </is>
      </c>
    </row>
    <row r="9">
      <c r="A9" t="inlineStr">
        <is>
          <t>in-e708fcb68765cccc</t>
        </is>
      </c>
      <c r="B9" t="inlineStr">
        <is>
          <t>Lead Data Engineer</t>
        </is>
      </c>
      <c r="C9" t="inlineStr">
        <is>
          <t>Capital One</t>
        </is>
      </c>
      <c r="D9" t="inlineStr">
        <is>
          <t>indeed</t>
        </is>
      </c>
      <c r="E9">
        <f>HYPERLINK("https://www.indeed.com/viewjob?jk=e708fcb68765cccc", "https://www.indeed.com/viewjob?jk=e708fcb68765cccc")</f>
        <v/>
      </c>
      <c r="F9">
        <f>HYPERLINK("https://www.capitalonecareers.com/job/-/-/1732/92312418944", "https://www.capitalonecareers.com/job/-/-/1732/92312418944")</f>
        <v/>
      </c>
      <c r="G9" t="inlineStr">
        <is>
          <t>McLean, VA, US</t>
        </is>
      </c>
      <c r="H9" s="1" t="n">
        <v>46082</v>
      </c>
      <c r="I9" t="inlineStr">
        <is>
          <t>Lead Data Engineer
Do you love building and pioneering in the technology space? Do you enjoy solving complex business problems in a fast\-paced, collaborative, inclusive, and iterative delivery environment? At Capital One, you'll be part of a big group of makers, breakers, doers and disruptors, who solve real problems and meet real customer needs. We are seeking Data Engineers who are passionate about marrying data with emerging technologies. As a Capital One Lead Data Engineer, you’ll have the opportunity to be on the forefront of driving a major transformation within Capital One.
What You’ll Do:
* Collaborate with and across Agile teams to design, develop, test, implement, and support technical solutions in full\-stack development tools and technologies
* Work with a team of developers with deep experience in machine learning, distributed microservices, and full stack systems
* Utilize programming languages like Java, Scala, Python and Open Source RDBMS and NoSQL databases and Cloud based data warehousing services such as Redshift and Snowflake
* Share your passion for staying on top of tech trends, experimenting with and learning new technologies, participating in internal \&amp; external technology communities, and mentoring other members of the engineering community
* Collaborate with digital product managers, and deliver robust cloud\-based solutions that drive powerful experiences to help millions of Americans achieve financial empowerment
* Perform unit tests and conduct reviews with other team members to make sure your code is rigorously designed, elegantly coded, and effectively tuned for performance
Basic Qualifications:
* Bachelor’s Degree
* At least 4 years of experience in application development (Internship experience does not apply)
* At least 2 years of experience in big data technologies
* At least 1 year experience with cloud computing (AWS, Microsoft Azure, Google Cloud)
Preferred Qualifications:
* 7\+ years of experience in application development including Python, SQL, Scala, or Java
* 4\+ years of experience with a public cloud (AWS, Microsoft Azure, Google Cloud)
* 4\+ years experience with Distributed data/computing tools (MapReduce, Hadoop, Hive, EMR, Kafka, Spark, Gurobi, or MySQL)
* 4\+ year experience working on real\-time data and streaming applications
* 4\+ years of experience with NoSQL implementation (Mongo, Cassandra)
* 4\+ years of data warehousing experience (Redshift or Snowflake)
* 4\+ years of experience with UNIX/Linux including basic commands and shell scripting
* 2\+ years of experience with Agile engineering practices
 *At this time, Capital One will not sponsor a new applicant for employment authorization, or offer any immigration related support for this position (i.e. H1B, F\-1 OPT, F\-1 STEM OPT, F\-1 CPT, J\-1, TN, E\-2, E\-3, L\-1 and O\-1, or any EADs or other forms of work authorization that require immigration support from an employer).*
The minimum and maximum full\-time annual salaries for this role are listed below, by location. Please note that this salary information is solely for candidates hired to perform work within one of these locations, and refers to the amount Capital One is willing to pay at the time of this posting. Salaries for part\-time roles will be prorated based upon the agreed upon number of hours to be regularly worked.
McLean, VA: $197,300 \- $225,100 for Lead Data Engineer  
Richmond, VA: $179,400 \- $204,700 for Lead Data Engineer  
Candidates hired to work in other locations will be subject to the pay range associated with that location, and the actual annualized salary amount offered to any candidate at the time of hire will be reflected solely in the candidate’s offer letter.
This role is also eligible to earn performance based incentive compensation, which may include cash bonus(es) and/or long term incentives (LTI). Incentives could be discretionary or non discretionary depending on the plan.
Capital One offers a comprehensive, competitive, and inclusive set of health, financial and other benefits that support your total well\-being. Learn more at the Capital One Careers website. Eligibility varies based on full or part\-time status, exempt or non\-exempt status, and management level.
This role is expected to accept applications for a minimum of 5 business days.
No agencies please. Capital One is an equal opportunity employer (EOE, including disability/vet) committed to non\-discrimination in compliance with applicable federal, state, and local laws. Capital One promotes a drug\-free workplace. Capital One will consider for employment qualified applicants with a criminal history in a manner consistent with the requirements of applicable laws regarding criminal background inquiries, including, to the extent applicable, Article 23\-A of the New York Correction Law; San Francisco, California Police Code Article 49, Sections 4901\-4920; New York City’s Fair Chance Act; Philadelphia’s Fair Criminal Records Screening Act; and other applicable federal, state, and local laws and regulations regarding criminal background inquiries.
If you have visited our website in search of information on employment opportunities or to apply for a position, and you require an accommodation, please contact Capital One Recruiting at 1\-800\-304\-9102 or via email at RecruitingAccommodation@capitalone.com. All information you provide will be kept confidential and will be used only to the extent required to provide needed reasonable accommodations.
For technical support or questions about Capital One's recruiting process, please send an email to Careers@capitalone.com
Capital One does not provide, endorse nor guarantee and is not liable for third\-party products, services, educational tools or other information available through this site.
Capital One Financial is made up of several different entities. Please note that any position posted in Canada is for Capital One Canada, any position posted in the United Kingdom is for Capital One Europe and any position posted in the Philippines is for Capital One Philippines Service Corp. (COPSSC).</t>
        </is>
      </c>
    </row>
    <row r="10">
      <c r="A10" t="inlineStr">
        <is>
          <t>in-dc15e78f5d3613f8</t>
        </is>
      </c>
      <c r="B10" t="inlineStr">
        <is>
          <t>Data Engineer II, AWS Commerce Platform-ADC</t>
        </is>
      </c>
      <c r="C10" t="inlineStr">
        <is>
          <t>Amazon Web Services</t>
        </is>
      </c>
      <c r="D10" t="inlineStr">
        <is>
          <t>indeed</t>
        </is>
      </c>
      <c r="E10">
        <f>HYPERLINK("https://www.indeed.com/viewjob?jk=dc15e78f5d3613f8", "https://www.indeed.com/viewjob?jk=dc15e78f5d3613f8")</f>
        <v/>
      </c>
      <c r="F10">
        <f>HYPERLINK("https://www.amazon.jobs/jobs/3191228/data-engineer-ii-aws-commerce-platformadc?cmpid=DA_INAD200785B", "https://www.amazon.jobs/jobs/3191228/data-engineer-ii-aws-commerce-platformadc?cmpid=DA_INAD200785B")</f>
        <v/>
      </c>
      <c r="G10" t="inlineStr">
        <is>
          <t>Denver, CO, US</t>
        </is>
      </c>
      <c r="H10" s="1" t="n">
        <v>46078</v>
      </c>
      <c r="I10" t="inlineStr">
        <is>
          <t>**DESCRIPTION**
---------------
Application deadline: Mar 9, 2026  
The US ADC Commerce Platform team is looking for a Data Engineer to join us in building, owning, and operating massively scalable solutions in support of the U.S. Intelligence Community.  
In this role you will join a team of highly talented engineers developing and maintaining Amazon’s billing systems in air\-gapped cloud environments as well as services and tooling to improve how we operate these services. This role enables you to deliver impact at scale, and the work you do unlocks the latest in billing and cost management capabilities for all of our U.S. ADC customers.  
A successful Data Engineer is passionate about using data science to answer questions on behalf of customers, optimizes system workflows and identifies other operational efficiencies, plus implements audit and safety controls to ensure availability, reliability, and accuracy.  
This position requires that the candidate selected must currently possess and maintain an active TS/SCI with polygraph security clearance. The position further requires that, after start, the selected candidate obtain and maintain an active TS/SCI security clearance with polygraph or commensurate clearance for each government agency for which they perform AWS work.  
10012  
Key job responsibilities  
* Collaboration and Product Development: Interact with business and software teams to understand their requirements and operational processes, to inform design
* Data Modeling and Architecture: Develop robust data models and architectures that support the organization's data\-driven initiatives, ensuring data quality, consistency, and accessibility.
* Data Pipelines: Maintain existing data sources and integrations while supporting migrations, ingestion, transforms, and new performance/scaling requirements
* Scalability and Performance: Design and implement scalable data solutions that can handle increasing data volumes and support high\-performance data access and querying.
* Documentation \&amp; Continuous Improvement: Create, enhance, and maintain technical documentation
About the team  
Why AWS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  
AWS Infrastructure Services (AIS)  
AWS Infrastructure Services owns the design, planning, delivery, and operation of all AWS global infrastructure. In other words, we’re the people who keep the cloud running. We support all AWS data centers and all of the servers, storage, networking, power, and cooling equipment that ensure our customers have continual access to the innovation they rely on. We work on the most challenging problems, with thousands of variables impacting the supply chain — and we’re looking for talented people who want to help.  
Inclusive Team Culture  
Here at AWS, it’s in our nature to learn and be curious. Our employee\-led affinity groups foster a culture of inclusion that empower us to be proud of our differences. Ongoing events and learning experiences, including our Conversations on Race and Ethnicity (CORE) and AmazeCon conferences, inspire us to never stop embracing our uniqueness.  
Work/Life Balance  
We value work\-life harmony. Achieving success at work should never come at the expense of sacrifices at home, which is why we strive for flexibility as part of our working culture. When we feel supported in the workplace and at home, there’s nothing we can’t achieve in the cloud.  
Mentorship and Career Growth  
We’re continuously raising our performance bar as we strive to become Earth’s Best Employer. That’s why you’ll find endless knowledge\-sharing, mentorship and other career\-advancing resources here to help you develop into a better\-rounded professional.  
Diverse Experiences  
Amazon values diverse experiences. Even if you do not meet all of the preferred qualifications and skills listed in the job description, we encourage candidates to apply. If your career is just starting, hasn’t followed a traditional path, or includes alternative experiences, don’t let it stop you from applying.**BASIC QUALIFICATIONS**
------------------------
* 3\+ years of data engineering experience
* 1\+ years of developing and operating large\-scale data structures for business intelligence analytics using ETL/ELT processes experience
* Experience with data modeling, warehousing and building ETL pipelines
* 1\+ years of developing and operating large\-scale data structures for business intelligence analytics using data modeling or OLAP technologies experience
* 1\+ years of developing and operating large\-scale data structures for business intelligence analytics using Oracle or SQL experience
* Current, active US Government Security Clearance of TS/SCI with Polygraph
**PREFERRED QUALIFICATIONS**
----------------------------
* Experience with AWS technologies like Redshift, S3, AWS Glue, EMR, Kinesis, FireHose, Lambda, and IAM roles and permissions
* Experience with non\-relational databases / data stores (object storage, document or key\-value stores, graph databases, column\-family databases)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CO, Denver \- 132,100\.00 \- 178,800\.00 USD annually  
USA, MD, Jessup \- 132,100\.00 \- 178,800\.00 USD annually  
USA, VA, Arlington \- 132,100\.00 \- 178,800\.00 USD annually  
USA, VA, Herndon \- 132,100\.00 \- 178,800\.00 USD annually  
USA, WA, Seattle \- 132,100\.00 \- 178,800\.00 USD annually</t>
        </is>
      </c>
    </row>
    <row r="11">
      <c r="A11" t="inlineStr">
        <is>
          <t>in-6f747465913388f8</t>
        </is>
      </c>
      <c r="B11" t="inlineStr">
        <is>
          <t>Data Engineer II, AWS Commerce Platform-ADC</t>
        </is>
      </c>
      <c r="C11" t="inlineStr">
        <is>
          <t>Amazon Web Services</t>
        </is>
      </c>
      <c r="D11" t="inlineStr">
        <is>
          <t>indeed</t>
        </is>
      </c>
      <c r="E11">
        <f>HYPERLINK("https://www.indeed.com/viewjob?jk=6f747465913388f8", "https://www.indeed.com/viewjob?jk=6f747465913388f8")</f>
        <v/>
      </c>
      <c r="F11">
        <f>HYPERLINK("https://www.amazon.jobs/jobs/3191228/data-engineer-ii-aws-commerce-platformadc?cmpid=DA_INAD200785B", "https://www.amazon.jobs/jobs/3191228/data-engineer-ii-aws-commerce-platformadc?cmpid=DA_INAD200785B")</f>
        <v/>
      </c>
      <c r="G11" t="inlineStr">
        <is>
          <t>Seattle, WA, US</t>
        </is>
      </c>
      <c r="H11" s="1" t="n">
        <v>46078</v>
      </c>
      <c r="I11" t="inlineStr">
        <is>
          <t>**DESCRIPTION**
---------------
Application deadline: Mar 9, 2026  
The US ADC Commerce Platform team is looking for a Data Engineer to join us in building, owning, and operating massively scalable solutions in support of the U.S. Intelligence Community.  
In this role you will join a team of highly talented engineers developing and maintaining Amazon’s billing systems in air\-gapped cloud environments as well as services and tooling to improve how we operate these services. This role enables you to deliver impact at scale, and the work you do unlocks the latest in billing and cost management capabilities for all of our U.S. ADC customers.  
A successful Data Engineer is passionate about using data science to answer questions on behalf of customers, optimizes system workflows and identifies other operational efficiencies, plus implements audit and safety controls to ensure availability, reliability, and accuracy.  
This position requires that the candidate selected must currently possess and maintain an active TS/SCI with polygraph security clearance. The position further requires that, after start, the selected candidate obtain and maintain an active TS/SCI security clearance with polygraph or commensurate clearance for each government agency for which they perform AWS work.  
10012  
Key job responsibilities  
* Collaboration and Product Development: Interact with business and software teams to understand their requirements and operational processes, to inform design
* Data Modeling and Architecture: Develop robust data models and architectures that support the organization's data\-driven initiatives, ensuring data quality, consistency, and accessibility.
* Data Pipelines: Maintain existing data sources and integrations while supporting migrations, ingestion, transforms, and new performance/scaling requirements
* Scalability and Performance: Design and implement scalable data solutions that can handle increasing data volumes and support high\-performance data access and querying.
* Documentation \&amp; Continuous Improvement: Create, enhance, and maintain technical documentation
About the team  
Why AWS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  
AWS Infrastructure Services (AIS)  
AWS Infrastructure Services owns the design, planning, delivery, and operation of all AWS global infrastructure. In other words, we’re the people who keep the cloud running. We support all AWS data centers and all of the servers, storage, networking, power, and cooling equipment that ensure our customers have continual access to the innovation they rely on. We work on the most challenging problems, with thousands of variables impacting the supply chain — and we’re looking for talented people who want to help.  
Inclusive Team Culture  
Here at AWS, it’s in our nature to learn and be curious. Our employee\-led affinity groups foster a culture of inclusion that empower us to be proud of our differences. Ongoing events and learning experiences, including our Conversations on Race and Ethnicity (CORE) and AmazeCon conferences, inspire us to never stop embracing our uniqueness.  
Work/Life Balance  
We value work\-life harmony. Achieving success at work should never come at the expense of sacrifices at home, which is why we strive for flexibility as part of our working culture. When we feel supported in the workplace and at home, there’s nothing we can’t achieve in the cloud.  
Mentorship and Career Growth  
We’re continuously raising our performance bar as we strive to become Earth’s Best Employer. That’s why you’ll find endless knowledge\-sharing, mentorship and other career\-advancing resources here to help you develop into a better\-rounded professional.  
Diverse Experiences  
Amazon values diverse experiences. Even if you do not meet all of the preferred qualifications and skills listed in the job description, we encourage candidates to apply. If your career is just starting, hasn’t followed a traditional path, or includes alternative experiences, don’t let it stop you from applying.**BASIC QUALIFICATIONS**
------------------------
* 3\+ years of data engineering experience
* 1\+ years of developing and operating large\-scale data structures for business intelligence analytics using ETL/ELT processes experience
* Experience with data modeling, warehousing and building ETL pipelines
* 1\+ years of developing and operating large\-scale data structures for business intelligence analytics using data modeling or OLAP technologies experience
* 1\+ years of developing and operating large\-scale data structures for business intelligence analytics using Oracle or SQL experience
* Current, active US Government Security Clearance of TS/SCI with Polygraph
**PREFERRED QUALIFICATIONS**
----------------------------
* Experience with AWS technologies like Redshift, S3, AWS Glue, EMR, Kinesis, FireHose, Lambda, and IAM roles and permissions
* Experience with non\-relational databases / data stores (object storage, document or key\-value stores, graph databases, column\-family databases)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CO, Denver \- 132,100\.00 \- 178,800\.00 USD annually  
USA, MD, Jessup \- 132,100\.00 \- 178,800\.00 USD annually  
USA, VA, Arlington \- 132,100\.00 \- 178,800\.00 USD annually  
USA, VA, Herndon \- 132,100\.00 \- 178,800\.00 USD annually  
USA, WA, Seattle \- 132,100\.00 \- 178,800\.00 USD annually</t>
        </is>
      </c>
    </row>
    <row r="12">
      <c r="A12" t="inlineStr">
        <is>
          <t>in-c34e731a0a1b00bc</t>
        </is>
      </c>
      <c r="B12" t="inlineStr">
        <is>
          <t>Data Engineer II, AWS Commerce Platform-ADC</t>
        </is>
      </c>
      <c r="C12" t="inlineStr">
        <is>
          <t>Amazon Web Services</t>
        </is>
      </c>
      <c r="D12" t="inlineStr">
        <is>
          <t>indeed</t>
        </is>
      </c>
      <c r="E12">
        <f>HYPERLINK("https://www.indeed.com/viewjob?jk=c34e731a0a1b00bc", "https://www.indeed.com/viewjob?jk=c34e731a0a1b00bc")</f>
        <v/>
      </c>
      <c r="F12">
        <f>HYPERLINK("https://www.amazon.jobs/jobs/3191228/data-engineer-ii-aws-commerce-platformadc?cmpid=DA_INAD200785B", "https://www.amazon.jobs/jobs/3191228/data-engineer-ii-aws-commerce-platformadc?cmpid=DA_INAD200785B")</f>
        <v/>
      </c>
      <c r="G12" t="inlineStr">
        <is>
          <t>Herndon, VA, US</t>
        </is>
      </c>
      <c r="H12" s="1" t="n">
        <v>46078</v>
      </c>
      <c r="I12" t="inlineStr">
        <is>
          <t>**DESCRIPTION**
---------------
Application deadline: Mar 9, 2026  
The US ADC Commerce Platform team is looking for a Data Engineer to join us in building, owning, and operating massively scalable solutions in support of the U.S. Intelligence Community.  
In this role you will join a team of highly talented engineers developing and maintaining Amazon’s billing systems in air\-gapped cloud environments as well as services and tooling to improve how we operate these services. This role enables you to deliver impact at scale, and the work you do unlocks the latest in billing and cost management capabilities for all of our U.S. ADC customers.  
A successful Data Engineer is passionate about using data science to answer questions on behalf of customers, optimizes system workflows and identifies other operational efficiencies, plus implements audit and safety controls to ensure availability, reliability, and accuracy.  
This position requires that the candidate selected must currently possess and maintain an active TS/SCI with polygraph security clearance. The position further requires that, after start, the selected candidate obtain and maintain an active TS/SCI security clearance with polygraph or commensurate clearance for each government agency for which they perform AWS work.  
10012  
Key job responsibilities  
* Collaboration and Product Development: Interact with business and software teams to understand their requirements and operational processes, to inform design
* Data Modeling and Architecture: Develop robust data models and architectures that support the organization's data\-driven initiatives, ensuring data quality, consistency, and accessibility.
* Data Pipelines: Maintain existing data sources and integrations while supporting migrations, ingestion, transforms, and new performance/scaling requirements
* Scalability and Performance: Design and implement scalable data solutions that can handle increasing data volumes and support high\-performance data access and querying.
* Documentation \&amp; Continuous Improvement: Create, enhance, and maintain technical documentation
About the team  
Why AWS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  
AWS Infrastructure Services (AIS)  
AWS Infrastructure Services owns the design, planning, delivery, and operation of all AWS global infrastructure. In other words, we’re the people who keep the cloud running. We support all AWS data centers and all of the servers, storage, networking, power, and cooling equipment that ensure our customers have continual access to the innovation they rely on. We work on the most challenging problems, with thousands of variables impacting the supply chain — and we’re looking for talented people who want to help.  
Inclusive Team Culture  
Here at AWS, it’s in our nature to learn and be curious. Our employee\-led affinity groups foster a culture of inclusion that empower us to be proud of our differences. Ongoing events and learning experiences, including our Conversations on Race and Ethnicity (CORE) and AmazeCon conferences, inspire us to never stop embracing our uniqueness.  
Work/Life Balance  
We value work\-life harmony. Achieving success at work should never come at the expense of sacrifices at home, which is why we strive for flexibility as part of our working culture. When we feel supported in the workplace and at home, there’s nothing we can’t achieve in the cloud.  
Mentorship and Career Growth  
We’re continuously raising our performance bar as we strive to become Earth’s Best Employer. That’s why you’ll find endless knowledge\-sharing, mentorship and other career\-advancing resources here to help you develop into a better\-rounded professional.  
Diverse Experiences  
Amazon values diverse experiences. Even if you do not meet all of the preferred qualifications and skills listed in the job description, we encourage candidates to apply. If your career is just starting, hasn’t followed a traditional path, or includes alternative experiences, don’t let it stop you from applying.**BASIC QUALIFICATIONS**
------------------------
* 3\+ years of data engineering experience
* 1\+ years of developing and operating large\-scale data structures for business intelligence analytics using ETL/ELT processes experience
* Experience with data modeling, warehousing and building ETL pipelines
* 1\+ years of developing and operating large\-scale data structures for business intelligence analytics using data modeling or OLAP technologies experience
* 1\+ years of developing and operating large\-scale data structures for business intelligence analytics using Oracle or SQL experience
* Current, active US Government Security Clearance of TS/SCI with Polygraph
**PREFERRED QUALIFICATIONS**
----------------------------
* Experience with AWS technologies like Redshift, S3, AWS Glue, EMR, Kinesis, FireHose, Lambda, and IAM roles and permissions
* Experience with non\-relational databases / data stores (object storage, document or key\-value stores, graph databases, column\-family databases)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CO, Denver \- 132,100\.00 \- 178,800\.00 USD annually  
USA, MD, Jessup \- 132,100\.00 \- 178,800\.00 USD annually  
USA, VA, Arlington \- 132,100\.00 \- 178,800\.00 USD annually  
USA, VA, Herndon \- 132,100\.00 \- 178,800\.00 USD annually  
USA, WA, Seattle \- 132,100\.00 \- 178,800\.00 USD annually</t>
        </is>
      </c>
    </row>
    <row r="13">
      <c r="A13" t="inlineStr">
        <is>
          <t>in-41bf5d4b7d6c116f</t>
        </is>
      </c>
      <c r="B13" t="inlineStr">
        <is>
          <t>Data Engineer II, AWS Commerce Platform-ADC</t>
        </is>
      </c>
      <c r="C13" t="inlineStr">
        <is>
          <t>Amazon Web Services</t>
        </is>
      </c>
      <c r="D13" t="inlineStr">
        <is>
          <t>indeed</t>
        </is>
      </c>
      <c r="E13">
        <f>HYPERLINK("https://www.indeed.com/viewjob?jk=41bf5d4b7d6c116f", "https://www.indeed.com/viewjob?jk=41bf5d4b7d6c116f")</f>
        <v/>
      </c>
      <c r="F13">
        <f>HYPERLINK("https://www.amazon.jobs/jobs/3191228/data-engineer-ii-aws-commerce-platformadc?cmpid=DA_INAD200785B", "https://www.amazon.jobs/jobs/3191228/data-engineer-ii-aws-commerce-platformadc?cmpid=DA_INAD200785B")</f>
        <v/>
      </c>
      <c r="G13" t="inlineStr">
        <is>
          <t>Arlington, VA, US</t>
        </is>
      </c>
      <c r="H13" s="1" t="n">
        <v>46078</v>
      </c>
      <c r="I13" t="inlineStr">
        <is>
          <t>**DESCRIPTION**
---------------
Application deadline: Mar 9, 2026  
The US ADC Commerce Platform team is looking for a Data Engineer to join us in building, owning, and operating massively scalable solutions in support of the U.S. Intelligence Community.  
In this role you will join a team of highly talented engineers developing and maintaining Amazon’s billing systems in air\-gapped cloud environments as well as services and tooling to improve how we operate these services. This role enables you to deliver impact at scale, and the work you do unlocks the latest in billing and cost management capabilities for all of our U.S. ADC customers.  
A successful Data Engineer is passionate about using data science to answer questions on behalf of customers, optimizes system workflows and identifies other operational efficiencies, plus implements audit and safety controls to ensure availability, reliability, and accuracy.  
This position requires that the candidate selected must currently possess and maintain an active TS/SCI with polygraph security clearance. The position further requires that, after start, the selected candidate obtain and maintain an active TS/SCI security clearance with polygraph or commensurate clearance for each government agency for which they perform AWS work.  
10012  
Key job responsibilities  
* Collaboration and Product Development: Interact with business and software teams to understand their requirements and operational processes, to inform design
* Data Modeling and Architecture: Develop robust data models and architectures that support the organization's data\-driven initiatives, ensuring data quality, consistency, and accessibility.
* Data Pipelines: Maintain existing data sources and integrations while supporting migrations, ingestion, transforms, and new performance/scaling requirements
* Scalability and Performance: Design and implement scalable data solutions that can handle increasing data volumes and support high\-performance data access and querying.
* Documentation \&amp; Continuous Improvement: Create, enhance, and maintain technical documentation
About the team  
Why AWS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  
AWS Infrastructure Services (AIS)  
AWS Infrastructure Services owns the design, planning, delivery, and operation of all AWS global infrastructure. In other words, we’re the people who keep the cloud running. We support all AWS data centers and all of the servers, storage, networking, power, and cooling equipment that ensure our customers have continual access to the innovation they rely on. We work on the most challenging problems, with thousands of variables impacting the supply chain — and we’re looking for talented people who want to help.  
Inclusive Team Culture  
Here at AWS, it’s in our nature to learn and be curious. Our employee\-led affinity groups foster a culture of inclusion that empower us to be proud of our differences. Ongoing events and learning experiences, including our Conversations on Race and Ethnicity (CORE) and AmazeCon conferences, inspire us to never stop embracing our uniqueness.  
Work/Life Balance  
We value work\-life harmony. Achieving success at work should never come at the expense of sacrifices at home, which is why we strive for flexibility as part of our working culture. When we feel supported in the workplace and at home, there’s nothing we can’t achieve in the cloud.  
Mentorship and Career Growth  
We’re continuously raising our performance bar as we strive to become Earth’s Best Employer. That’s why you’ll find endless knowledge\-sharing, mentorship and other career\-advancing resources here to help you develop into a better\-rounded professional.  
Diverse Experiences  
Amazon values diverse experiences. Even if you do not meet all of the preferred qualifications and skills listed in the job description, we encourage candidates to apply. If your career is just starting, hasn’t followed a traditional path, or includes alternative experiences, don’t let it stop you from applying.**BASIC QUALIFICATIONS**
------------------------
* 3\+ years of data engineering experience
* 1\+ years of developing and operating large\-scale data structures for business intelligence analytics using ETL/ELT processes experience
* Experience with data modeling, warehousing and building ETL pipelines
* 1\+ years of developing and operating large\-scale data structures for business intelligence analytics using data modeling or OLAP technologies experience
* 1\+ years of developing and operating large\-scale data structures for business intelligence analytics using Oracle or SQL experience
* Current, active US Government Security Clearance of TS/SCI with Polygraph
**PREFERRED QUALIFICATIONS**
----------------------------
* Experience with AWS technologies like Redshift, S3, AWS Glue, EMR, Kinesis, FireHose, Lambda, and IAM roles and permissions
* Experience with non\-relational databases / data stores (object storage, document or key\-value stores, graph databases, column\-family databases)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CO, Denver \- 132,100\.00 \- 178,800\.00 USD annually  
USA, MD, Jessup \- 132,100\.00 \- 178,800\.00 USD annually  
USA, VA, Arlington \- 132,100\.00 \- 178,800\.00 USD annually  
USA, VA, Herndon \- 132,100\.00 \- 178,800\.00 USD annually  
USA, WA, Seattle \- 132,100\.00 \- 178,800\.00 USD annually</t>
        </is>
      </c>
    </row>
    <row r="14">
      <c r="A14" t="inlineStr">
        <is>
          <t>in-31297a87799aa294</t>
        </is>
      </c>
      <c r="B14" t="inlineStr">
        <is>
          <t>Data Engineer II, AWS Commerce Platform-ADC</t>
        </is>
      </c>
      <c r="C14" t="inlineStr">
        <is>
          <t>Amazon Web Services</t>
        </is>
      </c>
      <c r="D14" t="inlineStr">
        <is>
          <t>indeed</t>
        </is>
      </c>
      <c r="E14">
        <f>HYPERLINK("https://www.indeed.com/viewjob?jk=31297a87799aa294", "https://www.indeed.com/viewjob?jk=31297a87799aa294")</f>
        <v/>
      </c>
      <c r="F14">
        <f>HYPERLINK("https://www.amazon.jobs/jobs/3191228/data-engineer-ii-aws-commerce-platformadc?cmpid=DA_INAD200785B", "https://www.amazon.jobs/jobs/3191228/data-engineer-ii-aws-commerce-platformadc?cmpid=DA_INAD200785B")</f>
        <v/>
      </c>
      <c r="G14" t="inlineStr">
        <is>
          <t>Jessup, MD, US</t>
        </is>
      </c>
      <c r="H14" s="1" t="n">
        <v>46078</v>
      </c>
      <c r="I14" t="inlineStr">
        <is>
          <t>**DESCRIPTION**
---------------
Application deadline: Mar 9, 2026  
The US ADC Commerce Platform team is looking for a Data Engineer to join us in building, owning, and operating massively scalable solutions in support of the U.S. Intelligence Community.  
In this role you will join a team of highly talented engineers developing and maintaining Amazon’s billing systems in air\-gapped cloud environments as well as services and tooling to improve how we operate these services. This role enables you to deliver impact at scale, and the work you do unlocks the latest in billing and cost management capabilities for all of our U.S. ADC customers.  
A successful Data Engineer is passionate about using data science to answer questions on behalf of customers, optimizes system workflows and identifies other operational efficiencies, plus implements audit and safety controls to ensure availability, reliability, and accuracy.  
This position requires that the candidate selected must currently possess and maintain an active TS/SCI with polygraph security clearance. The position further requires that, after start, the selected candidate obtain and maintain an active TS/SCI security clearance with polygraph or commensurate clearance for each government agency for which they perform AWS work.  
10012  
Key job responsibilities  
* Collaboration and Product Development: Interact with business and software teams to understand their requirements and operational processes, to inform design
* Data Modeling and Architecture: Develop robust data models and architectures that support the organization's data\-driven initiatives, ensuring data quality, consistency, and accessibility.
* Data Pipelines: Maintain existing data sources and integrations while supporting migrations, ingestion, transforms, and new performance/scaling requirements
* Scalability and Performance: Design and implement scalable data solutions that can handle increasing data volumes and support high\-performance data access and querying.
* Documentation \&amp; Continuous Improvement: Create, enhance, and maintain technical documentation
About the team  
Why AWS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  
AWS Infrastructure Services (AIS)  
AWS Infrastructure Services owns the design, planning, delivery, and operation of all AWS global infrastructure. In other words, we’re the people who keep the cloud running. We support all AWS data centers and all of the servers, storage, networking, power, and cooling equipment that ensure our customers have continual access to the innovation they rely on. We work on the most challenging problems, with thousands of variables impacting the supply chain — and we’re looking for talented people who want to help.  
Inclusive Team Culture  
Here at AWS, it’s in our nature to learn and be curious. Our employee\-led affinity groups foster a culture of inclusion that empower us to be proud of our differences. Ongoing events and learning experiences, including our Conversations on Race and Ethnicity (CORE) and AmazeCon conferences, inspire us to never stop embracing our uniqueness.  
Work/Life Balance  
We value work\-life harmony. Achieving success at work should never come at the expense of sacrifices at home, which is why we strive for flexibility as part of our working culture. When we feel supported in the workplace and at home, there’s nothing we can’t achieve in the cloud.  
Mentorship and Career Growth  
We’re continuously raising our performance bar as we strive to become Earth’s Best Employer. That’s why you’ll find endless knowledge\-sharing, mentorship and other career\-advancing resources here to help you develop into a better\-rounded professional.  
Diverse Experiences  
Amazon values diverse experiences. Even if you do not meet all of the preferred qualifications and skills listed in the job description, we encourage candidates to apply. If your career is just starting, hasn’t followed a traditional path, or includes alternative experiences, don’t let it stop you from applying.**BASIC QUALIFICATIONS**
------------------------
* 3\+ years of data engineering experience
* 1\+ years of developing and operating large\-scale data structures for business intelligence analytics using ETL/ELT processes experience
* Experience with data modeling, warehousing and building ETL pipelines
* 1\+ years of developing and operating large\-scale data structures for business intelligence analytics using data modeling or OLAP technologies experience
* 1\+ years of developing and operating large\-scale data structures for business intelligence analytics using Oracle or SQL experience
* Current, active US Government Security Clearance of TS/SCI with Polygraph
**PREFERRED QUALIFICATIONS**
----------------------------
* Experience with AWS technologies like Redshift, S3, AWS Glue, EMR, Kinesis, FireHose, Lambda, and IAM roles and permissions
* Experience with non\-relational databases / data stores (object storage, document or key\-value stores, graph databases, column\-family databases)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CO, Denver \- 132,100\.00 \- 178,800\.00 USD annually  
USA, MD, Jessup \- 132,100\.00 \- 178,800\.00 USD annually  
USA, VA, Arlington \- 132,100\.00 \- 178,800\.00 USD annually  
USA, VA, Herndon \- 132,100\.00 \- 178,800\.00 USD annually  
USA, WA, Seattle \- 132,100\.00 \- 178,800\.00 USD annually</t>
        </is>
      </c>
    </row>
    <row r="15">
      <c r="A15" t="inlineStr">
        <is>
          <t>in-804f4ad36632f76e</t>
        </is>
      </c>
      <c r="B15" t="inlineStr">
        <is>
          <t>Data Engineer II , UTR PLanning Tech</t>
        </is>
      </c>
      <c r="C15" t="inlineStr">
        <is>
          <t>Amazon.com</t>
        </is>
      </c>
      <c r="D15" t="inlineStr">
        <is>
          <t>indeed</t>
        </is>
      </c>
      <c r="E15">
        <f>HYPERLINK("https://www.indeed.com/viewjob?jk=804f4ad36632f76e", "https://www.indeed.com/viewjob?jk=804f4ad36632f76e")</f>
        <v/>
      </c>
      <c r="F15">
        <f>HYPERLINK("https://www.amazon.jobs/jobs/3186425/data-engineer-ii--utr-planning-tech?cmpid=DA_INAD200785B", "https://www.amazon.jobs/jobs/3186425/data-engineer-ii--utr-planning-tech?cmpid=DA_INAD200785B")</f>
        <v/>
      </c>
      <c r="G15" t="inlineStr">
        <is>
          <t>Nashville, TN, US</t>
        </is>
      </c>
      <c r="H15" s="1" t="n">
        <v>46070</v>
      </c>
      <c r="I15" t="inlineStr">
        <is>
          <t>**DESCRIPTION**
---------------
UTR Planning Tech builds the data infrastructure that powers labor planning across 12 Amazon last\-mile and sort\-center business lines. Our pipelines feed the planning systems that determine how Amazon staffs its delivery network, serving hundreds of sites and processing millions of data points daily.  
Our team is shifting from hand\-coded, custom pipelines to an AI\-native approach. We are building reusable frameworks where engineers and business users define what they need through configurations and natural language instead of writing custom code for every use case. AI agents handle orchestration, validation, and deployment. We are early in this transformation, which means you will not inherit a finished system. You will help define how we build, what patterns we standardize, and how AI fits into data engineering workflows. If you want to learn fast and have a hand in shaping the way a team works, this is that opportunity.  
We are hiring a Data Engineer to own significant portions of our data architecture, drive the design of AI\-powered frameworks, and deliver data solutions that directly impact planning accuracy across Amazon's delivery network.  
Key job responsibilities  
UTR Planning Tech builds the data infrastructure that powers labor planning across 12 Amazon last\-mile and sort\-center business lines. Our pipelines feed the planning systems that determine how Amazon staffs its delivery network, serving hundreds of sites and processing millions of data points daily.  
Our team is shifting from hand\-coded, custom pipelines to an AI\-native approach. We are building reusable frameworks where engineers and business users define what they need through configurations and natural language instead of writing custom code for every use case. AI agents handle orchestration, validation, and deployment. We are early in this transformation, which means you will not inherit a finished system. You will help define how we build, what patterns we standardize, and how AI fits into data engineering workflows. If you want to learn fast and have a hand in shaping the way a team works, this is that opportunity.  
We are hiring a Data Engineer to own significant portions of our data architecture, drive the design of AI\-powered frameworks, and deliver data solutions that directly impact planning accuracy across Amazon's delivery network.  
Key job responsibilities  
* Design and own logical and physical data models for major datasets in the team's architecture. Create coherent models that drive physical design and serve multiple downstream consumers.
* Build and optimize ETL pipelines for complex datasets using AWS services (Redshift, S3, EMR, Glue, Lambda, Athena) and Python\-based orchestration (Airflow/MWAA). Your solutions will be testable, maintainable, and efficient.
* Design and build configuration\-driven data frameworks that replace repetitive custom code with reusable, declarative patterns for ingestion, transformation, and metric curation. Own the design of these frameworks, not just the implementation.
* Build AI agent tooling and MCP\-based interfaces that allow conversational agents to generate SQL, validate configurations, manage data quality rules, and execute pipeline operations through natural language.
* Own ongoing data quality for datasets you build. Implement standardized data contracts, define SLAs, establish data certification processes, and automate manual quality processes.
* Work with planning scientists, software engineers, BI engineers, and product managers to balance customer requirements with technical requirements. Help shape what we build, not just how.
* Improve self\-service access to data. Build analytical data models and tooling that reduce dependency on the DE team for common data access patterns.
* Improve engineering processes: automate manual operations, establish monitoring and alerting standards, and drive code quality and dependency management practices.
* Mentor engineers and interns. Train new team members on how team data solutions are constructed, how they operate, and how they fit into the broader architecture.
* Participate in the interview process and help recruit for the team.
**BASIC QUALIFICATIONS**
------------------------
* 3\+ years of data engineering experience
* 1\+ years of developing and operating large\-scale data structures for business intelligence analytics using ETL/ELT processes experience
* 1\+ years of developing and operating large\-scale data structures for business intelligence analytics using OLAP technologies experience
* 1\+ years of developing and operating large\-scale data structures for business intelligence analytics using data modeling experience
* 1\+ years of developing and operating large\-scale data structures for business intelligence analytics using SQL experience
* 1\+ years of developing and operating large\-scale data structures for business intelligence analytics using Oracle experience
* Experience with data modeling, warehousing and building ETL pipelines
**PREFERRED QUALIFICATIONS**
----------------------------
* Experience with AWS technologies like Redshift, S3, AWS Glue, EMR, Kinesis, FireHose, Lambda, and IAM roles and permissions
* Experience with non\-relational databases / data stores (object storage, document or key\-value stores, graph databases, column\-family databases)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TN, Nashville \- 125,500\.00 \- 169,800\.00 USD annually  
USA, TX, Austin \- 132,100\.00 \- 178,800\.00 USD annually  
USA, WA, Bellevue \- 132,100\.00 \- 178,800\.00 USD annually</t>
        </is>
      </c>
    </row>
    <row r="16">
      <c r="A16" t="inlineStr">
        <is>
          <t>in-1c342fc37d666274</t>
        </is>
      </c>
      <c r="B16" t="inlineStr">
        <is>
          <t>Data Engineer II , UTR PLanning Tech</t>
        </is>
      </c>
      <c r="C16" t="inlineStr">
        <is>
          <t>Amazon.com</t>
        </is>
      </c>
      <c r="D16" t="inlineStr">
        <is>
          <t>indeed</t>
        </is>
      </c>
      <c r="E16">
        <f>HYPERLINK("https://www.indeed.com/viewjob?jk=1c342fc37d666274", "https://www.indeed.com/viewjob?jk=1c342fc37d666274")</f>
        <v/>
      </c>
      <c r="F16">
        <f>HYPERLINK("https://www.amazon.jobs/jobs/3186425/data-engineer-ii--utr-planning-tech?cmpid=DA_INAD200785B", "https://www.amazon.jobs/jobs/3186425/data-engineer-ii--utr-planning-tech?cmpid=DA_INAD200785B")</f>
        <v/>
      </c>
      <c r="G16" t="inlineStr">
        <is>
          <t>Austin, TX, US</t>
        </is>
      </c>
      <c r="H16" s="1" t="n">
        <v>46070</v>
      </c>
      <c r="I16" t="inlineStr">
        <is>
          <t>**DESCRIPTION**
---------------
UTR Planning Tech builds the data infrastructure that powers labor planning across 12 Amazon last\-mile and sort\-center business lines. Our pipelines feed the planning systems that determine how Amazon staffs its delivery network, serving hundreds of sites and processing millions of data points daily.  
Our team is shifting from hand\-coded, custom pipelines to an AI\-native approach. We are building reusable frameworks where engineers and business users define what they need through configurations and natural language instead of writing custom code for every use case. AI agents handle orchestration, validation, and deployment. We are early in this transformation, which means you will not inherit a finished system. You will help define how we build, what patterns we standardize, and how AI fits into data engineering workflows. If you want to learn fast and have a hand in shaping the way a team works, this is that opportunity.  
We are hiring a Data Engineer to own significant portions of our data architecture, drive the design of AI\-powered frameworks, and deliver data solutions that directly impact planning accuracy across Amazon's delivery network.  
Key job responsibilities  
UTR Planning Tech builds the data infrastructure that powers labor planning across 12 Amazon last\-mile and sort\-center business lines. Our pipelines feed the planning systems that determine how Amazon staffs its delivery network, serving hundreds of sites and processing millions of data points daily.  
Our team is shifting from hand\-coded, custom pipelines to an AI\-native approach. We are building reusable frameworks where engineers and business users define what they need through configurations and natural language instead of writing custom code for every use case. AI agents handle orchestration, validation, and deployment. We are early in this transformation, which means you will not inherit a finished system. You will help define how we build, what patterns we standardize, and how AI fits into data engineering workflows. If you want to learn fast and have a hand in shaping the way a team works, this is that opportunity.  
We are hiring a Data Engineer to own significant portions of our data architecture, drive the design of AI\-powered frameworks, and deliver data solutions that directly impact planning accuracy across Amazon's delivery network.  
Key job responsibilities  
* Design and own logical and physical data models for major datasets in the team's architecture. Create coherent models that drive physical design and serve multiple downstream consumers.
* Build and optimize ETL pipelines for complex datasets using AWS services (Redshift, S3, EMR, Glue, Lambda, Athena) and Python\-based orchestration (Airflow/MWAA). Your solutions will be testable, maintainable, and efficient.
* Design and build configuration\-driven data frameworks that replace repetitive custom code with reusable, declarative patterns for ingestion, transformation, and metric curation. Own the design of these frameworks, not just the implementation.
* Build AI agent tooling and MCP\-based interfaces that allow conversational agents to generate SQL, validate configurations, manage data quality rules, and execute pipeline operations through natural language.
* Own ongoing data quality for datasets you build. Implement standardized data contracts, define SLAs, establish data certification processes, and automate manual quality processes.
* Work with planning scientists, software engineers, BI engineers, and product managers to balance customer requirements with technical requirements. Help shape what we build, not just how.
* Improve self\-service access to data. Build analytical data models and tooling that reduce dependency on the DE team for common data access patterns.
* Improve engineering processes: automate manual operations, establish monitoring and alerting standards, and drive code quality and dependency management practices.
* Mentor engineers and interns. Train new team members on how team data solutions are constructed, how they operate, and how they fit into the broader architecture.
* Participate in the interview process and help recruit for the team.
**BASIC QUALIFICATIONS**
------------------------
* 3\+ years of data engineering experience
* 1\+ years of developing and operating large\-scale data structures for business intelligence analytics using ETL/ELT processes experience
* 1\+ years of developing and operating large\-scale data structures for business intelligence analytics using OLAP technologies experience
* 1\+ years of developing and operating large\-scale data structures for business intelligence analytics using data modeling experience
* 1\+ years of developing and operating large\-scale data structures for business intelligence analytics using SQL experience
* 1\+ years of developing and operating large\-scale data structures for business intelligence analytics using Oracle experience
* Experience with data modeling, warehousing and building ETL pipelines
**PREFERRED QUALIFICATIONS**
----------------------------
* Experience with AWS technologies like Redshift, S3, AWS Glue, EMR, Kinesis, FireHose, Lambda, and IAM roles and permissions
* Experience with non\-relational databases / data stores (object storage, document or key\-value stores, graph databases, column\-family databases)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TN, Nashville \- 125,500\.00 \- 169,800\.00 USD annually  
USA, TX, Austin \- 132,100\.00 \- 178,800\.00 USD annually  
USA, WA, Bellevue \- 132,100\.00 \- 178,800\.00 USD annually</t>
        </is>
      </c>
    </row>
    <row r="17">
      <c r="A17" t="inlineStr">
        <is>
          <t>in-2a01e4692133fef4</t>
        </is>
      </c>
      <c r="B17" t="inlineStr">
        <is>
          <t>Data Engineer II , UTR PLanning Tech</t>
        </is>
      </c>
      <c r="C17" t="inlineStr">
        <is>
          <t>Amazon.com</t>
        </is>
      </c>
      <c r="D17" t="inlineStr">
        <is>
          <t>indeed</t>
        </is>
      </c>
      <c r="E17">
        <f>HYPERLINK("https://www.indeed.com/viewjob?jk=2a01e4692133fef4", "https://www.indeed.com/viewjob?jk=2a01e4692133fef4")</f>
        <v/>
      </c>
      <c r="F17">
        <f>HYPERLINK("https://www.amazon.jobs/jobs/3186425/data-engineer-ii--utr-planning-tech?cmpid=DA_INAD200785B", "https://www.amazon.jobs/jobs/3186425/data-engineer-ii--utr-planning-tech?cmpid=DA_INAD200785B")</f>
        <v/>
      </c>
      <c r="G17" t="inlineStr">
        <is>
          <t>Bellevue, WA, US</t>
        </is>
      </c>
      <c r="H17" s="1" t="n">
        <v>46070</v>
      </c>
      <c r="I17" t="inlineStr">
        <is>
          <t>**DESCRIPTION**
---------------
UTR Planning Tech builds the data infrastructure that powers labor planning across 12 Amazon last\-mile and sort\-center business lines. Our pipelines feed the planning systems that determine how Amazon staffs its delivery network, serving hundreds of sites and processing millions of data points daily.  
Our team is shifting from hand\-coded, custom pipelines to an AI\-native approach. We are building reusable frameworks where engineers and business users define what they need through configurations and natural language instead of writing custom code for every use case. AI agents handle orchestration, validation, and deployment. We are early in this transformation, which means you will not inherit a finished system. You will help define how we build, what patterns we standardize, and how AI fits into data engineering workflows. If you want to learn fast and have a hand in shaping the way a team works, this is that opportunity.  
We are hiring a Data Engineer to own significant portions of our data architecture, drive the design of AI\-powered frameworks, and deliver data solutions that directly impact planning accuracy across Amazon's delivery network.  
Key job responsibilities  
UTR Planning Tech builds the data infrastructure that powers labor planning across 12 Amazon last\-mile and sort\-center business lines. Our pipelines feed the planning systems that determine how Amazon staffs its delivery network, serving hundreds of sites and processing millions of data points daily.  
Our team is shifting from hand\-coded, custom pipelines to an AI\-native approach. We are building reusable frameworks where engineers and business users define what they need through configurations and natural language instead of writing custom code for every use case. AI agents handle orchestration, validation, and deployment. We are early in this transformation, which means you will not inherit a finished system. You will help define how we build, what patterns we standardize, and how AI fits into data engineering workflows. If you want to learn fast and have a hand in shaping the way a team works, this is that opportunity.  
We are hiring a Data Engineer to own significant portions of our data architecture, drive the design of AI\-powered frameworks, and deliver data solutions that directly impact planning accuracy across Amazon's delivery network.  
Key job responsibilities  
* Design and own logical and physical data models for major datasets in the team's architecture. Create coherent models that drive physical design and serve multiple downstream consumers.
* Build and optimize ETL pipelines for complex datasets using AWS services (Redshift, S3, EMR, Glue, Lambda, Athena) and Python\-based orchestration (Airflow/MWAA). Your solutions will be testable, maintainable, and efficient.
* Design and build configuration\-driven data frameworks that replace repetitive custom code with reusable, declarative patterns for ingestion, transformation, and metric curation. Own the design of these frameworks, not just the implementation.
* Build AI agent tooling and MCP\-based interfaces that allow conversational agents to generate SQL, validate configurations, manage data quality rules, and execute pipeline operations through natural language.
* Own ongoing data quality for datasets you build. Implement standardized data contracts, define SLAs, establish data certification processes, and automate manual quality processes.
* Work with planning scientists, software engineers, BI engineers, and product managers to balance customer requirements with technical requirements. Help shape what we build, not just how.
* Improve self\-service access to data. Build analytical data models and tooling that reduce dependency on the DE team for common data access patterns.
* Improve engineering processes: automate manual operations, establish monitoring and alerting standards, and drive code quality and dependency management practices.
* Mentor engineers and interns. Train new team members on how team data solutions are constructed, how they operate, and how they fit into the broader architecture.
* Participate in the interview process and help recruit for the team.
**BASIC QUALIFICATIONS**
------------------------
* 3\+ years of data engineering experience
* 1\+ years of developing and operating large\-scale data structures for business intelligence analytics using ETL/ELT processes experience
* 1\+ years of developing and operating large\-scale data structures for business intelligence analytics using OLAP technologies experience
* 1\+ years of developing and operating large\-scale data structures for business intelligence analytics using data modeling experience
* 1\+ years of developing and operating large\-scale data structures for business intelligence analytics using SQL experience
* 1\+ years of developing and operating large\-scale data structures for business intelligence analytics using Oracle experience
* Experience with data modeling, warehousing and building ETL pipelines
**PREFERRED QUALIFICATIONS**
----------------------------
* Experience with AWS technologies like Redshift, S3, AWS Glue, EMR, Kinesis, FireHose, Lambda, and IAM roles and permissions
* Experience with non\-relational databases / data stores (object storage, document or key\-value stores, graph databases, column\-family databases)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TN, Nashville \- 125,500\.00 \- 169,800\.00 USD annually  
USA, TX, Austin \- 132,100\.00 \- 178,800\.00 USD annually  
USA, WA, Bellevue \- 132,100\.00 \- 178,800\.00 USD annually</t>
        </is>
      </c>
    </row>
    <row r="18">
      <c r="A18" t="inlineStr">
        <is>
          <t>in-2344f5a439443b84</t>
        </is>
      </c>
      <c r="B18" t="inlineStr">
        <is>
          <t>Data Engineer II, UTR PLanning Tech</t>
        </is>
      </c>
      <c r="C18" t="inlineStr">
        <is>
          <t>Amazon.com</t>
        </is>
      </c>
      <c r="D18" t="inlineStr">
        <is>
          <t>indeed</t>
        </is>
      </c>
      <c r="E18">
        <f>HYPERLINK("https://www.indeed.com/viewjob?jk=2344f5a439443b84", "https://www.indeed.com/viewjob?jk=2344f5a439443b84")</f>
        <v/>
      </c>
      <c r="F18">
        <f>HYPERLINK("https://www.amazon.jobs/jobs/3190311/data-engineer-ii-utr-planning-tech?cmpid=DA_INAD200785B", "https://www.amazon.jobs/jobs/3190311/data-engineer-ii-utr-planning-tech?cmpid=DA_INAD200785B")</f>
        <v/>
      </c>
      <c r="G18" t="inlineStr">
        <is>
          <t>Bellevue, WA, US</t>
        </is>
      </c>
      <c r="H18" s="1" t="n">
        <v>46065</v>
      </c>
      <c r="I18" t="inlineStr">
        <is>
          <t>**DESCRIPTION**
---------------
UTR Planning Tech builds the data infrastructure that powers labor planning across 12 Amazon last\-mile and sort\-center business lines. Our pipelines feed the planning systems that determine how Amazon staffs its delivery network, serving hundreds of sites and processing millions of data points daily.  
Our team is shifting from hand\-coded, custom pipelines to an AI\-native approach. We are building reusable frameworks where engineers and business users define what they need through configurations and natural language instead of writing custom code for every use case. AI agents handle orchestration, validation, and deployment. We are early in this transformation, which means you will not inherit a finished system. You will help define how we build, what patterns we standardize, and how AI fits into data engineering workflows. If you want to learn fast and have a hand in shaping the way a team works, this is that opportunity.  
We are hiring an L5 Data Engineer to own significant portions of our data architecture, drive the design of AI\-powered frameworks, and deliver data solutions that directly impact planning accuracy across Amazon's delivery network.  
Key job responsibilities  
* Design and own logical and physical data models for major datasets in the team's architecture. Create coherent models that drive physical design and serve multiple downstream consumers.
* Build and optimize ETL pipelines for complex datasets using AWS services (Redshift, S3, EMR, Glue, Lambda, Athena) and Python\-based orchestration (Airflow/MWAA). Your solutions will be testable, maintainable, and efficient.
* Design and build configuration\-driven data frameworks that replace repetitive custom code with reusable, declarative patterns for ingestion, transformation, and metric curation. Own the design of these frameworks, not just the implementation.
* Build AI agent tooling and MCP\-based interfaces that allow conversational agents to generate SQL, validate configurations, manage data quality rules, and execute pipeline operations through natural language.
* Own ongoing data quality for datasets you build. Implement standardized data contracts, define SLAs, establish data certification processes, and automate manual quality processes.
* Work with planning scientists, software engineers, BI engineers, and product managers to balance customer requirements with technical requirements. Help shape what we build, not just how.
* Improve self\-service access to data. Build analytical data models and tooling that reduce dependency on the DE team for common data access patterns.
* Improve engineering processes: automate manual operations, establish monitoring and alerting standards, and drive code quality and dependency management practices.
* Mentor engineers and interns. Train new team members on how team data solutions are constructed, how they operate, and how they fit into the broader architecture.
* Participate in the interview process and help recruit for the team.
**BASIC QUALIFICATIONS**
------------------------
* 3\+ years of data engineering experience
* 1\+ years of developing and operating large\-scale data structures for business intelligence analytics using ETL/ELT processes experience
* 1\+ years of developing and operating large\-scale data structures for business intelligence analytics using OLAP technologies experience
* 1\+ years of developing and operating large\-scale data structures for business intelligence analytics using data modeling experience
* 1\+ years of developing and operating large\-scale data structures for business intelligence analytics using SQL experience
* 1\+ years of developing and operating large\-scale data structures for business intelligence analytics using Oracle experience
* Experience with data modeling, warehousing and building ETL pipelines
**PREFERRED QUALIFICATIONS**
----------------------------
* Experience with AWS technologies like Redshift, S3, AWS Glue, EMR, Kinesis, FireHose, Lambda, and IAM roles and permissions
* Experience with non\-relational databases / data stores (object storage, document or key\-value stores, graph databases, column\-family databases)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TN, Nashville \- 125,500\.00 \- 169,800\.00 USD annually  
USA, TX, Austin \- 132,100\.00 \- 178,800\.00 USD annually  
USA, WA, Bellevue \- 132,100\.00 \- 178,800\.00 USD annually</t>
        </is>
      </c>
    </row>
    <row r="19">
      <c r="A19" t="inlineStr">
        <is>
          <t>in-918968091914a683</t>
        </is>
      </c>
      <c r="B19" t="inlineStr">
        <is>
          <t>Data Engineer II, UTR PLanning Tech</t>
        </is>
      </c>
      <c r="C19" t="inlineStr">
        <is>
          <t>Amazon.com</t>
        </is>
      </c>
      <c r="D19" t="inlineStr">
        <is>
          <t>indeed</t>
        </is>
      </c>
      <c r="E19">
        <f>HYPERLINK("https://www.indeed.com/viewjob?jk=918968091914a683", "https://www.indeed.com/viewjob?jk=918968091914a683")</f>
        <v/>
      </c>
      <c r="F19">
        <f>HYPERLINK("https://www.amazon.jobs/jobs/3190311/data-engineer-ii-utr-planning-tech?cmpid=DA_INAD200785B", "https://www.amazon.jobs/jobs/3190311/data-engineer-ii-utr-planning-tech?cmpid=DA_INAD200785B")</f>
        <v/>
      </c>
      <c r="G19" t="inlineStr">
        <is>
          <t>Nashville, TN, US</t>
        </is>
      </c>
      <c r="H19" s="1" t="n">
        <v>46065</v>
      </c>
      <c r="I19" t="inlineStr">
        <is>
          <t>**DESCRIPTION**
---------------
UTR Planning Tech builds the data infrastructure that powers labor planning across 12 Amazon last\-mile and sort\-center business lines. Our pipelines feed the planning systems that determine how Amazon staffs its delivery network, serving hundreds of sites and processing millions of data points daily.  
Our team is shifting from hand\-coded, custom pipelines to an AI\-native approach. We are building reusable frameworks where engineers and business users define what they need through configurations and natural language instead of writing custom code for every use case. AI agents handle orchestration, validation, and deployment. We are early in this transformation, which means you will not inherit a finished system. You will help define how we build, what patterns we standardize, and how AI fits into data engineering workflows. If you want to learn fast and have a hand in shaping the way a team works, this is that opportunity.  
We are hiring an L5 Data Engineer to own significant portions of our data architecture, drive the design of AI\-powered frameworks, and deliver data solutions that directly impact planning accuracy across Amazon's delivery network.  
Key job responsibilities  
* Design and own logical and physical data models for major datasets in the team's architecture. Create coherent models that drive physical design and serve multiple downstream consumers.
* Build and optimize ETL pipelines for complex datasets using AWS services (Redshift, S3, EMR, Glue, Lambda, Athena) and Python\-based orchestration (Airflow/MWAA). Your solutions will be testable, maintainable, and efficient.
* Design and build configuration\-driven data frameworks that replace repetitive custom code with reusable, declarative patterns for ingestion, transformation, and metric curation. Own the design of these frameworks, not just the implementation.
* Build AI agent tooling and MCP\-based interfaces that allow conversational agents to generate SQL, validate configurations, manage data quality rules, and execute pipeline operations through natural language.
* Own ongoing data quality for datasets you build. Implement standardized data contracts, define SLAs, establish data certification processes, and automate manual quality processes.
* Work with planning scientists, software engineers, BI engineers, and product managers to balance customer requirements with technical requirements. Help shape what we build, not just how.
* Improve self\-service access to data. Build analytical data models and tooling that reduce dependency on the DE team for common data access patterns.
* Improve engineering processes: automate manual operations, establish monitoring and alerting standards, and drive code quality and dependency management practices.
* Mentor engineers and interns. Train new team members on how team data solutions are constructed, how they operate, and how they fit into the broader architecture.
* Participate in the interview process and help recruit for the team.
**BASIC QUALIFICATIONS**
------------------------
* 3\+ years of data engineering experience
* 1\+ years of developing and operating large\-scale data structures for business intelligence analytics using ETL/ELT processes experience
* 1\+ years of developing and operating large\-scale data structures for business intelligence analytics using OLAP technologies experience
* 1\+ years of developing and operating large\-scale data structures for business intelligence analytics using data modeling experience
* 1\+ years of developing and operating large\-scale data structures for business intelligence analytics using SQL experience
* 1\+ years of developing and operating large\-scale data structures for business intelligence analytics using Oracle experience
* Experience with data modeling, warehousing and building ETL pipelines
**PREFERRED QUALIFICATIONS**
----------------------------
* Experience with AWS technologies like Redshift, S3, AWS Glue, EMR, Kinesis, FireHose, Lambda, and IAM roles and permissions
* Experience with non\-relational databases / data stores (object storage, document or key\-value stores, graph databases, column\-family databases)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TN, Nashville \- 125,500\.00 \- 169,800\.00 USD annually  
USA, TX, Austin \- 132,100\.00 \- 178,800\.00 USD annually  
USA, WA, Bellevue \- 132,100\.00 \- 178,800\.00 USD annually</t>
        </is>
      </c>
    </row>
    <row r="20">
      <c r="A20" t="inlineStr">
        <is>
          <t>in-b81afa6eb4d72e87</t>
        </is>
      </c>
      <c r="B20" t="inlineStr">
        <is>
          <t>Data Engineer II, UTR PLanning Tech</t>
        </is>
      </c>
      <c r="C20" t="inlineStr">
        <is>
          <t>Amazon.com</t>
        </is>
      </c>
      <c r="D20" t="inlineStr">
        <is>
          <t>indeed</t>
        </is>
      </c>
      <c r="E20">
        <f>HYPERLINK("https://www.indeed.com/viewjob?jk=b81afa6eb4d72e87", "https://www.indeed.com/viewjob?jk=b81afa6eb4d72e87")</f>
        <v/>
      </c>
      <c r="F20">
        <f>HYPERLINK("https://www.amazon.jobs/jobs/3190311/data-engineer-ii-utr-planning-tech?cmpid=DA_INAD200785B", "https://www.amazon.jobs/jobs/3190311/data-engineer-ii-utr-planning-tech?cmpid=DA_INAD200785B")</f>
        <v/>
      </c>
      <c r="G20" t="inlineStr">
        <is>
          <t>Austin, TX, US</t>
        </is>
      </c>
      <c r="H20" s="1" t="n">
        <v>46065</v>
      </c>
      <c r="I20" t="inlineStr">
        <is>
          <t>**DESCRIPTION**
---------------
UTR Planning Tech builds the data infrastructure that powers labor planning across 12 Amazon last\-mile and sort\-center business lines. Our pipelines feed the planning systems that determine how Amazon staffs its delivery network, serving hundreds of sites and processing millions of data points daily.  
Our team is shifting from hand\-coded, custom pipelines to an AI\-native approach. We are building reusable frameworks where engineers and business users define what they need through configurations and natural language instead of writing custom code for every use case. AI agents handle orchestration, validation, and deployment. We are early in this transformation, which means you will not inherit a finished system. You will help define how we build, what patterns we standardize, and how AI fits into data engineering workflows. If you want to learn fast and have a hand in shaping the way a team works, this is that opportunity.  
We are hiring an L5 Data Engineer to own significant portions of our data architecture, drive the design of AI\-powered frameworks, and deliver data solutions that directly impact planning accuracy across Amazon's delivery network.  
Key job responsibilities  
* Design and own logical and physical data models for major datasets in the team's architecture. Create coherent models that drive physical design and serve multiple downstream consumers.
* Build and optimize ETL pipelines for complex datasets using AWS services (Redshift, S3, EMR, Glue, Lambda, Athena) and Python\-based orchestration (Airflow/MWAA). Your solutions will be testable, maintainable, and efficient.
* Design and build configuration\-driven data frameworks that replace repetitive custom code with reusable, declarative patterns for ingestion, transformation, and metric curation. Own the design of these frameworks, not just the implementation.
* Build AI agent tooling and MCP\-based interfaces that allow conversational agents to generate SQL, validate configurations, manage data quality rules, and execute pipeline operations through natural language.
* Own ongoing data quality for datasets you build. Implement standardized data contracts, define SLAs, establish data certification processes, and automate manual quality processes.
* Work with planning scientists, software engineers, BI engineers, and product managers to balance customer requirements with technical requirements. Help shape what we build, not just how.
* Improve self\-service access to data. Build analytical data models and tooling that reduce dependency on the DE team for common data access patterns.
* Improve engineering processes: automate manual operations, establish monitoring and alerting standards, and drive code quality and dependency management practices.
* Mentor engineers and interns. Train new team members on how team data solutions are constructed, how they operate, and how they fit into the broader architecture.
* Participate in the interview process and help recruit for the team.
**BASIC QUALIFICATIONS**
------------------------
* 3\+ years of data engineering experience
* 1\+ years of developing and operating large\-scale data structures for business intelligence analytics using ETL/ELT processes experience
* 1\+ years of developing and operating large\-scale data structures for business intelligence analytics using OLAP technologies experience
* 1\+ years of developing and operating large\-scale data structures for business intelligence analytics using data modeling experience
* 1\+ years of developing and operating large\-scale data structures for business intelligence analytics using SQL experience
* 1\+ years of developing and operating large\-scale data structures for business intelligence analytics using Oracle experience
* Experience with data modeling, warehousing and building ETL pipelines
**PREFERRED QUALIFICATIONS**
----------------------------
* Experience with AWS technologies like Redshift, S3, AWS Glue, EMR, Kinesis, FireHose, Lambda, and IAM roles and permissions
* Experience with non\-relational databases / data stores (object storage, document or key\-value stores, graph databases, column\-family databases)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TN, Nashville \- 125,500\.00 \- 169,800\.00 USD annually  
USA, TX, Austin \- 132,100\.00 \- 178,800\.00 USD annually  
USA, WA, Bellevue \- 132,100\.00 \- 178,800\.00 USD annually</t>
        </is>
      </c>
    </row>
    <row r="21">
      <c r="A21" t="inlineStr">
        <is>
          <t>in-724464e107e71b19</t>
        </is>
      </c>
      <c r="B21" t="inlineStr">
        <is>
          <t>Software Development Manager, Amazon Security Data Engineering</t>
        </is>
      </c>
      <c r="C21" t="inlineStr">
        <is>
          <t>Amazon.com</t>
        </is>
      </c>
      <c r="D21" t="inlineStr">
        <is>
          <t>indeed</t>
        </is>
      </c>
      <c r="E21">
        <f>HYPERLINK("https://www.indeed.com/viewjob?jk=724464e107e71b19", "https://www.indeed.com/viewjob?jk=724464e107e71b19")</f>
        <v/>
      </c>
      <c r="F21">
        <f>HYPERLINK("https://www.amazon.jobs/jobs/3188767/software-development-manager-amazon-security-data-engineering?cmpid=DA_INAD200785B", "https://www.amazon.jobs/jobs/3188767/software-development-manager-amazon-security-data-engineering?cmpid=DA_INAD200785B")</f>
        <v/>
      </c>
      <c r="G21" t="inlineStr">
        <is>
          <t>San Diego, CA, US</t>
        </is>
      </c>
      <c r="H21" s="1" t="n">
        <v>46063</v>
      </c>
      <c r="I21" t="inlineStr">
        <is>
          <t>**DESCRIPTION**
---------------
Amazon Security Data Engineering seeks a Software Development Manager to lead our Data Cataloging and Optimization team. You'll manage a team of software developers building the critical optimization layer of Amazon's Security Data Lake—a petabyte\-scale platform supporting Apache Iceberg, AWS Glue, and Parquet formats. Your team develops distributed systems for data compaction, re\-organization, and indexing that enable data engineers across AWS, Amazon Stores, Digital, and other business units to reduce Incident Response and Threat Hunting times from months to minutes. This role requires deep technical expertise in building large\-scale distributed systems and proven people leadership skills. You'll drive technical vision, establish engineering best practices, and grow high\-performing teams while balancing multiple latency requirements from real\-time batch detections to historical threat hunting across months of data.  
Key job responsibilities  
Lead, mentor, and grow a team of software developers building the Security Data Lake's cataloging and optimization platform  
* Drive technical vision and roadmap for systems that manage petabyte\-scale data catalogs supporting Apache Iceberg, AWS Glue, Parquet, and other formats
* Oversee the design and implementation of distributed systems for data optimization including compaction, re\-organization, and indexing at scale
* Partner with data engineers and security teams across AWS, Amazon Stores, Digital, and other business units to understand their requirements and deliver platform capabilities
* Guide architectural decisions for systems that balance multiple latency scenarios—from minute\-level batch detections to month\-spanning threat hunting queries
* Establish software engineering best practices, code quality standards, and operational excellence for platform development
* Build systems that enable data engineers to optimize performance and reduce Incident Response and Threat Hunting times, directly impacting security outcomes
* Manage team capacity planning, sprint execution, and delivery commitments for critical security infrastructure
* Conduct performance reviews, career development conversations, and hiring activities
* Foster a culture of innovation, ownership, and customer obsession focused on building scalable platforms
* Collaborate with peer teams across Amazon Security and data platform teams to drive cross\-functional initiatives
* Manage on\-call and operational readiness
About the team  
The Data Cataloging and Optimization team builds the platform layer that makes Amazon's Security Data Lake fast and efficient at petabyte scale. We're software developers passionate about distributed systems, working with Apache Iceberg, AWS Glue, and Parquet to build optimization systems for data compaction, re\-organization, and indexing. Our platform enables data engineers and security analysts across AWS, Amazon Stores, and Digital to investigate incidents and hunt threats—reducing query times from months to minutes. We emphasize ownership, technical excellence, and customer obsession while collaborating across Amazon Security to solve hard problems that directly impact Amazon's security posture.**BASIC QUALIFICATIONS**
------------------------
* 3\+ years of engineering team management experience
* 7\+ years of engineering experience
* 8\+ years of leading the definition and development of multi tier web services experience
* 3\+ years of Software Engineer, Software Developer, or related occupational experience
* 1\+ years of providing technical leadership and project management for all aspects of the software development lifecycle experience
* 1\+ years of developing large\-scale, multi\-tiered distributed software systems using Java, C\#, or C\+\+ experience
* 1\+ years of developing large\-scale, multi\-tiered distributed software systems using service\-oriented architecture experience
* 1\+ years of developing large\-scale, multi\-tiered distributed software systems using distributed programming experience
* Bachelor's degree or foreign equivalent in Computer Science, Engineering, Mathematics, or a related field
* Knowledge of engineering practices and patterns for the full software/hardware/networks development life cycle, including coding standards, code reviews, source control management, build processes, testing, certification, and livesite operations
* Experience partnering with product or program management teams
**PREFERRED QUALIFICATIONS**
----------------------------
* Experience in communicating with users, other technical teams, and senior leadership to collect requirements, describe software product features, technical designs, and product strategy
* Experience in recruiting, hiring, mentoring/coaching and managing teams of Software Engineers to improve their skills, and make them more effective, product software engineers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San Diego \- 184,900\.00 \- 250,200\.00 USD annually  
USA, VA, Herndon \- 184,900\.00 \- 250,200\.00 USD annually</t>
        </is>
      </c>
    </row>
    <row r="22">
      <c r="A22" t="inlineStr">
        <is>
          <t>in-d1b61921bd324874</t>
        </is>
      </c>
      <c r="B22" t="inlineStr">
        <is>
          <t>Software Development Manager, Amazon Security Data Engineering</t>
        </is>
      </c>
      <c r="C22" t="inlineStr">
        <is>
          <t>Amazon.com</t>
        </is>
      </c>
      <c r="D22" t="inlineStr">
        <is>
          <t>indeed</t>
        </is>
      </c>
      <c r="E22">
        <f>HYPERLINK("https://www.indeed.com/viewjob?jk=d1b61921bd324874", "https://www.indeed.com/viewjob?jk=d1b61921bd324874")</f>
        <v/>
      </c>
      <c r="F22">
        <f>HYPERLINK("https://www.amazon.jobs/jobs/3188767/software-development-manager-amazon-security-data-engineering?cmpid=DA_INAD200785B", "https://www.amazon.jobs/jobs/3188767/software-development-manager-amazon-security-data-engineering?cmpid=DA_INAD200785B")</f>
        <v/>
      </c>
      <c r="G22" t="inlineStr">
        <is>
          <t>Herndon, VA, US</t>
        </is>
      </c>
      <c r="H22" s="1" t="n">
        <v>46063</v>
      </c>
      <c r="I22" t="inlineStr">
        <is>
          <t>**DESCRIPTION**
---------------
Amazon Security Data Engineering seeks a Software Development Manager to lead our Data Cataloging and Optimization team. You'll manage a team of software developers building the critical optimization layer of Amazon's Security Data Lake—a petabyte\-scale platform supporting Apache Iceberg, AWS Glue, and Parquet formats. Your team develops distributed systems for data compaction, re\-organization, and indexing that enable data engineers across AWS, Amazon Stores, Digital, and other business units to reduce Incident Response and Threat Hunting times from months to minutes. This role requires deep technical expertise in building large\-scale distributed systems and proven people leadership skills. You'll drive technical vision, establish engineering best practices, and grow high\-performing teams while balancing multiple latency requirements from real\-time batch detections to historical threat hunting across months of data.  
Key job responsibilities  
Lead, mentor, and grow a team of software developers building the Security Data Lake's cataloging and optimization platform  
* Drive technical vision and roadmap for systems that manage petabyte\-scale data catalogs supporting Apache Iceberg, AWS Glue, Parquet, and other formats
* Oversee the design and implementation of distributed systems for data optimization including compaction, re\-organization, and indexing at scale
* Partner with data engineers and security teams across AWS, Amazon Stores, Digital, and other business units to understand their requirements and deliver platform capabilities
* Guide architectural decisions for systems that balance multiple latency scenarios—from minute\-level batch detections to month\-spanning threat hunting queries
* Establish software engineering best practices, code quality standards, and operational excellence for platform development
* Build systems that enable data engineers to optimize performance and reduce Incident Response and Threat Hunting times, directly impacting security outcomes
* Manage team capacity planning, sprint execution, and delivery commitments for critical security infrastructure
* Conduct performance reviews, career development conversations, and hiring activities
* Foster a culture of innovation, ownership, and customer obsession focused on building scalable platforms
* Collaborate with peer teams across Amazon Security and data platform teams to drive cross\-functional initiatives
* Manage on\-call and operational readiness
About the team  
The Data Cataloging and Optimization team builds the platform layer that makes Amazon's Security Data Lake fast and efficient at petabyte scale. We're software developers passionate about distributed systems, working with Apache Iceberg, AWS Glue, and Parquet to build optimization systems for data compaction, re\-organization, and indexing. Our platform enables data engineers and security analysts across AWS, Amazon Stores, and Digital to investigate incidents and hunt threats—reducing query times from months to minutes. We emphasize ownership, technical excellence, and customer obsession while collaborating across Amazon Security to solve hard problems that directly impact Amazon's security posture.**BASIC QUALIFICATIONS**
------------------------
* 3\+ years of engineering team management experience
* 7\+ years of engineering experience
* 8\+ years of leading the definition and development of multi tier web services experience
* 3\+ years of Software Engineer, Software Developer, or related occupational experience
* 1\+ years of providing technical leadership and project management for all aspects of the software development lifecycle experience
* 1\+ years of developing large\-scale, multi\-tiered distributed software systems using Java, C\#, or C\+\+ experience
* 1\+ years of developing large\-scale, multi\-tiered distributed software systems using service\-oriented architecture experience
* 1\+ years of developing large\-scale, multi\-tiered distributed software systems using distributed programming experience
* Bachelor's degree or foreign equivalent in Computer Science, Engineering, Mathematics, or a related field
* Knowledge of engineering practices and patterns for the full software/hardware/networks development life cycle, including coding standards, code reviews, source control management, build processes, testing, certification, and livesite operations
* Experience partnering with product or program management teams
**PREFERRED QUALIFICATIONS**
----------------------------
* Experience in communicating with users, other technical teams, and senior leadership to collect requirements, describe software product features, technical designs, and product strategy
* Experience in recruiting, hiring, mentoring/coaching and managing teams of Software Engineers to improve their skills, and make them more effective, product software engineers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San Diego \- 184,900\.00 \- 250,200\.00 USD annually  
USA, VA, Herndon \- 184,900\.00 \- 250,200\.00 USD annually</t>
        </is>
      </c>
    </row>
    <row r="23">
      <c r="A23" t="inlineStr">
        <is>
          <t>in-bcf0b8b9ffbad144</t>
        </is>
      </c>
      <c r="B23" t="inlineStr">
        <is>
          <t>Data Engineer, AMZL Orbit Data Engineering</t>
        </is>
      </c>
      <c r="C23" t="inlineStr">
        <is>
          <t>Amazon.com</t>
        </is>
      </c>
      <c r="D23" t="inlineStr">
        <is>
          <t>indeed</t>
        </is>
      </c>
      <c r="E23">
        <f>HYPERLINK("https://www.indeed.com/viewjob?jk=bcf0b8b9ffbad144", "https://www.indeed.com/viewjob?jk=bcf0b8b9ffbad144")</f>
        <v/>
      </c>
      <c r="F23">
        <f>HYPERLINK("https://www.amazon.jobs/jobs/3184381/data-engineer-amzl-orbit-data-engineering?cmpid=DA_INAD200785B", "https://www.amazon.jobs/jobs/3184381/data-engineer-amzl-orbit-data-engineering?cmpid=DA_INAD200785B")</f>
        <v/>
      </c>
      <c r="G23" t="inlineStr">
        <is>
          <t>Bellevue, WA, US</t>
        </is>
      </c>
      <c r="H23" s="1" t="n">
        <v>46054</v>
      </c>
      <c r="I23" t="inlineStr">
        <is>
          <t>**DESCRIPTION**
---------------
Open to hire in the following Job locations: Bellevue,USA, WA.  
Do you want to be in the forefront of engineering big data solutions that takes Transportation models to the next generation? Do you have a solid analytical thinking, metrics driven decision making and want to solve problems with solutions that will meet the growing worldwide need? We are looking for top notch Data Engineers to be part of our world class Transportation Business Intelligence team. We are building real time analytical platforms using big data tools and AWS technologies like Hadoop, Spark, EMR, SNS, SQS, Lambda, Kinesis Firehose, DynamoDB Streams.  
The ideal candidate relishes working with large volumes of data, enjoys the challenge of highly complex technical contexts, and, above all else, is passionate about data and analytics. An expert with data modeling, ETL design and business intelligence tools and passionately partners with the business to identify strategic opportunities where improvements in data infrastructure creates out\-sized business impact. The ideal candidate is self\-starter, comfortable with ambiguity, able to think big (while paying careful attention to detail), and enjoys working in a fast\-paced and global team. It's a big ask, and we're excited to talk to those up to the challenge!
**BASIC QUALIFICATIONS**
------------------------
* 1\+ years of data engineering experience
* Experience with data modeling, warehousing and building ETL pipelines
* Experience with one or more query language (e.g., SQL, PL/SQL, DDL, MDX, HiveQL, SparkSQL, Scala)
* Experience with one or more scripting language (e.g., Python, KornShell)
**PREFERRED QUALIFICATIONS**
----------------------------
* Experience with big data technologies such as: Hadoop, Hive, Spark, EMR
* Experience with any ETL tool like, Informatica, ODI, SSIS, BODI, Datastage, etc.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TN, Nashville \- 96,200\.00 \- 160,000\.00 USD annually  
USA, TX, Austin \- 101,300\.00 \- 160,000\.00 USD annually  
USA, WA, Bellevue \- 101,300\.00 \- 160,000\.00 USD annually</t>
        </is>
      </c>
    </row>
    <row r="24">
      <c r="A24" t="inlineStr">
        <is>
          <t>in-6e4e9d28b5f1213a</t>
        </is>
      </c>
      <c r="B24" t="inlineStr">
        <is>
          <t>Data Engineer, AMZL Orbit Data Engineering</t>
        </is>
      </c>
      <c r="C24" t="inlineStr">
        <is>
          <t>Amazon.com</t>
        </is>
      </c>
      <c r="D24" t="inlineStr">
        <is>
          <t>indeed</t>
        </is>
      </c>
      <c r="E24">
        <f>HYPERLINK("https://www.indeed.com/viewjob?jk=6e4e9d28b5f1213a", "https://www.indeed.com/viewjob?jk=6e4e9d28b5f1213a")</f>
        <v/>
      </c>
      <c r="F24">
        <f>HYPERLINK("https://www.amazon.jobs/jobs/3184381/data-engineer-amzl-orbit-data-engineering?cmpid=DA_INAD200785B", "https://www.amazon.jobs/jobs/3184381/data-engineer-amzl-orbit-data-engineering?cmpid=DA_INAD200785B")</f>
        <v/>
      </c>
      <c r="G24" t="inlineStr">
        <is>
          <t>Nashville, TN, US</t>
        </is>
      </c>
      <c r="H24" s="1" t="n">
        <v>46054</v>
      </c>
      <c r="I24" t="inlineStr">
        <is>
          <t>**DESCRIPTION**
---------------
Open to hire in the following Job locations: Bellevue,USA, WA.  
Do you want to be in the forefront of engineering big data solutions that takes Transportation models to the next generation? Do you have a solid analytical thinking, metrics driven decision making and want to solve problems with solutions that will meet the growing worldwide need? We are looking for top notch Data Engineers to be part of our world class Transportation Business Intelligence team. We are building real time analytical platforms using big data tools and AWS technologies like Hadoop, Spark, EMR, SNS, SQS, Lambda, Kinesis Firehose, DynamoDB Streams.  
The ideal candidate relishes working with large volumes of data, enjoys the challenge of highly complex technical contexts, and, above all else, is passionate about data and analytics. An expert with data modeling, ETL design and business intelligence tools and passionately partners with the business to identify strategic opportunities where improvements in data infrastructure creates out\-sized business impact. The ideal candidate is self\-starter, comfortable with ambiguity, able to think big (while paying careful attention to detail), and enjoys working in a fast\-paced and global team. It's a big ask, and we're excited to talk to those up to the challenge!
**BASIC QUALIFICATIONS**
------------------------
* 1\+ years of data engineering experience
* Experience with data modeling, warehousing and building ETL pipelines
* Experience with one or more query language (e.g., SQL, PL/SQL, DDL, MDX, HiveQL, SparkSQL, Scala)
* Experience with one or more scripting language (e.g., Python, KornShell)
**PREFERRED QUALIFICATIONS**
----------------------------
* Experience with big data technologies such as: Hadoop, Hive, Spark, EMR
* Experience with any ETL tool like, Informatica, ODI, SSIS, BODI, Datastage, etc.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TN, Nashville \- 96,200\.00 \- 160,000\.00 USD annually  
USA, TX, Austin \- 101,300\.00 \- 160,000\.00 USD annually  
USA, WA, Bellevue \- 101,300\.00 \- 160,000\.00 USD annually</t>
        </is>
      </c>
    </row>
    <row r="25">
      <c r="A25" t="inlineStr">
        <is>
          <t>in-b1851b144f165c47</t>
        </is>
      </c>
      <c r="B25" t="inlineStr">
        <is>
          <t>Data Engineer, AMZL Orbit Data Engineering</t>
        </is>
      </c>
      <c r="C25" t="inlineStr">
        <is>
          <t>Amazon.com</t>
        </is>
      </c>
      <c r="D25" t="inlineStr">
        <is>
          <t>indeed</t>
        </is>
      </c>
      <c r="E25">
        <f>HYPERLINK("https://www.indeed.com/viewjob?jk=b1851b144f165c47", "https://www.indeed.com/viewjob?jk=b1851b144f165c47")</f>
        <v/>
      </c>
      <c r="F25">
        <f>HYPERLINK("https://www.amazon.jobs/jobs/3184381/data-engineer-amzl-orbit-data-engineering?cmpid=DA_INAD200785B", "https://www.amazon.jobs/jobs/3184381/data-engineer-amzl-orbit-data-engineering?cmpid=DA_INAD200785B")</f>
        <v/>
      </c>
      <c r="G25" t="inlineStr">
        <is>
          <t>Austin, TX, US</t>
        </is>
      </c>
      <c r="H25" s="1" t="n">
        <v>46054</v>
      </c>
      <c r="I25" t="inlineStr">
        <is>
          <t>**DESCRIPTION**
---------------
Open to hire in the following Job locations: Bellevue,USA, WA.  
Do you want to be in the forefront of engineering big data solutions that takes Transportation models to the next generation? Do you have a solid analytical thinking, metrics driven decision making and want to solve problems with solutions that will meet the growing worldwide need? We are looking for top notch Data Engineers to be part of our world class Transportation Business Intelligence team. We are building real time analytical platforms using big data tools and AWS technologies like Hadoop, Spark, EMR, SNS, SQS, Lambda, Kinesis Firehose, DynamoDB Streams.  
The ideal candidate relishes working with large volumes of data, enjoys the challenge of highly complex technical contexts, and, above all else, is passionate about data and analytics. An expert with data modeling, ETL design and business intelligence tools and passionately partners with the business to identify strategic opportunities where improvements in data infrastructure creates out\-sized business impact. The ideal candidate is self\-starter, comfortable with ambiguity, able to think big (while paying careful attention to detail), and enjoys working in a fast\-paced and global team. It's a big ask, and we're excited to talk to those up to the challenge!
**BASIC QUALIFICATIONS**
------------------------
* 1\+ years of data engineering experience
* Experience with data modeling, warehousing and building ETL pipelines
* Experience with one or more query language (e.g., SQL, PL/SQL, DDL, MDX, HiveQL, SparkSQL, Scala)
* Experience with one or more scripting language (e.g., Python, KornShell)
**PREFERRED QUALIFICATIONS**
----------------------------
* Experience with big data technologies such as: Hadoop, Hive, Spark, EMR
* Experience with any ETL tool like, Informatica, ODI, SSIS, BODI, Datastage, etc.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TN, Nashville \- 96,200\.00 \- 160,000\.00 USD annually  
USA, TX, Austin \- 101,300\.00 \- 160,000\.00 USD annually  
USA, WA, Bellevue \- 101,300\.00 \- 160,000\.00 USD annually</t>
        </is>
      </c>
    </row>
    <row r="26">
      <c r="A26" t="inlineStr">
        <is>
          <t>in-20dcbc83d5643838</t>
        </is>
      </c>
      <c r="B26" t="inlineStr">
        <is>
          <t>Azure Stack Data Engineer</t>
        </is>
      </c>
      <c r="C26" t="inlineStr">
        <is>
          <t>AAON</t>
        </is>
      </c>
      <c r="D26" t="inlineStr">
        <is>
          <t>indeed</t>
        </is>
      </c>
      <c r="E26">
        <f>HYPERLINK("https://www.indeed.com/viewjob?jk=20dcbc83d5643838", "https://www.indeed.com/viewjob?jk=20dcbc83d5643838")</f>
        <v/>
      </c>
      <c r="F26">
        <f>HYPERLINK("https://aaon.wd108.myworkdayjobs.com/en-US/AAON/job/Tulsa-OK/Azure-Stack-Data-Engineer_JR100223-1", "https://aaon.wd108.myworkdayjobs.com/en-US/AAON/job/Tulsa-OK/Azure-Stack-Data-Engineer_JR100223-1")</f>
        <v/>
      </c>
      <c r="G26" t="inlineStr">
        <is>
          <t>Tulsa, OK, US</t>
        </is>
      </c>
      <c r="H26" s="1" t="n">
        <v>46034</v>
      </c>
      <c r="I26" t="inlineStr">
        <is>
          <t>**Job Description:**
**Job Summary:**
We are seeking an experienced Azure Stack Data Engineer to design, build, and optimize data solutions leveraging Microsoft Azure technologies. This role ensures secure, scalable, and efficient data pipelines and storage to enable advanced analytics and business intelligence. The ideal candidate combines strong technical expertise with business acumen and collaboration skills to deliver data\-driven insights across the enterprise.
**Essential Job Duties and Responsibilities:**
* **Data Architecture \&amp; Engineering**
	+ Design and implement data pipelines using **Azure Data Factory** , **Azure Synapse** , and **Azure Functions** .
	+ Develop ETL processes for structured and unstructured data.
	+ Optimize data storage in **Azure Data Lake** , **Azure SQL** , and related services.
* **Integration \&amp; Automation**
	+ Integrate data from ERP systems (e.g., SAP), CRM (Dataverse), and legacy platforms.
	+ Automate workflows using **Azure Logic Apps** and **Event Hub** for real\-time processing.
* **Performance \&amp; Security**
	+ Ensure data quality, security, and compliance with organizational standards.
	+ Implement monitoring and alerting for data pipelines and storage performance.
* **Collaboration**
	+ Partner with data analysts, architects, and business stakeholders to translate requirements into technical solutions.
	+ Support BI teams with optimized datasets for **Power BI** and other reporting tools.
**Competency Requirements:**
* **Technical Competencies**
* Expertise in **Azure services** : Data Factory, Synapse Analytics, Data Lake, Azure SQL, and hybrid Azure Stack environments.
* Strong skills in **ETL workflows** , **data modeling** , and **schema optimization** .
* Proficiency in **Python** , **SQL** , and scripting for automation.
* Knowledge of **cloud security principles** and compliance frameworks.
* **Business \&amp; Analytical Competencies**
* Understands how data solutions impact business processes and decision\-making.
* Ability to analyze complex data challenges and propose scalable solutions.
* **Leadership \&amp; Collaboration Competencies**
* Communicates technical concepts clearly to non\-technical stakeholders.
* Works effectively in cross\-functional teams, fostering collaboration and knowledge sharing.
* Responds quickly to changing priorities and emerging technologies.
* Knows when to escalate and collaborate.
* **Innovation Competencies**
* Identifies opportunities for automation and process optimization.
* Keeps up with trends in AI, IoT, and advanced analytics to guide future solutions.
Job Qualifications
**Qualifications:**
* Bachelor’s degree in Computer Science, Information Systems, or related field.
* **3\+ years** of experience in data engineering with Azure technologies.
* Familiarity with **DevOps practices** and CI/CD pipelines for data solutions.
* Exposure to **Power BI** , **Fabric** , and advanced analytics tools.
**Preferred Qualifications:**
* Experience with Azure Stack Hub or hybrid cloud environments.
* Knowledge of containerization (Docker/Kubernetes) and microservices architecture.
**Work Environment:**
Work is primarily performed in a climate\-controlled office environment.
**Physical Demands:**
* Sitting for prolonged periods
* View a computer monitor for long periods
* Cognitive ability to process complex information, analyze data, and solve problems.
**Disclaimer:**
Please note this job description is not designed to cover or contain a comprehensive listing of activities, duties or responsibilities that are required of the employee for this job. Duties, responsibilities and activities may change at any time with or without notice. This job description is not an exhaustive list of all functions that the employee may be required to perform, and the employee may be required to perform additional functions. The company reserves the right to revise this job description at any time. The employee must be able to perform the essential functions of the position satisfactorily. If requested, reasonable accommodation may be made to enable employees with disabilities to perform the essential functions of the job, absent undue hardship.</t>
        </is>
      </c>
    </row>
    <row r="27">
      <c r="A27" t="inlineStr">
        <is>
          <t>in-b5a2c114bcef2579</t>
        </is>
      </c>
      <c r="B27" t="inlineStr">
        <is>
          <t>Data Engineer, Denied Party Screening, AWS Compliance &amp; Security Assurance</t>
        </is>
      </c>
      <c r="C27" t="inlineStr">
        <is>
          <t>Amazon.com</t>
        </is>
      </c>
      <c r="D27" t="inlineStr">
        <is>
          <t>indeed</t>
        </is>
      </c>
      <c r="E27">
        <f>HYPERLINK("https://www.indeed.com/viewjob?jk=b5a2c114bcef2579", "https://www.indeed.com/viewjob?jk=b5a2c114bcef2579")</f>
        <v/>
      </c>
      <c r="F27">
        <f>HYPERLINK("https://www.amazon.jobs/jobs/3160403/data-engineer-denied-party-screening-aws-compliance--security-assurance?cmpid=DA_INAD200785B", "https://www.amazon.jobs/jobs/3160403/data-engineer-denied-party-screening-aws-compliance--security-assurance?cmpid=DA_INAD200785B")</f>
        <v/>
      </c>
      <c r="G27" t="inlineStr">
        <is>
          <t>Seattle, WA, US</t>
        </is>
      </c>
      <c r="H27" s="1" t="n">
        <v>46029</v>
      </c>
      <c r="I27" t="inlineStr">
        <is>
          <t>**DESCRIPTION**
---------------
Amazon seeks an experienced Data Engineer to join the DPS (Deny Party Screening) team. Our mission is to prevent denied parties from transacting with Amazon businesses, including AWS, customers, vendors, sellers, subsidiaries, etc. We screen billions of events every day. We integrate with Tier 1 systems, build DPS systems, and deal with unique scaling challenges.  
As a Data Engineer, you will design, implement and support scalable data infrastructure solutions to integrate with multi heterogeneous data sources, aggregate and retrieve data in a fast and safe mode, curate data that can be used in reporting, analysis, machine learning models and ad\-hoc data requests. You will be exposed to cutting edge AWS big data technologies. You should have excellent business and communication skills to be able to work with business owners and Tech leaders to gather infrastructure requirements, design data infrastructure, build up data pipelines and datasets to meet business needs. You stay abreast of emerging technologies, investigating and implementing where appropriate.  
Key job responsibilities  
* Design, implement, and support data warehouse/ data lake infrastructure using AWS bigdata stack, Python, Redshift, QuickSight, Glue/lake formation, EMR/Spark, Athena etc.
* Develop and manage ETLs to source data from various financial, AWS networking and operational systems and create unified data model for analytics and reporting.
* Creation and support of real\-time data pipelines built on AWS technologies including EMR, Glue, Redshift/Spectrum and Athena.
* Collaborate with other Engineering teams, Product/Finance Managers/Analysts to implement advanced analytics algorithms that exploit our rich datasets for financial model development, statistical analysis, prediction, etc.
* Continual research of the latest big data and visualization technologies to provide new capabilities and increase efficiency.
* Use business intelligence and visualization software (e.g., QuickSight) to develop dashboards those are used by senior leadership.
* Empower technical and non\-technical, internal customers to drive their own analytics and reporting (self\-serve reporting) and support ad\-hoc reporting when needed.
* Working closely with team members to drive real\-time model implementations for monitoring and alerting of risk systems.
* Manage numerous requests concurrently and strategically, prioritizing when necessary
* Partner/collaborate across teams/roles to deliver results.
* Mentor other engineers, influence positively team culture, and help grow the team
About the team  
Denied Party Screening (DPS) is a part of Amazon Security, an organization designed to drive bar\-raising security engagements. The vision of the Amazon DPS program is to ensure that 1\+ billion Amazon accounts spanning across consumers, sellers, developers, employees, and all other Amazon party, are not a denied party, located or incorporated in a sanctioned region or country, or owned or controlled by or subject to the jurisdiction of the government of a sanctioned country.
Why Amazon Security  
At Amazon, security is central to maintaining customer trust and delivering delightful customer experiences. Our organization is responsible for creating and maintaining a high bar for security across all of Amazon’s products and services.  
Work/Life Balance  
We value work\-life harmony. Achieving success at work should never come at the expense of sacrifices at home, which is why flexible work hours and arrangements are part of our culture. When we feel supported in the workplace and at home, there’s nothing we can’t achieve.  
Inclusive Team Culture  
In Amazon Security, it’s in our nature to learn and be curious. Ongoing DEI events and learning experiences inspire us to continue learning and to embrace our uniqueness. Addressing the toughest security challenges requires that we seek out and celebrate a diversity of ideas, perspectives, and voices.  
Training and Career growth  
We’re continuously raising our performance bar as we strive to become Earth’s Best Employer. That’s why you’ll find endless knowledge\-sharing, training, and other career\-advancing resources here to help you develop into a better\-rounded professional.**BASIC QUALIFICATIONS**
------------------------
* 5\+ years of data engineering experience
* Experience programming with at least one modern language such as C\+\+, C\#, Java, Python, Golang, PowerShell, Ruby
* Experience working on and delivering end to end projects independently
* Experience with big data technologies such as: Hadoop, Hive, Spark, EMR
**PREFERRED QUALIFICATIONS**
----------------------------
* Experience with AWS technologies like Redshift, S3, AWS Glue, EMR, Kinesis, FireHose, Lambda, and IAM roles and permissions
* Experience with non\-relational databases / data stores (object storage, document or key\-value stores, graph databases, column\-family databases)
* Experience in at least one modern scripting or programming language, such as Python, Java, Scala, or NodeJS
* Experience with distributed systems as it pertains to data storage and computing
* Experience as a data engineer or related specialty (e.g., software engineer, business intelligence engineer, data scientist) with a track record of manipulating, processing, and extracting value from large datasets
* Experience providing technical leadership and mentoring other engineers for best practices on data engineering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TX, Dallas \- 132,100\.00 \- 178,800\.00 USD annually  
USA, WA, Seattle \- 132,100\.00 \- 178,800\.00 USD annually</t>
        </is>
      </c>
    </row>
    <row r="28">
      <c r="A28" t="inlineStr">
        <is>
          <t>in-cc724d94c5fb9813</t>
        </is>
      </c>
      <c r="B28" t="inlineStr">
        <is>
          <t>Data Engineer, Denied Party Screening, AWS Compliance &amp; Security Assurance</t>
        </is>
      </c>
      <c r="C28" t="inlineStr">
        <is>
          <t>Amazon.com</t>
        </is>
      </c>
      <c r="D28" t="inlineStr">
        <is>
          <t>indeed</t>
        </is>
      </c>
      <c r="E28">
        <f>HYPERLINK("https://www.indeed.com/viewjob?jk=cc724d94c5fb9813", "https://www.indeed.com/viewjob?jk=cc724d94c5fb9813")</f>
        <v/>
      </c>
      <c r="F28">
        <f>HYPERLINK("https://www.amazon.jobs/jobs/3160403/data-engineer-denied-party-screening-aws-compliance--security-assurance?cmpid=DA_INAD200785B", "https://www.amazon.jobs/jobs/3160403/data-engineer-denied-party-screening-aws-compliance--security-assurance?cmpid=DA_INAD200785B")</f>
        <v/>
      </c>
      <c r="G28" t="inlineStr">
        <is>
          <t>Dallas, TX, US</t>
        </is>
      </c>
      <c r="H28" s="1" t="n">
        <v>46029</v>
      </c>
      <c r="I28" t="inlineStr">
        <is>
          <t>**DESCRIPTION**
---------------
Amazon seeks an experienced Data Engineer to join the DPS (Deny Party Screening) team. Our mission is to prevent denied parties from transacting with Amazon businesses, including AWS, customers, vendors, sellers, subsidiaries, etc. We screen billions of events every day. We integrate with Tier 1 systems, build DPS systems, and deal with unique scaling challenges.  
As a Data Engineer, you will design, implement and support scalable data infrastructure solutions to integrate with multi heterogeneous data sources, aggregate and retrieve data in a fast and safe mode, curate data that can be used in reporting, analysis, machine learning models and ad\-hoc data requests. You will be exposed to cutting edge AWS big data technologies. You should have excellent business and communication skills to be able to work with business owners and Tech leaders to gather infrastructure requirements, design data infrastructure, build up data pipelines and datasets to meet business needs. You stay abreast of emerging technologies, investigating and implementing where appropriate.  
Key job responsibilities  
* Design, implement, and support data warehouse/ data lake infrastructure using AWS bigdata stack, Python, Redshift, QuickSight, Glue/lake formation, EMR/Spark, Athena etc.
* Develop and manage ETLs to source data from various financial, AWS networking and operational systems and create unified data model for analytics and reporting.
* Creation and support of real\-time data pipelines built on AWS technologies including EMR, Glue, Redshift/Spectrum and Athena.
* Collaborate with other Engineering teams, Product/Finance Managers/Analysts to implement advanced analytics algorithms that exploit our rich datasets for financial model development, statistical analysis, prediction, etc.
* Continual research of the latest big data and visualization technologies to provide new capabilities and increase efficiency.
* Use business intelligence and visualization software (e.g., QuickSight) to develop dashboards those are used by senior leadership.
* Empower technical and non\-technical, internal customers to drive their own analytics and reporting (self\-serve reporting) and support ad\-hoc reporting when needed.
* Working closely with team members to drive real\-time model implementations for monitoring and alerting of risk systems.
* Manage numerous requests concurrently and strategically, prioritizing when necessary
* Partner/collaborate across teams/roles to deliver results.
* Mentor other engineers, influence positively team culture, and help grow the team
About the team  
Denied Party Screening (DPS) is a part of Amazon Security, an organization designed to drive bar\-raising security engagements. The vision of the Amazon DPS program is to ensure that 1\+ billion Amazon accounts spanning across consumers, sellers, developers, employees, and all other Amazon party, are not a denied party, located or incorporated in a sanctioned region or country, or owned or controlled by or subject to the jurisdiction of the government of a sanctioned country.
Why Amazon Security  
At Amazon, security is central to maintaining customer trust and delivering delightful customer experiences. Our organization is responsible for creating and maintaining a high bar for security across all of Amazon’s products and services.  
Work/Life Balance  
We value work\-life harmony. Achieving success at work should never come at the expense of sacrifices at home, which is why flexible work hours and arrangements are part of our culture. When we feel supported in the workplace and at home, there’s nothing we can’t achieve.  
Inclusive Team Culture  
In Amazon Security, it’s in our nature to learn and be curious. Ongoing DEI events and learning experiences inspire us to continue learning and to embrace our uniqueness. Addressing the toughest security challenges requires that we seek out and celebrate a diversity of ideas, perspectives, and voices.  
Training and Career growth  
We’re continuously raising our performance bar as we strive to become Earth’s Best Employer. That’s why you’ll find endless knowledge\-sharing, training, and other career\-advancing resources here to help you develop into a better\-rounded professional.**BASIC QUALIFICATIONS**
------------------------
* 5\+ years of data engineering experience
* Experience programming with at least one modern language such as C\+\+, C\#, Java, Python, Golang, PowerShell, Ruby
* Experience working on and delivering end to end projects independently
* Experience with big data technologies such as: Hadoop, Hive, Spark, EMR
**PREFERRED QUALIFICATIONS**
----------------------------
* Experience with AWS technologies like Redshift, S3, AWS Glue, EMR, Kinesis, FireHose, Lambda, and IAM roles and permissions
* Experience with non\-relational databases / data stores (object storage, document or key\-value stores, graph databases, column\-family databases)
* Experience in at least one modern scripting or programming language, such as Python, Java, Scala, or NodeJS
* Experience with distributed systems as it pertains to data storage and computing
* Experience as a data engineer or related specialty (e.g., software engineer, business intelligence engineer, data scientist) with a track record of manipulating, processing, and extracting value from large datasets
* Experience providing technical leadership and mentoring other engineers for best practices on data engineering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TX, Dallas \- 132,100\.00 \- 178,800\.00 USD annually  
USA, WA, Seattle \- 132,100\.00 \- 178,800\.00 USD annually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69"/>
  <sheetViews>
    <sheetView workbookViewId="0">
      <selection activeCell="A1" sqref="A1"/>
    </sheetView>
  </sheetViews>
  <sheetFormatPr baseColWidth="8" defaultRowHeight="15"/>
  <sheetData>
    <row r="1">
      <c r="A1" t="inlineStr">
        <is>
          <t>job id</t>
        </is>
      </c>
      <c r="B1" t="inlineStr">
        <is>
          <t>title</t>
        </is>
      </c>
      <c r="C1" t="inlineStr">
        <is>
          <t>company</t>
        </is>
      </c>
      <c r="D1" t="inlineStr">
        <is>
          <t>site</t>
        </is>
      </c>
      <c r="E1" t="inlineStr">
        <is>
          <t>job_url</t>
        </is>
      </c>
      <c r="F1" t="inlineStr">
        <is>
          <t>job_url_direct</t>
        </is>
      </c>
      <c r="G1" t="inlineStr">
        <is>
          <t>location</t>
        </is>
      </c>
      <c r="H1" t="inlineStr">
        <is>
          <t>date posted</t>
        </is>
      </c>
      <c r="I1" t="inlineStr">
        <is>
          <t>description</t>
        </is>
      </c>
    </row>
    <row r="2">
      <c r="A2" t="inlineStr">
        <is>
          <t>li-4378167676</t>
        </is>
      </c>
      <c r="B2" t="inlineStr">
        <is>
          <t>Data Engineer (L5) - Content Finance</t>
        </is>
      </c>
      <c r="C2" t="inlineStr">
        <is>
          <t>Netflix</t>
        </is>
      </c>
      <c r="D2" t="inlineStr">
        <is>
          <t>linkedin</t>
        </is>
      </c>
      <c r="E2">
        <f>HYPERLINK("https://www.linkedin.com/jobs/view/4378167676", "https://www.linkedin.com/jobs/view/4378167676")</f>
        <v/>
      </c>
      <c r="F2">
        <f>HYPERLINK("https://explore.jobs.netflix.net/careers/job/790314597441?utm_source=LinkedIn&amp;domain=netflix.com&amp;urlHash=h5iI", "https://explore.jobs.netflix.net/careers/job/790314597441?utm_source=LinkedIn&amp;domain=netflix.com&amp;urlHash=h5iI")</f>
        <v/>
      </c>
      <c r="G2" t="inlineStr"/>
      <c r="H2" t="inlineStr"/>
      <c r="I2" t="inlineStr">
        <is>
          <t>At Netflix, our mission is to entertain the world. Together, we are writing the next episode \- pushing the boundaries of storytelling, global fandom and making the unimaginable a reality. We are a dream team obsessed with the uncomfortable excitement of discovering what happens when you merge creativity, intuition and cutting\-edge technology. Come be a part of what’s next.
 At Netflix, our mission is to entertain the world. Together, we are writing the next episode \- pushing the boundaries of storytelling, global fandom, and making the unimaginable a reality. We are a dream team obsessed with the uncomfortable excitement of discovering what happens when you merge creativity, intuition, and cutting\-edge technology. Come be a part of what’s next.
**About The Team**
 Netflix isn’t just a product; it’s a global entertainment engine. We create our own shows and films, license stories from around the world, and invest billions in content every year. Behind all of that is a sophisticated financial ecosystem: FP\&amp;A, content planning, production finance, and more. These teams rely on timely, trustworthy data to decide what we make, where we invest, and how we shape the future of Netflix. That’s where this team and this role come in.
**Role**
 We’re looking for a Senior (L5\) Data Engineer to join the Content Finance DSE team. In this role, you will design, build, and own scalable, resilient data pipelines and data products that power the core of Content Finance planning and systems. The data you create will be used every day in planning cycles to answer questions such as:
* How should we allocate and adjust content budgets for upcoming forecasting seasons?
* What signals can inform our long‑term content investment strategy?
* How do we ensure our financial results are finalized quickly, accurately, and with confidence?
 Your work will be directly consumed by FP\&amp;A, planning, and content accounting teams, spanning Netflix Finance teams from content planning and forecasting to production finance. You will also help define what modern data engineering looks like in this space: shaping your own role, establishing strong data foundations, data modeling, and influencing how we leverage GenAI in the data engineering ecosystem. The systems and products you build will shape how Netflix decides what to fund, where to take risks, and how we grow our content business globally.
**Location** 
**:** 
 Los Gatos, CA preferred, but open to Remote
**Who are you?**
* You write clean, elegant, maintainable code and are comfortable quickly learning new technologies independently.
* You are proficient in at least one major programming language (e.g., Java, Scala, Python) and are very comfortable working with SQL.
* You are a strong data modeler who can design clear, scalable, and future\-proof data models that serve multiple use cases across finance and beyond.
* You think broadly about systems: you understand the complexities of integrating with many upstream and downstream systems, and you can reason about data flows, contracts, and trade\-offs across those systems.
* You have a strong product mindset: you think beyond pipelines to the end users, the decisions they need to make, and how data products can unlock value.
* You have a strong background in at least one of the following areas: distributed data processing, software engineering of data services, or data modeling and data warehousing.
* You are familiar with big data technologies such as Spark or Flink and are comfortable working with very large, web\-scale datasets.
* You have strong data intuition, a keen eye for detail, and a deep passion for data quality, reliability, and correctness, including clear documentation, robust data contracts, and effective debugging practices.
* You are curious and open to leveraging modern and emerging technologies, including GenAI and next‑generation AI tools, where they make sense and create durable value.
* You resonate with the Netflix Culture and enjoy working independently while also collaborating closely, giving and receiving candid, constructive feedback.
 Generally, our compensation structure consists solely of an annual salary; we do not have bonuses. You choose each year how much of your compensation you want in salary versus stock options. To determine your personal top of market compensation, we rely on market indicators and consider your specific job family, background, skills, and experience to determine your compensation in the market range. The range for this role is $380,000\.00 \- $610,000\.00\. This compensation range will vary based on location.
 Netflix provides comprehensive benefits including Health Plans, Mental Health support, a 401(k) Retirement Plan with employer match, Stock Option Program, Disability Programs, Health Savings and Flexible Spending Accounts, Family\-forming benefits, and Life and Serious Injury Benefits. We also offer paid leave of absence programs. Full\-time hourly employees accrue 35 days annually for paid time off to be used for vacation, holidays, and sick paid time off. Full\-time salaried employees are immediately entitled to flexible time off. See more details about our Benefits here.
 Netflix is a unique culture and environment. Learn more here.
 Inclusion is a Netflix value and we strive to host a meaningful interview experience for all candidates. If you want an accommodation/adjustment for a disability or any other reason during the hiring process, please send a request to your recruiting partner.
 We are an equal\-opportunity employer and celebrate diversity, recognizing that diversity builds stronger teams. We approach diversity and inclusion seriously and thoughtfully. We do not discriminate on the basis of race, religion, color, ancestry, national origin, caste, sex, sexual orientation, gender, gender identity or expression, age, disability, medical condition, pregnancy, genetic makeup, marital status, or military service.
 Job is open for no less than 7 days and will be removed when the position is filled.</t>
        </is>
      </c>
    </row>
    <row r="3">
      <c r="A3" t="inlineStr">
        <is>
          <t>li-4120820999</t>
        </is>
      </c>
      <c r="B3" t="inlineStr">
        <is>
          <t>Data Engineer, Product Analytics</t>
        </is>
      </c>
      <c r="C3" t="inlineStr">
        <is>
          <t>Meta</t>
        </is>
      </c>
      <c r="D3" t="inlineStr">
        <is>
          <t>linkedin</t>
        </is>
      </c>
      <c r="E3">
        <f>HYPERLINK("https://www.linkedin.com/jobs/view/4120820999", "https://www.linkedin.com/jobs/view/4120820999")</f>
        <v/>
      </c>
      <c r="F3" t="inlineStr"/>
      <c r="G3" t="inlineStr">
        <is>
          <t>Menlo Park, CA</t>
        </is>
      </c>
      <c r="H3" t="inlineStr"/>
      <c r="I3" t="inlineStr">
        <is>
          <t>As a Data Engineer at Meta, you will shape the future of people\-facing and business\-facing products we build across our entire family of applications (Facebook, Instagram, Messenger, WhatsApp, Reality Labs, Threads). Your technical skills and analytical mindset will be utilized designing and building some of the world's most extensive data sets, helping to craft experiences for billions of people and hundreds of millions of businesses worldwide.In this role, you will collaborate with software engineering, data science, and product management teams to design/build scalable data solutions across Meta to optimize growth, strategy, and user experience for our 3 billion plus users, as well as our internal employee community.You will be at the forefront of identifying and solving some of the most interesting data challenges at a scale few companies can match. By joining Meta, you will become part of a world\-class data engineering community dedicated to skill development and career growth in data engineering and beyond.Data Engineering: You will guide teams by building optimal data artifacts (including datasets and visualizations) to address key questions. You will refine our systems, design logging solutions, and create scalable data models. Ensuring data security and quality, and with a strong focus on efficiency, you will suggest architecture and development approaches and data management standards to address complex analytical problems.Product leadership: You will use data to shape product development, identify new opportunities, and tackle upcoming challenges. You'll ensure our products add value for users and businesses, by prioritizing projects, and driving innovative solutions to respond to challenges or opportunities.Communication and influence: You won't simply present data, but tell data\-driven stories. You will convince and influence your partners using clear insights and recommendations. You will build credibility through structure and clarity, and be a trusted strategic partner.
 Data Engineer, Product Analytics Responsibilities:
* Conceptualize and own the data architecture for multiple large\-scale projects, while evaluating design and operational cost\-benefit tradeoffs within systems
* Create and contribute to frameworks that improve the efficacy of logging data, while working with data infrastructure to triage issues and resolve
* Collaborate with engineers, product managers, and data scientists to understand data needs, representing key data insights visually in a meaningful way
* Define and manage Service Level Agreements for all data sets in allocated areas of ownership
* Determine and implement the security model based on privacy requirements, confirm safeguards are followed, address data quality issues, and evolve governance processes within allocated areas of ownership
* Design, build, and launch collections of sophisticated data models and visualizations that support multiple use cases across different products or domains
* Solve our most challenging data integration problems, utilizing optimal Extract, Transform, Load (ETL) patterns, frameworks, query techniques, sourcing from structured and unstructured data sources
* Assist in owning existing processes running in production, optimizing complex code through advanced algorithmic concepts
* Optimize pipelines, dashboards, frameworks, and systems to facilitate easier development of data artifacts
* Influence product and cross\-functional teams to identify data opportunities to drive impact
* Mentor team members by giving/receiving actionable feedback
 Minimum Qualifications:
* Bachelor's degree in Computer Science, Computer Engineering, relevant technical field, or equivalent practical experience
* 7\+ years of experience where the primary responsibility involves working with data. This could include roles such as data analyst, data scientist, data engineer, or similar positions
* 7\+ years of experience with SQL, ETL, data modeling, and at least one programming language (e.g., Python, C\+\+, C\#, Scala or others.)
 Preferred Qualifications:
* Master's or Ph.D degree in a STEM field
 About Meta:
 Meta builds technologies that help people connect, find communities, and grow businesses. When Facebook launched in 2004, it changed the way people connect. Apps like Messenger, Instagram and WhatsApp further empowered billions around the world. Now, Meta is moving beyond 2D screens toward immersive experiences like augmented and virtual reality to help build the next evolution in social technology. People who choose to build their careers by building with us at Meta help shape a future that will take us beyond what digital connection makes possible today—beyond the constraints of screens, the limits of distance, and even the rules of physics.
 Meta is proud to be an Equal Employment Opportunity and Affirmative Action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other applicable legally protected characteristics. We also consider qualified applicants with criminal histories, consistent with applicable federal, state and local law. Meta participates in the E\-Verify program in certain locations, as required by law. Please note that Meta may leverage artificial intelligence and machine learning technologies in connection with applications for employment.
 Meta is committed to providing reasonable accommodations for candidates with disabilities in our recruiting process. If you need any assistance or accommodations due to a disability, please let us know at accommodations\-ext@meta.com.
 $177,000/year to $247,000/year \+ bonus \+ equity \+ benefits
 Individual compensation is determined by skills, qualifications, experience, and location. Compensation details listed in this posting reflect the base hourly rate, monthly rate, or annual salary only, and do not include bonus, equity or sales incentives, if applicable. In addition to base compensation, Meta offers benefits. Learn more about benefits at Meta.</t>
        </is>
      </c>
    </row>
    <row r="4">
      <c r="A4" t="inlineStr">
        <is>
          <t>li-4120827285</t>
        </is>
      </c>
      <c r="B4" t="inlineStr">
        <is>
          <t>Data Engineer, Product Analytics</t>
        </is>
      </c>
      <c r="C4" t="inlineStr">
        <is>
          <t>Meta</t>
        </is>
      </c>
      <c r="D4" t="inlineStr">
        <is>
          <t>linkedin</t>
        </is>
      </c>
      <c r="E4">
        <f>HYPERLINK("https://www.linkedin.com/jobs/view/4120827285", "https://www.linkedin.com/jobs/view/4120827285")</f>
        <v/>
      </c>
      <c r="F4" t="inlineStr"/>
      <c r="G4" t="inlineStr">
        <is>
          <t>San Francisco, CA</t>
        </is>
      </c>
      <c r="H4" t="inlineStr"/>
      <c r="I4" t="inlineStr">
        <is>
          <t>As a Data Engineer at Meta, you will shape the future of people\-facing and business\-facing products we build across our entire family of applications (Facebook, Instagram, Messenger, WhatsApp, Reality Labs, Threads). Your technical skills and analytical mindset will be utilized designing and building some of the world's most extensive data sets, helping to craft experiences for billions of people and hundreds of millions of businesses worldwide.In this role, you will collaborate with software engineering, data science, and product management teams to design/build scalable data solutions across Meta to optimize growth, strategy, and user experience for our 3 billion plus users, as well as our internal employee community.You will be at the forefront of identifying and solving some of the most interesting data challenges at a scale few companies can match. By joining Meta, you will become part of a world\-class data engineering community dedicated to skill development and career growth in data engineering and beyond.Data Engineering: You will guide teams by building optimal data artifacts (including datasets and visualizations) to address key questions. You will refine our systems, design logging solutions, and create scalable data models. Ensuring data security and quality, and with a strong focus on efficiency, you will suggest architecture and development approaches and data management standards to address complex analytical problems.Product leadership: You will use data to shape product development, identify new opportunities, and tackle upcoming challenges. You'll ensure our products add value for users and businesses, by prioritizing projects, and driving innovative solutions to respond to challenges or opportunities.Communication and influence: You won't simply present data, but tell data\-driven stories. You will convince and influence your partners using clear insights and recommendations. You will build credibility through structure and clarity, and be a trusted strategic partner.
 Data Engineer, Product Analytics Responsibilities:
* Conceptualize and own the data architecture for multiple large\-scale projects, while evaluating design and operational cost\-benefit tradeoffs within systems
* Create and contribute to frameworks that improve the efficacy of logging data, while working with data infrastructure to triage issues and resolve
* Collaborate with engineers, product managers, and data scientists to understand data needs, representing key data insights visually in a meaningful way
* Define and manage Service Level Agreements for all data sets in allocated areas of ownership
* Determine and implement the security model based on privacy requirements, confirm safeguards are followed, address data quality issues, and evolve governance processes within allocated areas of ownership
* Design, build, and launch collections of sophisticated data models and visualizations that support multiple use cases across different products or domains
* Solve our most challenging data integration problems, utilizing optimal Extract, Transform, Load (ETL) patterns, frameworks, query techniques, sourcing from structured and unstructured data sources
* Assist in owning existing processes running in production, optimizing complex code through advanced algorithmic concepts
* Optimize pipelines, dashboards, frameworks, and systems to facilitate easier development of data artifacts
* Influence product and cross\-functional teams to identify data opportunities to drive impact
* Mentor team members by giving/receiving actionable feedback
 Minimum Qualifications:
* Bachelor's degree in Computer Science, Computer Engineering, relevant technical field, or equivalent practical experience
* 7\+ years of experience where the primary responsibility involves working with data. This could include roles such as data analyst, data scientist, data engineer, or similar positions
* 7\+ years of experience with SQL, ETL, data modeling, and at least one programming language (e.g., Python, C\+\+, C\#, Scala or others.)
 Preferred Qualifications:
* Master's or Ph.D degree in a STEM field
 About Meta:
 Meta builds technologies that help people connect, find communities, and grow businesses. When Facebook launched in 2004, it changed the way people connect. Apps like Messenger, Instagram and WhatsApp further empowered billions around the world. Now, Meta is moving beyond 2D screens toward immersive experiences like augmented and virtual reality to help build the next evolution in social technology. People who choose to build their careers by building with us at Meta help shape a future that will take us beyond what digital connection makes possible today—beyond the constraints of screens, the limits of distance, and even the rules of physics.
 Meta is proud to be an Equal Employment Opportunity and Affirmative Action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other applicable legally protected characteristics. We also consider qualified applicants with criminal histories, consistent with applicable federal, state and local law. Meta participates in the E\-Verify program in certain locations, as required by law. Please note that Meta may leverage artificial intelligence and machine learning technologies in connection with applications for employment.
 Meta is committed to providing reasonable accommodations for candidates with disabilities in our recruiting process. If you need any assistance or accommodations due to a disability, please let us know at accommodations\-ext@meta.com.
 $177,000/year to $247,000/year \+ bonus \+ equity \+ benefits
 Individual compensation is determined by skills, qualifications, experience, and location. Compensation details listed in this posting reflect the base hourly rate, monthly rate, or annual salary only, and do not include bonus, equity or sales incentives, if applicable. In addition to base compensation, Meta offers benefits. Learn more about benefits at Meta.</t>
        </is>
      </c>
    </row>
    <row r="5">
      <c r="A5" t="inlineStr">
        <is>
          <t>li-4370600590</t>
        </is>
      </c>
      <c r="B5" t="inlineStr">
        <is>
          <t>Data Engineer</t>
        </is>
      </c>
      <c r="C5" t="inlineStr">
        <is>
          <t>Per Scholas</t>
        </is>
      </c>
      <c r="D5" t="inlineStr">
        <is>
          <t>linkedin</t>
        </is>
      </c>
      <c r="E5">
        <f>HYPERLINK("https://www.linkedin.com/jobs/view/4370600590", "https://www.linkedin.com/jobs/view/4370600590")</f>
        <v/>
      </c>
      <c r="F5" t="inlineStr"/>
      <c r="G5" t="inlineStr"/>
      <c r="H5" t="inlineStr"/>
      <c r="I5" t="inlineStr">
        <is>
          <t>**ABOUT PER SCHOLAS:**
 For 30 years, Per Scholas has been on a mission to drive mobility and opportunity in the ever\-advancing technology landscape by unlocking the untapped potential of individuals, uplifting communities, and meeting the needs of employers through rigorous tech training. By teaming up with dynamic employer partners, ranging from Fortune 500 companies to innovative startups, we're forging inclusive tech talent pipelines, fulfilling an ever\-increasing need for skilled talent. With national remote training and campuses in 20\+ cities and counting, Per Scholas offers no\-cost training programs in the most sought\-after tech skills, spanning Cloud, Cybersecurity, Data Engineering, IT Support, Software Engineering, and more. To date, 30,000\+ individuals have been trained through Per Scholas, propelling their professional trajectories into high\-growth tech careers with salaries three times higher than their pre\-training earnings. Learn more by visiting PerScholas.org and follow us on LinkedIn, X, Facebook, Instagram, and YouTube.
**Per Scholas preferred hires reside within the following states** 
 : AZ, CA, CO, FL, GA, IL, IN, KS, MD, MA, MI, MO, NC, NJ, NY, OH, PA, TX, WA
**Position Title: Data Engineer**
**Location: Remote**
**Reports To: EVP, IT**
**Position Summary**
 Per Scholas is seeking a Data Engineer to maintain and expand our enterprise data infrastructure. This role focuses on the technical execution of our data strategy, specifically managing the flow of data into our newly established Snowflake Data Lake. You will be the "bridge" that ensures data from various sources is accurately ingested, transformed, and ready for visualization in Tableau.
**Core Responsibilities**
* Data Pipeline Management
* Set up and monitor automated data ingestion connectors using Fivetran.
* Troubleshoot sync errors and work with API providers to ensure continuous data flow.
* Write and optimize SQL transformations within Snowflake to prepare data for reporting.
* Familiarity or experience with OpenFlow data ingestion is nice\-to\-have
* Data Lake Maintenance
* Maintain the structure of the Snowflake Data Lake (schemas, tables, and views) as defined in partnership with InterWorks.
* Perform regular data quality checks to ensure the "source of truth" remains accurate.
* Monitor warehouse performance and assist in managing Snowflake credit consumption.
* Reporting \&amp; Visualization Support
* Build and maintain "Published Data Sources" in Tableau for use by various departments.
* Assist team members in building complex Tableau dashboards by providing the necessary back\-end data structures.
* Translate business requests into technical requirements for new data pipelines.
* Privacy \&amp; Compliance
* Execute data masking and access control policies to ensure compliance with Data Privacy frameworks.
* Assist in maintaining documentation for data lineage and the organizational data dictionary.
**Required Qualifications**
* Excellent communication skills, able to communicate technical requirements to non technical audiences
* A clear understanding of data modeling and best practices
* 2–4 years of professional experience in data engineering or a highly technical data analyst role.
* Experience with CI/CD pipelines
* Snowflake: Hands\-on experience querying and managing tables within a Snowflake environment.
* Fivetran: Proficiency in setting up and managing SaaS connectors.
* Experience writing and implementing data transformations with dbt (Data Build Tool)
* Tableau: Experience in data modeling for Tableau (calculating fields, joining data sets, and optimizing for performance).
* Technical Skills: Strong SQL skills are mandatory. Experience with Python for basic scripting is preferred.
* Mission\-Driven: A genuine interest in using technology to support Per Scholas’ mission of closing the opportunity gap.
 LI\#\- Remote
 For this position, our target salary is
 **$139,000,** 
 with a range of
 **$129,000 to $139,000\.** 
 The variation in compensation typically hinges on factors such as the candidate's geographic location and their qualifications and experience that align with the role.
**QUESTIONS?**
 If you have any questions about this role, please feel free to email our Talent team at jobs@perscholas.org. We look forward to viewing your application!
**Equal Employment Opportunity**
 We're proud to be an equal opportunity employer. All qualified applicants will receive consideration for employment without regard to age, race, color, religion, sex, sexual orientation, gender identity or national origin.
 PII Policies
 Non\-Discrimination Policy</t>
        </is>
      </c>
    </row>
    <row r="6">
      <c r="A6" t="inlineStr">
        <is>
          <t>li-4120822665</t>
        </is>
      </c>
      <c r="B6" t="inlineStr">
        <is>
          <t>Data Engineer, Product Analytics</t>
        </is>
      </c>
      <c r="C6" t="inlineStr">
        <is>
          <t>Meta</t>
        </is>
      </c>
      <c r="D6" t="inlineStr">
        <is>
          <t>linkedin</t>
        </is>
      </c>
      <c r="E6">
        <f>HYPERLINK("https://www.linkedin.com/jobs/view/4120822665", "https://www.linkedin.com/jobs/view/4120822665")</f>
        <v/>
      </c>
      <c r="F6" t="inlineStr"/>
      <c r="G6" t="inlineStr">
        <is>
          <t>Burlingame, CA</t>
        </is>
      </c>
      <c r="H6" t="inlineStr"/>
      <c r="I6" t="inlineStr">
        <is>
          <t>As a Data Engineer at Meta, you will shape the future of people\-facing and business\-facing products we build across our entire family of applications (Facebook, Instagram, Messenger, WhatsApp, Reality Labs, Threads). Your technical skills and analytical mindset will be utilized designing and building some of the world's most extensive data sets, helping to craft experiences for billions of people and hundreds of millions of businesses worldwide.In this role, you will collaborate with software engineering, data science, and product management teams to design/build scalable data solutions across Meta to optimize growth, strategy, and user experience for our 3 billion plus users, as well as our internal employee community.You will be at the forefront of identifying and solving some of the most interesting data challenges at a scale few companies can match. By joining Meta, you will become part of a world\-class data engineering community dedicated to skill development and career growth in data engineering and beyond.Data Engineering: You will guide teams by building optimal data artifacts (including datasets and visualizations) to address key questions. You will refine our systems, design logging solutions, and create scalable data models. Ensuring data security and quality, and with a strong focus on efficiency, you will suggest architecture and development approaches and data management standards to address complex analytical problems.Product leadership: You will use data to shape product development, identify new opportunities, and tackle upcoming challenges. You'll ensure our products add value for users and businesses, by prioritizing projects, and driving innovative solutions to respond to challenges or opportunities.Communication and influence: You won't simply present data, but tell data\-driven stories. You will convince and influence your partners using clear insights and recommendations. You will build credibility through structure and clarity, and be a trusted strategic partner.
 Data Engineer, Product Analytics Responsibilities:
* Conceptualize and own the data architecture for multiple large\-scale projects, while evaluating design and operational cost\-benefit tradeoffs within systems
* Create and contribute to frameworks that improve the efficacy of logging data, while working with data infrastructure to triage issues and resolve
* Collaborate with engineers, product managers, and data scientists to understand data needs, representing key data insights in a meaningful way
* Define and manage Service Level Agreements for all data sets in allocated areas of ownership
* Determine and implement the security model based on privacy requirements, confirm safeguards are followed, address data quality issues, and evolve governance processes within allocated areas of ownership
* Design, build, and launch collections of sophisticated data models and visualizations that support multiple use cases across different products or domains
* Solve our most challenging data integration problems, utilizing optimal Extract, Transform, Load (ETL) patterns, frameworks, query techniques, sourcing from structured and unstructured data sources
* Assist in owning existing processes running in production, optimizing complex code through advanced algorithmic concepts
* Optimize pipelines, dashboards, frameworks, and systems to facilitate easier development of data artifacts
* Influence product and cross\-functional teams to identify data opportunities to drive impact
* Mentor team members by giving/receiving actionable feedback
 Minimum Qualifications:
* Bachelor's degree in Computer Science, Computer Engineering, relevant technical field, or equivalent practical experience
* 4\+ years of experience where the primary responsibility involves working with data. This could include roles such as data analyst, data scientist, data engineer, or similar positions
* 4\+ years of experience with SQL, ETL, data modeling, and at least one programming language (e.g., Python, C\+\+, C\#, Scala, etc.)
 Preferred Qualifications:
* Master's or Ph.D degree in a STEM field
 About Meta:
 Meta builds technologies that help people connect, find communities, and grow businesses. When Facebook launched in 2004, it changed the way people connect. Apps like Messenger, Instagram and WhatsApp further empowered billions around the world. Now, Meta is moving beyond 2D screens toward immersive experiences like augmented and virtual reality to help build the next evolution in social technology. People who choose to build their careers by building with us at Meta help shape a future that will take us beyond what digital connection makes possible today—beyond the constraints of screens, the limits of distance, and even the rules of physics.
 Meta is proud to be an Equal Employment Opportunity and Affirmative Action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other applicable legally protected characteristics. We also consider qualified applicants with criminal histories, consistent with applicable federal, state and local law. Meta participates in the E\-Verify program in certain locations, as required by law. Please note that Meta may leverage artificial intelligence and machine learning technologies in connection with applications for employment.
 Meta is committed to providing reasonable accommodations for candidates with disabilities in our recruiting process. If you need any assistance or accommodations due to a disability, please let us know at accommodations\-ext@meta.com.
 $147,000/year to $208,000/year \+ bonus \+ equity \+ benefits
 Individual compensation is determined by skills, qualifications, experience, and location. Compensation details listed in this posting reflect the base hourly rate, monthly rate, or annual salary only, and do not include bonus, equity or sales incentives, if applicable. In addition to base compensation, Meta offers benefits. Learn more about benefits at Meta.</t>
        </is>
      </c>
    </row>
    <row r="7">
      <c r="A7" t="inlineStr">
        <is>
          <t>li-4380302502</t>
        </is>
      </c>
      <c r="B7" t="inlineStr">
        <is>
          <t>Data Engineer I (Full Time) - United States</t>
        </is>
      </c>
      <c r="C7" t="inlineStr">
        <is>
          <t>Lensa</t>
        </is>
      </c>
      <c r="D7" t="inlineStr">
        <is>
          <t>linkedin</t>
        </is>
      </c>
      <c r="E7">
        <f>HYPERLINK("https://www.linkedin.com/jobs/view/4380302502", "https://www.linkedin.com/jobs/view/4380302502")</f>
        <v/>
      </c>
      <c r="F7">
        <f>HYPERLINK("https://lensa.com/cgw/dfc871fc620c431bbe4d8d93861e9d6btjo1?jpsi=directemployers_no_redirect&amp;publisher_preference=easier_apply&amp;utm_campaign=Computer%20Occupations&amp;utm_medium=slot&amp;utm_source=linkedin&amp;utm_term=jse&amp;urlHash=k4V1", "https://lensa.com/cgw/dfc871fc620c431bbe4d8d93861e9d6btjo1?jpsi=directemployers_no_redirect&amp;publisher_preference=easier_apply&amp;utm_campaign=Computer%20Occupations&amp;utm_medium=slot&amp;utm_source=linkedin&amp;utm_term=jse&amp;urlHash=k4V1")</f>
        <v/>
      </c>
      <c r="G7" t="inlineStr">
        <is>
          <t>Austin, TX</t>
        </is>
      </c>
      <c r="H7" t="inlineStr"/>
      <c r="I7" t="inlineStr">
        <is>
          <t>Lensa is a career site that helps job seekers find great jobs in the US. We are not a staffing firm or agency. Lensa does not hire directly for these jobs, but promotes jobs on LinkedIn on behalf of its direct clients, recruitment ad agencies, and marketing partners. Lensa partners with DirectEmployers to promote this job for Cisco. Clicking "Apply Now" or "Read more" on Lensa redirects you to the job board/employer site. Any information collected there is subject to their terms and privacy notice.
 Please note this posting is to advertise potential job opportunities. This exact role may not be open today but could open in the near future. When you apply, a Cisco representative may contact you directly if a relevant position opens.
**Applic** 
**ations** 
**accep** 
**ted until further notice.**
**Meet the Team**
 Our dedicated team members are engineering the foundation of Cisco's core technologies across the globe, including teams in Engineering like Infrastructure \&amp; Security. At Cisco you will join a collaborative group of builders, innovators, and change agents. Our team brings together expertise in: CRM architecture, Data governance, Sales and partner compensation and AI and automation
 We believe the best ideas come from diverse voices and bold thinking. You'll have the support and resources to learn, grow, and make a meaningful impact.
**Your Impact**
**As a Data Engineer At Cisco, You Will**
* Build and support integrated data solutions that power business analytics and machine learning
* Ensure data is high\-quality, accessible, and easy to use
* Enable smarter decisions,optimizemarketing investments, and enhance customer experiences
* Make complex data understandable and actionable
* Collaborate across teams to deliver meaningful solutions for a global community
**Minimum Qualifications**
* Completion within the past 3 years, or current enrollment with expected completion within 12 months, of a certification or relevant degree program (e.g., Associate's, Apprenticeship, Boot Camp, or Certification in a specialized program \+ 1 year of relevant experience, High School Diploma \+ 2 years of relevant experience) or Bachelor's \+ 0 years of relevant experience. Relevant fieldsinclude:Engineering, Computer Science, Data Science, Statistics, a related program
* AI literacy and a cloud\-first mindset
* Familiarity with agile methodologies and data\-driven approaches
* Experience or familiarity with databases (e.g., MySQL, PostgreSQL, MongoDB) and big data frameworks (e.g., Hadoop, Spark)
* Able to legally live and work in the United States without visa support or sponsorship
**Preferred Qualifications**
* Experience with RESTful API design and development for data integration
* Experience with business intelligence tools such as Tableau
* Understanding of security best practices in data encryption, secure data transfer, and access controls
* Knowledge of full\-stack development for comprehensive data solutions
**Why Cisco?**
 At Cisco, we're revolutionizing how data and infrastructure connect and protect organizations in the AI era \- and beyond. We've been innovating fearlessly for 40 years to create solutions that power how humans and technology work together across the physical and digital worlds. These solutions provide customers with unparalleled security, visibility, and insights across the entire digital footprint.
 Fueled by the depth and breadth of our technology, we experiment and create meaningful solutions. Add to that our worldwide network of doers and experts, and you'll see that the opportunities to grow and build are limitless. We work as a team, collaborating with empathy to make really big things happen on a global scale. Because our solutions are everywhere, our impact is everywhere.
 We are Cisco, and our power starts with you.
**Message to applicants applying to work in the U.S. and/or Canada:**
 Individual pay is determined by the candidate's hiring location, market conditions, job\-related skillset, experience, qualifications, education, certifications, and/or training. The full salary range for certain locations is listed below. For locations not listed below, the recruiter can share more details about compensation for the role in your location during the hiring process.
 U.S. employees are offered benefits, subject to Cisco's plan eligibility rules, which include medical, dental and vision insurance, a 401(k) plan with a Cisco matching contribution, paid parental leave, short and long\-term disability coverage, and basic life insurance. Please see the Cisco careers site to discover more benefits and perks. Employees may be eligible to receive grants of Cisco restricted stock units, which vest following continued employment with Cisco for defined periods of time.
 U.S. employees are eligible for paid time away as described below, subject to Cisco's policies:
* 10 paid holidays per full calendar year, plus 1 floating holiday for non\-exempt employees
* 1 paid day off for employee's birthday, paid year\-end holiday shutdown, and 4 paid days off for personal wellness determined by Cisco
* Non\-exempt employees\*\* receive 16 days of paid vacation time per full calendar year, accrued at rate of 4\.92 hours per pay period for full\-time employees
* Exempt employees participate in Cisco's flexible vacation time off program, which has no defined limit on how much vacation time eligible employees may use (subject to availability and some business limitations)
* 80 hours of sick time off provided on hire date and each January 1st thereafter, and up to 80 hours of unused sick time carried forward from one calendar year to the next
* Additional paid time away may be requested to deal with critical or emergency issues for family members
* Optional 10 paid days per full calendar year to volunteer
 For non\-sales roles, employees are also eligible to earn annual bonuses subject to Cisco's policies.
 Employees On Sales Plans Earn Performance\-based Incentive Pay On Top Of Their Base Salary, Which Is Split Between Quota And Non\-quota Components, Subject To The Applicable Cisco Plan. For Quota\-based Incentive Pay, Cisco Typically Pays As Follows
* .75% of incentive target for each 1% of revenue attainment up to 50% of quota;
* 1\.5% of incentive target for each 1% of attainment between 50% and 75%;
* 1% of incentive target for each 1% of attainment between 75% and 100%; and
* Once performance exceeds 100% attainment, incentive rates are at or above 1% for each 1% of attainment with no cap on incentive compensation.
 For non\-quota\-based sales performance elements such as strategic sales objectives, Cisco may pay 0% up to 125% of target. Cisco sales plans do not have a minimum threshold of performance for sales incentive compensation to be paid.
 The applicable full salary ranges for this position, by specific state, are listed below:
**New York City Metro Area**
 $104,700\.00 \- $153,000\.00
**Non\-Metro New York State \&amp; Washington State**
 $92,100\.00 \- $136,000\.00
* For quota\-based sales roles on Cisco's sales plan, the ranges provided in this posting include base pay and sales target incentive compensation combined.
* Employees in Illinois, whether exempt or non\-exempt, will participate in a unique time off program to meet local requirements.
 Cisco is an Affirmative Action and Equal Opportunity Employer and all qualified applicants will receive consideration for employment without regard to race, color, religion, gender, sexual orientation, national origin, genetic information, age, disability, veteran status, or any other legally protected basis.
 Cisco will consider for employment, on a case by case basis, qualified applicants with arrest and conviction records.
 If you have questions about this posting, please contact support@lensa.com</t>
        </is>
      </c>
    </row>
    <row r="8">
      <c r="A8" t="inlineStr">
        <is>
          <t>li-4379108062</t>
        </is>
      </c>
      <c r="B8" t="inlineStr">
        <is>
          <t>Data Engineer</t>
        </is>
      </c>
      <c r="C8" t="inlineStr">
        <is>
          <t>AERMOR</t>
        </is>
      </c>
      <c r="D8" t="inlineStr">
        <is>
          <t>linkedin</t>
        </is>
      </c>
      <c r="E8">
        <f>HYPERLINK("https://www.linkedin.com/jobs/view/4379108062", "https://www.linkedin.com/jobs/view/4379108062")</f>
        <v/>
      </c>
      <c r="F8" t="inlineStr"/>
      <c r="G8" t="inlineStr">
        <is>
          <t>Norfolk, VA</t>
        </is>
      </c>
      <c r="H8" t="inlineStr"/>
      <c r="I8" t="inlineStr">
        <is>
          <t>**Position Type: Full\-Time**
**Location: Norfolk**
**Clearance: Secret**
**AERMOR** 
 is seeking a highly motivated and experienced
 **Data Engineer** 
 to support data analysis and data management functions across enterprise and test environments. The successful candidate will have proven technical capability in data mining, integration, transformation, visualization, and backend data systems, along with experience supporting data collection and verification activities.
**This is not a remote position.**
**Responsibilities:**
 * Perform data mining, cleaning, integration, transformation, manipulation, and visualization for small to large datasets.
* Apply software and programming languages such as R, Python, SAS, SPSS, STATA, Tableau, and PowerBI to support data analysis and reporting.
* Design, implement, and maintain data management systems to support collection, storage, and lifecycle management of test data.
* Develop data collection plans, including methodologies and storage strategies for raw and processed data.
* Support verification and validation of data collection and accreditation plans in test planning activities.
* Manage and coordinate the equipment and resources required to implement data collection during testing.
* Incorporate AI/ML techniques into data analysis workflows.
* Analyze structured and unstructured data, leveraging backend technologies such as SQL, NoSQL, and High‑Performance Computing (HPC).
**Qualifications:**
 * Certified Analytics Professional (CAP) is required.
* Undergraduate or graduate degree in one of the following disciplines: Data Science, Computer/Information Science, Information Systems Management, Archives/Digitization Management, Management of Information Systems, Mathematics, or Engineering.
* **In lieu of degree:** 
 equivalent coursework that involved the development or adaptation of computer programs and systems providing knowledge comparable to a major in the Data Science field
 **.**
* **Active Secret clearance is required.**</t>
        </is>
      </c>
    </row>
    <row r="9">
      <c r="A9" t="inlineStr">
        <is>
          <t>li-4379428032</t>
        </is>
      </c>
      <c r="B9" t="inlineStr">
        <is>
          <t>Data Engineer – Corporate Technology Data Engineering &amp; Analytics</t>
        </is>
      </c>
      <c r="C9" t="inlineStr">
        <is>
          <t>MassMutual</t>
        </is>
      </c>
      <c r="D9" t="inlineStr">
        <is>
          <t>linkedin</t>
        </is>
      </c>
      <c r="E9">
        <f>HYPERLINK("https://www.linkedin.com/jobs/view/4379428032", "https://www.linkedin.com/jobs/view/4379428032")</f>
        <v/>
      </c>
      <c r="F9" t="inlineStr"/>
      <c r="G9" t="inlineStr">
        <is>
          <t>New York, NY</t>
        </is>
      </c>
      <c r="H9" t="inlineStr"/>
      <c r="I9" t="inlineStr">
        <is>
          <t>**The Opportunity** 
 Join our dynamic team as a Data Engineer – Corporate Technology Data Engineering \&amp; Analytics, where you'll play a pivotal role in driving the execution of our data and technology strategy. This role is crucial in driving digital transformation and operational efficiency across Investment Management. As part of this role, you will engage in building data solutions including streaming and batch pipelines, data marts \&amp; data warehouse. You will be responsible for establishing robust data collection and processing pipelines to fulfill Investment Management business requirements.
**The Team** 
 You’ll be an integral part of our esteemed Corporate Technology Team, focused on Data Engineering \&amp; Analytics. Our team operates on a global scale, driving innovation and excellence across diverse areas of expertise. As a Data Engineer, you'll play a critical role in high impact Corporate Technology Investment Initiatives, ensuring alignment with organizational objectives and driving impactful outcomes. This is an opportunity to collaborate closely with Corporate Technology Data and Analytics team and Investment management business stakeholders. Our team thrives on collaboration, innovation, and a shared commitment to excellence. Together, we're shaping the future of technology within our organization and making a lasting impact on a global scale. Join us and be part of a dynamic team where your contributions will be valued and your potential unleashed.
**The Impact:** 
* Design, build, and measure complex ELT jobs to process disparate data sources and form a high integrity, high quality, clean data asset.
* Executes and provides feedback for data modeling policies, procedure, processes, and standards.
* Assists with capturing and documenting system flow and other pertinent technical information about data, database design, and systems.
* Develop comprehensive data quality standards and implement effective tools to ensure data accuracy and reliability.
* Collaborate with various Investment Management departments to gain a better understanding of new data patterns.
* Collaborate with Data Analysts, Data Architects, and BI developers to ensure design and development of scalable data solutions aligning with business goals.
* Translate high\-level business requirements into detailed technical specs.
**The Minimum Qualifications** 
* Bachelor’s degree in Computer Science, Engineering, Information Systems or related technical field.
* 8\+ years of experience with data analytics, data modeling, and database design.
* 5\+ years experience with ELT methodologies and tools.
* 5\+ years experience in designing, developing, tuning and troubleshooting SQL.
* 3\+ years of coding and scripting (Python, Java, Scala) and design experience.
* 2\+ years of experience with Spark framework.
**The Ideal Qualifications** 
* Knowledge of Informatica Power center and Informatica IDMC.
* Knowledge of distributed, column\- orientated technology to create high\-performant database technologies like \- Vertica, Snowflake.
* Strong data analysis skills for extracting insights from financial data
* Proficiency in reporting tools (e.g., Power BI, Tableau).
* Domain knowledge of Investment Management operations including Security Masters, Securities Trade and Recon Operations, Reference data management, Pricing.
* Familiarity with regulatory requirements and compliance standards in the investment management industry.
* Experience with IBOR’s such as Blackrock Alladin, CRD, Eagle STAR (ABOR), Eagle Pace, and Eagle DataMart.
* Familiarity with investment data platforms such as GoldenSource, FINBOURNE, NeoXam, RIMES, and JPM Fusion.
* Strong analytical and problem\-solving abilities.
* Exceptional communication and interpersonal skills.
* Ability to influence and motivate teams without direct authority.
* Excellent time management and organizational skills, with the ability to prioritize multiple initiatives.
 MassMutual is an equal employment opportunity employer. We welcome all persons to apply.
 If you need an accommodation to complete the application process, please contact us and share the specifics of the assistance you need.
 California residents: For detailed information about your rights under the California Consumer Privacy Act (CCPA), please visit our California Consumer Privacy Act Disclosures page.</t>
        </is>
      </c>
    </row>
    <row r="10">
      <c r="A10" t="inlineStr">
        <is>
          <t>li-4379414225</t>
        </is>
      </c>
      <c r="B10" t="inlineStr">
        <is>
          <t>Data Engineer</t>
        </is>
      </c>
      <c r="C10" t="inlineStr">
        <is>
          <t>AARATECH</t>
        </is>
      </c>
      <c r="D10" t="inlineStr">
        <is>
          <t>linkedin</t>
        </is>
      </c>
      <c r="E10">
        <f>HYPERLINK("https://www.linkedin.com/jobs/view/4379414225", "https://www.linkedin.com/jobs/view/4379414225")</f>
        <v/>
      </c>
      <c r="F10" t="inlineStr"/>
      <c r="G10" t="inlineStr"/>
      <c r="H10" t="inlineStr"/>
      <c r="I10" t="inlineStr">
        <is>
          <t>**Location:** 
 United States (Remote / On\-site – based on client needs)
**Employment Type:** 
 Full\-time (Contract or Contract\-to\-Hire)
**Experience Level:** 
 Entry\-level (0–2 years)
**Company:** 
 Aaratech Inc
 🛑
 **Eligibility:** 
 Open to U.S. Citizens and Green Card holders only. We do not offer visa sponsorship.
 🔍
 **About Aaratech Inc** 
 Aaratech Inc is a specialized IT consulting and staffing company focused on placing talented individuals across data, cloud, and software disciplines. We work with top U.S. enterprises to deliver long\-term roles, competitive compensation, and opportunities to grow in modern data environments.
 🎯
 **Position Overview** 
 We are seeking a
 **Junior Data Analyst** 
 with 0–2 years of experience to support data analysis, reporting, and dashboard development for enterprise clients. This role is ideal for early\-career candidates who want to gain hands\-on experience working with real\-world datasets, analytical tools, and business teams. You will collaborate with senior analysts and data engineers to deliver clean, reliable insights that support business decisions.
 🛠️
 **Key Responsibilities** 
* Assist in analyzing datasets to identify trends and insights
* Support the creation of dashboards and reports using Power BI, Tableau, or Excel
* Write basic SQL queries for data extraction and validation
* Clean, organize, and prepare datasets for analysis
* Document findings and prepare simple data summaries for business teams
* Collaborate with senior analysts on KPIs, metrics, and data requirements
* Help with data quality checks and troubleshoot data discrepancies
* Maintain documentation for reports, dashboards, and data processes
 ✅
 **Required Skills \&amp; Experience** 
* 0–2 years of experience in Data Analysis or a related field
* Basic proficiency in SQL
* Hands\-on experience with Excel (pivot tables, formulas, charts)
* Familiarity with any BI tool (Power BI, Tableau, or Looker)
* Understanding of data cleaning, validation, and analytical concepts
* Knowledge of Python (optional but preferred) for basic data manipulation
* Strong attention to detail and analytical thinking
* Good communication skills and willingness to learn
 ⭐
 **Nice to Have** 
* Exposure to data visualization tools or dashboard building
* Familiarity with data models or basic statistics
* Internship or academic projects related to data analysis
* Experience with Google Analytics, Power Query, or data cleansing tools
* Understanding of cloud platforms (AWS/GCP/Azure) at a basic level</t>
        </is>
      </c>
    </row>
    <row r="11">
      <c r="A11" t="inlineStr">
        <is>
          <t>li-4278672717</t>
        </is>
      </c>
      <c r="B11" t="inlineStr">
        <is>
          <t>Senior Analytics Engineer</t>
        </is>
      </c>
      <c r="C11" t="inlineStr">
        <is>
          <t>StubHub</t>
        </is>
      </c>
      <c r="D11" t="inlineStr">
        <is>
          <t>linkedin</t>
        </is>
      </c>
      <c r="E11">
        <f>HYPERLINK("https://www.linkedin.com/jobs/view/4278672717", "https://www.linkedin.com/jobs/view/4278672717")</f>
        <v/>
      </c>
      <c r="F11" t="inlineStr"/>
      <c r="G11" t="inlineStr">
        <is>
          <t>New York, NY</t>
        </is>
      </c>
      <c r="H11" t="inlineStr"/>
      <c r="I11" t="inlineStr">
        <is>
          <t>StubHub is on a mission to redefine the live event experience on a global scale. Whether someone is looking to attend their first event or their hundredth, we’re here to delight them all the way from the moment they start looking for a ticket until they step through the gate. The same goes for our sellers. From fans selling a single ticket to the promoters of a worldwide stadium tour, we want StubHub to be the safest, most convenient way to offer a ticket to the millions of fans who browse our platform around the world.
 We’re rebuilding our data foundation from the ground up \- and we’re looking for a Senior Analytics Engineer who thrives at the intersection of data infrastructure, business context, and cross\-functional collaboration. If you're excited by the idea of owning foundational systems that will power pricing, personalization, experimentation, and more—this role is for you.
*Location: Hybrid (3 days in office/2 days remote) – New York, NY or Century City, CA*
**About The Team**
 As a
 **Senior Analytics Engineer** 
 at StubHub, you’ll be a force multiplier for the entire company. You’ll build scalable data products and frameworks that empower analysts, data scientists, and business leaders to make better, faster decisions. You'll bring order to chaos, anticipate data needs before they arise, and partner with stakeholders across engineering, product, and business teams to help us unlock the full value of our data.
**What You'll Do**
* Own the development of cross\-functional data models, core business metrics, and self\-service dashboards/tools.
* Build, document, and maintain robust data pipelines using tools like dbt, Airflow, Snowflake, BigQuery, or Databricks.
* Anticipate and solve common data access patterns across product, marketing, finance, and operations teams.
* Partner closely with data scientists, analysts, and software engineers—often serving as the bridge between product needs and data infrastructure.
* Define and scale analytical frameworks that support experimentation, decision\-making, and business health monitoring.
* Act as a domain expert in one or more business areas (e.g., pricing, supply, demand, user growth), becoming a go\-to thought partner for leadership.
* Support real\-time and batch data workflows, data governance practices, and metadata/catalog tooling.
**What You've Done**
* 5 \- 10 years of experience in analytics engineering, data engineering, or business intelligence in a fast\-paced, high\-growth environment.
* Expert SQL skills and strong proficiency in Python (or another programming language like Java).
* Hands\-on experience building data pipelines and models with tools like dbt, Airflow, and Snowflake (or equivalent).
* Experience with BI tools such as Looker, Tableau, or Mode, and a strong understanding of enabling self\-serve analytics.
* Familiarity with both batch and streaming data processing patterns.
* An ability to translate messy, real\-world business problems into elegant, scalable data systems.
* A collaborative mindset with a passion for partnering with non\-technical stakeholders to unlock insights and drive impact.
* Familiarity with data governance, observability, and metadata management tools is a plus.
**What We Offer**
* Accelerated Growth Environment: An environment designed for swift skill and knowledge enhancement, where you have the autonomy to lead experiments and tests on a massive scale.
* Top Tier Compensation Package: Competitive base, equity, and upside that tracks with your impact.
* Flexible Time Off: Enjoy unlimited Flex Time Off, giving you the flexibility to manage your schedule and take time to recharge as needed.
* Comprehensive Benefits Package: Prioritize your well\-being with a comprehensive benefits package, featuring 401k, and premium Health, Vision, and Dental Insurance options.
 The anticipated gross base pay range is below for this role. Actual compensation will vary depending on factors such as a candidate’s qualifications, skills, experience, and competencies. Base annual salary is one component of StubHub’s total compensation and competitive benefits package, which includes equity, 401(k), paid time off, paid parental leave, and comprehensive health benefits.
 Salary Range
 $175,000—$250,000 USD
**About Us**
 StubHub is the world’s leading marketplace to buy and sell tickets to any live event, anywhere. Through StubHub in North America and viagogo, our international platform, we service customers in 195 countries in 33 languages and 49 available currencies. With more than 300 million tickets available annually on our platform to events around the world \-\- from sports to music, comedy to dance, festivals to theater \-\- StubHub offers the safest, most convenient way to buy or sell tickets to the most memorable live experiences. Come join our team for a front\-row seat to the action.
 For California Residents: California Job Applicant Privacy Notice found here
**We are an equal opportunity employer and value diversity on our team. We do not discriminate on the basis of race, color, religion, sex, national origin, gender, sexual orientation, age, disability, veteran status, or any other legally protected status.**</t>
        </is>
      </c>
    </row>
    <row r="12">
      <c r="A12" t="inlineStr">
        <is>
          <t>li-4380138977</t>
        </is>
      </c>
      <c r="B12" t="inlineStr">
        <is>
          <t>Data Engineer</t>
        </is>
      </c>
      <c r="C12" t="inlineStr">
        <is>
          <t>U.S. Bank</t>
        </is>
      </c>
      <c r="D12" t="inlineStr">
        <is>
          <t>linkedin</t>
        </is>
      </c>
      <c r="E12">
        <f>HYPERLINK("https://www.linkedin.com/jobs/view/4380138977", "https://www.linkedin.com/jobs/view/4380138977")</f>
        <v/>
      </c>
      <c r="F12">
        <f>HYPERLINK("https://careers.usbank.com/global/en/job/UBNAGLOBAL20260004219EXTERNALENGLOBAL/Data-Engineer?utm_source=linkedin&amp;utm_medium=phenom-feeds&amp;urlHash=FAhI", "https://careers.usbank.com/global/en/job/UBNAGLOBAL20260004219EXTERNALENGLOBAL/Data-Engineer?utm_source=linkedin&amp;utm_medium=phenom-feeds&amp;urlHash=FAhI")</f>
        <v/>
      </c>
      <c r="G12" t="inlineStr">
        <is>
          <t>Charlotte, NC</t>
        </is>
      </c>
      <c r="H12" t="inlineStr"/>
      <c r="I12" t="inlineStr">
        <is>
          <t>At U.S. Bank, we’re on a journey to do our best. Helping the customers and businesses we serve to make better and smarter financial decisions and enabling the communities we support to grow and succeed. We believe it takes all of us to bring our shared ambition to life, and each person is unique in their potential. A career with U.S. Bank gives you a wide, ever\-growing range of opportunities to discover what makes you thrive at every stage of your career. Try new things, learn new skills and discover what you excel at—all from Day One.
**Job Description**
 Design and implement scalable data lake solutions using Snowflake and Databricks, Develop and optimize data pipelines for ingestion, transformation, and storage.
 Manage data governance, quality, and security across cloud environments and implement performance tuning, automation, and CI/CD for data workflows.
 Collaborate with cross\-functional teams to support cloud migration activities
**Performance Optimization**
 Tune Hadoop, Hive, and Spark jobs and configurations for optimal performance, efficiency, and resource utilization. This includes optimizing queries, managing partitions, and leveraging in\-memory capabilities.
**Troubleshooting and Support**
 Diagnose and resolve issues related to Linux servers, networks, cluster health, job failures, and performance bottlenecks. Provide on\-call support and collaborate with other teams to ensure smooth operations.
**Security, Governance, and Secrets Management**
 Implement and manage security measures within the Cloudera environment, including Kerberos, Apache Ranger, and Atlas, to ensure data governance and compliance.
 Setup and manage HashiCorp Vault for secure keys and secrets management.
 Utilize CyberArk for privileged access management and secure administrative tasks on the cluster.
**Data and Application Migration**
 Migrate Datastage ETL jobs to Azure cloud services such as Azure Synapse Analytics, Azure Databricks, or Snowflake. Ensure data integrity, performance tuning, and validation.
 Automation and Scripting: Develop scripts (e.g., shell, Ansible, Python) for automating administrative tasks, deployments, and monitoring. Work with users to develop, debug, optimize Hive/Spark/Python programs that connect to the Cloudera environment.
**Documentation**
 Create and maintain documentation for system configurations, operational procedures, and troubleshooting knowledge bases.
**Vendor Collaboration**
 Work closely with the vendor to stay current with the latest releases, perform upgrades, and address vulnerabilities.
**Basic Qualifications**
* Bachelor’s degree, or equivalent work experience
* Three to five years of relevant experience
**Experience Should Include**
* Deep expertise in Data Engineering and Management technologies, synthetic data, automation, advanced analytics.
* Ability to do on\-call rotation once a month
* Very strong customer\-centric focus
* 6 \- 8 years of hands\-on experience in Data engineering, Cloud platform management, and performance optimization.
* Very strong Azure Data Factory tools experience
* Excellent SQL Experience, including performance tuning and optimization.
* Hands\-on experience with Hadoop, Hive, Spark, and migration of Big Data into Azure cloud services.
* DataStage experience for conversion of ETL jobs to Pyspark ETL pipelines
* Working with offshore teams
* Working knowledge and hands\-on experience in Data Integration and Data Lake Architectures with Databricks and Snowflake platforms.
* Working knowledge of Microsoft Azure cloud and big data migration to cloud platforms.
* Proficiency in Linux, clustering, and distributed systems.
* Expertise in Hive and Spark for data processing and analytics.
* Expertise in Hadoop ecosystem components such as HDFS, YARN, Hive, Spark, and Sqoop.
* Proficiency in languages such as shell, Python, Pyspark for automating workflows, deployments, and monitoring.
* Expertise in Linux, Network, Python scripting, DNS, Kerberos, LDAP/AD, JupyterHub.
* Experience in creating and maintaining documentation for system configurations, operational procedures, and troubleshooting knowledge bases.
* Strong problem\-solving skills and the ability to diagnose and resolve system failures and performance bottlenecks.
* Excellent communication and collaboration skills to work effectively with cross\-functional teams
**Preferred Skills And Experience**
* Strong problem\-solving, analytical skills.
* Deep understanding of banking, operations, risk, and compliance—pairing technical fluency with business and regulatory acumen.
* Experience on change management process and addressing PCI and PII data requirements.
* Experience in implementing secure systems with secure API design, IAM integration.
* This role requires working from a U.S. Bank location three (3\) or more days per week.\*\*\*
 If there’s anything we can do to accommodate a disability during any portion of the application or hiring process, please refer to our disability accommodations for applicants.
**Benefits:**
 Our approach to benefits and total rewards considers our team members’ whole selves and what may be needed to thrive in and outside work. That's why our benefits are designed to help you and your family boost your health, protect your financial security and give you peace of mind. Our benefits include the following:
* Healthcare (medical, dental, vision)
* Basic term and optional term life insurance
* Short\-term and long\-term disability
* Pregnancy disability and parental leave
* 401(k) and employer\-funded retirement plan
* Paid vacation (from two to five weeks depending on salary grade and tenure)
* Up to 11 paid holiday opportunities
* Adoption assistance
* Sick and Safe Leave accruals of one hour for every 30 worked, up to 80 hours per calendar year unless otherwise provided by law
 Review our full benefits available by employment status here.
 U.S. Bank is an equal opportunity employer. We consider all qualified applicants without regard to race, religion, color, sex, national origin, age, sexual orientation, gender identity, disability or veteran status, and other factors protected under applicable law.
**E\-Verify**
 U.S. Bank participates in the U.S. Department of Homeland Security E\-Verify program in all facilities located in the United States and certain U.S. territories. The E\-Verify program is an Internet\-based employment eligibility verification system operated by the U.S. Citizenship and Immigration Services. Learn more about the E\-Verify program.
 The salary range reflects figures based on the primary location, which is listed first. The actual range for the role may differ based on the location of the role. In addition to salary, U.S. Bank offers a comprehensive benefits package, including incentive and recognition programs, equity stock purchase 401(k) contribution and pension (all benefits are subject to eligibility requirements). Pay Range: $98,175\.00 \- $115,500\.00
 U.S. Bank will consider qualified applicants with arrest or conviction records for employment. U.S. Bank conducts background checks consistent with applicable local laws, including the Los Angeles County Fair Chance Ordinance and the California Fair Chance Act as well as the San Francisco Fair Chance Ordinance. U.S. Bank is subject to, and conducts background checks consistent with the requirements of Section 19 of the Federal Deposit Insurance Act (FDIA). In addition, certain positions may also be subject to the requirements of FINRA, NMLS registration, Reg Z, Reg G, OFAC, the NFA, the FCPA, the Bank Secrecy Act, the SAFE Act, and/or federal guidelines applicable to an agreement, such as those related to ethics, safety, or operational procedures.
 Applicants must be able to comply with U.S. Bank policies and procedures including the Code of Ethics and Business Conduct and related workplace conduct and safety policies.
**Posting may be closed earlier due to high volume of applicants.**</t>
        </is>
      </c>
    </row>
    <row r="13">
      <c r="A13" t="inlineStr">
        <is>
          <t>li-4120824557</t>
        </is>
      </c>
      <c r="B13" t="inlineStr">
        <is>
          <t>Data Engineer, Product Analytics</t>
        </is>
      </c>
      <c r="C13" t="inlineStr">
        <is>
          <t>Meta</t>
        </is>
      </c>
      <c r="D13" t="inlineStr">
        <is>
          <t>linkedin</t>
        </is>
      </c>
      <c r="E13">
        <f>HYPERLINK("https://www.linkedin.com/jobs/view/4120824557", "https://www.linkedin.com/jobs/view/4120824557")</f>
        <v/>
      </c>
      <c r="F13">
        <f>HYPERLINK("https://jsv3.recruitics.com/redirect?rx_cid=3239&amp;rx_jobId=a1KDp00000E2JuZMAV&amp;rx_url=https%3A%2F%2Fwww.metacareers.com%2Fjobs%2F1283364266159062%2F%3Frx_campaign%3DLinkedin1%26rx_ch%3Dconnector%26rx_group%3D126320%26rx_id%3D1cfec6a5-0cb8-11f0-b67d-e9f11bc32758%26rx_job%3Da1KDp00000E2JuZMAV%26rx_medium%3Dpost%26rx_r%3Dnone%26rx_source%3DLinkedin%26rx_ts%3D20260303T121208Z%26rx_vp%3Dslots%26utm_campaign%3DJob%252Bboard%26utm_medium%3Djobs%26utm_source%3DLIpaid&amp;urlHash=zt3U", "https://jsv3.recruitics.com/redirect?rx_cid=3239&amp;rx_jobId=a1KDp00000E2JuZMAV&amp;rx_url=https%3A%2F%2Fwww.metacareers.com%2Fjobs%2F1283364266159062%2F%3Frx_campaign%3DLinkedin1%26rx_ch%3Dconnector%26rx_group%3D126320%26rx_id%3D1cfec6a5-0cb8-11f0-b67d-e9f11bc32758%26rx_job%3Da1KDp00000E2JuZMAV%26rx_medium%3Dpost%26rx_r%3Dnone%26rx_source%3DLinkedin%26rx_ts%3D20260303T121208Z%26rx_vp%3Dslots%26utm_campaign%3DJob%252Bboard%26utm_medium%3Djobs%26utm_source%3DLIpaid&amp;urlHash=zt3U")</f>
        <v/>
      </c>
      <c r="G13" t="inlineStr">
        <is>
          <t>Sunnyvale, CA</t>
        </is>
      </c>
      <c r="H13" t="inlineStr"/>
      <c r="I13" t="inlineStr">
        <is>
          <t>As a Data Engineer at Meta, you will shape the future of people\-facing and business\-facing products we build across our entire family of applications (Facebook, Instagram, Messenger, WhatsApp, Reality Labs, Threads). Your technical skills and analytical mindset will be utilized designing and building some of the world's most extensive data sets, helping to craft experiences for billions of people and hundreds of millions of businesses worldwide.In this role, you will collaborate with software engineering, data science, and product management teams to design/build scalable data solutions across Meta to optimize growth, strategy, and user experience for our 3 billion plus users, as well as our internal employee community.You will be at the forefront of identifying and solving some of the most interesting data challenges at a scale few companies can match. By joining Meta, you will become part of a world\-class data engineering community dedicated to skill development and career growth in data engineering and beyond.Data Engineering: You will guide teams by building optimal data artifacts (including datasets and visualizations) to address key questions. You will refine our systems, design logging solutions, and create scalable data models. Ensuring data security and quality, and with a strong focus on efficiency, you will suggest architecture and development approaches and data management standards to address complex analytical problems.Product leadership: You will use data to shape product development, identify new opportunities, and tackle upcoming challenges. You'll ensure our products add value for users and businesses, by prioritizing projects, and driving innovative solutions to respond to challenges or opportunities.Communication and influence: You won't simply present data, but tell data\-driven stories. You will convince and influence your partners using clear insights and recommendations. You will build credibility through structure and clarity, and be a trusted strategic partner.
 Data Engineer, Product Analytics Responsibilities:
* Conceptualize and own the data architecture for multiple large\-scale projects, while evaluating design and operational cost\-benefit tradeoffs within systems
* Create and contribute to frameworks that improve the efficacy of logging data, while working with data infrastructure to triage issues and resolve
* Collaborate with engineers, product managers, and data scientists to understand data needs, representing key data insights in a meaningful way
* Define and manage Service Level Agreements for all data sets in allocated areas of ownership
* Determine and implement the security model based on privacy requirements, confirm safeguards are followed, address data quality issues, and evolve governance processes within allocated areas of ownership
* Design, build, and launch collections of sophisticated data models and visualizations that support multiple use cases across different products or domains
* Solve our most challenging data integration problems, utilizing optimal Extract, Transform, Load (ETL) patterns, frameworks, query techniques, sourcing from structured and unstructured data sources
* Assist in owning existing processes running in production, optimizing complex code through advanced algorithmic concepts
* Optimize pipelines, dashboards, frameworks, and systems to facilitate easier development of data artifacts
* Influence product and cross\-functional teams to identify data opportunities to drive impact
* Mentor team members by giving/receiving actionable feedback
 Minimum Qualifications:
* Bachelor's degree in Computer Science, Computer Engineering, relevant technical field, or equivalent practical experience
* 4\+ years of experience where the primary responsibility involves working with data. This could include roles such as data analyst, data scientist, data engineer, or similar positions
* 4\+ years of experience with SQL, ETL, data modeling, and at least one programming language (e.g., Python, C\+\+, C\#, Scala, etc.)
 Preferred Qualifications:
* Master's or Ph.D degree in a STEM field
 About Meta:
 Meta builds technologies that help people connect, find communities, and grow businesses. When Facebook launched in 2004, it changed the way people connect. Apps like Messenger, Instagram and WhatsApp further empowered billions around the world. Now, Meta is moving beyond 2D screens toward immersive experiences like augmented and virtual reality to help build the next evolution in social technology. People who choose to build their careers by building with us at Meta help shape a future that will take us beyond what digital connection makes possible today—beyond the constraints of screens, the limits of distance, and even the rules of physics.
 Meta is proud to be an Equal Employment Opportunity and Affirmative Action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other applicable legally protected characteristics. We also consider qualified applicants with criminal histories, consistent with applicable federal, state and local law. Meta participates in the E\-Verify program in certain locations, as required by law. Please note that Meta may leverage artificial intelligence and machine learning technologies in connection with applications for employment.
 Meta is committed to providing reasonable accommodations for candidates with disabilities in our recruiting process. If you need any assistance or accommodations due to a disability, please let us know at accommodations\-ext@meta.com.
 $147,000/year to $208,000/year \+ bonus \+ equity \+ benefits
 Individual compensation is determined by skills, qualifications, experience, and location. Compensation details listed in this posting reflect the base hourly rate, monthly rate, or annual salary only, and do not include bonus, equity or sales incentives, if applicable. In addition to base compensation, Meta offers benefits. Learn more about benefits at Meta.</t>
        </is>
      </c>
    </row>
    <row r="14">
      <c r="A14" t="inlineStr">
        <is>
          <t>li-4378507000</t>
        </is>
      </c>
      <c r="B14" t="inlineStr">
        <is>
          <t>100% Remote Data Engineer</t>
        </is>
      </c>
      <c r="C14" t="inlineStr">
        <is>
          <t>Summit Human Capital</t>
        </is>
      </c>
      <c r="D14" t="inlineStr">
        <is>
          <t>linkedin</t>
        </is>
      </c>
      <c r="E14">
        <f>HYPERLINK("https://www.linkedin.com/jobs/view/4378507000", "https://www.linkedin.com/jobs/view/4378507000")</f>
        <v/>
      </c>
      <c r="F14" t="inlineStr"/>
      <c r="G14" t="inlineStr"/>
      <c r="H14" t="inlineStr"/>
      <c r="I14" t="inlineStr">
        <is>
          <t>Summit Human Capital is seeking a highly motivated 100% Remote Data Engineer to support one of our Fortune 500 clients. This candidate will have the opportunity to work for a team with a mission of building Artificial Intelligence and Machine Learning applications for the client. The ideal candidate will meet the following criteria:
**Requirements:** 
* 5–10 years as an AWS\-Based Data Engineer
* Strong hands\-on experience with EMR, Glue, EC2, and Lambda.
* Proficiency in Python
* Proven experience building new data pipelines
* Familiarity with GitHub or Bitbucket for version control and collaboration.
**Desired:** 
* Experience supporting Utility/Renewable Energy industry.
**Responsibilities:** 
* Take full ownership of stories and tasks, with the potential to grow into a technical lead role.
* Serve as an independent contributor (IC) with deep hands\-on experience in data engineering.
* Effectively communicate with both technical teams and business stakeholders as needed.
* A go\-getter who takes initiative rather than waiting for direction.
* Work on a mix of legacy data pipelines and the development of new ones, ensuring optimal performance through tuning and enhancements.
* Contribute to new products and applications, continuously improving data infrastructure to support business growth.
**Compensation:** 
 The hourly pay range for this position is $62 – $70, depending on experience, skills, and qualifications.
**Benefits:** 
 Summit Human Capital offers a comprehensive benefits package, including medical, dental, and vision coverage; a 401(k) retirement plan; and additional benefits in accordance with applicable laws.</t>
        </is>
      </c>
    </row>
    <row r="15">
      <c r="A15" t="inlineStr">
        <is>
          <t>li-4378198450</t>
        </is>
      </c>
      <c r="B15" t="inlineStr">
        <is>
          <t>Data Engineer</t>
        </is>
      </c>
      <c r="C15" t="inlineStr">
        <is>
          <t>Tabs</t>
        </is>
      </c>
      <c r="D15" t="inlineStr">
        <is>
          <t>linkedin</t>
        </is>
      </c>
      <c r="E15">
        <f>HYPERLINK("https://www.linkedin.com/jobs/view/4378198450", "https://www.linkedin.com/jobs/view/4378198450")</f>
        <v/>
      </c>
      <c r="F15">
        <f>HYPERLINK("https://jobs.ashbyhq.com/Tabs/4adb8c6f-90ce-497e-8da1-7ce946c53612/application?utm_source=KNonkZy80a&amp;src=linkedin&amp;urlHash=1mmV", "https://jobs.ashbyhq.com/Tabs/4adb8c6f-90ce-497e-8da1-7ce946c53612/application?utm_source=KNonkZy80a&amp;src=linkedin&amp;urlHash=1mmV")</f>
        <v/>
      </c>
      <c r="G15" t="inlineStr">
        <is>
          <t>New York, NY</t>
        </is>
      </c>
      <c r="H15" t="inlineStr"/>
      <c r="I15" t="inlineStr">
        <is>
          <t>**Tabs** 
 is the leading AI\-native revenue platform for modern finance and accounting teams. Tabs agents automates the entire contract\-to\-cash lifecycle, including billing, collections, revenue recognition, and reporting, to help teams eliminate manual work and accelerate cash flow.
 High\-growth companies like
 **Cursor** 
 and
 **Statsig** 
 rely on Tabs to generate invoices directly from contracts, reconcile payments in real time, and automate ASC 606 compliance.
 Founded in 2023, Tabs has raised over $91 million from
 **Lightspeed Venture Partners** 
 ,
 **General Catalyst** 
 , and
 **Primary** 
 . The team is headquartered in New York and brings deep expertise in finance and AI.
**About The Role**
 You’ll be the first Data Engineer at Tabs, building the core data infrastructure that powers our internal KPIs, customer insights, and our AI systems. Your initial mandate is to design and implement the foundational data platform around our core metrics, and set us up for long\-term analytical scalability.
 This role is ideal for an engineer who has built a data platform end to end and wants ownership of the full data stack. You’re comfortable operating in ambiguity and focused on driving real business impact.
**What You’ll Do**
* Design and implement our first scalable data warehouse/lakehouse to support KPIs.
* Build and maintain reliable data pipelines (batch and/or streaming) from application databases and third\-party tools.
* Work with leadership to translate business metrics into concrete data models and schemas.
* Define and own data modeling standards and best practices.
* Implement monitoring, data quality checks, and observability around pipelines and core tables.
* Enable BI and data analysts through well structured models and self\-serve friendly datasets.
* Document the data platform (lineage, definitions, contracts) and help establish a shared source of truth for metrics.
**Experience**
* 3–5\+ years of experience as a Data Engineer, ideally in a mid\-stage startup.
* Solid programming skills in Python.
* Strong SQL skills and experience designing/data modeling for analytics
* Hands\-on experience with a modern cloud data stack, such as:
+ Warehouses: Snowflake, BigQuery, Redshift, Databricks, etc.
+ Orchestration/transformation: dbt, Airflow, Dagster, or similar.
+ Ingestion: Fivetran, Stitch, custom ingestion pipelines, etc.
* Experience building and operating production\-grade data pipelines (performance, reliability, cost\-awareness).
* Strong understanding of data quality, testing, and monitoring practices.
* Comfort starting from a relatively greenfield environment and making pragmatic build vs. buy decisions.
**Nice to have**
* Experience supporting BI tools (Looker, Mode, Tableau, Metabase, etc) and designing semantic layers.
* Experience in B2B SaaS, especially around revenue, usage, and customer health metrics.
* Prior experience as an early data hire or working in a small or medium, fast\-growing startup.
**Perks And Benefits (Full\-time Employees)**
* Competitive compensation and equity
* Unlimited PTO
* Up to 100% employer covered monthly healthcare premium (medical, dental, vision)
* Lunch provided via Sharebite, plus dinner for any later office days.
* Parental leave up to 12 weeks
* Tax free commuter and parking benefits
* Voluntary insurances (Life, Hospital, Critical Illness, Accident)
* Employee Assistance Program (Rightway)
* 401k
 Tabs is an equal opportunity employer. We welcome teammates of all identities and do not discriminate on the basis of race, ethnicity, religion, gender identity, sexual orientation, age, disability, veteran status, or any other protected characteristic. We’re committed to creating an environment where everyone can grow, contribute, and feel comfortable being themselves.
 Compensation Range: $140K \- $195K</t>
        </is>
      </c>
    </row>
    <row r="16">
      <c r="A16" t="inlineStr">
        <is>
          <t>li-4329948151</t>
        </is>
      </c>
      <c r="B16" t="inlineStr">
        <is>
          <t>Data Engineer</t>
        </is>
      </c>
      <c r="C16" t="inlineStr">
        <is>
          <t>Solace</t>
        </is>
      </c>
      <c r="D16" t="inlineStr">
        <is>
          <t>linkedin</t>
        </is>
      </c>
      <c r="E16">
        <f>HYPERLINK("https://www.linkedin.com/jobs/view/4329948151", "https://www.linkedin.com/jobs/view/4329948151")</f>
        <v/>
      </c>
      <c r="F16" t="inlineStr"/>
      <c r="G16" t="inlineStr"/>
      <c r="H16" t="inlineStr"/>
      <c r="I16" t="inlineStr">
        <is>
          <t>**About Solace**
 Healthcare in the U.S. is fundamentally broken. The system is so complex that 88% of U.S. adults do not have the health literacy necessary to navigate it without help. Solace cuts through the red tape of healthcare by pairing patients with expert advocates and giving them the tools to make better decisions—and get better outcomes.
 We're a Series C startup, founded in 2022 and backed by Inspired Capital, Craft Ventures, Torch Capital, Menlo Ventures, Signalfire, and IVP. Our U.S. based team is lean, mission\-driven, and growing quickly.
 Solace isn't a place to coast. We're here to redefine healthcare—and that demands urgency, precision, and heart. If you're looking to stretch yourself, sharpen your edge, and do the best work of your life alongside a team that cares deeply, you're in the right place. We’re intense, and we like it that way.
***Read more in our Bloomberg funding announcement***
***here***
***.***
**About The Role**
 At Solace, we are building the data foundation that will power patient outcomes. We are a small but growing team where everyone wears many hats and moves fast. We are looking for a Data Engineer who loves solving hard problems with clean, maintainable code and thrives in this high\-growth startup environment.
 In this role, you will architect the infrastructure that allows us to scale. You will be a core builder of our data platform, establishing the frameworks, standards, and best practices that will define our engineering culture for years to come. From raw data ingestion to complex modeling, your work will ensure that our data is not just available, but trusted, reliable, and ready for action.
 What You’ll Do
* Architect Robust Pipelines: Design, build, and optimize scalable data pipelines using Airflow, Python, dbt, and Snowflake. You will replace brittle manual processes with resilient, automated workflows.
* Build Infrastructure as Code: Manage and evolve our cloud infrastructure (AWS/GCP) using Terraform, ensuring our platform is reproducible, secure, and scalable.
* Elevate Code Quality: Write clean, production\-grade code for complex data processing. You will champion engineering best practices, including code reviews, testing, and CI/CD.
* Optimize Data Models: Collaborate with analysts to design performant SQL transformations and data models in Snowflake (experience with dbt is a huge plus).
* Ensure Data Reliability: Implement observability and monitoring to catch issues before they impact stakeholders. You are the first line of defense for data quality.
* Partner Cross\-Functionally: Work closely with Data Analysts and Product Managers to understand their data needs and deliver high\-quality data products that empower decision\-making.
 What You Bring to the Table
* Strong Python Proficiency: You are comfortable writing modular, testable, and efficient Python code for data processing and automation.
* Advanced SQL \&amp; Snowflake: You have deep expertise in SQL and cloud data warehousing (Snowflake preferred), understanding how to optimize queries for performance and cost.
* Orchestration Mastery: Proven experience building and maintaining complex workflows using Airflow (or similar tools).
* Infrastructure Mindset: Familiarity with Terraform and cloud services (AWS or GCP). You understand how to provision and manage the resources your pipelines run on.
* Security \&amp; Stewardship: You understand the gravity of handling sensitive medical data. You are experienced in properly handling PHI and PII, implementing secure access controls (RBAC), and adhering to strict governance standards.
* Startup DNA: You are a self\-starter who is comfortable with ambiguity. You take ownership of problems and are willing to wear many hats to get the job done.
* Communication Skills: You can translate complex technical challenges into clear options for non\-technical stakeholders.
 Bonus Points
* dbt Expertise: Experience using dbt to manage transformations and implement testing/documentation standards.
* Healthcare Background: Experience working with healthcare data standards or strictly regulated environments (HIPAA) a plus.
* Containerization: Experience with Docker and Kubernetes for deploying data applications.
 Our Tech Stack
* Compute \&amp; Storage: Snowflake, Postgres
* Orchestration: Airflow
* Infrastructure: Terraform, AWS/GCP
* Transformation: dbt, SQL, Python
*Applicants must be based in the United States.*
**Up for the Challenge?**
 We look forward to meeting you.
**Fraudulent Recruitment Advisory:** 
 Solace Health will
 **NEVER** 
 request bank details or offer employment without an interview. All legitimate communications come from official solace.health emails only or ashbyhq.com. Report suspicious activity to recruiting@solace.health or advocate@solace.health.</t>
        </is>
      </c>
    </row>
    <row r="17">
      <c r="A17" t="inlineStr">
        <is>
          <t>li-4370832707</t>
        </is>
      </c>
      <c r="B17" t="inlineStr">
        <is>
          <t>Data Engineer II</t>
        </is>
      </c>
      <c r="C17" t="inlineStr">
        <is>
          <t>Lennar</t>
        </is>
      </c>
      <c r="D17" t="inlineStr">
        <is>
          <t>linkedin</t>
        </is>
      </c>
      <c r="E17">
        <f>HYPERLINK("https://www.linkedin.com/jobs/view/4370832707", "https://www.linkedin.com/jobs/view/4370832707")</f>
        <v/>
      </c>
      <c r="F17" t="inlineStr"/>
      <c r="G17" t="inlineStr">
        <is>
          <t>Miami, FL</t>
        </is>
      </c>
      <c r="H17" t="inlineStr"/>
      <c r="I17" t="inlineStr">
        <is>
          <t>**Job Description**
**We are Lennar**
 Lennar is one of the nation's leading homebuilders, dedicated to making an impact and creating an extraordinary experience for their Homeowners, Communities, and Associates by building quality homes and providing exceptional customer service, giving back to the communities in which we work and live in, and fostering a culture of opportunity and growth for our Associates throughout their career. Lennar has been recognized as a Fortune 500® company and consistently ranked among the top homebuilders in the United States.
**Join a Company that Empowers you to Build your Future**
 As a Data Engineer, you are responsible for analyzing large amounts of business data, solving real world problems, and developing metrics and business cases that will enable Business Insights. This is done by leveraging data from various platforms such as Jira, Portal, Salesforce. You will work with a team of Product Managers, Software Engineers and Business Intelligence Engineers to automate and scale the analysis, and to make the data more actionable to manage business at scale. You will own many large datasets, implement new data pipelines that feed into or from critical data systems.
* A career with purpose.
* A career built on making dreams come true.
* A career built on building zero defect homes, cost management, and adherence to schedules.
**Your Responsibilities On The Team**
* Design, implement and support an analytical data infrastructure and working knowledge of Modern Data Warehouse concepts.
* Design, build, and maintain efficient and scalable data pipelines and ETL processes to process large volumes of structured and unstructured data.
* Optimize data storage and retrieval methods to ensure performance, scalability, and cost\-efficiency.
* Manage AWS resources including EC2, S3, Glue, Lambda, API’s, IAM, Cloud Watch etc.
* Interface with other technology teams to extract, transform, and load data from a wide variety of data sources using SQL and AWS big data technologies
* Explore and learn the latest AWS technologies to provide new capabilities and increase efficiency
* Collaborate with Data Scientists and Business Intelligence Engineers (BIEs) to recognize and help adopt best practices in reporting and analysis
* Help continually improve ongoing reporting and analysis processes, automating or simplifying self\-service support for customers
* Maintain internal reporting platforms/tools including troubleshooting and development. Interact with internal users to establish and clarify requirements in order to develop report specifications.
* Work with Engineering partners to help shape and implement the development of BI infrastructure including Data Warehousing, reporting and analytics platforms.
* Contribute to the development of the BI tools, skills, culture and impact.
* Write advanced SQL queries and Python code to develop solutions.
* Working Knowledge of Snowflake.
* Collaborate across teams to align AI initiatives with organizational goals and understanding of AI concepts
* Knowledge on continuous integration/continuous delivery (CI/CD) pipelines and working on deployments when necessary.
**Requirements**
* Bachelor's degree in Computer Science, Information Technology, or a related field.
* 3\-5 years of experience in data engineering or a related role, with demonstrated success in delivering data solutions.
* AWS Glue, Lambda, S3, EC2, CloudWatch, Cloud Trail.
* Dbt, Snowflake, SQL, Python, Qlik.
* Proficient in SQL, with the ability to write complex queries, perform query optimization, and conduct performance tuning.
* Experience with NoSQL databases, such as MongoDB, Cassandra, or DynamoDB, and an understanding of their appropriate use cases.
* Strong programming skills in Python, Java, or Scala, with experience in data processing frameworks (e.g., Apache Spark, Hadoop).
* Experience with cloud platforms (AWS, Azure, GCP) and data services, such as AWS Redshift, Azure Synapse, or Google BigQuery.
* Knowledge of big data technologies, including Hadoop, Spark, Kafka, and HBase, with experience in distributed data processing.
* Familiarity with data orchestration tools, such as Apache Airflow for scheduling and managing data workflows.
* Experience with data versioning and testing tools, such as DVC (Data Version Control) and dbt (data build tool).
* Understanding of data security practices, including encryption, access controls, and data masking.
**Life at Lennar**
 At Lennar, we are committed to fostering a supportive and enriching environment for our Associates, offering a comprehensive array of benefits designed to enhance their well\-being and professional growth. Our Associates have access to robust health insurance plans, including Medical, Dental, and Vision coverage, ensuring their health needs are well taken care of. Our 401(k) Retirement Plan, complete with a $1 for $1 Company Match up to 5%, helps secure their financial future, while Paid Parental Leave and an Associate Assistance Plan provide essential support during life's critical moments. To further support our Associates, we provide an Education Assistance Program and up to $30,000 in Adoption Assistance, underscoring our commitment to their diverse needs and aspirations. From the moment of hire, they can enjoy up to three weeks of vacation annually, alongside generous Holiday, Sick Leave, and Personal Day policies. Additionally, we offer a New Hire Referral Bonus Program, significant Home Purchase Discounts, and unique opportunities such as the Everyone’s Included Day. At Lennar, we believe in investing in our Associates, empowering them to thrive both personally and professionally. Lennar Associates will have access to these benefits as outlined by Lennar’s policies and applicable plan terms. Visit Lennartotalrewards.com to view our suite of benefits.
 Join the fun and follow us on social media to see what's happening at our company, and don't forget to connect with us on Lennar: Overview \| LinkedInhttps://www.linkedin.com/company/lennar/\&gt; for the latest job opportunities.
**Lennar is an equal opportunity employer and complies with all applicable federal, state, and local fair employment practices laws.**</t>
        </is>
      </c>
    </row>
    <row r="18">
      <c r="A18" t="inlineStr">
        <is>
          <t>li-4380178667</t>
        </is>
      </c>
      <c r="B18" t="inlineStr">
        <is>
          <t>REMOTE- Junior Data Engineer</t>
        </is>
      </c>
      <c r="C18" t="inlineStr">
        <is>
          <t>Lensa</t>
        </is>
      </c>
      <c r="D18" t="inlineStr">
        <is>
          <t>linkedin</t>
        </is>
      </c>
      <c r="E18">
        <f>HYPERLINK("https://www.linkedin.com/jobs/view/4380178667", "https://www.linkedin.com/jobs/view/4380178667")</f>
        <v/>
      </c>
      <c r="F18" t="inlineStr"/>
      <c r="G18" t="inlineStr">
        <is>
          <t>Fort Worth, TX</t>
        </is>
      </c>
      <c r="H18" t="inlineStr"/>
      <c r="I18" t="inlineStr">
        <is>
          <t>Lensa is a career site that helps job seekers find great jobs in the US. We are not a staffing firm or agency. Lensa does not hire directly for these jobs, but promotes jobs on LinkedIn on behalf of its direct clients, recruitment ad agencies, and marketing partners. Lensa partners with DirectEmployers to promote this job for Insight Global. Clicking "Apply Now" or "Read more" on Lensa redirects you to the job board/employer site. Any information collected there is subject to their terms and privacy notice.
**Job Description**
 One of the largest logistics and transportation employers in the US is seeking a Jr. Data Engineer to join their expanding team. The Jr. Data Engineer will play a crucial role in understanding business problems and assisting in designing solutions that transform complex ideas into sustainable processes. This individual will focus on supporting the onboarding of new lines of business into the data analytics team. Their responsibilities will include assisting in the full life cycle of data engineering, from gathering requirements from internal customers to building data pipelines, testing, reporting, and maintaining solutions. Additionally, the Jr. Data Engineer will support escalation tasks, contribute to system development, help automate processes, maintain internal systems, and assist in data modeling. They will use their growing expertise in data structures specific to the company's operating systems to help turn data into valuable business insights.
 We are a company committed to creating inclusive environments where people can bring their full, authentic selves to work every day. We are an equal opportunity employer that believes everyone matters. Qualified candidates will receive consideration for employment opportunities without regard to race, religion, sex, age, marital status, national origin, sexual orientation, citizenship status, disability, or any other status or characteristic protected by applicable laws, regulations, and ordinances. If you need assistance and/or a reasonable accommodation due to a disability during the application or recruiting process, please send a request to Human Resources Request Form (https://airtable.com/app21VjYyxLDIX0ez/shrOg4IQS1J6dRiMo) . The EEOC "Know Your Rights" Poster is available here (https://www.eeoc.gov/sites/default/files/2023\-06/22\-088\_EEOC\_KnowYourRights6\.12ScreenRdr.pdf) .
 To learn more about how we collect, keep, and process your private information, please review Insight Global's Workforce Privacy Policy: https://insightglobal.com/workforce\-privacy\-policy/ .
**Skills And Requirements**
 2\-5\+ years' experience of data engineer experience
 Strong ADF experience (creating pipelines from scratch/ knowledge of connectors and activities following architect plan)
 Strong knowledge of SQL (Mostly working with SQL scripting implementing into ADF)
 Understanding of full life cycle data engineering
 Extremely detail oriented and ability to provide effective updates
 Strong communication for working with internal/ external customers
 Strong critical thinking skills Python or Spark experience (Small environment is in Python\- basic level scripting and reviews)
 DevOps Experience
 Data Bricks Experience
 Background in Logistics
 Agile Methodologies
 Experience with cloud (Azure specifically)
 If you have questions about this posting, please contact support@lensa.com</t>
        </is>
      </c>
    </row>
    <row r="19">
      <c r="A19" t="inlineStr">
        <is>
          <t>li-4370835576</t>
        </is>
      </c>
      <c r="B19" t="inlineStr">
        <is>
          <t>Data Engineer II</t>
        </is>
      </c>
      <c r="C19" t="inlineStr">
        <is>
          <t>Lennar</t>
        </is>
      </c>
      <c r="D19" t="inlineStr">
        <is>
          <t>linkedin</t>
        </is>
      </c>
      <c r="E19">
        <f>HYPERLINK("https://www.linkedin.com/jobs/view/4370835576", "https://www.linkedin.com/jobs/view/4370835576")</f>
        <v/>
      </c>
      <c r="F19" t="inlineStr"/>
      <c r="G19" t="inlineStr">
        <is>
          <t>Irving, TX</t>
        </is>
      </c>
      <c r="H19" t="inlineStr"/>
      <c r="I19" t="inlineStr">
        <is>
          <t>**Job Description**
**We are Lennar**
 Lennar is one of the nation's leading homebuilders, dedicated to making an impact and creating an extraordinary experience for their Homeowners, Communities, and Associates by building quality homes and providing exceptional customer service, giving back to the communities in which we work and live in, and fostering a culture of opportunity and growth for our Associates throughout their career. Lennar has been recognized as a Fortune 500® company and consistently ranked among the top homebuilders in the United States.
**Join a Company that Empowers you to Build your Future**
 As a Data Engineer, you are responsible for analyzing large amounts of business data, solving real world problems, and developing metrics and business cases that will enable Business Insights. This is done by leveraging data from various platforms such as Jira, Portal, Salesforce. You will work with a team of Product Managers, Software Engineers and Business Intelligence Engineers to automate and scale the analysis, and to make the data more actionable to manage business at scale. You will own many large datasets, implement new data pipelines that feed into or from critical data systems.
* A career with purpose.
* A career built on making dreams come true.
* A career built on building zero defect homes, cost management, and adherence to schedules.
**Your Responsibilities On The Team**
* Design, implement and support an analytical data infrastructure and working knowledge of Modern Data Warehouse concepts.
* Design, build, and maintain efficient and scalable data pipelines and ETL processes to process large volumes of structured and unstructured data.
* Optimize data storage and retrieval methods to ensure performance, scalability, and cost\-efficiency.
* Manage AWS resources including EC2, S3, Glue, Lambda, API’s, IAM, Cloud Watch etc.
* Interface with other technology teams to extract, transform, and load data from a wide variety of data sources using SQL and AWS big data technologies
* Explore and learn the latest AWS technologies to provide new capabilities and increase efficiency
* Collaborate with Data Scientists and Business Intelligence Engineers (BIEs) to recognize and help adopt best practices in reporting and analysis
* Help continually improve ongoing reporting and analysis processes, automating or simplifying self\-service support for customers
* Maintain internal reporting platforms/tools including troubleshooting and development. Interact with internal users to establish and clarify requirements in order to develop report specifications.
* Work with Engineering partners to help shape and implement the development of BI infrastructure including Data Warehousing, reporting and analytics platforms.
* Contribute to the development of the BI tools, skills, culture and impact.
* Write advanced SQL queries and Python code to develop solutions.
* Working Knowledge of Snowflake.
* Collaborate across teams to align AI initiatives with organizational goals and understanding of AI concepts
* Knowledge on continuous integration/continuous delivery (CI/CD) pipelines and working on deployments when necessary.
**Requirements**
* Bachelor's degree in Computer Science, Information Technology, or a related field.
* 3\-5 years of experience in data engineering or a related role, with demonstrated success in delivering data solutions.
* AWS Glue, Lambda, S3, EC2, CloudWatch, Cloud Trail.
* Dbt, Snowflake, SQL, Python, Qlik.
* Proficient in SQL, with the ability to write complex queries, perform query optimization, and conduct performance tuning.
* Experience with NoSQL databases, such as MongoDB, Cassandra, or DynamoDB, and an understanding of their appropriate use cases.
* Strong programming skills in Python, Java, or Scala, with experience in data processing frameworks (e.g., Apache Spark, Hadoop).
* Experience with cloud platforms (AWS, Azure, GCP) and data services, such as AWS Redshift, Azure Synapse, or Google BigQuery.
* Knowledge of big data technologies, including Hadoop, Spark, Kafka, and HBase, with experience in distributed data processing.
* Familiarity with data orchestration tools, such as Apache Airflow for scheduling and managing data workflows.
* Experience with data versioning and testing tools, such as DVC (Data Version Control) and dbt (data build tool).
* Understanding of data security practices, including encryption, access controls, and data masking.
**Life at Lennar**
 At Lennar, we are committed to fostering a supportive and enriching environment for our Associates, offering a comprehensive array of benefits designed to enhance their well\-being and professional growth. Our Associates have access to robust health insurance plans, including Medical, Dental, and Vision coverage, ensuring their health needs are well taken care of. Our 401(k) Retirement Plan, complete with a $1 for $1 Company Match up to 5%, helps secure their financial future, while Paid Parental Leave and an Associate Assistance Plan provide essential support during life's critical moments. To further support our Associates, we provide an Education Assistance Program and up to $30,000 in Adoption Assistance, underscoring our commitment to their diverse needs and aspirations. From the moment of hire, they can enjoy up to three weeks of vacation annually, alongside generous Holiday, Sick Leave, and Personal Day policies. Additionally, we offer a New Hire Referral Bonus Program, significant Home Purchase Discounts, and unique opportunities such as the Everyone’s Included Day. At Lennar, we believe in investing in our Associates, empowering them to thrive both personally and professionally. Lennar Associates will have access to these benefits as outlined by Lennar’s policies and applicable plan terms. Visit Lennartotalrewards.com to view our suite of benefits.
 Join the fun and follow us on social media to see what's happening at our company, and don't forget to connect with us on Lennar: Overview \| LinkedInhttps://www.linkedin.com/company/lennar/\&gt; for the latest job opportunities.
**Lennar is an equal opportunity employer and complies with all applicable federal, state, and local fair employment practices laws.**</t>
        </is>
      </c>
    </row>
    <row r="20">
      <c r="A20" t="inlineStr">
        <is>
          <t>li-4370829859</t>
        </is>
      </c>
      <c r="B20" t="inlineStr">
        <is>
          <t>Data Engineer II</t>
        </is>
      </c>
      <c r="C20" t="inlineStr">
        <is>
          <t>Lennar</t>
        </is>
      </c>
      <c r="D20" t="inlineStr">
        <is>
          <t>linkedin</t>
        </is>
      </c>
      <c r="E20">
        <f>HYPERLINK("https://www.linkedin.com/jobs/view/4370829859", "https://www.linkedin.com/jobs/view/4370829859")</f>
        <v/>
      </c>
      <c r="F20">
        <f>HYPERLINK("https://careers.lennar.com/en-US/job/data-engineer-ii/J3P2QB7272L6QVB1FDL?source=LinkedIn&amp;urlHash=hSM7", "https://careers.lennar.com/en-US/job/data-engineer-ii/J3P2QB7272L6QVB1FDL?source=LinkedIn&amp;urlHash=hSM7")</f>
        <v/>
      </c>
      <c r="G20" t="inlineStr">
        <is>
          <t>Bentonville, AR</t>
        </is>
      </c>
      <c r="H20" t="inlineStr"/>
      <c r="I20" t="inlineStr">
        <is>
          <t>**Job Description**
**We are Lennar**
 Lennar is one of the nation's leading homebuilders, dedicated to making an impact and creating an extraordinary experience for their Homeowners, Communities, and Associates by building quality homes and providing exceptional customer service, giving back to the communities in which we work and live in, and fostering a culture of opportunity and growth for our Associates throughout their career. Lennar has been recognized as a Fortune 500® company and consistently ranked among the top homebuilders in the United States.
**Join a Company that Empowers you to Build your Future**
 As a Data Engineer, you are responsible for analyzing large amounts of business data, solving real world problems, and developing metrics and business cases that will enable Business Insights. This is done by leveraging data from various platforms such as Jira, Portal, Salesforce. You will work with a team of Product Managers, Software Engineers and Business Intelligence Engineers to automate and scale the analysis, and to make the data more actionable to manage business at scale. You will own many large datasets, implement new data pipelines that feed into or from critical data systems.
* A career with purpose.
* A career built on making dreams come true.
* A career built on building zero defect homes, cost management, and adherence to schedules.
**Your Responsibilities On The Team**
* Design, implement and support an analytical data infrastructure and working knowledge of Modern Data Warehouse concepts.
* Design, build, and maintain efficient and scalable data pipelines and ETL processes to process large volumes of structured and unstructured data.
* Optimize data storage and retrieval methods to ensure performance, scalability, and cost\-efficiency.
* Manage AWS resources including EC2, S3, Glue, Lambda, API’s, IAM, Cloud Watch etc.
* Interface with other technology teams to extract, transform, and load data from a wide variety of data sources using SQL and AWS big data technologies
* Explore and learn the latest AWS technologies to provide new capabilities and increase efficiency
* Collaborate with Data Scientists and Business Intelligence Engineers (BIEs) to recognize and help adopt best practices in reporting and analysis
* Help continually improve ongoing reporting and analysis processes, automating or simplifying self\-service support for customers
* Maintain internal reporting platforms/tools including troubleshooting and development. Interact with internal users to establish and clarify requirements in order to develop report specifications.
* Work with Engineering partners to help shape and implement the development of BI infrastructure including Data Warehousing, reporting and analytics platforms.
* Contribute to the development of the BI tools, skills, culture and impact.
* Write advanced SQL queries and Python code to develop solutions.
* Working Knowledge of Snowflake.
* Collaborate across teams to align AI initiatives with organizational goals and understanding of AI concepts
* Knowledge on continuous integration/continuous delivery (CI/CD) pipelines and working on deployments when necessary.
**Requirements**
* Bachelor's degree in Computer Science, Information Technology, or a related field.
* 3\-5 years of experience in data engineering or a related role, with demonstrated success in delivering data solutions.
* AWS Glue, Lambda, S3, EC2, CloudWatch, Cloud Trail.
* Dbt, Snowflake, SQL, Python, Qlik.
* Proficient in SQL, with the ability to write complex queries, perform query optimization, and conduct performance tuning.
* Experience with NoSQL databases, such as MongoDB, Cassandra, or DynamoDB, and an understanding of their appropriate use cases.
* Strong programming skills in Python, Java, or Scala, with experience in data processing frameworks (e.g., Apache Spark, Hadoop).
* Experience with cloud platforms (AWS, Azure, GCP) and data services, such as AWS Redshift, Azure Synapse, or Google BigQuery.
* Knowledge of big data technologies, including Hadoop, Spark, Kafka, and HBase, with experience in distributed data processing.
* Familiarity with data orchestration tools, such as Apache Airflow for scheduling and managing data workflows.
* Experience with data versioning and testing tools, such as DVC (Data Version Control) and dbt (data build tool).
* Understanding of data security practices, including encryption, access controls, and data masking.
**Life at Lennar**
 At Lennar, we are committed to fostering a supportive and enriching environment for our Associates, offering a comprehensive array of benefits designed to enhance their well\-being and professional growth. Our Associates have access to robust health insurance plans, including Medical, Dental, and Vision coverage, ensuring their health needs are well taken care of. Our 401(k) Retirement Plan, complete with a $1 for $1 Company Match up to 5%, helps secure their financial future, while Paid Parental Leave and an Associate Assistance Plan provide essential support during life's critical moments. To further support our Associates, we provide an Education Assistance Program and up to $30,000 in Adoption Assistance, underscoring our commitment to their diverse needs and aspirations. From the moment of hire, they can enjoy up to three weeks of vacation annually, alongside generous Holiday, Sick Leave, and Personal Day policies. Additionally, we offer a New Hire Referral Bonus Program, significant Home Purchase Discounts, and unique opportunities such as the Everyone’s Included Day. At Lennar, we believe in investing in our Associates, empowering them to thrive both personally and professionally. Lennar Associates will have access to these benefits as outlined by Lennar’s policies and applicable plan terms. Visit Lennartotalrewards.com to view our suite of benefits.
 Join the fun and follow us on social media to see what's happening at our company, and don't forget to connect with us on Lennar: Overview \| LinkedInhttps://www.linkedin.com/company/lennar/\&gt; for the latest job opportunities.
**Lennar is an equal opportunity employer and complies with all applicable federal, state, and local fair employment practices laws.**</t>
        </is>
      </c>
    </row>
    <row r="21">
      <c r="A21" t="inlineStr">
        <is>
          <t>li-4380345913</t>
        </is>
      </c>
      <c r="B21" t="inlineStr">
        <is>
          <t>Senior Software / Data Engineer | Python, SQL, Data Pipelines | Must Have Startup Exp</t>
        </is>
      </c>
      <c r="C21" t="inlineStr">
        <is>
          <t>Optimal</t>
        </is>
      </c>
      <c r="D21" t="inlineStr">
        <is>
          <t>linkedin</t>
        </is>
      </c>
      <c r="E21">
        <f>HYPERLINK("https://www.linkedin.com/jobs/view/4380345913", "https://www.linkedin.com/jobs/view/4380345913")</f>
        <v/>
      </c>
      <c r="F21" t="inlineStr"/>
      <c r="G21" t="inlineStr">
        <is>
          <t>New York, NY</t>
        </is>
      </c>
      <c r="H21" t="inlineStr"/>
      <c r="I21" t="inlineStr">
        <is>
          <t>**Senior Software / Data Engineer \| Python, SQL, Data Pipelines \| Startup Experience Required** 
**Location:** 
 New York (Prefer in\-person; open to remote with 3–4 week onsite \~twice per year)
**Package:** 
 $185,000 \- $240,000 base salary \+ meaningful equity
**Eligibility:** 
 Must be a US Citizen \- No sponsorship
**🚨 Please only apply if you have commercial experience with all of the following 🚨** 
* ***Backend software or data engineering using Python***
* ***Writing and optimising SQL***
* ***Building and maintaining data pipelines***
* ***Standing up projects end\-to\-end on your preferred infrastructure***
* ***Operating as a technical generalist across backend systems (fullstack is a bonus)***
* ***Startup experience***
 Optimal has partnered with an exciting company in New York where you would be Joining a small, senior engineering team tackling some of the hardest data‑automation problems in the industry. You’ll be working on greenfield systems that turn messy, high‑value information into clean, structured intelligence \- powering AI products used by serious, high‑usage customers.
**Required Background** 
* 3\+ years of experience in backend software or data engineering using Python and SQL
* Proven experience building and maintaining production data pipelines
* Experience working as a technical generalist across the backend (bonus for fullstack exposure)
* Experience with basic to intermediate infrastructure / DevOps
* Strong written and verbal communication skills
**ℹ️ Very Important Notes** 
* This role is for hands\-on engineers, not pure researchers or academics
* Not suitable for candidates who haven’t made a sustained transition into practical, production\-focused engineering
* Not looking for someone who wants a pure IC role with minimal ownership
* A history of multiple short (\~6 month) stints will be a concern
* Side projects, active GitHubs, or work samples will make you stand out
* You should naturally gravitate toward modern tooling from the last couple of years
**Must\-Haves** 
* Strong proficiency in Python for backend and data\-focused engineering
* Solid SQL skills working with structured data
* Experience designing, building, and maintaining reliable data pipelines
* Ability to stand up projects end\-to\-end on your preferred infrastructure
* Clear, concise communication skills
* Interest or experience with statistics, ML, or AI
* Up\-to\-date on modern tools, frameworks, and best practices
**Bonus Experience** 
* Experience across fullstack as well as backend / data
* Deep ownership of data\-heavy systems or large\-scale datasets
* Background in data\-centric AI, B2B, or platform environments
* Side projects, open source, or other publicly visible engineering work
**Hands\-On Experience With** 
* Python (backend and data engineering)
* SQL (querying, modelling, and optimising structured datasets)
* Data pipeline design, implementation, and maintenance
* Infrastructure / DevOps at a basic to intermediate level
* Modern developer and data tooling
**What You’ll Be Doing** 
 Automation Engineering
* Building pipelines that enrich documents with complex metadata and relationships between records
* Designing systems to ensure the reliability and accuracy of a large fleet of web scrapers
* Optimising and evaluating core utilities that extract, resolve, and reason about references and hierarchical relationships in data
* Exposing core data services via APIs, MCPs, and websockets
**Quality Ownership** 
* Ensuring the quality, reliability, and correctness of large\-scale structured datasets
* Running benchmarking and evaluation of core data tasks using both human and synthetic evaluation
* Maintaining robust data foundations that power downstream platforms and services
**Collaboration** 
* Working in a small, senior engineering team on high\-ownership, greenfield projects
* Partnering with internal stakeholders building user\-facing products and B2B data services
* Contributing to technical decisions that shape the data platform and underlying infrastructure
**What They’re Looking For** 
* A hands\-on engineer who enjoys complex, structured data and pipelines
* Someone who can own backend and data projects end\-to\-end, from design to deployment
* An engineer who is curious, pragmatic, and comfortable with modern tooling
* A strong communicator who thrives in a lean, high\-ownership environment
 If you meet the above criteria and want to work on data\-intensive systems with real impact, please get in touch for a confidential conversation.</t>
        </is>
      </c>
    </row>
    <row r="22">
      <c r="A22" t="inlineStr">
        <is>
          <t>li-4379415210</t>
        </is>
      </c>
      <c r="B22" t="inlineStr">
        <is>
          <t>Data Engineer</t>
        </is>
      </c>
      <c r="C22" t="inlineStr">
        <is>
          <t>AARATECH</t>
        </is>
      </c>
      <c r="D22" t="inlineStr">
        <is>
          <t>linkedin</t>
        </is>
      </c>
      <c r="E22">
        <f>HYPERLINK("https://www.linkedin.com/jobs/view/4379415210", "https://www.linkedin.com/jobs/view/4379415210")</f>
        <v/>
      </c>
      <c r="F22" t="inlineStr"/>
      <c r="G22" t="inlineStr">
        <is>
          <t>New York, NY</t>
        </is>
      </c>
      <c r="H22" t="inlineStr"/>
      <c r="I22" t="inlineStr">
        <is>
          <t>Job Title: Data Engineer – CRM / Salesforce
 🏢 Company: Aaratech Inc
 🛑 Eligibility: Only U.S. Citizens and Green Card holders are eligible.
 Please note that we do not offer visa sponsorship.
 Job Summary:
 Aaratech Inc. is seeking a skilled
 **Data Engineer – CRM / Salesforce** 
 to support customer and sales data integration initiatives. The ideal candidate will ensure reliable data pipelines and data models for CRM analytics and reporting.
 Key Responsibilities:
 🔹 Data Integration
 Build and maintain pipelines to extract and load CRM/Salesforce data.
 Integrate CRM data with enterprise data platforms.
 🔹 Data Engineering
 Design data models to support sales and marketing analytics.
 Optimize data pipelines for performance.
 🔹 Data Quality
 Ensure CRM data accuracy and consistency.
 Support data validation and governance processes.
 🔹 Collaboration
 Work with sales, marketing, and analytics teams.
 🔹 Tools \&amp; Technologies
 Use SQL, Python, ETL tools, Salesforce connectors, and cloud platforms.
 Qualifications:
 ✅ Bachelor’s degree in Computer Science, Engineering, or related field
 ✅ 2\+ years of Data Engineering experience
 ✅ Strong SQL and Python skills
 ✅ Experience with CRM or Salesforce data preferred
 ✅ Strong analytical and communication skills</t>
        </is>
      </c>
    </row>
    <row r="23">
      <c r="A23" t="inlineStr">
        <is>
          <t>li-4379403792</t>
        </is>
      </c>
      <c r="B23" t="inlineStr">
        <is>
          <t>Azure Data Engineer</t>
        </is>
      </c>
      <c r="C23" t="inlineStr">
        <is>
          <t>Rockefeller Capital Management</t>
        </is>
      </c>
      <c r="D23" t="inlineStr">
        <is>
          <t>linkedin</t>
        </is>
      </c>
      <c r="E23">
        <f>HYPERLINK("https://www.linkedin.com/jobs/view/4379403792", "https://www.linkedin.com/jobs/view/4379403792")</f>
        <v/>
      </c>
      <c r="F23" t="inlineStr"/>
      <c r="G23" t="inlineStr">
        <is>
          <t>Trenton, NJ</t>
        </is>
      </c>
      <c r="H23" t="inlineStr"/>
      <c r="I23" t="inlineStr">
        <is>
          <t>**About Rockefeller Capital Management**
 Rockefeller Capital Management was established in 2018 as a leading independent financial advisory services firm. Originally founded in 1882 as the family office of John D. Rockefeller, the Firm has evolved to offer strategic advice to ultra\- and high\-net\-worth individuals and families, institutions, and corporations from offices in 32 markets throughout the United States, as well as an office in London. The Firm oversees $204 billion in client assets as of January 31, 2026\.
**Position**
 We are seeking a motivated and detail‑oriented Azure Data Engineer to support and enhance a mission‑critical data platform within a regulated financial services environment. This role is ideal for an engineer who has solid hands‑on experience with Azure data services and is eager to deepen their expertise in enterprise‑grade, audit‑ready data platforms.
 The successful candidate will work closely with senior engineers, architects, and business stakeholders to build, operate, and maintain reliable data pipelines supporting financial reporting, fee and revenue processing, analytics, and decision‑making. A strong emphasis is placed on data quality, reconciliation, traceability, and operational stability.
**Responsibilities**
* Data Engineering \&amp; Pipeline Development
+ Design, build, and maintain production‑grade data pipelines on Azure using Azure Databricks and Azure Data Factory (ADF).
+ Develop and enhance ETL / ELT workflows using Python, SQL, and Spark, with a focus on correctness, performance, and maintainability.
+ Support ingestion of data from custodians, vendors, SFTP files, APIs, and internal source systems.
+ Apply Delta Lake features such as schema enforcement and versioning to ensure data accuracy and audit readiness.
* Databricks \&amp; Analytics Support
+ Contribute to hands‑on development in Azure Databricks, including notebooks, workflows, and scheduled jobs.
+ Assist in performance tuning, job monitoring, and cost optimization efforts.
+ Gain exposure to Databricks Genie and AI‑assisted analytics for governed, business‑friendly insights while maintaining security and compliance standards.
* Azure Orchestration \&amp; Integration
+ Build and maintain ADF pipelines with proper dependency management, error handling, logging, and restartability.
+ Develop and support Power Platform / Azure Dataflows used for downstream analytics and reporting.
+ Integrate with Azure Data Lake Storage, Key Vault, Azure AD, Power BI, and related Azure services.
* Data Quality, Controls \&amp; Compliance
+ Implement data validation, reconciliation checks, and exception handling for financial and transactional datasets.
+ Support audit, regulatory, and compliance requirements through logging, lineage, and traceability.
+ Work closely with senior engineers and risk/compliance partners to ensure adherence to enterprise data standards.
* Collaboration \&amp; Growth
+ Collaborate with finance, advisory, operations, and analytics teams to understand data requirements and translate them into technical solutions.
+ Contribute to documentation, operational runbooks, and knowledge sharing.
+ Learn and grow within a mature data platform, gaining exposure to enterprise architecture and modernization initiatives.
**Qualifications**
* 3–5 years of hands‑on experience in data engineering or analytics engineering roles.
* Practical experience with:
+ Azure Databricks (Spark, Delta Lake fundamentals)
+ Azure Data Factory (ADF)
+ SQL for data transformation and analysis
+ Python for data processing and automation
* Experience building and supporting data pipelines in cloud environments.
* Basic understanding of financial or transactional data and reconciliation concepts.
* Exposure to regulated, audit‑sensitive, or enterprise environments is strongly preferred.
* Strong analytical thinking, problem‑solving skills, and attention to detail.
* Effective communication skills and a willingness to learn from senior team members.
**Skills**
* Experience in financial services, wealth management, asset management, banking, or broker‑dealer environments.
* Exposure to Power BI, semantic models, or enterprise reporting layers.
* Familiarity with data governance concepts such as lineage, metadata, and access controls.
* Experience or hands‑on exposure to Azure AI Foundry, including the development or consumption of AI models and services within governed enterprise environments.
* Familiarity with AI agents and agent‑based workflows, including orchestration of AI‑driven tasks, decision support, or analytics use cases with appropriate controls and auditability.
* Interest or early experience with AI‑enabled analytics and generative AI capabilities (e.g., Databricks Genie, AI/BI features) applied responsibly within regulated environments.
**Compensation Range**
 The anticipated base salary range for this role is $125,000 to $140,000\. Base salary for the role will depend on several factors, including a candidate’s qualifications, skills, competencies, and experience, and may fall outside of the range shown. In addition, this role may be eligible for a discretionary bonus. Rockefeller Capital Management offers a comprehensive benefit package including health coverage, vacation time, paid leave, retirement plan, and more. Visit careers.rockco.com to learn more about additional opportunities and benefits offerings.
**Disclosure**
 Rockefeller \&amp; Co. LLC, Rockefeller Financial LLC, Rockefeller Trust Company, N.A., The Rockefeller Trust Company (Delaware), Rockefeller Financial Services, Inc. and all other subsidiaries of Rockefeller Capital Management L.P. (individually and collectively, “Rockefeller”) is an equal opportunity employer and does not discriminate on the basis of race, religion, sex, gender, sexual orientation, gender identity or expression, national origin, citizenship, age, military or veteran status, marital or partnership status, caregiver status, legally recognized disability, or any other basis protected by applicable federal, state or local law (“protected characteristics”).
 Rockefeller Capital Management participates in the E\-Verify program in certain locations, as required by law.</t>
        </is>
      </c>
    </row>
    <row r="24">
      <c r="A24" t="inlineStr">
        <is>
          <t>li-4379190321</t>
        </is>
      </c>
      <c r="B24" t="inlineStr">
        <is>
          <t>Data Engineer/Data Scientist</t>
        </is>
      </c>
      <c r="C24" t="inlineStr">
        <is>
          <t>Capgemini</t>
        </is>
      </c>
      <c r="D24" t="inlineStr">
        <is>
          <t>linkedin</t>
        </is>
      </c>
      <c r="E24">
        <f>HYPERLINK("https://www.linkedin.com/jobs/view/4379190321", "https://www.linkedin.com/jobs/view/4379190321")</f>
        <v/>
      </c>
      <c r="F24" t="inlineStr"/>
      <c r="G24" t="inlineStr">
        <is>
          <t>Nashville, TN</t>
        </is>
      </c>
      <c r="H24" t="inlineStr"/>
      <c r="I24" t="inlineStr">
        <is>
          <t>**Thanks for your interest, please apply only after reading 1 to 5\.** 
1. **You must work 100% in office in Nashville NO remote, relocate at your own expense**
2. **You must starts April 13th 2026 at the 6 weeks training session, not able to start after**
3. **You must have graduated 2025 and before not graduating in 2026\.**
4. **You must have 1 year\+ minimum post graduate experience in AWS or Azure or Databricks or Google Cloud (internship experience not included)**
5. **You must work full time, not a contractor and no C2C**
**About the Role** 
 We are seeking a skilled
 **Data Engineer** 
 with hands\-on experience in
 **Databricks** 
 or
 **Google Cloud Platform (GCP)** 
 to design, build, and optimize data pipelines and analytics solutions. The ideal candidate will have a strong background in distributed data processing, cloud architecture, and data modeling. This role partners closely with data analysts, data scientists, and business stakeholders to deliver scalable, reliable, and high‑quality data products.
**Key Responsibilities** 
**Data Engineering \&amp; Pipeline Development** 
* Design, build, and maintain
 **ETL/ELT pipelines** 
 using Databricks (PySpark, Delta Lake).
* Optimize pipelines for performance, cost efficiency, and scalability within GCP.
* Develop batch and streaming data processes using Spark Streaming, and related technologies.
**Cloud Architecture \&amp; Platform Engineering** 
* Implement data solutions leveraging
 **GCP services** 
 such as BigQuery, Cloud Storage, Dataflow, Cloud Composer, and Vertex AI integrations.
* Apply best practices for cloud security, IAM configuration, monitoring, and cost management.
**Data Modeling \&amp; Quality** 
* Build and maintain
 **data models** 
 , including dimensional modeling and data vault structures.
* Implement data quality frameworks, validation rules, and automated testing.
* Manage data versioning, governance, and lineage using tools such as Unity Catalog or GCP Data Catalog.
**Collaboration \&amp; Stakeholder Engagement** 
* Partner with cross‑functional teams to gather requirements and translate them into technical designs.
* Provide technical guidance and influence engineering best practices across the team.
* Contribute to documentation, architectural diagrams, and knowledge sharing.
**Required Qualifications** 
* 3\+ years of experience as a Data Engineer or similar role.
* Strong hands\-on experience with
 **Databricks** 
 , including:
* PySpark/Spark
* Delta Lake
* Databricks workflows/jobs
* Proficiency with
 **GCP** 
 :
* BigQuery
* Cloud Storage
* Dataflow or Dataproc
* Strong coding skills in
 **Python** 
 and SQL.
* Solid understanding of distributed systems, data warehousing, and data architecture principles.
* Experience with CI/CD tools (GitHub, GitLab, Azure DevOps, or similar).
**Preferred Qualifications** 
* Databricks or GCP certifications (e.g., Data Engineer, Architect).
* Experience with Terraform or other Infrastructure\-as\-Code tools.
* Knowledge of ML workflows or MLOps frameworks.
* Familiarity with data governance tools (Unity Catalog, Great Expectations, dbt, etc.).
**Soft Skills** 
* Excellent problem\-solving and analytical abilities.
* Strong communication skills and the ability to work effectively with technical and non\-technical teams.
* Growth mindset and passion for continuous learning and innovation.
 The base compensation range for this role in the posted location is $46,400 to $111,090\.
 Capgemini provides compensation range information in accordance with applicable national, state, provincial, and local pay transparency laws. The base compensation range listed for this position reflects the minimum and maximum target compensation Capgemini, in good faith, believes it may pay for the role at the time of this posting. This range may be subject to change as permitted by law.
 The actual compensation offered to any candidate may fall outside of the posted range and will be determined based on multiple factors legally permitted in the applicable jurisdiction. These may include, but are not limited to: Geographic location, Education and qualifications, Certifications and licenses, Relevant experience and skills, Seniority and performance, Market and business consideration, Internal pay equity.
 It is not typical for candidates to be hired at or near the top of the posted compensation range.
 In addition to base salary, this role may be eligible for additional compensation such as variable incentives, bonuses, or commissions, depending on the position and applicable laws.
**Capgemini offers a comprehensive, non\-negotiable benefits package to all regular, full\-time employees.** 
 In the U.S. and Canada, available benefits are determined by local policy and eligibility and may include:
* Paid time off based on employee grade (A\-F), defined by policy: Vacation: 12\-25 days, depending on grade, Company paid holidays, Personal Days, Sick Leave
* Medical, dental, and vision coverage (or provincial healthcare coordination in Canada)
* Retirement savings plans (e.g., 401(k) in the U.S., RRSP in Canada)
* Life and disability insurance
* Employee assistance programs
* Other benefits as provided by local policy and eligibility
**Important Notice:** 
 Compensation (including bonuses, commissions, or other forms of incentive pay) is not considered earned, vested, or payable until it becomes due under the terms of applicable plans or agreements and is subject to Capgemini’s discretion, consistent with applicable laws. The Company reserves the right to amend or withdraw compensation programs at any time, within the limits of applicable legislation.
**Disclaimers** 
 Capgemini is an Equal Opportunity Employer encouraging inclusion in the workplace. Capgemini also participates in the Partnership Accreditation in Indigenous Relations (PAIR) program which supports meaningful engagement with Indigenous communities across Canada by promoting fairness, accessibility, inclusion and respect. We value the rich cultural heritage and contributions of Indigenous Peoples and actively work to create a welcoming and respectful environment. All qualified applicants will receive consideration for employment without regard to race, national origin, gender identity/expression, age, religion, disability, sexual orientation, genetics, veteran status, marital status or any other characteristic protected by law.
 This is a general description of the Duties, Responsibilities and Qualifications required for this position. Physical, mental, sensory or environmental demands may be referenced in an attempt to communicate the manner in which this position traditionally is performed. Whenever necessary to provide individuals with disabilities an equal employment opportunity, Capgemini will consider reasonable accommodations that might involve varying job requirements and/or changing the way this job is performed, provided that such accommodation does not pose an undue hardship. Capgemini is committed to providing reasonable accommodation during our recruitment process. If you need assistance or accommodation, please reach out to your recruiting contact.
 Please be aware that Capgemini may capture your image (video or screenshot) during the interview process and that image may be used for verification, including during the hiring and onboarding process.
 Click the following link for more information on your rights as an Applicant in the United States. http://www.capgemini.com/resources/equal\-employment\-opportunity\-is\-the\-law
 Capgemini is a global business and technology transformation partner, helping organizations to accelerate their dual transition to a digital and sustainable world, while creating tangible impact for enterprises and society. It is a responsible and diverse group of 340,000 team members in more than 50 countries. With its strong over 55\-year heritage, Capgemini is trusted by its clients to unlock the value of technology to address the entire breadth of their business needs. It delivers end\-to\-end services and solutions leveraging strengths from strategy and design to engineering, all fueled by its market leading capabilities in AI, generative AI, cloud and data, combined with its deep industry expertise and partner ecosystem.</t>
        </is>
      </c>
    </row>
    <row r="25">
      <c r="A25" t="inlineStr">
        <is>
          <t>li-4380143361</t>
        </is>
      </c>
      <c r="B25" t="inlineStr">
        <is>
          <t>GCP Data Engineer Remote-</t>
        </is>
      </c>
      <c r="C25" t="inlineStr">
        <is>
          <t>HYR Global Source Inc</t>
        </is>
      </c>
      <c r="D25" t="inlineStr">
        <is>
          <t>linkedin</t>
        </is>
      </c>
      <c r="E25">
        <f>HYPERLINK("https://www.linkedin.com/jobs/view/4380143361", "https://www.linkedin.com/jobs/view/4380143361")</f>
        <v/>
      </c>
      <c r="F25" t="inlineStr"/>
      <c r="G25" t="inlineStr"/>
      <c r="H25" t="inlineStr"/>
      <c r="I25" t="inlineStr">
        <is>
          <t>**Position Name : GCP Data Engineer Remote**
**Location: Remote**
**Position Type: Fulltime** 
* 
+ GCP Migration (2 Contractors)
- Project Goal: Migrating Snowflake data into GCP.
- Impact: Data model changes (e.g., snapshot to incremental, combining datasets).
- Role Focus:
* Data validations (comparing impact, grasping changed data models).
* Building automated validation pipelines (combination of data science and data engineering).
* Knowledge of pipelines.
- Key Skills (Must\-Have/Preferred):
* GCP cloud tools and services.
* Python, PySpark.
* Palantir Foundry experience (a plus).
* General Candidate Requirements:
+ Technical Proficiency:
- Highly technical and proactive in exploring emerging technologies.
- Ability to translate complex data into clear, actionable recommendations.
- 3\+ years programming experience in Python, PySpark, and SQL.
- Hands\-on experience with modern AI frameworks (e.g., GCP Vertex AI, Gemini, Palantir Foundry AIP).
- Practical experience with key GCP data and AI services (BigQuery, Vertex AI, GCP Agent Development Kit (ADK), Cloud Functions, Cloud Storage, Looker).
- Ability to implement scalable data pipelines and system interfaces.
+ Domain Background (Bonus): Healthcare, pharmacy, or pay analytics (especially in finance or contract modeling).
+ Soft Skills: Communication skills, proactive.
+ Learning Ability: Proven ability to quickly learn and implement new tools and technologies (e.g., integrating GCP and Palantir Foundry using REST APIs, connection mechanisms, egress/ingress policies).
 Follow us on LinkedIn \- https://www.linkedin.com/company/hyr\-global\-source\-inc</t>
        </is>
      </c>
    </row>
    <row r="26">
      <c r="A26" t="inlineStr">
        <is>
          <t>li-4380311081</t>
        </is>
      </c>
      <c r="B26" t="inlineStr">
        <is>
          <t>Data Engineer</t>
        </is>
      </c>
      <c r="C26" t="inlineStr">
        <is>
          <t>Wiraa</t>
        </is>
      </c>
      <c r="D26" t="inlineStr">
        <is>
          <t>linkedin</t>
        </is>
      </c>
      <c r="E26">
        <f>HYPERLINK("https://www.linkedin.com/jobs/view/4380311081", "https://www.linkedin.com/jobs/view/4380311081")</f>
        <v/>
      </c>
      <c r="F26">
        <f>HYPERLINK("https://www.wiraa.com/job-description/us1B16FB064F2FFA4D39C42ADFD4D74D7C?source=Linkedin&amp;urlHash=KgHf", "https://www.wiraa.com/job-description/us1B16FB064F2FFA4D39C42ADFD4D74D7C?source=Linkedin&amp;urlHash=KgHf")</f>
        <v/>
      </c>
      <c r="G26" t="inlineStr"/>
      <c r="H26" t="inlineStr"/>
      <c r="I26" t="inlineStr">
        <is>
          <t>**About The Company**
 Cognizant is a leading global technology and consulting firm committed to delivering innovative solutions that empower businesses to achieve their strategic objectives. With a strong focus on data\-driven decision making, we leverage cutting\-edge technologies and industry best practices to provide comprehensive digital transformation services. Our culture fosters continuous learning, collaboration, and excellence, ensuring that our clients receive top\-tier support and insights. We are dedicated to creating an inclusive environment that values diversity and promotes growth for all employees. As a recognized leader in the industry, we pride ourselves on maintaining high standards of quality, integrity, and innovation in everything we do.
**About The Role**
 The Lead Data Engineer is a senior\-level individual contributor responsible for providing technical leadership within our Technology \&amp; Data organization. This role requires a deep understanding of both analytics engineering and data engineering disciplines, with a focus on designing, developing, and maintaining scalable data solutions. The successful candidate will serve as a technical mentor, guiding teams through complex data projects, conducting code reviews, and setting high standards for quality and performance. Leading through influence rather than authority, the Lead Data Engineer will collaborate closely with analysts, data scientists, solution architects, and cross\-functional teams to ensure data solutions align with organizational goals.
 In this position, you will be instrumental in designing conceptual and analytical data models, developing resilient ETL/ELT pipelines, and implementing best practices for data governance and quality. You will also oversee the deployment and monitoring of data workflows, ensuring system reliability and performance. The role demands strong communication skills, an agile mindset, and the ability to work effectively in a remote environment, supporting a healthy work\-life balance.
 This role is not able to offer visa transfer or sponsorship now or in the future. The position is open to qualified applicants in the United States, with a flexible work arrangement based on project needs and business requirements.
**Qualifications**
* Proven expertise in Data Build Tool (dbt) and Snowflake
* Extensive experience in advanced data modeling techniques
* Secondary skills in Fivetran or similar data integration tools
* Strong proficiency in SQL and data pipeline development
* Experience with data pipeline orchestration and automation
* Hands\-on experience with DevOps practices, version control systems (Azure DevOps, GitHub)
* Knowledge of monitoring, logging, and observability best practices
* Excellent communication and collaboration skills
* Familiarity with Agile methodologies and ceremonies
* Bachelor’s degree in Computer Science, Data Science, or related field; Master’s preferred
* Minimum of 5 years of experience in data engineering or related roles
**Responsibilities**
* Design, test, and maintain conceptual and analytical data models, including logical, physical, and dimensional schemas to support analytics and reporting needs
* Develop and optimize scalable, resilient ETL/ELT data pipelines for various data sources
* Leverage orchestration tools for scheduling, dependency management, and error handling of data workflows
* Implement best practices for data quality, governance, and security across all data solutions
* Conduct code reviews and provide mentorship to junior data engineers and analysts
* Collaborate with cross\-functional teams to understand business requirements and translate them into technical solutions
* Monitor and troubleshoot data pipelines, ensuring system reliability and performance
* Participate in agile ceremonies, contribute to sprint planning, and continuously improve team processes
* Maintain comprehensive documentation of data models, pipelines, and processes
* Stay updated on industry trends and emerging technologies to recommend innovative data solutions
**Benefits**
* Medical, Dental, Vision, and Life Insurance coverage
* Paid holidays and paid time off (PTO)
* 401(k) plan with company contributions
* Long\-term and short\-term disability insurance
* Paid parental leave
* Employee stock purchase plan
* Flexible work arrangements supporting work\-life balance
 Equal Opportunity
 Cognizant is an equal opportunity employer. We celebrate diversity and are committed to creating an inclusive environment for all employees. All qualified applicants will receive consideration for employment without regard to race, color, religion, sex, national origin, age, disability, sexual orientation, gender identity, or any other protected status under applicable law. We believe that a diverse workforce enhances our ability to serve our clients and innovate effectively.</t>
        </is>
      </c>
    </row>
    <row r="27">
      <c r="A27" t="inlineStr">
        <is>
          <t>li-4379282796</t>
        </is>
      </c>
      <c r="B27" t="inlineStr">
        <is>
          <t>Data Engineer, Global Talent Intelligence</t>
        </is>
      </c>
      <c r="C27" t="inlineStr">
        <is>
          <t>Microsoft</t>
        </is>
      </c>
      <c r="D27" t="inlineStr">
        <is>
          <t>linkedin</t>
        </is>
      </c>
      <c r="E27">
        <f>HYPERLINK("https://www.linkedin.com/jobs/view/4379282796", "https://www.linkedin.com/jobs/view/4379282796")</f>
        <v/>
      </c>
      <c r="F27" t="inlineStr"/>
      <c r="G27" t="inlineStr">
        <is>
          <t>Chicago, IL</t>
        </is>
      </c>
      <c r="H27" t="inlineStr"/>
      <c r="I27" t="inlineStr">
        <is>
          <t>**Overview**
 We are hiring a Data Engineer to support the Global Talent Intelligence team. The Global Talent Intelligence (GTI) team sits at the intersection of talent, technology, and strategy—partnering with senior leaders across Microsoft to anticipate market shifts and inform high‑impact business decisions. At the core of this work is a purpose‑built talent data engine that transforms vast, complex external signals into clear, actionable intelligence.
 As a Data Engineer on GTI, you will drive the next iteration of design and scale for the infrastructure that powers how Microsoft relies on talent movement as a leading indicator of market movement. This role goes beyond traditional data engineering: you will build curated pipelines, models, and power interfaces that enable GTI to move from manual analysis to proactive and predictive insights—unlocking earlier visibility into where skills are emerging, where competition is intensifying, and where strategic intervention matters most.
 Our GTI data engineer works across an unusually rich and diverse signal ecosystem, synthesizing supply and demand dynamics, competitor and investment signals, innovation indicators, emerging talent and skills, and geo‑specific workforce risk factors. These signals power tools and intelligence products that directly influence executive decision‑making—from workforce planning and site strategy to critical skill investments and long‑term growth bets.This is a highly collaborative role, partnering closely with talent intelligence consultants, analysts, and business stakeholders to ensure data is not only technically sound, but strategically meaningful—moving insights into action.
**Success In This Role Requires**
* Strong data engineering fundamentals, paired with modern AI adoption and automation practices
* A product mindset for designing systems and interfaces that scale, evolve, and drive action
* Curiosity about how talent dynamics shape markets, strategy, and competitive advantage
* The ability to create clarity from complexity and translate insight into direction
* Dedication to building secure, compliant, and validated data systems
* Creativity and discipline in designing for optimization, reliability, and scale
 Microsoft’s mission is to empower every person and every organization on the planet to achieve more. As employees we come together with a growth mindset, innovate to empower others, and collaborate to realize our shared goals. Each day we build on our values of respect, integrity, and accountability to create a culture of inclusion where everyone can thrive at work and beyond.
**Responsibilities**
**Compliance**
* Anticipates the need for data governance and designs data modeling and data handling procedures, with direct support and partnership with Corporate, External, and Legal Affairs (CELA), to ensure compliance with applicable laws and policies across all aspects of the development process.
* Tags data based on categorization (e.g., personally identifiable information \[PII], pseudo\-anonymized, financial).
* Documents data type, build data dictionary, classifications, and lineage to ensure traceability.
* Governs accessibility of data within assigned data pipelines.
* Provides guidance on contributions to the data glossary to document the origin, usage, and format of data for each program.
* Independently implements data governance and privilege of least access practices leveraging security tools.
* Builds responsible AI\-compliant data products and/or applications.
**Data Management and Transformation**
* Plans and creates efficient techniques and operations (e.g., inserting, aggregating, joining) to transform raw data into a form (e.g., dimensional data model) that is compatible with downstream data consumers, databases, and formats that support applications, analytics and reporting.
* Independently uses software, query languages, and computing tools (e.g., cloud\-based) to transform raw data across end\-to\-end pipelines.
* Evaluates data to ensure data quality and completeness using queries, data wrangling, and statistical techniques.
* Merges data into distributed systems, products, or tools for further processing.
* Identifies opportunities to leverage and contribute to the development of data tools that are used to transform, manage, and access data, scaling with efficiency and reduced time to new data insights.
* Writes, implements, and validates code to test storage and availability of data platforms and drives the implementation of sustainable design patterns to make data platforms more usable and robust to failure and change.
* Analyzes relevant data sources that allow others to develop insights into data architecture designs or solution fixes.
* Identifies data sources and builds code to extract raw data from identified upstream sources using query languages, tools, or application programming interfaces (APIs) while ensuring quality, scale, and reliability of the data across several pipeline components.
* Contributes to the code review process by providing feedback and suggestions for implementation. Uses knowledge of the end\-to\-end business case to implement orchestration techniques that automate data extraction logic across multiple sources of data.
* Leverages data protocols, reduction techniques, and aggregation approaches to validate the quality of extracted data across a data pipeline, consistent with the service level agreement (SLA).
* Offers feedback on methods and tools used to track and maintain data source control and versioning.
* Applies deep knowledge of data to validate that the correct data is ingested and that the data is applied accurately across the pipeline.
* Creates a data design document.
**Data Requirements And Modeling**
* Leads the design of a data model that is appropriate for the project and prepares design specification documents to model the flow and storage of data for a data pipeline.
* Designs assigned components of the data model for a functional area of a project, while accounting for scale, and industry standards and best practices (e.g., data mesh).
* Partners with stakeholders (e.g., business partners, Data Science Specialists) to understand the business domain so as to make iterative improvements to design specifications, data models, or data schemas, so that data is easy to connect, ingest, has a clear lineage, and the data model is responsive to work with.
* Considers tradeoffs between analytical requirements with compute/storage consumption for data and anticipates cost that could be influenced by the cadence of data extraction, transformation, and loading into moderately complex data products or datasets in cloud and local environments.
* Demonstrates an advanced understanding of security, performance, and costs associated with data that are used to assess the total cost of ownership (TOC).
* Collaborates with appropriate stakeholders across teams and escalates concerns around data requirements by assessing and conducting feature estimation.
* Assesses data costs, access, usage, use cases, dependencies across products, and availability for business or customer scenarios related to one or more product features.
* Informs clients on feasibility of data needs and suggests transformations or strategies to acquire data if requirements cannot be met.
* Negotiates agreements with partners and system owners to align on project delivery, data ownership between both parties, and the shape and cadence of data extraction for one or more features.
* Proposes new data metrics or measures to assess data across varied service lines.
* Defines data source contracts (e.g., nature of data, data schemas, data latency, data availability, data privacy, ethical use of data).
**Engineering Fundamentals**
* Performs root cause analysis in response to detected problems/anomalies to identify the reason for alerts and implement solutions that minimize points of failure.
* Implements and monitors self\-healing processes across multiple product features to prevent issues from recurring in the future and retain data quality and optimal performance (e.g., latency, cost) throughout the data lifecycle.
* Uses cost analysis to drive product/program level solutions that reduce budgetary risks.
* Documents the problem and associated solutions through postmortem reports and shares insights with team and the customer.
* Provides data\-based insights into the health of data products owned by the team according to SLAs across multiple features.
* Implements and practices both agile and data operations (DataOps) practices.
* Maintains involvement with, and awareness of current and upcoming data engineering practices (e.g., tools, technology) through Microsoft's internal data community with the purpose of connecting into a data mesh.
* Writes code to implement performance monitoring protocols across data pipelines.
* Builds visualizations and smart aggregations (e.g., advanced statistics) to monitor issues with patterns in data quality and pipeline health that could threaten pipeline performance.
* Develops and updates troubleshooting guides (TSGs) and operating procedures for reviewing, addressing, and/or fixing advanced problems/anomalies flagged by automated testing.
* Supports and monitors platforms, analyzing telemetry data to understand the health of the systems and takes proactive steps for live site improvement.
**Other**
* Embody our culture and values
**Qualifications**
**Required/minimum qualifications**
* Master's Degree in Computer Science, Math, Software Engineering, Computer Engineering, or related field AND 3\+ years experience in business analytics, data science, software development, data modeling, or data engineering
+ OR Bachelor's Degree in Computer Science, Math, Software Engineering, Computer Engineering, or related field AND 4\+ years experience in business analytics, data science, software development, data modeling, or data engineering
+ OR equivalent experience.
**Additional Or Preferred Qualifications**
- Master's Degree in Computer Science, Math, Software Engineering, Computer Engineering, or related field AND 6\+ years experience in business analytics, data science, software development, data modeling, or data engineering
* OR Bachelor's Degree in Computer Science, Math, Software Engineering, Computer Engineering, or related field AND 8\+ years experience in business analytics, data science, software development, data modeling, or data engineering
* OR equivalent experience.
* 2\+ years experience with data governance, data compliance and/or data security.
 Data Engineering IC4 \- The typical base pay range for this role across the U.S. is USD $119,800 \- $234,700 per year. There is a different range applicable to specific work locations, within the San Francisco Bay area and New York City metropolitan area, and the base pay range for this role in those locations is USD $158,400 \- $258,000 per year.
 Certain roles may be eligible for benefits and other compensation. Find additional benefits and pay information here:
 https://careers.microsoft.com/us/en/us\-corporate\-pay
 This position will be open for a minimum of 5 days, with applications accepted on an ongoing basis until the position is filled.
 Microsoft is an equal opportunity employer. All qualified applicants will receive consideration for employment without regard to age, ancestry, citizenship, color, family or medical care leave, gender identity or expression, genetic information, immigration status, marital status, medical condition, national origin, physical or mental disability, political affiliation, protected veteran or military status, race, ethnicity, religion, sex (including pregnancy), sexual orientation, or any other characteristic protected by applicable local laws, regulations and ordinances. If you need assistance with religious accommodations and/or a reasonable accommodation due to a disability during the application process, read more about
 **requesting accommodations.**</t>
        </is>
      </c>
    </row>
    <row r="28">
      <c r="A28" t="inlineStr">
        <is>
          <t>li-4380369112</t>
        </is>
      </c>
      <c r="B28" t="inlineStr">
        <is>
          <t>GCP Data Engineer - Fully Remote</t>
        </is>
      </c>
      <c r="C28" t="inlineStr">
        <is>
          <t>HYR Global Source Inc</t>
        </is>
      </c>
      <c r="D28" t="inlineStr">
        <is>
          <t>linkedin</t>
        </is>
      </c>
      <c r="E28">
        <f>HYPERLINK("https://www.linkedin.com/jobs/view/4380369112", "https://www.linkedin.com/jobs/view/4380369112")</f>
        <v/>
      </c>
      <c r="F28" t="inlineStr"/>
      <c r="G28" t="inlineStr"/>
      <c r="H28" t="inlineStr"/>
      <c r="I28" t="inlineStr">
        <is>
          <t>**Job Title: GCP Data Engineer**
**Location: Fully Remote**
**Job Type: W2**
**About The Role**
 We are seeking a highly skilled
 **GCP Data Engineer** 
 to support a large\-scale
 **Snowflake to Google Cloud Platform (GCP) migration initiative** 
 . This role will play a critical part in transforming and validating data models as part of the migration process, ensuring accuracy, scalability, and performance across systems.
 The ideal candidate is technically strong, proactive, and comfortable working at the intersection of
 **data engineering, validation frameworks, and AI\-driven cloud services** 
 .
**Project Overview**
**Project Goal:**
 Migrate enterprise data from Snowflake to GCP.
**Key Impact Areas**
* Transforming data models (e.g., snapshot to incremental models)
* Combining and restructuring datasets
* Validating data integrity and business impact
* Building automated validation pipelines
**Key Responsibilities**
* Lead and support Snowflake\-to\-GCP migration activities.
* Perform comprehensive data validations, comparing legacy vs. transformed models.
* Design and implement automated validation pipelines.
* Build scalable and reliable data pipelines using GCP services.
* Collaborate with cross\-functional teams to translate complex data findings into actionable insights.
* Integrate GCP and Palantir Foundry systems using REST APIs and secure data transfer mechanisms.
* Work with modern AI and cloud\-native tools to enhance data workflows.
**Required Technical Skills** 
* 3\+ years of programming experience in:
+ Python
+ PySpark
+ SQL
* Strong hands\-on experience with Google Cloud Platform (GCP) services, including:
+ BigQuery
+ Vertex AI
+ Cloud Functions
+ Cloud Storage
+ Looker
+ GCP Agent Development Kit (ADK)
* Experience implementing scalable data pipelines and system integrations.
* Strong understanding of data modeling concepts (incremental models, transformations, dataset consolidation).
* Experience building automated validation frameworks.
**Preferred Skills**
* Experience with Palantir Foundry (especially Foundry AIP).
* Exposure to modern AI frameworks (e.g., Vertex AI, Gemini).
* Experience integrating GCP with external platforms via REST APIs.
* Knowledge of cloud networking concepts (egress/ingress policies).
**Follow us over Linkedin** 
**\-** 
 https://www.linkedin.com/company/hyr\-global\-source\-inc
**To Get more job notifications**</t>
        </is>
      </c>
    </row>
    <row r="29">
      <c r="A29" t="inlineStr">
        <is>
          <t>li-4368548558</t>
        </is>
      </c>
      <c r="B29" t="inlineStr">
        <is>
          <t>Data Engineer III (Databricks/Python)</t>
        </is>
      </c>
      <c r="C29" t="inlineStr">
        <is>
          <t>Velera</t>
        </is>
      </c>
      <c r="D29" t="inlineStr">
        <is>
          <t>linkedin</t>
        </is>
      </c>
      <c r="E29">
        <f>HYPERLINK("https://www.linkedin.com/jobs/view/4368548558", "https://www.linkedin.com/jobs/view/4368548558")</f>
        <v/>
      </c>
      <c r="F29">
        <f>HYPERLINK("https://velera.wd5.myworkdayjobs.com/VeleraCareers/job/Remote-USA/Data-Engineer-III\u002d\u002dDatabricks-Python-_9002?source=LinkedIn&amp;urlHash=PRuO", "https://velera.wd5.myworkdayjobs.com/VeleraCareers/job/Remote-USA/Data-Engineer-III\u002d\u002dDatabricks-Python-_9002?source=LinkedIn&amp;urlHash=PRuO")</f>
        <v/>
      </c>
      <c r="G29" t="inlineStr"/>
      <c r="H29" t="inlineStr"/>
      <c r="I29" t="inlineStr">
        <is>
          <t>**Join the People Helping People**
 Velera is the nation’s premier payments credit union service organization (CUSO) and an integrated fintech solutions provider. The company serves more than 4,000 financial institutions throughout North America, operating with velocity to help our clients keep pace with the rapid momentum of change and fuel growth in the new era of financial services. Our purpose: We accelerate partners’ success through innovative financial technology solutions and inspired service.
**The Opportunity**
 This position will excel in designing, developing, testing, maintaining, and supporting secure, scalable, and robust data solutions. The candidate will possess a deep understanding of technical issues, adept troubleshooting skills, and the ability to propose and implement enhancements. This role entails collaborating on the development of data solutions.
 The incumbent for this position will need an intermediate to advanced development level skillset allowing them to understand complex technologies, systems, standards, and best practices. The incumbent will exhibit a skilled perspective when identifying and delivering effective data solutions, capable of working independently with minimal supervision.
**Day In The Life**
* Work in a fast\-paced Agile/scrum environment:
* Develop basic to complex Python code \&amp; designs to maintain new and existing technology systems following company standards.
* Accountable to develop and deliver technical documentation.
* Undergo peer code and design reviews to ensure stable and high\-quality production\-ready code.
* Build and maintain data solutions that meet or exceed industry regulatory requirements.
* Foster and maintain high collaboration with team members, other technical colleagues, and business partners from across the organization.
* Ensure compliance with established SDLC frameworks, including requirements gathering, analysis, design, development, testing, release management, and deployment.
* Ensure compliance with all the audit and security requirements of the company.
* Participate and follow established Agile standards (including attending all Agile events) to create a collaborative and efficient development environment and meet project goals and delivery dates.
* Ability to lead a team with meeting project commitments, such as project goals, objectives, and corresponding delivery dates.
* Ability to provide engineering leadership and mentorship to junior level engineers.
* Foster innovation to improve on existing challenges and to realize new opportunities.
* Ability to effectively collaborate with Architects to develop and review intended solutions.
* Ability to travel as needed to perform position responsibilities.
* Availability to be on\-call as needed.
* Perform other duties as assigned.
**Qualifications**
* Bachelor's degree in Computer Science, Management Information Systems, related technology field, or equivalent combination of education and experience.
* Seven years professional work experience in software and data development required.
* Two years of experience performing as a subject matter expert
* Prior experience writing Python code in Databricks
* Experience with Azure data technologies
* Years of experience may be offset by having proficiency in one or more highly specialized technologies or skills.
* Proficiency of computer engineering fundamentals in object\-oriented design, data structures, and algorithms.
* Ability to modify existing code and write complex scripts according to standards and best practices.
* Ability to gradually take on more development tasks as learning increases.
* Comfortable with cloud environments and concepts: Azure \&amp; Snowflake
* Advanced understanding of data engineering concepts with knowledge in two or more modern programming languages and proficient with SQL.
* Comfortable with big data technologies like Spark or Snowflake and comfortable working in scalable environments.
* Advanced technical skills and knowledge in: data warehousing, databases, ETL/ELT, business intelligence, and data governance.
* Leading and authoring of technical specifications and detailed designs.
* Ability to review code for complex maintainability, coding standards and security issues.
**About Velera**
 At Velera we are committed to fostering a workplace where every employee feels valued, respected, and connected. We understand, attract and engage a diverse workforce where every employee can live up to their full potential; ensuring that our employee base reflects the consumers we serve. The result of this effort is an inclusive environment where diverse talent thrives. We strive to foster a safe and inclusive work environment for people to bring their authentic selves in order to build a better community within our company and with our partners. Learn more about our commitment to Diversity, Equity, and Inclusion HERE!
**Pay Equity**
 $95,800\.00 \- $124,500\.00
 Actual Pay will be adjusted based on experience and other job\-related factors permitted by law.
**Great Work/Life Benefits!**
* Competitive wages
* Medical with telemedicine
* Dental and Vision
* Basic and Optional Life Insurance
* Paid Time Off (PTO)
* Maternity, Parental, Family Care
* Community Volunteer Time Off
* 12 Paid Holidays
* Company Paid Disability Insurance
* 401k (with employer match)
* Health Savings Accounts (HSA) with company provided contributions
* Flexible Spending Accounts (FSA)
* Supplemental Insurance
* Mental Health and Well\-being: Employee Assistance Program (EAP)
* Tuition Reimbursement
* Wellness program
* Benefits are subject to generally applicable eligibility, waiting period, contribution, and other requirements and conditions
*Velera is an Equal Opportunity Employer. We consider applicants without regard to race, color, religion, age, national origin, ancestry, ethnicity, gender, gender identity, gender expression, sexual orientation, marital status, veteran status, disability, genetic information, citizenship status, or membership in any other group protected by federal, state or local law.*
*Velera is an Equal Opportunity Employer that complies with the laws and regulations set forth in the following* 
*"EEO is the Law" Poster* 
 .
 *Velera will not discharge or in any other manner discriminate against employees or applicants because they have inquired about, discussed, or disclosed their own pay or the pay of another employee or applicant. However, employees who have access to the compensation information of other employees or applicants as a part of their essential job functions cannot disclose the pay of other employees or applicants to individuals who do not otherwise have access to compensation information, unless the disclosure is (a) in response to a formal complaint or charge, (b) in furtherance of an investigation, proceeding, hearing, or action, including an investigation conducted by the employer, or (c) consistent with the legal duty to furnish information.*
*Velera is an E\-Verify Employer. Review the E\-Verify Poster* 
*here* 
*. For information regarding your Right To Work, please click* 
*here* 
*.*
*This role is currently not eligible for sponsorship.*
*As an ongoing commitment to reasonably accommodate individuals with disabilities please contact a recruiter at* 
*recruiters@velera.com* 
*for assistance.*</t>
        </is>
      </c>
    </row>
    <row r="30">
      <c r="A30" t="inlineStr">
        <is>
          <t>li-4287967380</t>
        </is>
      </c>
      <c r="B30" t="inlineStr">
        <is>
          <t>Senior Data Engineer</t>
        </is>
      </c>
      <c r="C30" t="inlineStr">
        <is>
          <t>Empower Pharmacy</t>
        </is>
      </c>
      <c r="D30" t="inlineStr">
        <is>
          <t>linkedin</t>
        </is>
      </c>
      <c r="E30">
        <f>HYPERLINK("https://www.linkedin.com/jobs/view/4287967380", "https://www.linkedin.com/jobs/view/4287967380")</f>
        <v/>
      </c>
      <c r="F30" t="inlineStr"/>
      <c r="G30" t="inlineStr"/>
      <c r="H30" t="inlineStr"/>
      <c r="I30" t="inlineStr">
        <is>
          <t>Position Summary
 The Senior Data Engineer drives innovative data solutions that support Empower’s mission to expand access to quality, affordable medications. This role ensures secure, reliable data architectures and actionable insights, fostering collaboration and innovation in a dynamic, growth\-focused environment.
 Duties and Responsibilities
* Develops and deploys scalable cloud\-based data infrastructure solutions, ensuring reliability, quality, and security while designing modern data architectures such as star schema and data marts for optimized storage and analysis.
* Creates, manages, and optimizes Extract, Load, Transform (ELT) workflows and pipelines using both visual tools and manual coding to facilitate efficient and seamless data integration.
* Leverages Representational State Transfer (REST) APIs to integrate external data sources, enhancing a comprehensive data ecosystem while maintaining the highest standards of data quality and compliance.
* Drives data strategy initiatives by developing robust data collection and analysis platforms, contributing to visualization and insights projects, and applying analytics to foster business growth.
* Fosters a collaborative team culture by mentoring team members, encouraging innovation, and staying updated on emerging data technologies to incorporate cutting\-edge solutions into the overall strategy.
 While performing the responsibilities of the job, the employee is required to talk and hear. The employee is often required to remain in a stationary position for a significant amount of the workday and frequently use their hands and fingers to handle or feel in order to access, input, and retrieve information from the computer and other office productivity devices. The employee is regularly required to move about the office and around the corporate campus. The employee is regularly required to stand, walk, reach with arms and hands, climb or balance, and to stoop, kneel, crouch or crawl.
 Knowledge and Skills
* Thrives in a fast\-paced environment with adaptability, strong project management skills, and the ability to translate business requirements into effective technical solutions while fostering collaboration and continuous learning.
* Demonstrates deep expertise in Amazon Web Services (AWS) Serverless technologies, relational and non\-relational databases, Extract, Transform, Load (ETL) tools, data modeling, and data warehousing, with proficiency in programming, data transformation, and visual reporting tools.
**Key Competencies**
* Customer Focus: Ability to build strong customer relationships and deliver customer centric solutions.
* Optimizes Work Processes: Know the most effective and efficient processes to get things done, with a focus on continuous improvement.
* Collaborates: Builds partnerships and works collaboratively with others to meet shared objectives.
* Resourcefulness: Secures and deploys resources effectively and efficiently.
* Manages Complexity: Makes sense of complex, high quality, and sometimes contradictory information to effectively solve problems.
* Ensures Accountability: Holds self and others accountable to meet commitments and objectives.
* Situational Adaptability: Adapts approach and demeanor in real time to match shifting demands of different situations.
* Communicates Effectively: Develops and delivers multi\-mode communications that convey a clear understanding of the unique needs of different audiences.
**Values**
* People: Our people define who we are as a company, and we believe that understanding and addressing the needs of our team, clients, and community is fundamental to fostering a culture of support and growth.
* Quality: Quality stands at the core of our mission, reflecting our commitment to excellence in every medication we produce.
* Service: We are here to serve others. Every interaction with our patients, providers, employees and other stakeholders comes from a place of service.
* Innovation: By continuously exploring new methodologies and embracing technology, we ensure that every solution we offer is at the forefront of pharmaceutical care.
**Experience And Qualifications**
* Minimum of 8 years of experience in a Data Engineering role and dimensional and relational data modeling experience.
* Degree in Computer Science, Statistics, Informatics, Information Systems, or another quantitative field.
* Preferred certifications include Amazon Web Services (AWS) Data Engineering, AWS Data Analytics, Data Vault 2, Snowflake, and expertise in Kimball and Inmon Data Modeling methodologies.
**Benefits**
 We offer comprehensive benefits to support your health, well\-being, and future, including medical, dental, and vision coverage, paid time off, 401(k) matching, wellness perks, IV therapy, and compounded medications. Learn more: https://careers.empowerpharmacy.com/benefits/</t>
        </is>
      </c>
    </row>
    <row r="31">
      <c r="A31" t="inlineStr">
        <is>
          <t>li-4380361352</t>
        </is>
      </c>
      <c r="B31" t="inlineStr">
        <is>
          <t>Data Engineer</t>
        </is>
      </c>
      <c r="C31" t="inlineStr">
        <is>
          <t>Hyra</t>
        </is>
      </c>
      <c r="D31" t="inlineStr">
        <is>
          <t>linkedin</t>
        </is>
      </c>
      <c r="E31">
        <f>HYPERLINK("https://www.linkedin.com/jobs/view/4380361352", "https://www.linkedin.com/jobs/view/4380361352")</f>
        <v/>
      </c>
      <c r="F31">
        <f>HYPERLINK("https://joinhyra.com/jobs/5512ba5e-3c9b-43c6-a190-d15d72ce08dc?src=linkedin&amp;urlHash=5mHD", "https://joinhyra.com/jobs/5512ba5e-3c9b-43c6-a190-d15d72ce08dc?src=linkedin&amp;urlHash=5mHD")</f>
        <v/>
      </c>
      <c r="G31" t="inlineStr"/>
      <c r="H31" t="inlineStr"/>
      <c r="I31" t="inlineStr">
        <is>
          <t>Data Science Software Engineer
 Location: New York, New York, 10012 \| Type: Hybrid \| Salary: Competitive salary
 A leading financial services organisation known for its long\-standing stability and commitment to innovation is looking for a Data Science Software Engineer. You will work within a research and development environment to build the infrastructure, pipelines, and applications that power enterprise\-wide AI initiatives. This role focuses on creating scalable technical solutions that shape how the organisation operationalises data science and machine learning.
 What you'll be doing
 • Collaborate with AI engineers and data scientists to define strategies for data ingestion and cloud infrastructure design.
 • Serve as a technical subject matter expert to guide architectural decisions and ensure alignment with enterprise standards.
 • Design and implement reusable software libraries and components to accelerate development and increase efficiency.
 • Lead complex problem\-solving efforts to deliver scalable, resilient, and maintainable backend systems.
 • Implement infrastructure\-as\-code and monitor software vulnerabilities to maintain a secure and reliable platform.
 What we're looking for
 • Seven or more years of experience building complex software systems, including pipelines, services, and backends.
 • Seven or more years of professional software development experience using Python.
 • Five or more years of experience working with AWS cloud services such as EKS, EC2, and Lambda.
 • Proven track record of developing backend applications with API services and computational frameworks.
 • Experience providing technical leadership for large\-scale initiatives while promoting engineering best practices.
 What's on offer
 • Opportunity to work in a fast\-paced, innovative research and development environment.
 • Collaborative team culture focused on continuous improvement and high\-quality technical delivery.
 • Exposure to cutting\-edge AI and data science projects at an enterprise scale.
 • Professional development within a well\-established and respected industry leader.
 Apply via Hyra to be considered for this opportunity.</t>
        </is>
      </c>
    </row>
    <row r="32">
      <c r="A32" t="inlineStr">
        <is>
          <t>li-4379432067</t>
        </is>
      </c>
      <c r="B32" t="inlineStr">
        <is>
          <t>Senior Data Engineer</t>
        </is>
      </c>
      <c r="C32" t="inlineStr">
        <is>
          <t>EXL</t>
        </is>
      </c>
      <c r="D32" t="inlineStr">
        <is>
          <t>linkedin</t>
        </is>
      </c>
      <c r="E32">
        <f>HYPERLINK("https://www.linkedin.com/jobs/view/4379432067", "https://www.linkedin.com/jobs/view/4379432067")</f>
        <v/>
      </c>
      <c r="F32" t="inlineStr"/>
      <c r="G32" t="inlineStr"/>
      <c r="H32" t="inlineStr"/>
      <c r="I32" t="inlineStr">
        <is>
          <t>JOB DESCRIPTION –
 Tech Stack\- Primary AWS Data technologies \- S3 with iceberg tables, Pyspark, Glue, Athena, EMR, Redshift, Snowflake, Airflow
 Architecture expertise \-
 Essential \- Built Data Lake in AWS using Medallion architecture or similar, Built data mart, should know how to organize S3 files for better performance, some expertise on data modeling Data Lake
 Nice to have \- Having experience with MDM solution
**Key Skills:** 
 Snowflake, SQL, Python, Spark, AWS\- Glue, Big Data Concepts
**Responsibilities:** 
* Lead the design, development, and implementation of data solutions using AWS and Snowflake.
* Collaborate with cross\-functional teams to understand business requirements and translate them into technical solutions.
* Develop and maintain data pipelines, ensuring data quality, integrity, and security.
* Optimize data storage and retrieval processes to support data warehousing and analytics.
* Provide technical leadership and mentorship to junior data engineers.
* Ensure compliance with industry standards and best practices in data engineering.
* Utilize knowledge of insurance, particularly claims and loss, to enhance data solutions.
**Must have:** 
* 6\-8 years of relevant experience in Data Engineering and delivery.
* 5\+ years of relevant work experience in Big Data Concepts. Worked on cloud implementations.
* Strong experience with SQL, python and Pyspark
* Good understanding of Data ingestion and data processing frameworks
* Good experience in Snowflake, SQL, AWS (glue, EMR, S3, Aurora, RDS, AWS architecture)
* Good aptitude, strong problem\-solving abilities, analytical skills, and ability to take ownership as appropriate.
* Should be able to do coding, debugging, performance tuning, and deploying the apps to the Production environment.
* Experience working in Agile Methodology
**Good to have:** 
 Have experience in DevOps tools (Jenkins, GIT etc.) and practices, continuous integration, and delivery (CI/CD) pipelines.
 Worked on cloud implementations, data migration, Data Vault 2\.0, etc.
**Requirements:** 
* Bachelor’s or Master’s degree in Computer Science, Information Technology, or a related field.
* Proven experience as a Data Engineer, with a focus on AWS and Snowflake.
* Strong understanding of data warehousing concepts and best practices.
* Excellent communication skills, with the ability to convey complex technical concepts to non\-technical stakeholders.
* Experience in the insurance industry, preferably with knowledge of claims and loss processes.
* Proficiency in SQL, Python, and other relevant programming languages.
* Strong problem\-solving skills and attention to detail.
* Ability to work independently and as part of a team in a fast\-paced environment.
* Experience with data modeling and ETL processes.
* Familiarity with data governance and data security practices.
* Certification in AWS or Snowflake is a plus.</t>
        </is>
      </c>
    </row>
    <row r="33">
      <c r="A33" t="inlineStr">
        <is>
          <t>li-4364366476</t>
        </is>
      </c>
      <c r="B33" t="inlineStr">
        <is>
          <t>Sr. Data Engineer</t>
        </is>
      </c>
      <c r="C33" t="inlineStr">
        <is>
          <t>Copart</t>
        </is>
      </c>
      <c r="D33" t="inlineStr">
        <is>
          <t>linkedin</t>
        </is>
      </c>
      <c r="E33">
        <f>HYPERLINK("https://www.linkedin.com/jobs/view/4364366476", "https://www.linkedin.com/jobs/view/4364366476")</f>
        <v/>
      </c>
      <c r="F33" t="inlineStr"/>
      <c r="G33" t="inlineStr">
        <is>
          <t>Dallas, TX</t>
        </is>
      </c>
      <c r="H33" t="inlineStr"/>
      <c r="I33" t="inlineStr">
        <is>
          <t>*Copart, Inc. a technology leader and the premier online vehicle auction platform globally, with over 200 facilities located across the world, Copart links vehicle sellers to more than 750,000 buyers in over 190 countries. We believe in providing an unmatched experience, every day and everywhere, driven by our people, processes, and technology.*
 The Sr. Data Engineer will be part of the Data \&amp; AI Team. The Data \&amp; AI Team works very closely with all aspects of applications and data pipelines. We are looking for a Sr. Data Engineer to design, develop, and optimize the flow of data throughout the organization, enabling end user to provide valuable insights of data across Copart. In this role, your work will broadly influence the company's data consumers, executives and analysts.
**Key Responsibilities**
* Design and build the next\-generation AI ready data platform.
* Develop and automate data processing systems leveraging DBT to deliver data insights at an enterprise scale.
* Design and implement workflow orchestration using Airflow / Cloud Composer for seamless data pipeline execution and scheduling across multiple systems.
* Develop logging, metrics, and alerts for active monitoring of processes.
* Collaborate with Product Managers and Application teams to create data models and schemas for easy access to complex datasets.
* Maintain data integrity in production systems.
* Balance and prioritize multiple conflicting requirements with high attention to detail.
**Qualifications**
* Bachelor’s degree or higher in Computer Science, Engineering, or related field.
* 3–5 years of experience designing, developing, testing, and implementing scalable, high\-performing data warehouse and BI solutions.
* Enterprise development experience with databases (SQL Server, Oracle, MySQL, Vertica, MemSQL, Netezza, Redshift, Google BigQuery.
* Hands\-on experience with real\-time data pipelines (Pub/Sub, Kinesis, Kafka) and database architecture (including MPP).
* Experience with ETL/ELT and data transformation tools (DBT, DataFlow, Informatica).
* Hands\-on experience with workflow orchestration platforms (Apache Airflow, Prefect, Dagster, Cloud Composer).
* Proficiency in BI/Analytical tools (Tableau, Looker, OBIEE, Power BI).
* Strong analytical skills to translate complex business problems into actionable insights.
* Exceptional communication and analytical skills with demonstrated ability to engage both technical and business audiences.
**Technical Skills**
* Programming: Python, SQL, Java, Scala
* Cloud Platforms: AWS, Google Cloud Platform, Azure
* Data Warehousing: BigQuery, Redshift, Snowflake
* Stream Processing: Apache Kafka, AWS Kinesis, Google Pub/Sub
* Workflow Orchestration: Apache Airflow, Prefect, Dagster, Cloud Composer
* BI Tools: Tableau, Pentaho, Looker, Power BI, Thoughtspot
*At Copart, we are focused on harnessing the power of diversity, inclusion, and collaboration. By embracing diverse perspectives, we open doors to innovation and unleash the full potential of our team. We are dedicated to fostering a workplace where everyone feels appreciated, included, and inspired to grow and contribute meaningfully.*
 E\-Verify Program Participant: Copart participates in the Department of Homeland Security U.S. Citizenship and Immigration Services' E\-Verify program (For U.S. applicants and employees only). Please click below to learn more about the E\-Verify program:
* E\-verify Participation
* Right to Work</t>
        </is>
      </c>
    </row>
    <row r="34">
      <c r="A34" t="inlineStr">
        <is>
          <t>li-4370499463</t>
        </is>
      </c>
      <c r="B34" t="inlineStr">
        <is>
          <t>Data Engineer II - ABS Data Analytics &amp; Finance Reporting</t>
        </is>
      </c>
      <c r="C34" t="inlineStr">
        <is>
          <t>GM Financial</t>
        </is>
      </c>
      <c r="D34" t="inlineStr">
        <is>
          <t>linkedin</t>
        </is>
      </c>
      <c r="E34">
        <f>HYPERLINK("https://www.linkedin.com/jobs/view/4370499463", "https://www.linkedin.com/jobs/view/4370499463")</f>
        <v/>
      </c>
      <c r="F34">
        <f>HYPERLINK("https://fa-exvu-saasfaprod1.fa.ocs.oraclecloud.com/hcmUI/CandidateExperience/en/job/1500/?utm_medium=jobboard&amp;utm_source=linkedin&amp;urlHash=jz_B", "https://fa-exvu-saasfaprod1.fa.ocs.oraclecloud.com/hcmUI/CandidateExperience/en/job/1500/?utm_medium=jobboard&amp;utm_source=linkedin&amp;urlHash=jz_B")</f>
        <v/>
      </c>
      <c r="G34" t="inlineStr">
        <is>
          <t>Fort Worth, TX</t>
        </is>
      </c>
      <c r="H34" t="inlineStr"/>
      <c r="I34" t="inlineStr">
        <is>
          <t>**Job Description**
***NOTE: We are unable to offer visa sponsorship now or in the future for this position***
**Why GM Financial?**
 GM Financial is the wholly owned captive finance subsidiary of General Motors and is headquartered in Fort Worth, U.S. We are a global provider of auto finance solutions, with operations in North America, South America and the Asia Pacific region. Through our long\-standing relationships with auto dealers, we offer attractive retail financing and lease programs to meet the needs of each customer. We also offer commercial lending products to dealers to help them finance and grow their businesses.
 At GM Financial, our team members define and shape our culture — an environment that welcomes new ideas, fosters integrity and creates a sense of community and belonging. Here we do more than work — we thrive.
 Our Purpose: We pioneer the innovations that move and connect people to what matters
**About The Role**
 The ABS Data Engineer II is a critical technical role within the GMF North America Securitization and Conduit Reporting team. This position will be helping ABS reporting team in building and maintaining reliable and scalable data pipelines. This position will leverage your expertise in Python, SQL, and Azure cloud technologies to extract, transform, and load data efficiently, enabling seamless data access and analysis for accounting business users. This position involves a high level of coordination with other departments and third\-party software vendors.
**In This Role You Will**
* Work internal business partners to identify, capture, collect, and format data from the external sources, internal systems and the data warehouse to extract features of interest
* Contribute to the evaluation, research, experimentation efforts with batch and streaming data engineering technologies in a lab to keep pace with industry innovation
* Work with data engineering related groups to inform on and showcase capabilities of emerging technologies and to enable the adoption of these new technologies and associated techniques
* Coordinate with Privacy Compliance to ensure proper data collection and handling
* Create and implement business rules and functional enhancements for data schemas and processes
* Coordinate with Privacy Compliance to ensure proper data collection and handling
* Perform data load monitoring and resolution
* Work with internal business clients to problem solve data availability and activation issues
**Responsibilities**
**What makes you an ideal candidate?**
* Experience with processing large data sets using Hadoop, HDFS, Spark, Kafka, Flume or similar distributed systems
* Experience with ingesting various source data formats such as JSON, Parquet, SequenceFile, Cloud Databases, MQ, Relational Databases such as Oracle
* Experience with Cloud technologies (such as Azure, AWS, GCP) and native toolsets such as Azure ARM Templates, Hashicorp Terraform, AWS Cloud Formation
* Thorough understanding of Hybrid Cloud Computing: virtualization technologies, Infrastructure as a Service, Platform as a Service and Software as a Service Cloud delivery models and the current competitive landscape
* Working knowledge of Object Storage technologies to include but not limited to Data Lake Storage Gen2, S3, Minio, Ceph, ADLS etc
* Experience with containerization to include but not limited to Dockers, Kubernetes, Spark on Kubernetes, Spark Operator
* Working knowledge of Agile development / SAFe Scrum and Application Lifecycle Management
* Strong background with source control management systems (GIT or Subversion); Build Systems (Maven, Gradle, Webpack); Code Quality (Sonar); Artifact Repository Managers (Artifactory), Continuous Integration/ Continuous Deployment (Azure DevOps)
* Experience with NoSQL data stores such as CosmosDB, MongoDB, Cassandra, Redis, Riak or other technologies that embed NoSQL with search such as MarkLogic or Lily Enterprise
* Creating and maintaining ETL processes
* Experience with Adobe solutions (ideally Adobe Experience Platform, DTM/Launch) and REST APIs
* Digital technology solutions (DMPs, CDPs, Tag Management Platforms, Cross\-Device Tracking, SDKs, etc.)
* Knowledge of Real Time\-CDP and Journey Analytics solutions
* Understanding of big data platforms and architectures, data stream processing pipeline/platform, data lake and data lake houses
* SQL experience: querying data and sharing what insights can be derived
* Understanding of cloud solutions such as Google Cloud Platform, Microsoft Azure \&amp; Amazon AWS cloud architecture \&amp; services
* Understanding of GDPR, privacy \&amp; security topics
**Qualifications**
**Experience**
* 2\-4 years of hands on experience with data engineering required
* Bachelor’s Degree in related field or equivalent experience required
**What We Offer:** 
 Generous benefits package available on day one to include: 401K matching, bonding leave for new parents (12 weeks, 100% paid), tuition assistance, training, GM employee auto discount, community service pay and nine company holidays.
**Our Culture:** 
 Our team members define and shape our culture — an environment that welcomes innovative ideas, fosters integrity, and creates a sense of community and belonging. Here we do more than work — we thrive.
**Compensation:** 
 Competitive pay and bonus eligibility
**Work Life Balance:** 
 Flexible hybrid work environment, minimum of 2\-days a week in office in Fort Worth, Texas
 LI\-\#hybrid
 LI\-\#MH1
 \#gmfJobs</t>
        </is>
      </c>
    </row>
    <row r="35">
      <c r="A35" t="inlineStr">
        <is>
          <t>li-4379410516</t>
        </is>
      </c>
      <c r="B35" t="inlineStr">
        <is>
          <t>Senior Data Engineer (Dallas Local Only) (Must Attend Onsite Interview – No Exception – Interview will be very Tuff) (9 Years experience required) (Do not waste your time by applying this Job)</t>
        </is>
      </c>
      <c r="C35" t="inlineStr">
        <is>
          <t>SinglePoint Inc</t>
        </is>
      </c>
      <c r="D35" t="inlineStr">
        <is>
          <t>linkedin</t>
        </is>
      </c>
      <c r="E35">
        <f>HYPERLINK("https://www.linkedin.com/jobs/view/4379410516", "https://www.linkedin.com/jobs/view/4379410516")</f>
        <v/>
      </c>
      <c r="F35" t="inlineStr"/>
      <c r="G35" t="inlineStr">
        <is>
          <t>Dallas, TX</t>
        </is>
      </c>
      <c r="H35" t="inlineStr"/>
      <c r="I35" t="inlineStr">
        <is>
          <t>**Looking for Senior Data Engineer (Dallas Local Only) (Must Attend Onsite Interview – No Exception – Interview will be very Tuff) (9 Years experience required) (Do not waste your time by applying this Job):** 
* As a Data Engineer you will be working in one of the world's largest and most complex data warehouse environments
* You will be developing and supporting the analytic technologies that give our customers timely, flexible and structured access to their data
* You will be responsible for designing and implementing a platform using third\-party and in\-house reporting tools, modeling metadata, building reports and dashboards in Oracle BI Enterprise Edition (OBIEE)
* You will work with business customers in understanding the business requirements and implementing solutions to support analytical and reporting needs
**Requirements:** 
* 9\+ years of related experience
* Very strong development experience with notable BI reporting tools (Oracle BI Enterprise Edition (OBIEE))
* Should have experience developing complex and a variety of reports
* A good candidate has strong analytical skills and enjoys working with large complex data sets
* Good knowledge of SQL
* A good candidate can partner with business owners directly to understand their requirements and provide data which can help them observe patterns and spot anomalies
* Strong OBIEE reporting experience
* SQL skills</t>
        </is>
      </c>
    </row>
    <row r="36">
      <c r="A36" t="inlineStr">
        <is>
          <t>li-4379188431</t>
        </is>
      </c>
      <c r="B36" t="inlineStr">
        <is>
          <t>Data Engineer/Data Scientist Onsite in Nashville</t>
        </is>
      </c>
      <c r="C36" t="inlineStr">
        <is>
          <t>Capgemini</t>
        </is>
      </c>
      <c r="D36" t="inlineStr">
        <is>
          <t>linkedin</t>
        </is>
      </c>
      <c r="E36">
        <f>HYPERLINK("https://www.linkedin.com/jobs/view/4379188431", "https://www.linkedin.com/jobs/view/4379188431")</f>
        <v/>
      </c>
      <c r="F36" t="inlineStr"/>
      <c r="G36" t="inlineStr">
        <is>
          <t>Atlanta, GA</t>
        </is>
      </c>
      <c r="H36" t="inlineStr"/>
      <c r="I36" t="inlineStr">
        <is>
          <t>**Thanks for your interest, please apply only after reading 1 to 4\. You must work 100% in office in Nashville not remote from Atlanta, relocate at your own expense.** 
1. **You must starts April 13th 2026 at the 6 weeks training session, not able to start after**
2. **You must have graduated 2025 and before not graduating in 2026\.**
3. **You must have 1 year\+ minimum post graduate experience in AWS or Azure or Databricks or Google Cloud (internship experience not included)**
4. **You must work full time, not a contractor and no C2C**
**About the Role** 
 We are seeking a skilled
 **Data Engineer** 
 with hands\-on experience in
 **Databricks or AWS or Azure or Google Cloud Platform (GCP)** 
 to design, build, and optimize data pipelines and analytics solutions. The ideal candidate will have a strong background in distributed data processing, cloud architecture, and data modeling. This role partners closely with data analysts, data scientists, and business stakeholders to deliver scalable, reliable, and high‑quality data products.
**Key Responsibilities** 
**Data Engineering \&amp; Pipeline Development** 
* Design, build, and maintain
 **ETL/ELT pipelines** 
 using Databricks (PySpark, Delta Lake).
* Optimize pipelines for performance, cost efficiency, and scalability within GCP.
* Develop batch and streaming data processes using Spark Streaming, and related technologies.
**Cloud Architecture \&amp; Platform Engineering** 
* Implement data solutions leveraging
 **GCP services** 
 such as BigQuery, Cloud Storage, Dataflow, Cloud Composer, and Vertex AI integrations.
* Apply best practices for cloud security, IAM configuration, monitoring, and cost management.
**Data Modeling \&amp; Quality** 
* Build and maintain
 **data models** 
 , including dimensional modeling and data vault structures.
* Implement data quality frameworks, validation rules, and automated testing.
* Manage data versioning, governance, and lineage using tools such as Unity Catalog or GCP Data Catalog.
**Collaboration \&amp; Stakeholder Engagement** 
* Partner with cross‑functional teams to gather requirements and translate them into technical designs.
* Provide technical guidance and influence engineering best practices across the team.
* Contribute to documentation, architectural diagrams, and knowledge sharing.
**Required Qualifications** 
* 1\+ years of experience as a Data Engineer or similar role.
* Strong hands\-on experience with
 **Databricks** 
 , including:
* PySpark/Spark
* Delta Lake
* Databricks workflows/jobs
* Proficiency with
 **GCP** 
 :
* BigQuery
* Cloud Storage
* Dataflow or Dataproc
* Strong coding skills in
 **Python** 
 and SQL.
* Solid understanding of distributed systems, data warehousing, and data architecture principles.
* Experience with CI/CD tools (GitHub, GitLab, Azure DevOps, or similar).
**Preferred Qualifications** 
* Databricks or GCP certifications (e.g., Data Engineer, Architect).
* Experience with Terraform or other Infrastructure\-as\-Code tools.
* Knowledge of ML workflows or MLOps frameworks.
* Familiarity with data governance tools (Unity Catalog, Great Expectations, dbt, etc.).
**Soft Skills** 
* Excellent problem\-solving and analytical abilities.
* Strong communication skills and the ability to work effectively with technical and non\-technical teams.
* Growth mindset and passion for continuous learning and innovation.
 The base compensation range for this role in the posted location is $46,400 to $111,090\.
 Capgemini provides compensation range information in accordance with applicable national, state, provincial, and local pay transparency laws. The base compensation range listed for this position reflects the minimum and maximum target compensation Capgemini, in good faith, believes it may pay for the role at the time of this posting. This range may be subject to change as permitted by law.
 The actual compensation offered to any candidate may fall outside of the posted range and will be determined based on multiple factors legally permitted in the applicable jurisdiction. These may include, but are not limited to: Geographic location, Education and qualifications, Certifications and licenses, Relevant experience and skills, Seniority and performance, Market and business consideration, Internal pay equity.
 It is not typical for candidates to be hired at or near the top of the posted compensation range.
 In addition to base salary, this role may be eligible for additional compensation such as variable incentives, bonuses, or commissions, depending on the position and applicable laws.
**Capgemini offers a comprehensive, non\-negotiable benefits package to all regular, full\-time employees.** 
 In the U.S. and Canada, available benefits are determined by local policy and eligibility and may include:
* Paid time off based on employee grade (A\-F), defined by policy: Vacation: 12\-25 days, depending on grade, Company paid holidays, Personal Days, Sick Leave
* Medical, dental, and vision coverage (or provincial healthcare coordination in Canada)
* Retirement savings plans (e.g., 401(k) in the U.S., RRSP in Canada)
* Life and disability insurance
* Employee assistance programs
* Other benefits as provided by local policy and eligibility
**Important Notice:** 
 Compensation (including bonuses, commissions, or other forms of incentive pay) is not considered earned, vested, or payable until it becomes due under the terms of applicable plans or agreements and is subject to Capgemini’s discretion, consistent with applicable laws. The Company reserves the right to amend or withdraw compensation programs at any time, within the limits of applicable legislation.
**Disclaimers** 
 Capgemini is an Equal Opportunity Employer encouraging inclusion in the workplace. Capgemini also participates in the Partnership Accreditation in Indigenous Relations (PAIR) program which supports meaningful engagement with Indigenous communities across Canada by promoting fairness, accessibility, inclusion and respect. We value the rich cultural heritage and contributions of Indigenous Peoples and actively work to create a welcoming and respectful environment. All qualified applicants will receive consideration for employment without regard to race, national origin, gender identity/expression, age, religion, disability, sexual orientation, genetics, veteran status, marital status or any other characteristic protected by law.
 This is a general description of the Duties, Responsibilities and Qualifications required for this position. Physical, mental, sensory or environmental demands may be referenced in an attempt to communicate the manner in which this position traditionally is performed. Whenever necessary to provide individuals with disabilities an equal employment opportunity, Capgemini will consider reasonable accommodations that might involve varying job requirements and/or changing the way this job is performed, provided that such accommodation does not pose an undue hardship. Capgemini is committed to providing reasonable accommodation during our recruitment process. If you need assistance or accommodation, please reach out to your recruiting contact.
 Please be aware that Capgemini may capture your image (video or screenshot) during the interview process and that image may be used for verification, including during the hiring and onboarding process.
 Click the following link for more information on your rights as an Applicant in the United States. http://www.capgemini.com/resources/equal\-employment\-opportunity\-is\-the\-law
 Capgemini is a global business and technology transformation partner, helping organizations to accelerate their dual transition to a digital and sustainable world, while creating tangible impact for enterprises and society. It is a responsible and diverse group of 340,000 team members in more than 50 countries. With its strong over 55\-year heritage, Capgemini is trusted by its clients to unlock the value of technology to address the entire breadth of their business needs. It delivers end\-to\-end services and solutions leveraging strengths from strategy and design to engineering, all fueled by its market leading capabilities in AI, generative AI, cloud and data, combined with its deep industry expertise and partner ecosystem.</t>
        </is>
      </c>
    </row>
    <row r="37">
      <c r="A37" t="inlineStr">
        <is>
          <t>li-4360840098</t>
        </is>
      </c>
      <c r="B37" t="inlineStr">
        <is>
          <t>GTM Data Engineer</t>
        </is>
      </c>
      <c r="C37" t="inlineStr">
        <is>
          <t>PartsSource Inc.</t>
        </is>
      </c>
      <c r="D37" t="inlineStr">
        <is>
          <t>linkedin</t>
        </is>
      </c>
      <c r="E37">
        <f>HYPERLINK("https://www.linkedin.com/jobs/view/4360840098", "https://www.linkedin.com/jobs/view/4360840098")</f>
        <v/>
      </c>
      <c r="F37" t="inlineStr"/>
      <c r="G37" t="inlineStr">
        <is>
          <t>Hoffman Estates, IL</t>
        </is>
      </c>
      <c r="H37" t="inlineStr"/>
      <c r="I37" t="inlineStr">
        <is>
          <t>PartsSource is the
 **leading technology and software platform for managing mission\-critical healthcare equipment** 
 . Trusted by over 5,000 US hospitals and 15,000 clinical sites, PartsSource empowers providers and service organizations to maximize clinical availability for patient care and automates the procurement of parts, services and training through a unique digital experience.
 PartsSource team members are deeply committed to our mission of
 **Ensuring Healthcare is Always On®** 
 , which is foundational to our success and growth. Our vibrant culture is built upon aligned values, shared ownership, mutual respect, and a passion for collaborating to solve complex customer problems.
**About The Job Opportunity**
 The
 **GTM Data Engineer** 
 is responsible for building and maintaining a single, trusted customer and revenue data foundation across Marketing, Sales, and Customer Success. This role partners closely with Revenue Operations to ensure all GTM teams operate from a consistent source of truth for pipeline, revenue, retention, and growth. You will own how GTM data is structured, enriched, validated, and made available—eliminating data ambiguity and enabling confident, data\-driven decision making.
 What You’ll Do
 GTM Data Modeling \&amp; Governance
*(Technology – Data Engineering: Data Modeling \&amp; Architecture, Data Quality \&amp; Governance)*
* Design and maintain the canonical customer, account, and revenue data model across GTM systems
* Resolve identity across contacts, accounts, users, assets, services, and subscriptions
* Define authoritative objects and metrics for pipeline, bookings, renewals, expansion, and churn
* Ensure historical accuracy, data lineage, and consistent metric definitions
 Data Enrichment, Integration \&amp; Pipelines
*(Technology – Data Engineering: ETL \&amp; Data Integration, Data Pipeline Development)*
* Build and manage data pipelines across CRM, marketing automation, services, and financial systems
* Identify data gaps and implement enrichment strategies to improve completeness and usability
* Merge datasets into unified customer and account views with clear conflict\-resolution rules
* Own schema changes, backfills, reprocessing, and validation as systems evolve
 Attribution, Revenue Logic \&amp; Reporting Enablement
*(Sales Revenue Operations: Performance Metrics \&amp; Reporting, Sales Analytics)*
* Implement approved attribution and revenue logic consistently across channels and time periods
* Validate sourced, influenced, and assisted revenue before executive reporting
* Enable trusted funnel, pipeline, retention, and expansion reporting within systems of record
* Reduce reliance on spreadsheets and manual reconciliation
 GTM Architecture, CDP \&amp; AI Readiness
*(Technology – Systems \&amp; Applications: Systems Integration, Systems Thinking)*
* Support a warehouse\-centric or composable CDP approach for GTM data
* Partner with GTM leadership to evolve long\-term data architecture
* Prepare high\-quality, LLM\-ready datasets for AI\-enabled GTM workflows
* Ensure access controls, privacy, and compliance requirements are met
 What You’ll Bring
**Your Background**
* 5\+ years in data engineering, analytics engineering, or GTM data roles
* Strong experience with CRM and GTM data models
* Advanced SQL skills and experience with modern data stacks and ETL tools
* Experience supporting attribution, lifecycle, and revenue reporting
* Familiarity with Customer Data Platforms or warehouse\-centric CDP approaches
* Ability to work cross\-functionally with Marketing, Sales, Customer Success, Finance, and RevOps
 Who We Want to Meet
* Act Like an Owner – Accountability \&amp; Execution: You take full ownership of GTM data quality and follow through to reliable outcomes.
* Serve with Purpose – Business Impact: You connect data architecture decisions to revenue visibility and GTM effectiveness.
* Adapt to Thrive – Managing Ambiguity: You remain productive amid evolving systems, definitions, and priorities.
* Collaborate to Win – Influence \&amp; Communication: You partner effectively with RevOps and GTM teams to align on shared metrics.
* Challenge the Status Quo – Data\-Informed Decision Making: You use evidence and clarity to replace assumptions and debates.
**Benefits \&amp; Perks** 
* Competitive compensation package with salary, incentives, company ownership/equity, and comprehensive benefits (401k match, health, college debt reduction, and more!)
* Career and professional development through training, coaching and new experiences.
* Hybrid culture with new \&amp; beautiful workspaces that balance flexibility, collaboration, and productivity.
* Inclusive and diverse community of passionate professionals learning and growing together.
**Interested?** 
 We’d love to hear from you! Submit your resume and an optional cover letter explaining why you’d be a great fit.
**About PartsSource**
 Since 2001, PartsSource has evolved into the leading technology and software platform for managing mission\-critical equipment, serving over half of the U.S. hospital infrastructure. Our digital systems modernize and automate the procurement of parts, services, technical support, and training for HTM professionals to efficiently and effectively maintain their mission\-critical equipment. PartsSource employs over 700 employees nationwide that committed to supporting healthcare providers and ensuring healthcare always on.
 In 2021, Bain Capital invested in the business, further accelerating our growth and positive impact within the healthcare industry.
**Read More About Us Here**
* PartsSource Named to Newsweek’s List of the Top 200 America’s Most Loved Workplaces for 2024
* PartsSource® Named Among the Top 50 Healthcare Technology Companies of 2025
* PartsSource® Named Among the Top 25 Healthcare Software Companies of 2025
* PartsSource President and CEO Philip Settimi Named to Top 50 Healthcare Technology CEO List 2025
* WSJ: Bain Capital Private Equity Scoops Up PartsSource
**EEO**
 PartsSource, Inc., and its affiliates and subsidiaries,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This policy applies to all terms and conditions of employment, including recruiting, hiring, placement, promotion, termination, layoff, recall, transfer, leaves of absence, compensation and training.
 Legal authorization to work in the U.S. is required.</t>
        </is>
      </c>
    </row>
    <row r="38">
      <c r="A38" t="inlineStr">
        <is>
          <t>li-4379158833</t>
        </is>
      </c>
      <c r="B38" t="inlineStr">
        <is>
          <t>Senior Data Engineer</t>
        </is>
      </c>
      <c r="C38" t="inlineStr">
        <is>
          <t>Dematic</t>
        </is>
      </c>
      <c r="D38" t="inlineStr">
        <is>
          <t>linkedin</t>
        </is>
      </c>
      <c r="E38">
        <f>HYPERLINK("https://www.linkedin.com/jobs/view/4379158833", "https://www.linkedin.com/jobs/view/4379158833")</f>
        <v/>
      </c>
      <c r="F38" t="inlineStr"/>
      <c r="G38" t="inlineStr">
        <is>
          <t>Grand Rapids, MI</t>
        </is>
      </c>
      <c r="H38" t="inlineStr"/>
      <c r="I38" t="inlineStr">
        <is>
          <t>At Dematic, we are revolutionizing our data landscape in support of cutting\-edge Artificial Intelligence (AI) use cases. We are forming multiple teams that will spearhead the creation of the platform's foundational components. These teams go beyond traditional data ingestion; they are architects of a microservices\-driven platform, providing abstractions that empower other teams to seamlessly extend the platform.
 We are seeking a dynamic and highly skilled Senior Data Engineer who has extensive experience building self\-service enterprise scale data platforms with microservices architecture and leading these foundational efforts. This role demands someone who not only possesses a profound understanding of the data engineering landscape but also has experience with software engineering design patterns and microservices frameworks. The ideal candidate will be 100% hands\-on, deep in the code and individual contributor who will contribute significantly to platform development and actively shape our data ecosystem.
**We Offer**
* Career Development
* Competitive Compensation and Benefits
* Pay Transparency
* Global Opportunities
**Learn More Here:** 
 https://www.dematic.com/en\-us/about/careers/what\-we\-offer
*Dematic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*This policy applies to all terms and conditions of employment, including recruiting, hiring, placement, promotion, termination, layoff, recall, transfer, leaves of absence, compensation and training.*
*The base pay range for this role is estimated to be $133,125 \- $204,125 at the time of posting. Final compensation will be determined by various factors such as work location, education, experience, knowledge, and skills.*
**Tasks And Qualifications**
**What You Will do in This Role** 
 :
* As a senior data engineer, you will be responsible for ideation, architecture, design and development of our key data platform components.
* Create and maintain essential data platform SDKs and libraries, adhering to industry best practices.
* Design and develop connector frameworks and modern connectors to source data from disparate systems both on\-prem and cloud.
* Design and optimize data storage, processing, and querying performance for large\-scale datasets using industry best practices while keeping costs in check.
* Design and develop data quality frameworks and processes to ensure the accuracy and reliability of data.
* Collaborate with data scientists, analysts, and cross functional teams to design data models, database schemas and data storage solutions.
* Proactively identify and contribute towards platform resiliency.
* Design and develop observability and data governance frameworks and practices.
* Stay up to date with the latest data on engineering trends, technologies, and best practices.
* Drive the deployment and release cycles, ensuring a robust and scalable platform.
* Partner with AI enablement teams across the organization as well as KION IT Cloud Infrastructure, AI Platform, and security teams to ensure AI/ML capabilities align with IT framework and guidelines within KION.
* Partner with Business Transformation Data Management teams to align on master data.
**What We Are Looking For**
* 5\+ years of proven experience in modern cloud data engineering and software engineering.
* Proven ability to build end\-to\-end data platforms and data services (beyond ETL).
* Strong cloud experience, preferably GCP; Azure (ADLS) and Databricks are strong pluses.
* Hands\-on experience with Databricks (Delta Lake, Spark, ML/ETL workflows).
* Experience working in multi\-cloud environments (GCP / Azure).
* Proficiency with platforms such as BigQuery, Dataflow, Dataform, Cloud Run, DBT, Dataproc, SQL, Python, Airflow, Pub/Sub, and equivalent Azure tooling such as ADLS, Azure Functions, and Databricks.
* Experience with microservices architectures (Kubernetes, Docker).
* Deep experience with batch and streaming data infrastructures.
* Strong hands\-on experience with metadata management, data catalogs, data lineage, data quality, and data observability frameworks.
* Strong understanding of data modeling, data architecture, and data governance.
* Solid experience with DataOps, CI/CD, and test automation.
* Excellent experience with observability tooling.
* Experience building data platforms supporting AI use cases and machine learning
* Production level experience with universal semantic layers.
* Production level experience with implementing either 3rd party or open\-source metadata management platforms.
* Production level experience with data platform resiliency.
* Experience building large\-scale data platforms on Azure, including Azure Data Lake and Databricks.</t>
        </is>
      </c>
    </row>
    <row r="39">
      <c r="A39" t="inlineStr">
        <is>
          <t>li-4379178691</t>
        </is>
      </c>
      <c r="B39" t="inlineStr">
        <is>
          <t>Staff Data Engineer</t>
        </is>
      </c>
      <c r="C39" t="inlineStr">
        <is>
          <t>RemoteHunter</t>
        </is>
      </c>
      <c r="D39" t="inlineStr">
        <is>
          <t>linkedin</t>
        </is>
      </c>
      <c r="E39">
        <f>HYPERLINK("https://www.linkedin.com/jobs/view/4379178691", "https://www.linkedin.com/jobs/view/4379178691")</f>
        <v/>
      </c>
      <c r="F39">
        <f>HYPERLINK("https://www.remotehunter.com/apply-with-ai/39ccf9b1-9eab-42c9-8c20-8eb212a4cc81?utm_medium=job_posting&amp;utm_source=linkedin&amp;utm_campaign=data_engineer&amp;utm_category=data_engineer&amp;utm_term=staff_data_engineer&amp;urlHash=Bzjl", "https://www.remotehunter.com/apply-with-ai/39ccf9b1-9eab-42c9-8c20-8eb212a4cc81?utm_medium=job_posting&amp;utm_source=linkedin&amp;utm_campaign=data_engineer&amp;utm_category=data_engineer&amp;utm_term=staff_data_engineer&amp;urlHash=Bzjl")</f>
        <v/>
      </c>
      <c r="G39" t="inlineStr"/>
      <c r="H39" t="inlineStr"/>
      <c r="I39" t="inlineStr">
        <is>
          <t>**1\. About Our Client** 
 : The organization operates in the online security industry, addressing the challenge of establishing continuous security monitoring and verification for fast\-growing companies. Founded in 2018 following several high\-profile data breaches, the program aims to help businesses build and prove trust by improving security practices. It provides automated security monitoring for compliance standards such as SOC 2, HIPAA, and ISO 27001, supporting thousands of companies in maintaining real\-time, transparent trust. The organization's platform focuses on making security an ongoing process rather than a point\-in\-time event.
**2\. About the Opportunity** 
 : The
 **Staff Data Engineer** 
 will establish the foundation for a top\-tier analytics function, collaborating with engineering teams and business stakeholders to align the analytics infrastructure with current and future business needs. This role plays a key part in designing scalable data systems, managing data administration, and enabling data\-driven decision\-making across the enterprise. The position contributes to the organization's ability to leverage data for reporting, machine learning, and product insights, advancing the overall impact of data initiatives.
**3\. Responsibilities** 
 :
* Design and implement complex data models, metadata, reports, dashboards, and reporting tools for data science and machine learning users
* Develop and deploy data infrastructure to support data\-driven decisions
* Serve as the expert on data administration and master data management
* Provide technical leadership in scalable data system development
* Build front\-end applications to expose analytical data across the organization
* Write optimized, scalable SQL queries for large, diverse data warehouses
* Collaborate with product and engineering teams to structure source systems for reporting
* Maintain the change data capture (CDC) pipeline to support customer reporting
**4\. Requirements** 
 :
* Minimum six years of experience working with data and at least two years in software engineering or related fields
* Experience with analytics tools such as Stitch/Fivetran, Snowflake/BigQuery/Redshift, dbt, Airflow, Dagster, Looker/Mode/Sigma
* Proven leadership in implementing Debezium or similar CDC event tracking systems
* Proficiency with AWS data infrastructure and Terraform
* System\-oriented and software engineering mindset focused on framework development and reducing bespoke queries
* Strong expertise in dimensional and fact data modeling (experience at major tech companies is a plus)
* Passion for enhancing the developer experience with data and expanding data capabilities across the organization
* Commitment to advancing security, anonymization, and compliance in data warehousing
* Openness to responsibly applying AI to improve efficiency and impact, with curiosity and sound judgment
**5\. Pay Range and Compensation Package** 
 :
* The pay range and compensation package for this role will be determined based on the candidate’s experience, skills, and other relevant factors.
**6\. Benefits \&amp; Perks** 
 :
* Competitive salary and equity
* Comprehensive medical, dental, and vision coverage with 100% employee\-only premiums covered for most plans
* 16 weeks fully\-paid parental leave for new parents
* Health and wellness stipend
* Remote workspace, internet, and cellphone stipend
* Commuter benefits for employees in San Francisco and New York City offices
* Family planning benefits
* Matching 401(k) contributions with immediate vesting
* Flexible paid time off policy plus 80 hours of sick time
* 11 company\-paid holidays
* Virtual team\-building activities, lunch and learns, and company\-wide events
* Offices located in San Francisco, New York City, London, Dublin, Tel Aviv, and Sydney
**7\. Equal Opportunity Statement** 
 : Our client is an equal opportunity employer. They celebrate diversity and are committed to creating an inclusive environment for all employees. All qualified applicants will receive consideration for employment without regard to race, color, religion, gender, gender identity or expression, sexual orientation, or national origin.
 Note: RemoteHunter is not the Employer of Record (EOR) for this role. Our purpose in this opportunity is to connect exceptional candidates with leading employers. We help job seekers worldwide discover roles that match their goals and guide them to complete their full application directly through the hiring company’s career page or ATS.</t>
        </is>
      </c>
    </row>
    <row r="40">
      <c r="A40" t="inlineStr">
        <is>
          <t>li-4380317229</t>
        </is>
      </c>
      <c r="B40" t="inlineStr">
        <is>
          <t>Databricks Data Engineer - Consultant</t>
        </is>
      </c>
      <c r="C40" t="inlineStr">
        <is>
          <t>Deloitte</t>
        </is>
      </c>
      <c r="D40" t="inlineStr">
        <is>
          <t>linkedin</t>
        </is>
      </c>
      <c r="E40">
        <f>HYPERLINK("https://www.linkedin.com/jobs/view/4380317229", "https://www.linkedin.com/jobs/view/4380317229")</f>
        <v/>
      </c>
      <c r="F40" t="inlineStr"/>
      <c r="G40" t="inlineStr">
        <is>
          <t>New York, NY</t>
        </is>
      </c>
      <c r="H40" t="inlineStr"/>
      <c r="I40" t="inlineStr">
        <is>
          <t>****Job Title: Consultant \- Databricks Data Engineer**
**Job Summary**
 As a
 **Databricks Data Engineer** 
 , you will design, build, and optimize enterprise\-scale data engineering solutions using
 **Databricks** 
 on AWS, Azure, or Google Cloud Platform (GCP). You'll help clients modernize data platforms using
 **Lakehouse** 
 patterns, deliver reliable and performant pipelines, and translate technical design into measurable business outcomes. You'll contribute to engineering standards, data governance, and delivery excellence while collaborating closely with stakeholders across business and technology teams.
 Recruiting for this role ends on 3/13/2026\.
**Work You'll Do (Key Responsibilities)****
* Data platform delivery: Design, develop, test, and maintain scalable data pipelines and data products on Databricks to support enterprise analytics and reporting needs.
* Lakehouse Engineering: Implement Databricks Lakehouse solutions using Apache Spark and Delta Lake, delivering batch/streaming pipelines with Delta Live Tables, Autoloader, Structured Streaming, Workflows, and orchestration (e.g., Apache Airflow).
* Data Modeling: Build curated, governed data products by applying metadata\-driven ingestion, PySpark incremental loads, and data quality frameworks, plus 3NF/dimensional modeling and Unity Catalog\-based security/compliance controls.
* Governance \&amp; security: Support implementation of governance, security, and compliance controls in cloud data ecosystems, including Unity Catalog and fine\-grained access controls.
* Performance optimization: Monitor and tune jobs, code, clusters, and pipeline designs to improve reliability, throughput, and cost efficiency.
* DevOps \&amp; automation: Implement and maintain CI/CD practices for data engineering deployments using tools such as Azure DevOps, AWS CodePipeline, Jenkins, TFS, or PowerShell.
* Communication: Clearly explain technical tradeoffs, implementation choices, and business value to technical teams and non\-technical stakeholders; contribute to project plans, status updates, and client\-facing deliverables.
* Best practices contribution: Contribute to documentation and reusable patterns for data architecture, integration, modeling, and engineering standards.
**Required Qualifications**
* Bachelor's degree in Computer Science, Engineering, or related field (Master's preferred).
* 2\+ years of hands\-on experience in data engineering with a strong focus on Databricks, deployed on any major cloud (AWS, Azure, GCP).
* Minimum of 2 years Technical Proficiency:
+ Databricks and cloud\-native storage/compute and distributed processing platforms
+ Lakehouse architecture, Apache Spark, Delta Lake
+ Data warehousing and implementation experience with 3NF, dimensional modeling, and enterprise data lakes
+ Databricks components: Delta Live Tables, Autoloader, Structured Streaming, Databricks Workflows, and orchestration.
+ Incremental data loads; building metadata\-driven ingestion and data quality frameworks using PySpark
+ Unity Catalog and fine\-grained security/access control
* Proven track record deploying solutions through automated CI/CD pipelines.
* Experience with performance optimization of pipelines, code, and compute resources.
* Ability to travel up to 50% on average, based on the work you do and the clients and industries/sectors you serve
* Limited immigration sponsorship may be available
**Preferred Qualifications**
* Strong knowledge of one or more cloud ecosystems: AWS, Azure, GCP cloud ecosystems and associated big data stacks is strongly preferred.
* Experience supporting or enabling AI/ML use cases.
* Databricks certifications
**The wage range for this role takes into account the wide range of factors that are considered in making compensation decisions including but not limited to skill sets; experience and training; licensure and certifications; and other business and organizational needs. The disclosed range estimate has not been adjusted for the applicable geographic differential associated with the location at which the position may be filled. At Deloitte, it is not typical for an individual to be hired at or near the top of the range for their role and compensation decisions are dependent on the facts and circumstances of each case. A reasonable estimate of the current range is $84,400 \- $155,400\.
 You may also be eligible to participate in a discretionary annual incentive program, subject to the rules governing the program, whereby an award, if any, depends on various factors, including, without limitation, individual and organizational performance.
 Information for applicants with a need for accommodation: https://www2\.deloitte.com/us/en/pages/careers/articles/join\-deloitte\-assistance\-for\-disabled\-applicants.html**</t>
        </is>
      </c>
    </row>
    <row r="41">
      <c r="A41" t="inlineStr">
        <is>
          <t>li-4380323126</t>
        </is>
      </c>
      <c r="B41" t="inlineStr">
        <is>
          <t>Databricks Data Engineer - Consultant</t>
        </is>
      </c>
      <c r="C41" t="inlineStr">
        <is>
          <t>Deloitte</t>
        </is>
      </c>
      <c r="D41" t="inlineStr">
        <is>
          <t>linkedin</t>
        </is>
      </c>
      <c r="E41">
        <f>HYPERLINK("https://www.linkedin.com/jobs/view/4380323126", "https://www.linkedin.com/jobs/view/4380323126")</f>
        <v/>
      </c>
      <c r="F41">
        <f>HYPERLINK("https://ars2.equest.com/?response_id=10343d53a8882d45cb7521ec5cc3e31c&amp;urlHash=XrSP", "https://ars2.equest.com/?response_id=10343d53a8882d45cb7521ec5cc3e31c&amp;urlHash=XrSP")</f>
        <v/>
      </c>
      <c r="G41" t="inlineStr">
        <is>
          <t>Chicago, IL</t>
        </is>
      </c>
      <c r="H41" t="inlineStr"/>
      <c r="I41" t="inlineStr">
        <is>
          <t>****Job Title: Consultant \- Databricks Data Engineer**
**Job Summary**
 As a
 **Databricks Data Engineer** 
 , you will design, build, and optimize enterprise\-scale data engineering solutions using
 **Databricks** 
 on AWS, Azure, or Google Cloud Platform (GCP). You'll help clients modernize data platforms using
 **Lakehouse** 
 patterns, deliver reliable and performant pipelines, and translate technical design into measurable business outcomes. You'll contribute to engineering standards, data governance, and delivery excellence while collaborating closely with stakeholders across business and technology teams.
 Recruiting for this role ends on 3/13/2026\.
**Work You'll Do (Key Responsibilities)****
* Data platform delivery: Design, develop, test, and maintain scalable data pipelines and data products on Databricks to support enterprise analytics and reporting needs.
* Lakehouse Engineering: Implement Databricks Lakehouse solutions using Apache Spark and Delta Lake, delivering batch/streaming pipelines with Delta Live Tables, Autoloader, Structured Streaming, Workflows, and orchestration (e.g., Apache Airflow).
* Data Modeling: Build curated, governed data products by applying metadata\-driven ingestion, PySpark incremental loads, and data quality frameworks, plus 3NF/dimensional modeling and Unity Catalog\-based security/compliance controls.
* Governance \&amp; security: Support implementation of governance, security, and compliance controls in cloud data ecosystems, including Unity Catalog and fine\-grained access controls.
* Performance optimization: Monitor and tune jobs, code, clusters, and pipeline designs to improve reliability, throughput, and cost efficiency.
* DevOps \&amp; automation: Implement and maintain CI/CD practices for data engineering deployments using tools such as Azure DevOps, AWS CodePipeline, Jenkins, TFS, or PowerShell.
* Communication: Clearly explain technical tradeoffs, implementation choices, and business value to technical teams and non\-technical stakeholders; contribute to project plans, status updates, and client\-facing deliverables.
* Best practices contribution: Contribute to documentation and reusable patterns for data architecture, integration, modeling, and engineering standards.
**Required Qualifications**
* Bachelor's degree in Computer Science, Engineering, or related field (Master's preferred).
* 2\+ years of hands\-on experience in data engineering with a strong focus on Databricks, deployed on any major cloud (AWS, Azure, GCP).
* Minimum of 2 years Technical Proficiency:
+ Databricks and cloud\-native storage/compute and distributed processing platforms
+ Lakehouse architecture, Apache Spark, Delta Lake
+ Data warehousing and implementation experience with 3NF, dimensional modeling, and enterprise data lakes
+ Databricks components: Delta Live Tables, Autoloader, Structured Streaming, Databricks Workflows, and orchestration.
+ Incremental data loads; building metadata\-driven ingestion and data quality frameworks using PySpark
+ Unity Catalog and fine\-grained security/access control
* Proven track record deploying solutions through automated CI/CD pipelines.
* Experience with performance optimization of pipelines, code, and compute resources.
* Ability to travel up to 50% on average, based on the work you do and the clients and industries/sectors you serve
* Limited immigration sponsorship may be available
**Preferred Qualifications**
* Strong knowledge of one or more cloud ecosystems: AWS, Azure, GCP cloud ecosystems and associated big data stacks is strongly preferred.
* Experience supporting or enabling AI/ML use cases.
* Databricks certifications
**The wage range for this role takes into account the wide range of factors that are considered in making compensation decisions including but not limited to skill sets; experience and training; licensure and certifications; and other business and organizational needs. The disclosed range estimate has not been adjusted for the applicable geographic differential associated with the location at which the position may be filled. At Deloitte, it is not typical for an individual to be hired at or near the top of the range for their role and compensation decisions are dependent on the facts and circumstances of each case. A reasonable estimate of the current range is $84,400 \- $155,400\.
 You may also be eligible to participate in a discretionary annual incentive program, subject to the rules governing the program, whereby an award, if any, depends on various factors, including, without limitation, individual and organizational performance.
 Information for applicants with a need for accommodation: https://www2\.deloitte.com/us/en/pages/careers/articles/join\-deloitte\-assistance\-for\-disabled\-applicants.html**</t>
        </is>
      </c>
    </row>
    <row r="42">
      <c r="A42" t="inlineStr">
        <is>
          <t>li-4359315040</t>
        </is>
      </c>
      <c r="B42" t="inlineStr">
        <is>
          <t>Senior Data Engineer</t>
        </is>
      </c>
      <c r="C42" t="inlineStr">
        <is>
          <t>Systems Innovation Engineering</t>
        </is>
      </c>
      <c r="D42" t="inlineStr">
        <is>
          <t>linkedin</t>
        </is>
      </c>
      <c r="E42">
        <f>HYPERLINK("https://www.linkedin.com/jobs/view/4359315040", "https://www.linkedin.com/jobs/view/4359315040")</f>
        <v/>
      </c>
      <c r="F42">
        <f>HYPERLINK("https://ats.rippling.com/accelint-holdings-llc/jobs/ef7a31a3-0c35-4790-9e5b-27d87fcfe6e6?src=LinkedIn&amp;urlHash=PbCm", "https://ats.rippling.com/accelint-holdings-llc/jobs/ef7a31a3-0c35-4790-9e5b-27d87fcfe6e6?src=LinkedIn&amp;urlHash=PbCm")</f>
        <v/>
      </c>
      <c r="G42" t="inlineStr"/>
      <c r="H42" t="inlineStr"/>
      <c r="I42" t="inlineStr">
        <is>
          <t>Accelint is a mission\-driven technology company focused on strengthening national security and supporting critical industries
 ****.****
 We build the technologies that help operators and organizations see what’s happening, make faster and better decisions, take action with confidence, and stay ready for what comes next. Our work includes advanced sensors, autonomous systems, mission command and control software, AI\-enabled training and simulation, and tools that improve logistics, maintenance, and overall readiness.
 For nearly 30 years we have supported military and civilian agencies across the Department of Defense, U.S. allies and partners, and essential industries. When you join Accelint, your work directly contributes to protecting national security and strengthening the systems our society depends on.
 The Senior Data Engineer provides technical leadership, analytical expertise, and program oversight in the areas of data engineering, modeling and simulation (M\&amp;S), and systems analysis. This position is responsible for managing the technical execution of complex readiness, sustainment, and logistics modeling efforts in direct support of Navy and Department of Defense (DoD) programs. Integrates multidisciplinary engineering methodologies to ensure that model development, data management, and analytical outputs align with program objectives, technical standards, and customer requirements. The ideal candidate has 5 to 8 years of experience using Orchestration tools (Apache Airflow) and data processing tools (Apache Spark) with a demonstrated ability to collaborate with cross\-functional teams.
**Duties And Responsibilities**
* Collaborate with software developers, data scientists, and product managers to understand requirements, gather specifications and align on project goals.
* Contribute technical expertise in data engineering to design and implement data solutions that support software development initiatives.
* Participate in planning sessions to develop data pipeline architecture that align with project requirements.
* Design data ingestion, transformation, and storage workflows that are scalable and meet software performance requirements.
* Implement data quality checks and validation procedures to ensure data accuracy and integrity within software products.
* Conduct comprehensive testing, including unit, integration, and system testing ensuring application quality and functionality stay in specifications
* Debug and resolve complex software defects and issues.
* Document data engineering processes, pipeline configurations, and data flows to ensure consistency and future support.
* Ensure accuracy and completeness of all documentation.
* Foster effective collaboration with cross\-functional teams to achieve project objectives.
* Communicate complex technical information clearly and effectively.
* Utilize advanced software development tools and methodologies to support project requirements.
* Integrate software development tools and methodologies into the workflow to improve efficiency and accuracy.
* Manage projects, including planning, execution, and delivery.
* Coordinate with cross\-functional teams to ensure project objectives are met on time and within budget.
**Required Qualifications**
* Proficient with Orchestration tools (Apache Airflow) and data processing tools (Apache Spark)
* Advanced knowledge of object storage and management of unstructured data
* Experience utilizing cross\-domain solutions in a secure environment
* Advanced knowledge of containerization technologies supporting enterprise software deployment (Kubernetes, Docker, Helm, etc.)
* Proficient knowledge of data engineering workflows such as extract, transform, load (ETL) processes and data warehousing
* Advanced level knowledge of software development processes including Agile methodologies.
* Conversant with object\-oriented programming languages
* Excellent written and oral communication.
* Bachelor’s degree in engineering, science, or equivalent with demonstrated experience in technical/engineering leadership.
**Desired Qualifications**
* Current CompTIA Security \+ Certification
* Experience with Typescript/Express and FastAPI frameworks
* Experience with PostgreSQL
* Experience with a modern JavaScript framework (Angular, React, etc.)
* Experience with software development frameworks and libraries.
* In\-depth understanding of the aerospace and defense industry.
* Knowledge of DoD software development policies and requirements
*****Clearance Requirements*****
**Some positions will require access to U.S. National Security information. Positions that require this access will be required to receive and maintain a U.S. government personnel security clearance (PCL). In order to qualify for this position, the candidate must be a US Citizen and either currently possess this National Security eligibility or be able to complete the investigation application process with a favorable determination and maintain that eligibility throughout their employment. To learn more about the security clearance process please access this**
 link
 **.**
*****EEOC \&amp; Know Your Rights*****
**Accelint companies are Equal Opportunity Employers. All qualified applicants will receive consideration for employment without regard to race, color, religion, sex, national origin, age, disability, status as a protected veteran or any other status protected by applicable federal, state, and local law. We ensure that all employment decisions, including hiring, promotion, compensation, and other terms and conditions of employment, are based on merit, qualifications, and business needs. For more information about your rights, please review the "Know Your Rights" poster from the Equal Employment Opportunity Commission (EEOC). Know your Rights:**
 English
 Spanish
*****Pay Scales \&amp; Benefits*****
**The listed pay scale reflects the broad, minimum to maximum, pay scale for this position for the location for which it has been posted and is not a guarantee of compensation or salary. Other compensation considerations may include, but are not limited to, job responsibilities, education, experience, knowledge, skills, and abilities, as well as internal equity, alignment with market data, or other applicable factors.**
**Benefits include…**
* Paid Time Off
* Paid Company Holidays
* Medical, Dental \&amp; Vision Insurance
* Optional HSA and FSA
* Base and Voluntary Life Insurance
* Short Term \&amp; Long\-Term Disability Insurance
* 401k Matching
* Employee Assistance Program
**The Pay Range For This Role Is**
 140,000 \- 170,000 USD per year (Remote (United States))</t>
        </is>
      </c>
    </row>
    <row r="43">
      <c r="A43" t="inlineStr">
        <is>
          <t>li-4380314227</t>
        </is>
      </c>
      <c r="B43" t="inlineStr">
        <is>
          <t>Databricks Data Engineer - Consultant</t>
        </is>
      </c>
      <c r="C43" t="inlineStr">
        <is>
          <t>Deloitte</t>
        </is>
      </c>
      <c r="D43" t="inlineStr">
        <is>
          <t>linkedin</t>
        </is>
      </c>
      <c r="E43">
        <f>HYPERLINK("https://www.linkedin.com/jobs/view/4380314227", "https://www.linkedin.com/jobs/view/4380314227")</f>
        <v/>
      </c>
      <c r="F43" t="inlineStr"/>
      <c r="G43" t="inlineStr">
        <is>
          <t>Austin, TX</t>
        </is>
      </c>
      <c r="H43" t="inlineStr"/>
      <c r="I43" t="inlineStr">
        <is>
          <t>****Job Title: Consultant \- Databricks Data Engineer**
**Job Summary**
 As a
 **Databricks Data Engineer** 
 , you will design, build, and optimize enterprise\-scale data engineering solutions using
 **Databricks** 
 on AWS, Azure, or Google Cloud Platform (GCP). You'll help clients modernize data platforms using
 **Lakehouse** 
 patterns, deliver reliable and performant pipelines, and translate technical design into measurable business outcomes. You'll contribute to engineering standards, data governance, and delivery excellence while collaborating closely with stakeholders across business and technology teams.
 Recruiting for this role ends on 3/13/2026\.
**Work You'll Do (Key Responsibilities)****
* Data platform delivery: Design, develop, test, and maintain scalable data pipelines and data products on Databricks to support enterprise analytics and reporting needs.
* Lakehouse Engineering: Implement Databricks Lakehouse solutions using Apache Spark and Delta Lake, delivering batch/streaming pipelines with Delta Live Tables, Autoloader, Structured Streaming, Workflows, and orchestration (e.g., Apache Airflow).
* Data Modeling: Build curated, governed data products by applying metadata\-driven ingestion, PySpark incremental loads, and data quality frameworks, plus 3NF/dimensional modeling and Unity Catalog\-based security/compliance controls.
* Governance \&amp; security: Support implementation of governance, security, and compliance controls in cloud data ecosystems, including Unity Catalog and fine\-grained access controls.
* Performance optimization: Monitor and tune jobs, code, clusters, and pipeline designs to improve reliability, throughput, and cost efficiency.
* DevOps \&amp; automation: Implement and maintain CI/CD practices for data engineering deployments using tools such as Azure DevOps, AWS CodePipeline, Jenkins, TFS, or PowerShell.
* Communication: Clearly explain technical tradeoffs, implementation choices, and business value to technical teams and non\-technical stakeholders; contribute to project plans, status updates, and client\-facing deliverables.
* Best practices contribution: Contribute to documentation and reusable patterns for data architecture, integration, modeling, and engineering standards.
**Required Qualifications**
* Bachelor's degree in Computer Science, Engineering, or related field (Master's preferred).
* 2\+ years of hands\-on experience in data engineering with a strong focus on Databricks, deployed on any major cloud (AWS, Azure, GCP).
* Minimum of 2 years Technical Proficiency:
+ Databricks and cloud\-native storage/compute and distributed processing platforms
+ Lakehouse architecture, Apache Spark, Delta Lake
+ Data warehousing and implementation experience with 3NF, dimensional modeling, and enterprise data lakes
+ Databricks components: Delta Live Tables, Autoloader, Structured Streaming, Databricks Workflows, and orchestration.
+ Incremental data loads; building metadata\-driven ingestion and data quality frameworks using PySpark
+ Unity Catalog and fine\-grained security/access control
* Proven track record deploying solutions through automated CI/CD pipelines.
* Experience with performance optimization of pipelines, code, and compute resources.
* Ability to travel up to 50% on average, based on the work you do and the clients and industries/sectors you serve
* Limited immigration sponsorship may be available
**Preferred Qualifications**
* Strong knowledge of one or more cloud ecosystems: AWS, Azure, GCP cloud ecosystems and associated big data stacks is strongly preferred.
* Experience supporting or enabling AI/ML use cases.
* Databricks certifications
**The wage range for this role takes into account the wide range of factors that are considered in making compensation decisions including but not limited to skill sets; experience and training; licensure and certifications; and other business and organizational needs. The disclosed range estimate has not been adjusted for the applicable geographic differential associated with the location at which the position may be filled. At Deloitte, it is not typical for an individual to be hired at or near the top of the range for their role and compensation decisions are dependent on the facts and circumstances of each case. A reasonable estimate of the current range is $84,400 \- $155,400\.
 You may also be eligible to participate in a discretionary annual incentive program, subject to the rules governing the program, whereby an award, if any, depends on various factors, including, without limitation, individual and organizational performance.
 Information for applicants with a need for accommodation: https://www2\.deloitte.com/us/en/pages/careers/articles/join\-deloitte\-assistance\-for\-disabled\-applicants.html**</t>
        </is>
      </c>
    </row>
    <row r="44">
      <c r="A44" t="inlineStr">
        <is>
          <t>li-4378192924</t>
        </is>
      </c>
      <c r="B44" t="inlineStr">
        <is>
          <t>Data Engineer, Customer Engineering</t>
        </is>
      </c>
      <c r="C44" t="inlineStr">
        <is>
          <t>Claritas Rx</t>
        </is>
      </c>
      <c r="D44" t="inlineStr">
        <is>
          <t>linkedin</t>
        </is>
      </c>
      <c r="E44">
        <f>HYPERLINK("https://www.linkedin.com/jobs/view/4378192924", "https://www.linkedin.com/jobs/view/4378192924")</f>
        <v/>
      </c>
      <c r="F44">
        <f>HYPERLINK("https://apply.workable.com/j/EC737FF822?src=LinkedIn&amp;utm_source=linkedin.com&amp;src=LinkedIn&amp;src=LinkedIn&amp;utm_source=linkedin.com&amp;gh_src=i5qg2y1&amp;utm_source=linkedin.com&amp;urlHash=048O", "https://apply.workable.com/j/EC737FF822?src=LinkedIn&amp;utm_source=linkedin.com&amp;src=LinkedIn&amp;src=LinkedIn&amp;utm_source=linkedin.com&amp;gh_src=i5qg2y1&amp;utm_source=linkedin.com&amp;urlHash=048O")</f>
        <v/>
      </c>
      <c r="G44" t="inlineStr"/>
      <c r="H44" t="inlineStr"/>
      <c r="I44" t="inlineStr">
        <is>
          <t>**Who We Are**
 Claritas Rx is a venture\-backed digital health startup that brings clarity to the challenges of specialty biopharmaceutical products in the marketplace. In today's highly complex specialty networks, our mission is to illuminate the patient experience beyond the clinical trial. Claritas Rx leverages a proprietary technology platform and deep manufacturer expertise to automate and integrate channel, commercial, and clinical data and help biopharmaceutical companies generate actionable business insights. Our work uncovers the real\-world variables impacting patient access, duration of therapy, and other metrics key to commercial success, making a real impact on patient healthcare.
**The Position**
 We are a rapidly growing healthcare technology company seeking a Data Engineer. Reporting to the Head of Customer Engineering, you will be responsible for delivering on many data engineering initiatives towards our customer\-centric technology roadmap, developing robust solutions that address immediate and long\-term business challenges, and ensuring seamless platform integration with client environments.
 Working with engineering leaders and your peers, you will be developing conceptual design, logical database, taxonomy, data storage and capacity planning, external data interface specification, data loading plan, data maintenance plan and security policy for ClaritasRx data pipeline. The role partners very closely with Implementation, Product Management, Architects, technical leads, and lead/principal Software Engineer(s) from other teams. Our Products generate actionable business and clinical insights for biotech and pharmaceutical companies. If you are passionate about revolutionizing healthcare through innovative health data platforms and want to significantly impact a fast\-paced growth environment, we would love to hear from you!
**Key Accountabilities** 
* Builds and oversees the deployment and operation of technology architecture, solutions and software to capture, manage, store and utilize structured and unstructured data from internal and external sources
* Builds processes and structures based on business and technical requirements to channel data from multiple inputs, route appropriately and store using any combination of distributed (cloud) structures, local databases, and other applicable storage forms as required
* Develops technical tools and programming to cleanse, organize and transform data and to maintain, defend and update data structures and integrity on an automated basis
* Adheres to design standards and assurance processes for software, systems and applications development to ensure compatibility and operability of data connections, flows and storage requirements
* Reviews internal and external business and product requirements for data operations and activity and suggests changes and upgrades to systems and storage to accommodate ongoing needs
* Facilitates technical requirements gathering, ensuring quality and consistency of our data architecture across our systems
* Foster innovation by designing and building solutions that solve business problems and by partnering with cross functional stakeholders and at senior levels
* Develop secure and high\-quality production code. Review / debugs code written by others
* Actively oversee live operations of our SaaS offering, monitoring KPI's to find opportunities and threats
* Develop features, understand customer requirements, and meet business goals
* Ensure operational readiness of the services and meet the commitments to our customers regarding reliability, availability and performance
* Implement multi\-tenant systems, with focus on isolation and security
* Contribute solutions for challenging technical problems related to security, parallel and distributed systems, programming, resource management, large\-scale system maintenance, and more!
* Work cross functionally with a team of Implementation Managers, BAs, Engineers, BI Developers and Quality Engineers
* Stay up\-to\-date with the latest technologies and industry trends, leveraging them to drive platform innovation
**Who You Are**
**Required Sklls:** 
* Expertise in data architecture and business intelligence systems including ELT development, data transformation, data modeling, report design / development and BI dashboard design / development
* 5\+ years of professional software engineering experience
* Excellent programming skills with Python/Java
* Strong relational database skills \- design, scalability, SQL Experience querying and extracting data from databases
* Data Concepts (ETL, data structures, metadata and workflow management)
* Solving complex data and technology problems
* Excellent communication skills to narrate data driven insights and technical approach
* B.S. in computer science, engineering, or related degree
* Experience with Agile software development (e.g. scrum, Kanban)
* Experience in a fast\-paced environment with enterprise class software release experience as well as SaaS based short, quick product life cycles
* Great energy and passion \- must be comfortable in a rapidly changing dynamic environment
* Strong Analytical skills combined with a detailed oriented mindset
* Experience working with Bug Tracking tools such as JIRA
* Ability to work in a fast paced, dynamic and team oriented environment. Role is primarily remote with occasional travel requirements
**Preferred Skills** 
* Experience working in AWS
* Passion for Agile Methodology
* Experience in healthcare
* Familiarity with HIPAA/SOC/HITRUST requirements
**Join Us**
 We are seeking to add new expertise and perspective to our strong team of experienced professionals.  We aspire to a culture of accelerated professional development through: shared learning and collaboration; a respectful and fun work environment; and employee empowerment through the effective use of technology and tools. 
 We are a highly collaborative team and prioritize opportunities to connect in person. For employees within a reasonable driving distance of each other, we host regional town hall gatherings approximately every other month. These sessions give our teams a chance to come together, share updates, and strengthen relationships beyond day\-to\-day work.
 In addition to our great environment, we offer a competitive salary of
 **$120,000 to $140,000** 
 and benefits package and the opportunity to make a significant impact on a first\-in\-industry digital health solution.  Please send a cover letter along with your resume when applying to the position of interest.  Claritas Rx embraces diversity, equality, and transparency.  We are committed to building a team that comprises a variety of backgrounds, perspectives, and talents.  We believe the more inclusive we are, the better we are.
 Join us and discover what it feels like to be part of an environment that rewards ingenuity, risk taking and smart work. It's time to fall in love with what you do!
**At Claritas Rx, protecting our candidates is a top priority. If you're applying for a role with us, please note:**
 • All legitimate opportunities are posted first on our official website. Check there before trusting external listings.
 • We believe in meaningful interviews: offers never come after just one phone call or form. Expect multiple video calls to get to know you.
 • We never ask for fees or payments of any kind during the hiring process.
 • Our People Operations Team will handle your onboarding, and all equipment comes directly from us—no purchases required.
 Learn more about how to spot recruitment scams and protect yourself \- FBI warning: https://lnkd.in/dh2aFN8
 Claritas Rx is committed to transparency, integrity, and a safe hiring experience for every candidate. Learn more: https://lnkd.in/enhAqwqE</t>
        </is>
      </c>
    </row>
    <row r="45">
      <c r="A45" t="inlineStr">
        <is>
          <t>li-4380307979</t>
        </is>
      </c>
      <c r="B45" t="inlineStr">
        <is>
          <t>Databricks Data Engineer - Consultant</t>
        </is>
      </c>
      <c r="C45" t="inlineStr">
        <is>
          <t>Deloitte</t>
        </is>
      </c>
      <c r="D45" t="inlineStr">
        <is>
          <t>linkedin</t>
        </is>
      </c>
      <c r="E45">
        <f>HYPERLINK("https://www.linkedin.com/jobs/view/4380307979", "https://www.linkedin.com/jobs/view/4380307979")</f>
        <v/>
      </c>
      <c r="F45" t="inlineStr"/>
      <c r="G45" t="inlineStr">
        <is>
          <t>Denver, CO</t>
        </is>
      </c>
      <c r="H45" t="inlineStr"/>
      <c r="I45" t="inlineStr">
        <is>
          <t>****Job Title: Consultant \- Databricks Data Engineer**
**Job Summary**
 As a
 **Databricks Data Engineer** 
 , you will design, build, and optimize enterprise\-scale data engineering solutions using
 **Databricks** 
 on AWS, Azure, or Google Cloud Platform (GCP). You'll help clients modernize data platforms using
 **Lakehouse** 
 patterns, deliver reliable and performant pipelines, and translate technical design into measurable business outcomes. You'll contribute to engineering standards, data governance, and delivery excellence while collaborating closely with stakeholders across business and technology teams.
 Recruiting for this role ends on 3/13/2026\.
**Work You'll Do (Key Responsibilities)****
* Data platform delivery: Design, develop, test, and maintain scalable data pipelines and data products on Databricks to support enterprise analytics and reporting needs.
* Lakehouse Engineering: Implement Databricks Lakehouse solutions using Apache Spark and Delta Lake, delivering batch/streaming pipelines with Delta Live Tables, Autoloader, Structured Streaming, Workflows, and orchestration (e.g., Apache Airflow).
* Data Modeling: Build curated, governed data products by applying metadata\-driven ingestion, PySpark incremental loads, and data quality frameworks, plus 3NF/dimensional modeling and Unity Catalog\-based security/compliance controls.
* Governance \&amp; security: Support implementation of governance, security, and compliance controls in cloud data ecosystems, including Unity Catalog and fine\-grained access controls.
* Performance optimization: Monitor and tune jobs, code, clusters, and pipeline designs to improve reliability, throughput, and cost efficiency.
* DevOps \&amp; automation: Implement and maintain CI/CD practices for data engineering deployments using tools such as Azure DevOps, AWS CodePipeline, Jenkins, TFS, or PowerShell.
* Communication: Clearly explain technical tradeoffs, implementation choices, and business value to technical teams and non\-technical stakeholders; contribute to project plans, status updates, and client\-facing deliverables.
* Best practices contribution: Contribute to documentation and reusable patterns for data architecture, integration, modeling, and engineering standards.
**Required Qualifications**
* Bachelor's degree in Computer Science, Engineering, or related field (Master's preferred).
* 2\+ years of hands\-on experience in data engineering with a strong focus on Databricks, deployed on any major cloud (AWS, Azure, GCP).
* Minimum of 2 years Technical Proficiency:
+ Databricks and cloud\-native storage/compute and distributed processing platforms
+ Lakehouse architecture, Apache Spark, Delta Lake
+ Data warehousing and implementation experience with 3NF, dimensional modeling, and enterprise data lakes
+ Databricks components: Delta Live Tables, Autoloader, Structured Streaming, Databricks Workflows, and orchestration.
+ Incremental data loads; building metadata\-driven ingestion and data quality frameworks using PySpark
+ Unity Catalog and fine\-grained security/access control
* Proven track record deploying solutions through automated CI/CD pipelines.
* Experience with performance optimization of pipelines, code, and compute resources.
* Ability to travel up to 50% on average, based on the work you do and the clients and industries/sectors you serve
* Limited immigration sponsorship may be available
**Preferred Qualifications**
* Strong knowledge of one or more cloud ecosystems: AWS, Azure, GCP cloud ecosystems and associated big data stacks is strongly preferred.
* Experience supporting or enabling AI/ML use cases.
* Databricks certifications
**The wage range for this role takes into account the wide range of factors that are considered in making compensation decisions including but not limited to skill sets; experience and training; licensure and certifications; and other business and organizational needs. The disclosed range estimate has not been adjusted for the applicable geographic differential associated with the location at which the position may be filled. At Deloitte, it is not typical for an individual to be hired at or near the top of the range for their role and compensation decisions are dependent on the facts and circumstances of each case. A reasonable estimate of the current range is $84,400 \- $155,400\.
 You may also be eligible to participate in a discretionary annual incentive program, subject to the rules governing the program, whereby an award, if any, depends on various factors, including, without limitation, individual and organizational performance.
 Information for applicants with a need for accommodation: https://www2\.deloitte.com/us/en/pages/careers/articles/join\-deloitte\-assistance\-for\-disabled\-applicants.html**</t>
        </is>
      </c>
    </row>
    <row r="46">
      <c r="A46" t="inlineStr">
        <is>
          <t>li-4380312296</t>
        </is>
      </c>
      <c r="B46" t="inlineStr">
        <is>
          <t>Databricks Data Engineer - Consultant</t>
        </is>
      </c>
      <c r="C46" t="inlineStr">
        <is>
          <t>Deloitte</t>
        </is>
      </c>
      <c r="D46" t="inlineStr">
        <is>
          <t>linkedin</t>
        </is>
      </c>
      <c r="E46">
        <f>HYPERLINK("https://www.linkedin.com/jobs/view/4380312296", "https://www.linkedin.com/jobs/view/4380312296")</f>
        <v/>
      </c>
      <c r="F46">
        <f>HYPERLINK("https://ars2.equest.com/?response_id=10343d53a8882d45cb7521ec5cc3e31c&amp;urlHash=XrSP", "https://ars2.equest.com/?response_id=10343d53a8882d45cb7521ec5cc3e31c&amp;urlHash=XrSP")</f>
        <v/>
      </c>
      <c r="G46" t="inlineStr">
        <is>
          <t>San Jose, CA</t>
        </is>
      </c>
      <c r="H46" t="inlineStr"/>
      <c r="I46" t="inlineStr">
        <is>
          <t>****Job Title: Consultant \- Databricks Data Engineer**
**Job Summary**
 As a
 **Databricks Data Engineer** 
 , you will design, build, and optimize enterprise\-scale data engineering solutions using
 **Databricks** 
 on AWS, Azure, or Google Cloud Platform (GCP). You'll help clients modernize data platforms using
 **Lakehouse** 
 patterns, deliver reliable and performant pipelines, and translate technical design into measurable business outcomes. You'll contribute to engineering standards, data governance, and delivery excellence while collaborating closely with stakeholders across business and technology teams.
 Recruiting for this role ends on 3/13/2026\.
**Work You'll Do (Key Responsibilities)****
* Data platform delivery: Design, develop, test, and maintain scalable data pipelines and data products on Databricks to support enterprise analytics and reporting needs.
* Lakehouse Engineering: Implement Databricks Lakehouse solutions using Apache Spark and Delta Lake, delivering batch/streaming pipelines with Delta Live Tables, Autoloader, Structured Streaming, Workflows, and orchestration (e.g., Apache Airflow).
* Data Modeling: Build curated, governed data products by applying metadata\-driven ingestion, PySpark incremental loads, and data quality frameworks, plus 3NF/dimensional modeling and Unity Catalog\-based security/compliance controls.
* Governance \&amp; security: Support implementation of governance, security, and compliance controls in cloud data ecosystems, including Unity Catalog and fine\-grained access controls.
* Performance optimization: Monitor and tune jobs, code, clusters, and pipeline designs to improve reliability, throughput, and cost efficiency.
* DevOps \&amp; automation: Implement and maintain CI/CD practices for data engineering deployments using tools such as Azure DevOps, AWS CodePipeline, Jenkins, TFS, or PowerShell.
* Communication: Clearly explain technical tradeoffs, implementation choices, and business value to technical teams and non\-technical stakeholders; contribute to project plans, status updates, and client\-facing deliverables.
* Best practices contribution: Contribute to documentation and reusable patterns for data architecture, integration, modeling, and engineering standards.
**Required Qualifications**
* Bachelor's degree in Computer Science, Engineering, or related field (Master's preferred).
* 2\+ years of hands\-on experience in data engineering with a strong focus on Databricks, deployed on any major cloud (AWS, Azure, GCP).
* Minimum of 2 years Technical Proficiency:
+ Databricks and cloud\-native storage/compute and distributed processing platforms
+ Lakehouse architecture, Apache Spark, Delta Lake
+ Data warehousing and implementation experience with 3NF, dimensional modeling, and enterprise data lakes
+ Databricks components: Delta Live Tables, Autoloader, Structured Streaming, Databricks Workflows, and orchestration.
+ Incremental data loads; building metadata\-driven ingestion and data quality frameworks using PySpark
+ Unity Catalog and fine\-grained security/access control
* Proven track record deploying solutions through automated CI/CD pipelines.
* Experience with performance optimization of pipelines, code, and compute resources.
* Ability to travel up to 50% on average, based on the work you do and the clients and industries/sectors you serve
* Limited immigration sponsorship may be available
**Preferred Qualifications**
* Strong knowledge of one or more cloud ecosystems: AWS, Azure, GCP cloud ecosystems and associated big data stacks is strongly preferred.
* Experience supporting or enabling AI/ML use cases.
* Databricks certifications
**The wage range for this role takes into account the wide range of factors that are considered in making compensation decisions including but not limited to skill sets; experience and training; licensure and certifications; and other business and organizational needs. The disclosed range estimate has not been adjusted for the applicable geographic differential associated with the location at which the position may be filled. At Deloitte, it is not typical for an individual to be hired at or near the top of the range for their role and compensation decisions are dependent on the facts and circumstances of each case. A reasonable estimate of the current range is $84,400 \- $155,400\.
 You may also be eligible to participate in a discretionary annual incentive program, subject to the rules governing the program, whereby an award, if any, depends on various factors, including, without limitation, individual and organizational performance.
 Information for applicants with a need for accommodation: https://www2\.deloitte.com/us/en/pages/careers/articles/join\-deloitte\-assistance\-for\-disabled\-applicants.html**</t>
        </is>
      </c>
    </row>
    <row r="47">
      <c r="A47" t="inlineStr">
        <is>
          <t>li-4380330014</t>
        </is>
      </c>
      <c r="B47" t="inlineStr">
        <is>
          <t>Databricks Data Engineer - Consultant</t>
        </is>
      </c>
      <c r="C47" t="inlineStr">
        <is>
          <t>Deloitte</t>
        </is>
      </c>
      <c r="D47" t="inlineStr">
        <is>
          <t>linkedin</t>
        </is>
      </c>
      <c r="E47">
        <f>HYPERLINK("https://www.linkedin.com/jobs/view/4380330014", "https://www.linkedin.com/jobs/view/4380330014")</f>
        <v/>
      </c>
      <c r="F47" t="inlineStr"/>
      <c r="G47" t="inlineStr">
        <is>
          <t>Los Angeles, CA</t>
        </is>
      </c>
      <c r="H47" t="inlineStr"/>
      <c r="I47" t="inlineStr">
        <is>
          <t>****Job Title: Consultant \- Databricks Data Engineer**
**Job Summary**
 As a
 **Databricks Data Engineer** 
 , you will design, build, and optimize enterprise\-scale data engineering solutions using
 **Databricks** 
 on AWS, Azure, or Google Cloud Platform (GCP). You'll help clients modernize data platforms using
 **Lakehouse** 
 patterns, deliver reliable and performant pipelines, and translate technical design into measurable business outcomes. You'll contribute to engineering standards, data governance, and delivery excellence while collaborating closely with stakeholders across business and technology teams.
 Recruiting for this role ends on 3/13/2026\.
**Work You'll Do (Key Responsibilities)****
* Data platform delivery: Design, develop, test, and maintain scalable data pipelines and data products on Databricks to support enterprise analytics and reporting needs.
* Lakehouse Engineering: Implement Databricks Lakehouse solutions using Apache Spark and Delta Lake, delivering batch/streaming pipelines with Delta Live Tables, Autoloader, Structured Streaming, Workflows, and orchestration (e.g., Apache Airflow).
* Data Modeling: Build curated, governed data products by applying metadata\-driven ingestion, PySpark incremental loads, and data quality frameworks, plus 3NF/dimensional modeling and Unity Catalog\-based security/compliance controls.
* Governance \&amp; security: Support implementation of governance, security, and compliance controls in cloud data ecosystems, including Unity Catalog and fine\-grained access controls.
* Performance optimization: Monitor and tune jobs, code, clusters, and pipeline designs to improve reliability, throughput, and cost efficiency.
* DevOps \&amp; automation: Implement and maintain CI/CD practices for data engineering deployments using tools such as Azure DevOps, AWS CodePipeline, Jenkins, TFS, or PowerShell.
* Communication: Clearly explain technical tradeoffs, implementation choices, and business value to technical teams and non\-technical stakeholders; contribute to project plans, status updates, and client\-facing deliverables.
* Best practices contribution: Contribute to documentation and reusable patterns for data architecture, integration, modeling, and engineering standards.
**Required Qualifications**
* Bachelor's degree in Computer Science, Engineering, or related field (Master's preferred).
* 2\+ years of hands\-on experience in data engineering with a strong focus on Databricks, deployed on any major cloud (AWS, Azure, GCP).
* Minimum of 2 years Technical Proficiency:
+ Databricks and cloud\-native storage/compute and distributed processing platforms
+ Lakehouse architecture, Apache Spark, Delta Lake
+ Data warehousing and implementation experience with 3NF, dimensional modeling, and enterprise data lakes
+ Databricks components: Delta Live Tables, Autoloader, Structured Streaming, Databricks Workflows, and orchestration.
+ Incremental data loads; building metadata\-driven ingestion and data quality frameworks using PySpark
+ Unity Catalog and fine\-grained security/access control
* Proven track record deploying solutions through automated CI/CD pipelines.
* Experience with performance optimization of pipelines, code, and compute resources.
* Ability to travel up to 50% on average, based on the work you do and the clients and industries/sectors you serve
* Limited immigration sponsorship may be available
**Preferred Qualifications**
* Strong knowledge of one or more cloud ecosystems: AWS, Azure, GCP cloud ecosystems and associated big data stacks is strongly preferred.
* Experience supporting or enabling AI/ML use cases.
* Databricks certifications
**The wage range for this role takes into account the wide range of factors that are considered in making compensation decisions including but not limited to skill sets; experience and training; licensure and certifications; and other business and organizational needs. The disclosed range estimate has not been adjusted for the applicable geographic differential associated with the location at which the position may be filled. At Deloitte, it is not typical for an individual to be hired at or near the top of the range for their role and compensation decisions are dependent on the facts and circumstances of each case. A reasonable estimate of the current range is $84,400 \- $155,400\.
 You may also be eligible to participate in a discretionary annual incentive program, subject to the rules governing the program, whereby an award, if any, depends on various factors, including, without limitation, individual and organizational performance.
 Information for applicants with a need for accommodation: https://www2\.deloitte.com/us/en/pages/careers/articles/join\-deloitte\-assistance\-for\-disabled\-applicants.html**</t>
        </is>
      </c>
    </row>
    <row r="48">
      <c r="A48" t="inlineStr">
        <is>
          <t>li-4380311349</t>
        </is>
      </c>
      <c r="B48" t="inlineStr">
        <is>
          <t>Databricks Data Engineer - Consultant</t>
        </is>
      </c>
      <c r="C48" t="inlineStr">
        <is>
          <t>Deloitte</t>
        </is>
      </c>
      <c r="D48" t="inlineStr">
        <is>
          <t>linkedin</t>
        </is>
      </c>
      <c r="E48">
        <f>HYPERLINK("https://www.linkedin.com/jobs/view/4380311349", "https://www.linkedin.com/jobs/view/4380311349")</f>
        <v/>
      </c>
      <c r="F48">
        <f>HYPERLINK("https://ars2.equest.com/?response_id=10343d53a8882d45cb7521ec5cc3e31c&amp;urlHash=XrSP", "https://ars2.equest.com/?response_id=10343d53a8882d45cb7521ec5cc3e31c&amp;urlHash=XrSP")</f>
        <v/>
      </c>
      <c r="G48" t="inlineStr">
        <is>
          <t>Charlotte, NC</t>
        </is>
      </c>
      <c r="H48" t="inlineStr"/>
      <c r="I48" t="inlineStr">
        <is>
          <t>****Job Title: Consultant \- Databricks Data Engineer**
**Job Summary**
 As a
 **Databricks Data Engineer** 
 , you will design, build, and optimize enterprise\-scale data engineering solutions using
 **Databricks** 
 on AWS, Azure, or Google Cloud Platform (GCP). You'll help clients modernize data platforms using
 **Lakehouse** 
 patterns, deliver reliable and performant pipelines, and translate technical design into measurable business outcomes. You'll contribute to engineering standards, data governance, and delivery excellence while collaborating closely with stakeholders across business and technology teams.
 Recruiting for this role ends on 3/13/2026\.
**Work You'll Do (Key Responsibilities)****
* Data platform delivery: Design, develop, test, and maintain scalable data pipelines and data products on Databricks to support enterprise analytics and reporting needs.
* Lakehouse Engineering: Implement Databricks Lakehouse solutions using Apache Spark and Delta Lake, delivering batch/streaming pipelines with Delta Live Tables, Autoloader, Structured Streaming, Workflows, and orchestration (e.g., Apache Airflow).
* Data Modeling: Build curated, governed data products by applying metadata\-driven ingestion, PySpark incremental loads, and data quality frameworks, plus 3NF/dimensional modeling and Unity Catalog\-based security/compliance controls.
* Governance \&amp; security: Support implementation of governance, security, and compliance controls in cloud data ecosystems, including Unity Catalog and fine\-grained access controls.
* Performance optimization: Monitor and tune jobs, code, clusters, and pipeline designs to improve reliability, throughput, and cost efficiency.
* DevOps \&amp; automation: Implement and maintain CI/CD practices for data engineering deployments using tools such as Azure DevOps, AWS CodePipeline, Jenkins, TFS, or PowerShell.
* Communication: Clearly explain technical tradeoffs, implementation choices, and business value to technical teams and non\-technical stakeholders; contribute to project plans, status updates, and client\-facing deliverables.
* Best practices contribution: Contribute to documentation and reusable patterns for data architecture, integration, modeling, and engineering standards.
**Required Qualifications**
* Bachelor's degree in Computer Science, Engineering, or related field (Master's preferred).
* 2\+ years of hands\-on experience in data engineering with a strong focus on Databricks, deployed on any major cloud (AWS, Azure, GCP).
* Minimum of 2 years Technical Proficiency:
+ Databricks and cloud\-native storage/compute and distributed processing platforms
+ Lakehouse architecture, Apache Spark, Delta Lake
+ Data warehousing and implementation experience with 3NF, dimensional modeling, and enterprise data lakes
+ Databricks components: Delta Live Tables, Autoloader, Structured Streaming, Databricks Workflows, and orchestration.
+ Incremental data loads; building metadata\-driven ingestion and data quality frameworks using PySpark
+ Unity Catalog and fine\-grained security/access control
* Proven track record deploying solutions through automated CI/CD pipelines.
* Experience with performance optimization of pipelines, code, and compute resources.
* Ability to travel up to 50% on average, based on the work you do and the clients and industries/sectors you serve
* Limited immigration sponsorship may be available
**Preferred Qualifications**
* Strong knowledge of one or more cloud ecosystems: AWS, Azure, GCP cloud ecosystems and associated big data stacks is strongly preferred.
* Experience supporting or enabling AI/ML use cases.
* Databricks certifications
**The wage range for this role takes into account the wide range of factors that are considered in making compensation decisions including but not limited to skill sets; experience and training; licensure and certifications; and other business and organizational needs. The disclosed range estimate has not been adjusted for the applicable geographic differential associated with the location at which the position may be filled. At Deloitte, it is not typical for an individual to be hired at or near the top of the range for their role and compensation decisions are dependent on the facts and circumstances of each case. A reasonable estimate of the current range is $84,400 \- $155,400\.
 You may also be eligible to participate in a discretionary annual incentive program, subject to the rules governing the program, whereby an award, if any, depends on various factors, including, without limitation, individual and organizational performance.
 Information for applicants with a need for accommodation: https://www2\.deloitte.com/us/en/pages/careers/articles/join\-deloitte\-assistance\-for\-disabled\-applicants.html**</t>
        </is>
      </c>
    </row>
    <row r="49">
      <c r="A49" t="inlineStr">
        <is>
          <t>li-4380318225</t>
        </is>
      </c>
      <c r="B49" t="inlineStr">
        <is>
          <t>Databricks Data Engineer - Consultant</t>
        </is>
      </c>
      <c r="C49" t="inlineStr">
        <is>
          <t>Deloitte</t>
        </is>
      </c>
      <c r="D49" t="inlineStr">
        <is>
          <t>linkedin</t>
        </is>
      </c>
      <c r="E49">
        <f>HYPERLINK("https://www.linkedin.com/jobs/view/4380318225", "https://www.linkedin.com/jobs/view/4380318225")</f>
        <v/>
      </c>
      <c r="F49">
        <f>HYPERLINK("https://ars2.equest.com/?response_id=10343d53a8882d45cb7521ec5cc3e31c&amp;urlHash=XrSP", "https://ars2.equest.com/?response_id=10343d53a8882d45cb7521ec5cc3e31c&amp;urlHash=XrSP")</f>
        <v/>
      </c>
      <c r="G49" t="inlineStr">
        <is>
          <t>Seattle, WA</t>
        </is>
      </c>
      <c r="H49" t="inlineStr"/>
      <c r="I49" t="inlineStr">
        <is>
          <t>****Job Title: Consultant \- Databricks Data Engineer**
**Job Summary**
 As a
 **Databricks Data Engineer** 
 , you will design, build, and optimize enterprise\-scale data engineering solutions using
 **Databricks** 
 on AWS, Azure, or Google Cloud Platform (GCP). You'll help clients modernize data platforms using
 **Lakehouse** 
 patterns, deliver reliable and performant pipelines, and translate technical design into measurable business outcomes. You'll contribute to engineering standards, data governance, and delivery excellence while collaborating closely with stakeholders across business and technology teams.
 Recruiting for this role ends on 3/13/2026\.
**Work You'll Do (Key Responsibilities)****
* Data platform delivery: Design, develop, test, and maintain scalable data pipelines and data products on Databricks to support enterprise analytics and reporting needs.
* Lakehouse Engineering: Implement Databricks Lakehouse solutions using Apache Spark and Delta Lake, delivering batch/streaming pipelines with Delta Live Tables, Autoloader, Structured Streaming, Workflows, and orchestration (e.g., Apache Airflow).
* Data Modeling: Build curated, governed data products by applying metadata\-driven ingestion, PySpark incremental loads, and data quality frameworks, plus 3NF/dimensional modeling and Unity Catalog\-based security/compliance controls.
* Governance \&amp; security: Support implementation of governance, security, and compliance controls in cloud data ecosystems, including Unity Catalog and fine\-grained access controls.
* Performance optimization: Monitor and tune jobs, code, clusters, and pipeline designs to improve reliability, throughput, and cost efficiency.
* DevOps \&amp; automation: Implement and maintain CI/CD practices for data engineering deployments using tools such as Azure DevOps, AWS CodePipeline, Jenkins, TFS, or PowerShell.
* Communication: Clearly explain technical tradeoffs, implementation choices, and business value to technical teams and non\-technical stakeholders; contribute to project plans, status updates, and client\-facing deliverables.
* Best practices contribution: Contribute to documentation and reusable patterns for data architecture, integration, modeling, and engineering standards.
**Required Qualifications**
* Bachelor's degree in Computer Science, Engineering, or related field (Master's preferred).
* 2\+ years of hands\-on experience in data engineering with a strong focus on Databricks, deployed on any major cloud (AWS, Azure, GCP).
* Minimum of 2 years Technical Proficiency:
+ Databricks and cloud\-native storage/compute and distributed processing platforms
+ Lakehouse architecture, Apache Spark, Delta Lake
+ Data warehousing and implementation experience with 3NF, dimensional modeling, and enterprise data lakes
+ Databricks components: Delta Live Tables, Autoloader, Structured Streaming, Databricks Workflows, and orchestration.
+ Incremental data loads; building metadata\-driven ingestion and data quality frameworks using PySpark
+ Unity Catalog and fine\-grained security/access control
* Proven track record deploying solutions through automated CI/CD pipelines.
* Experience with performance optimization of pipelines, code, and compute resources.
* Ability to travel up to 50% on average, based on the work you do and the clients and industries/sectors you serve
* Limited immigration sponsorship may be available
**Preferred Qualifications**
* Strong knowledge of one or more cloud ecosystems: AWS, Azure, GCP cloud ecosystems and associated big data stacks is strongly preferred.
* Experience supporting or enabling AI/ML use cases.
* Databricks certifications
**The wage range for this role takes into account the wide range of factors that are considered in making compensation decisions including but not limited to skill sets; experience and training; licensure and certifications; and other business and organizational needs. The disclosed range estimate has not been adjusted for the applicable geographic differential associated with the location at which the position may be filled. At Deloitte, it is not typical for an individual to be hired at or near the top of the range for their role and compensation decisions are dependent on the facts and circumstances of each case. A reasonable estimate of the current range is $84,400 \- $155,400\.
 You may also be eligible to participate in a discretionary annual incentive program, subject to the rules governing the program, whereby an award, if any, depends on various factors, including, without limitation, individual and organizational performance.
 Information for applicants with a need for accommodation: https://www2\.deloitte.com/us/en/pages/careers/articles/join\-deloitte\-assistance\-for\-disabled\-applicants.html**</t>
        </is>
      </c>
    </row>
    <row r="50">
      <c r="A50" t="inlineStr">
        <is>
          <t>li-4379199876</t>
        </is>
      </c>
      <c r="B50" t="inlineStr">
        <is>
          <t>Data Platform Engineer</t>
        </is>
      </c>
      <c r="C50" t="inlineStr">
        <is>
          <t>Elios Talent</t>
        </is>
      </c>
      <c r="D50" t="inlineStr">
        <is>
          <t>linkedin</t>
        </is>
      </c>
      <c r="E50">
        <f>HYPERLINK("https://www.linkedin.com/jobs/view/4379199876", "https://www.linkedin.com/jobs/view/4379199876")</f>
        <v/>
      </c>
      <c r="F50" t="inlineStr"/>
      <c r="G50" t="inlineStr"/>
      <c r="H50" t="inlineStr"/>
      <c r="I50" t="inlineStr">
        <is>
          <t>🚀 Data Platform Engineer
**Remote (US or LATAM) \| Full\-Time or Contract** 
 We’re hiring
 **Data Platform Engineers** 
 to join active implementation teams delivering solutions on
 **Palantir Foundry** 
 across multiple enterprise engagements.
 This is a strong fit for engineers with solid data fundamentals who want to expand into Foundry. Structured onboarding, platform training, and certification support are provided.
 Multiple projects are live across industries — you’ll be building real systems, not internal POCs.
 💼 What You’ll Do
* Build scalable data integration pipelines and transform raw data into ontology\-ready structures within Foundry
* Design clean, reliable data models to power operational applications
* Support application development in Workshop and AI\-driven workflows within
 **Palantir AIP**
* Ramp on Foundry tooling through structured onboarding and mentorship from experienced implementation engineers
* Deliver production\-grade solutions aligned to client timelines and business objectives
 🔎 What We’re Looking For
* 3\+ years of data engineering experience
* ETL / ELT pipeline development
* Data modeling
* Production\-grade data infrastructure
* Strong Python and SQL skills
* Experience with tools such as:
* Spark
* Airflow
* dbt
* Comparable orchestration frameworks
* Experience with enterprise data platforms such as:
* Snowflake
* Databricks
* Azure Data Factory
* Prior Foundry exposure is a plus, not required
* Willingness to pursue Palantir certification (fully supported)
 🌎 Engagement Model
* Remote across US or LATAM
* Full\-time or contract
* Multiple roles available across active client projects
* Competitive compensation</t>
        </is>
      </c>
    </row>
    <row r="51">
      <c r="A51" t="inlineStr">
        <is>
          <t>li-4379410564</t>
        </is>
      </c>
      <c r="B51" t="inlineStr">
        <is>
          <t>Data Engineer</t>
        </is>
      </c>
      <c r="C51" t="inlineStr">
        <is>
          <t>Group 1001</t>
        </is>
      </c>
      <c r="D51" t="inlineStr">
        <is>
          <t>linkedin</t>
        </is>
      </c>
      <c r="E51">
        <f>HYPERLINK("https://www.linkedin.com/jobs/view/4379410564", "https://www.linkedin.com/jobs/view/4379410564")</f>
        <v/>
      </c>
      <c r="F51" t="inlineStr"/>
      <c r="G51" t="inlineStr">
        <is>
          <t>Zionsville, IN</t>
        </is>
      </c>
      <c r="H51" t="inlineStr"/>
      <c r="I51" t="inlineStr">
        <is>
          <t>**Group 1001** 
 is a consumer\-centric, technology\-driven family of insurance companies on a mission to deliver outstanding value and operational performance by combining financial strength and stability with deep insurance expertise and a can\-do culture. Group1001’s culture emphasizes the importance of collaboration, communication, core business focus, risk management, and striving for outcomes. This goal extends to how we hire and onboard our most valuable assets – our employees.
 Why This Role Matters:
 The Staff Data Engineer at Group 1001 will serve as a key technical leader, defining strategies for data pipeline development and establishing standards for data warehouse design across the organization. This role is pivotal in shaping our data architecture and capabilities to support Group 1001's mission of delivering outstanding value in the insurance and annuity marketplace. This position requires 7\-10 years of experience, working autonomously, defining problems and solutions to deliver organization\-level impact. You will provide technical leadership across multiple teams. This is an opportunity to contribute to Group 1001's mission of delivering outstanding value through data\-driven insights and innovative solutions in the insurance and annuity business.
**Please note: This position requires an in\-person interview.**
 How You'll Contribute:
* Define data engineering strategy and technical roadmap for the organization, balancing innovation with operational stability
* Lead organization\-wide initiatives to modernize data infrastructure, improve data quality, and enable self\-service analytics
* Establish standards and best practices for data engineering across multiple teams, ensuring consistency and quality
* Partner with platform and infrastructure teams to optimize data systems for performance, cost, and scalability
* Mentor senior engineers and technical leads, developing the next generation of data engineering leadership
 What We're Looking For:
**Technical Skills:**
 Advanced in Python, SQL, RDS, Snowflake, ETL/ELT, dbt/Coalesce, Airflow/Dagster, Data warehousing, Stream processing, and Data quality frameworks
**Education:**
* Bachelor's degree in Computer Science, Data Science, Engineering, or related field
* Master's degree or equivalent experience preferred
**Experience:**
* 7\-10 years of experience in data engineering or related field
* Demonstrated experience defining technical strategy and driving organization\-wide initiatives
* Proven track record of leading complex, high\-impact projects with broad organizational scope
* Experience mentoring and developing senior engineers and technical leaders
* Strong executive presence with ability to influence stakeholders at all levels of the organization
**Preferred Qualifications:**
* Extensive experience in insurance or financial services with deep understanding of industry challenges
* Recognized expertise through conference presentations, publications, or industry speaking engagements
* Experience with enterprise\-scale systems and complex technical environments
* Proven ability to build consensus and drive alignment across multiple teams and stakeholders
* Track record of successful vendor partnerships and technology evaluations
**Competencies and Soft Skills:**
* Executive presence with ability to influence senior leadership and drive organizational change
* Strategic vision with ability to define long\-term technical direction aligned with business goals
* Strong leadership skills with proven ability to develop and mentor senior technical talent
* Exceptional communication skills with ability to articulate technical strategy to executive audiences
* Political acumen with ability to navigate complex organizational dynamics and build consensus
 \*This job description is intended to convey information essential to understanding the scope of the position and is not an exhaustive list of skills, efforts, duties, responsibilities, or working conditions associated with it.\*
**Benefits Highlights:**
 Employees who meet benefit eligibility guidelines and work 30 hours or more weekly, have the ability to enroll in Group 1001’s benefits package. Employees (and their families) are eligible to participate in the Company’s comprehensive health, dental, and vision insurance plan options. Employees are also eligible for Basic and Supplemental Life Insurance, Short and Long\-Term Disability. All employees (regardless of hours worked) have immediate access to the Company’s Employee Assistance Program and wellness programs—no enrollment is required. Employees may also participate in the Company’s 401K plan, with matching contributions by the Company.
**Group 1001** 
 , and its affiliated companies, is strongly committed to providing a supportive work environment where employee differences are valued. Diversity is an essential ingredient in making Group 1001 a welcoming place to work and is fundamental in building a high\-performance team. Diversity embodies all the differences that make us unique individuals. All employees share the responsibility for maintaining a workplace culture of dignity, respect, understanding and appreciation of individual and group differences.</t>
        </is>
      </c>
    </row>
    <row r="52">
      <c r="A52" t="inlineStr">
        <is>
          <t>li-4376316292</t>
        </is>
      </c>
      <c r="B52" t="inlineStr">
        <is>
          <t>Data Engineer</t>
        </is>
      </c>
      <c r="C52" t="inlineStr">
        <is>
          <t>TEKsystems</t>
        </is>
      </c>
      <c r="D52" t="inlineStr">
        <is>
          <t>linkedin</t>
        </is>
      </c>
      <c r="E52">
        <f>HYPERLINK("https://www.linkedin.com/jobs/view/4376316292", "https://www.linkedin.com/jobs/view/4376316292")</f>
        <v/>
      </c>
      <c r="F52" t="inlineStr"/>
      <c r="G52" t="inlineStr">
        <is>
          <t>McLean, VA</t>
        </is>
      </c>
      <c r="H52" t="inlineStr"/>
      <c r="I52" t="inlineStr">
        <is>
          <t>Description: \*\*Must have Active TS SCI CI Poly\*\*
 As Sr. Data Engineer, you’ll work with a cross\-functional team to help design and ingest data from different Object Management Systems that support mission operations for our classified customer.
 What You’ll Do
 Work with AI team members to operationalize data pipelines and ML tasks.
 Provide day\-to\-day support of deploying Python\-native ML pipelines and perform data engineering tasks to enable AI/ML capabilities.
 Present results to a diverse audience in presentation or report form.
 Support architectural leadership, technical support, and advisement services to ensure identity management system technologies are integrated and meeting the appropriate security requirements.
 Support leadership who engage with executives at a public facing Federal agency and provide subject matter expertise in security architecture and other key domain areas.
 What You’ll Need To Succeed
 8\+ years of experience in Data/ML engineering
 Expert Experience with ETL, data labeling, and data preparation
 8\+ years experience with at least 2 of the following technologies: Cloudera, DataBricks, Snowflake, NiFi, Python, SQL, Kafka
 Expert experience designing, developing, and deploying data solutions in classified AWS cloud environments up to IL6\+
 Expert experience designing, implementing, and maintaining data architecture and services to be used for AI/ML. Additionally, operationalizing and maintaining AI/ML models in production.
 Strong communication skills, ability to communicate technical concepts in both layman and technical terms to technical and non\-technical stakeholders
 Ability to perform data analytics on program related or system related activities. \-This will include assessing performance and manual processes implementing methods/algorithms to automate/optimize
 FOR MID LEVEL DATA ENGINEER I (4 years of experience or less than 8\)
 4\+ years of proven experience in data engineering, with expertise in designing, developing, and maintaining data ingestion, transformation, and loading pipelines and components
 Demonstrated experience in designing and deploying data pipelines leveraging AWS cloud infrastructure across multiple classification domains (e.g., IL5 to IL6\+)
 Experience with Infrastructure\-as\-Code (IaC) tools, including Terraform, CloudFormation, or Ansible, to automate deployment of data pipeline cloud infrastructure
 Understanding of RMF security principles and hands\-on experience implementing security controls for data pipelines in cloud environments
 Strong scripting and programming skills in languages such as Go, Python, and Bash
 Experience with data pipeline tools and technologies such as Nifi, Hadoop, HDFS, and Kafka. Experience implementing data pipelines in the Cloudera Data Platform environment is highly preferred.
 Strong communication skills, with the ability to clearly convey complex technical concepts
 Job Type \&amp; Location
 This is a Contract position based out of Tysons, VA.
 Pay And Benefits
 The pay range for this position is $75\.00 \- $105\.00/hr.
 Eligibility requirements apply to some benefits and may depend on your job classification and length of employment. Benefits are subject to change and may be subject to specific elections, plan, or program terms. If eligible, the benefits available for this temporary role may include the following:
* Medical, dental \&amp; vision
* Critical Illness, Accident, and Hospital
* 401(k) Retirement Plan – Pre\-tax and Roth post\-tax contributions available
* Life Insurance (Voluntary Life \&amp; AD\&amp;D for the employee and dependents)
* Short and long\-term disability
* Health Spending Account (HSA)
* Transportation benefits
* Employee Assistance Program
* Time Off/Leave (PTO, Vacation or Sick Leave) Workplace Type This is a fully onsite position in Tysons,VA. Application Deadline This position is anticipated to close on Mar 6, 2026\. h4\&gt;About TEKsystems: We're partners in transformation. We help clients activate ideas and solutions to take advantage of a new world of opportunity. We are a team of 80,000 strong, working with over 6,000 clients, including 80% of the Fortune 500, across North America, Europe and Asia. As an industry leader in Full\-Stack Technology Services, Talent Services, and real\-world application, we work with progressive leaders to drive change. That's the power of true partnership. TEKsystems is an Allegis Group company.
 The company is an equal opportunity employer and will consider all applications without regards to race, sex, age, color, religion, national origin, veteran status, disability, sexual orientation, gender identity, genetic information or any characteristic protected by law.
 About TEKsystems And TEKsystems Global Services
 We’re a leading provider of business and technology services. We accelerate business transformation for our customers. Our expertise in strategy, design, execution and operations unlocks business value through a range of solutions. We’re a team of 80,000 strong, working with over 6,000 customers, including 80% of the Fortune 500 across North America, Europe and Asia, who partner with us for our scale, full\-stack capabilities and speed. We’re strategic thinkers, hands\-on collaborators, helping customers capitalize on change and master the momentum of technology. We’re building tomorrow by delivering business outcomes and making positive impacts in our global communities. TEKsystems and TEKsystems Global Services are Allegis Group companies. Learn more at TEKsystems.com.
 The company is an equal opportunity employer and will consider all applications without regard to race, sex, age, color, religion, national origin, veteran status, disability, sexual orientation, gender identity, genetic information or any characteristic protected by law.</t>
        </is>
      </c>
    </row>
    <row r="53">
      <c r="A53" t="inlineStr">
        <is>
          <t>li-4376316288</t>
        </is>
      </c>
      <c r="B53" t="inlineStr">
        <is>
          <t>Data Engineer</t>
        </is>
      </c>
      <c r="C53" t="inlineStr">
        <is>
          <t>TEKsystems</t>
        </is>
      </c>
      <c r="D53" t="inlineStr">
        <is>
          <t>linkedin</t>
        </is>
      </c>
      <c r="E53">
        <f>HYPERLINK("https://www.linkedin.com/jobs/view/4376316288", "https://www.linkedin.com/jobs/view/4376316288")</f>
        <v/>
      </c>
      <c r="F53">
        <f>HYPERLINK("https://jsv3.recruitics.com/redirect?rx_cid=3435&amp;rx_jobId=JP-005846872&amp;rx_url=https%3A%2F%2Fars2.equest.com%2F%3Ficid%3Dlinkedin_recruitics%26response_id%3Dec2a545eee28716a67f7d3fad214e8d0%26rx_campaign%3DLinkedin1%26rx_ch%3Dconnector%26rx_group%3D123600%26rx_id%3D6e6b7b71-0eab-11f1-b24c-aba12ba63d97%26rx_job%3DJP-005846872%26rx_medium%3Dpost%26rx_r%3Dnone%26rx_source%3DLinkedin%26rx_ts%3D20260303T061203Z%26rx_vp%3Dslots&amp;urlHash=i-P1", "https://jsv3.recruitics.com/redirect?rx_cid=3435&amp;rx_jobId=JP-005846872&amp;rx_url=https%3A%2F%2Fars2.equest.com%2F%3Ficid%3Dlinkedin_recruitics%26response_id%3Dec2a545eee28716a67f7d3fad214e8d0%26rx_campaign%3DLinkedin1%26rx_ch%3Dconnector%26rx_group%3D123600%26rx_id%3D6e6b7b71-0eab-11f1-b24c-aba12ba63d97%26rx_job%3DJP-005846872%26rx_medium%3Dpost%26rx_r%3Dnone%26rx_source%3DLinkedin%26rx_ts%3D20260303T061203Z%26rx_vp%3Dslots&amp;urlHash=i-P1")</f>
        <v/>
      </c>
      <c r="G53" t="inlineStr">
        <is>
          <t>Fort George G. Meade, MD</t>
        </is>
      </c>
      <c r="H53" t="inlineStr"/>
      <c r="I53" t="inlineStr">
        <is>
          <t>Description
 Clearance Level: Secret Clearance/ Interim Secret
 Primary Responsibilities
* Integration Solutions: Develop and implement integration solutions for the JMT project using Kafka and Elastic as the primary data architecture platforms.
* Data Integration: Integrate data sources (ServiceNow, Terminal Cert DB, Modem Cert DB, Baseband Mission Workup, TRS, MRS, UDL) into Confluent (Kafka) and Elastic platforms. Develop Kafka system integrations between Elasticsearch/Logstash and other systems.
* Kafka Integration \&amp; Development: Develop Kafka system integrations, custom connectors, and work with ksqlDB and Kafka Streams for data processing based on the design solution.
* Kafka Cluster Management: Deploy and manage Kafka clusters on Kubernetes in multi\-site environments (both on\-premise and cloud).
* Software Lifecycle Automation: Automate the full software lifecycle, from design and development to testing and deployment, including production environments.
* DevOps Pipelines: Design and build application deployment pipelines, including containerized environments using Kubernetes and Docker, and automated testing pipelines.
 Technical Qualifications
* Data architecture/designer/engineer – Develop Elastic indexes, Data transformations and enrichment.
* Experience working inside Elastic and Confluent
* Data Automation: Experience automating data cleansing, formatting, staging, and transformation processes.
* Text Mining \&amp; ELK Stack: Proficiency with text mining tools, summarization, search (ELK Stack), entity extraction, training set generation, and anomaly detection.
* CI/CD \&amp; Containerization: Familiarity with CI/CD techniques for developing and releasing software through containerized pipelines.
* BI Tools \&amp; Search Analytics: Knowledge of BI tools (e.g., Kibana, Splunk) and experience with developing search and analytics applications.
* Big Data Technologies: Experience with Elasticsearch, Logstash, Kibana, Kafka, ksql, NiFi, Apache Spark, ServiceNow.
* Elastic Engineer Certification: Certified Elastic Engineer with experience developing logstash and ingest pipelines.
* Experience developing in Confluent ksql and kstreams for data ETL purposes.
* Kubernetes Expertise: Familiarity with Kubernetes and deployment of containers.
* Agile Processes: Experience with Agile methodologies and related tools.
 Job Type \&amp; Location
 This is a Contract position based out of Fort Meade, MD.
 Pay And Benefits
 The pay range for this position is $60\.00 \- $80\.00/hr.
 Eligibility requirements apply to some benefits and may depend on your job classification and length of employment. Benefits are subject to change and may be subject to specific elections, plan, or program terms. If eligible, the benefits available for this temporary role may include the following:
* Medical, dental \&amp; vision
* Critical Illness, Accident, and Hospital
* 401(k) Retirement Plan – Pre\-tax and Roth post\-tax contributions available
* Life Insurance (Voluntary Life \&amp; AD\&amp;D for the employee and dependents)
* Short and long\-term disability
* Health Spending Account (HSA)
* Transportation benefits
* Employee Assistance Program
* Time Off/Leave (PTO, Vacation or Sick Leave) Workplace Type This is a hybrid position in Fort Meade,MD. Application Deadline This position is anticipated to close on Mar 6, 2026\. h4\&gt;About TEKsystems: We're partners in transformation. We help clients activate ideas and solutions to take advantage of a new world of opportunity. We are a team of 80,000 strong, working with over 6,000 clients, including 80% of the Fortune 500, across North America, Europe and Asia. As an industry leader in Full\-Stack Technology Services, Talent Services, and real\-world application, we work with progressive leaders to drive change. That's the power of true partnership. TEKsystems is an Allegis Group company.
 The company is an equal opportunity employer and will consider all applications without regards to race, sex, age, color, religion, national origin, veteran status, disability, sexual orientation, gender identity, genetic information or any characteristic protected by law.
 About TEKsystems And TEKsystems Global Services
 We’re a leading provider of business and technology services. We accelerate business transformation for our customers. Our expertise in strategy, design, execution and operations unlocks business value through a range of solutions. We’re a team of 80,000 strong, working with over 6,000 customers, including 80% of the Fortune 500 across North America, Europe and Asia, who partner with us for our scale, full\-stack capabilities and speed. We’re strategic thinkers, hands\-on collaborators, helping customers capitalize on change and master the momentum of technology. We’re building tomorrow by delivering business outcomes and making positive impacts in our global communities. TEKsystems and TEKsystems Global Services are Allegis Group companies. Learn more at TEKsystems.com.
 The company is an equal opportunity employer and will consider all applications without regard to race, sex, age, color, religion, national origin, veteran status, disability, sexual orientation, gender identity, genetic information or any characteristic protected by law.</t>
        </is>
      </c>
    </row>
    <row r="54">
      <c r="A54" t="inlineStr">
        <is>
          <t>li-4362290403</t>
        </is>
      </c>
      <c r="B54" t="inlineStr">
        <is>
          <t>Power BI Engineer</t>
        </is>
      </c>
      <c r="C54" t="inlineStr">
        <is>
          <t>Anblicks</t>
        </is>
      </c>
      <c r="D54" t="inlineStr">
        <is>
          <t>linkedin</t>
        </is>
      </c>
      <c r="E54">
        <f>HYPERLINK("https://www.linkedin.com/jobs/view/4362290403", "https://www.linkedin.com/jobs/view/4362290403")</f>
        <v/>
      </c>
      <c r="F54">
        <f>HYPERLINK("https://anblicks.keka.com/careers/jobdetails/126537?src=linkedin&amp;urlHash=d72v", "https://anblicks.keka.com/careers/jobdetails/126537?src=linkedin&amp;urlHash=d72v")</f>
        <v/>
      </c>
      <c r="G54" t="inlineStr">
        <is>
          <t>Dallas, TX</t>
        </is>
      </c>
      <c r="H54" t="inlineStr"/>
      <c r="I54" t="inlineStr">
        <is>
          <t>**Job Description – Power BI Engineer**
 Experience: 4 \- 6 Years
 **\[URGENT]** 
 \|
 Design, develop, and maintain enterprise\-grade Power BI dashboards, reports, and semantic models using Power BI Desktop and Power BI Service.
 Demonstrate expert\-level proficiency in SQL, including writing, optimizing, and tuning complex queries on large, high\-volume datasets.
 Build advanced DAX measures, calculated tables, and KPIs, ensuring optimal performance and reusability.
 Perform in\-depth data modeling using best practices (star schema, relationships, performance optimization).
 Use DAX Studio for query analysis, performance tuning, and optimization of Power BI datasets.
 Leverage Tabular Editor for advanced model management, calculation groups, metadata management, and best\-practice enforcement.
 Manage model deployments and version control using ALM Toolkit across development, test, and production environments.
 Develop and manage ETL pipelines using Power Query, SQL, SSIS, and Azure Data Factory (ADF).
 Work with Azure services such as Synapse Analytics and Azure Analysis Services for scalable BI solutions.
 Administer Power BI Service including workspace management, security (RLS), gateways, refresh schedules, and deployment pipelines.</t>
        </is>
      </c>
    </row>
    <row r="55">
      <c r="A55" t="inlineStr">
        <is>
          <t>li-4379159412</t>
        </is>
      </c>
      <c r="B55" t="inlineStr">
        <is>
          <t>Principal Data Engineer</t>
        </is>
      </c>
      <c r="C55" t="inlineStr">
        <is>
          <t>Jobs via Dice</t>
        </is>
      </c>
      <c r="D55" t="inlineStr">
        <is>
          <t>linkedin</t>
        </is>
      </c>
      <c r="E55">
        <f>HYPERLINK("https://www.linkedin.com/jobs/view/4379159412", "https://www.linkedin.com/jobs/view/4379159412")</f>
        <v/>
      </c>
      <c r="F55" t="inlineStr"/>
      <c r="G55" t="inlineStr">
        <is>
          <t>Jersey City, NJ</t>
        </is>
      </c>
      <c r="H55" t="inlineStr"/>
      <c r="I55" t="inlineStr">
        <is>
          <t>**Are you ready to make an impact at DTCC?**
 Do you want to work on innovative projects, collaborate with a dynamic and supportive team, and receive investment in your professional development? At DTCC, we are at the forefront of innovation in the financial markets. We are committed to helping our employees grow and succeed. We believe that you have the skills and drive to make a real impact. We foster a thriving internal community and are committed to creating a workplace that looks like the world that we serve.
 The Information Technology group delivers secure, reliable technology solutions that enable DTCC to be the trusted infrastructure of the global capital markets. The team delivers high\-quality information through activities that include development of essential, building infrastructure capabilities to meet client needs and implementing data standards and governance.
**Pay and Benefits:**
* Competitive compensation, including base pay and annual incentive
* Comprehensive health and life insurance and well\-being benefits, based on location
* Pension / Retirement benefits
* Paid Time Off and Personal/Family Care, and other leaves of absence when needed to support your physical, financial, and emotional well\-being.
* DTCC offers a flexible/hybrid model of 3 days onsite and 2 days remote (onsite Tuesdays, Wednesdays and a third day unique to each team or employee).
**The Impact you will have in this role:**
 Being a member of IT Architecture \&amp; Enterprise Services team, you will provide hands\-on technical leadership for building and operating enterprise\-scale data pipelines and data platforms that enable enterprise reporting, analytics, and insights. This role owns delivery end\-to\-end and ensures production reliability, strong engineering discipline, and robust CI/CD practices.
**Your Primary Responsibilities:**
* Lead design and delivery of scalable, resilient data pipelines for enterprise analytics and reporting
* Own end\-to\-end execution from requirements and design through deployment and production support
* Serve as technical lead and subject matter expert for data engineering standards and solutions
* Partner with Product Owners, Architects, and BI teams to translate business and regulatory needs into technical solutions
* Mentor data engineers; conduct design and code reviews across onshore and offshore teams
* Ensure operational excellence through incident, change, and release management practices
* Embed data quality, reconciliation, security, and risk controls into engineering workflows
* Drive modernization and automation of legacy data processes
 \*\*NOTE: The Primary Responsibilities of this role are not limited to the details above. \*\*
**Qualifications:**
* Minimum of 8 years of related experience
* Bachelor's degree preferred and/or equivalent experience
**Talents Needed for Success:**
* 8\+ years of experience in data engineering, data warehousing, or data integration roles
* Strong hands\-on expertise with SQL
* Strong experience with Snowflake or similar cloud data warehouse platforms
* Experience with Talend or similar enterprise ETL / ELT tools
* Conceptual understanding of data visualization tools like Power BI or similar.
* Experience in working with CI/CD pipelines for data or database deployments (e.g., Jenkins, Liquibase)
* Experience working in Agile / SDLC delivery environments
* Strong communication skills and ability to lead technical discussions
* Experience in regulated or production\-critical enterprise environments
**Preferred Qualifications**
* Familiarity with Jira, source control, and release governance processes
* Prior experience leading distributed or hybrid teams across multiple locations.
 The salary range is indicative for roles at the same level within DTCC across all US locations. Actual salary is determined based on the role, location, individual experience, skills, and other considerations. We are an equal opportunity employer and value diversity at our company. We do not discriminate on the basis of race, religion, color, national origin, sex, gender, gender expression, sexual orientation, age, marital status, veteran status, or disability status. We will ensure that individuals with disabilities are provided reasonable accommodation to participate in the job application or interview process, to perform essential job functions, and to receive other benefits and privileges of employment. Please contact us to request accommodation.
**About Us**
 With over 50 years of experience, DTCC is the premier post\-trade market infrastructure for the global financial services industry. From 20 locations around the world, DTCC, through its subsidiaries, automates, centralizes, and standardizes the processing of financial transactions, mitigating risk, increasing transparency, enhancing performance and driving efficiency for thousands of broker/dealers, custodian banks and asset managers. Industry owned and governed, the firm innovates purposefully, simplifying the complexities of clearing, settlement, asset servicing, transaction processing, trade reporting and data services across asset classes, bringing enhanced resilience and soundness to existing financial markets while advancing the digital asset ecosystem. In 2024, DTCC's subsidiaries processed securities transactions valued at U.S. $3\.7 quadrillion and its depository subsidiary provided custody and asset servicing for securities issues from over 150 countries and territories valued at U.S. $99 trillion. DTCC's Global Trade Repository service, through locally registered, licensed, or approved trade repositories, processes more than 25 billion messages annually. To learn more, please visit us at or connect with us on LinkedIn , X , YouTube , Facebook and Instagram .
 DTCC proudly supports Flexible Work Arrangements favoring openness and gives people freedom to do their jobs well, by encouraging diverse opinions and emphasizing teamwork. When you join our team, you'll have an opportunity to make meaningful contributions at a company that is recognized as a thought leader in both the financial services and technology industries. A DTCC career is more than a good way to earn a living. It's the chance to make a difference at a company that's truly one of a kind.
 Learn more about Clearance and Settlement by clicking here .
**About The Team**
 IT Architecture and Enterprise Services are responsible for enabling digital transformation of DTCC. The group manages complexity of the technology landscape within DTCC and enhances agility, robustness and security of the technology footprint. It does so by serving as the focal point for all technology architectural activities in the organization as well as engineering a portfolio of foundational technology assets to enable our digital transformation.</t>
        </is>
      </c>
    </row>
    <row r="56">
      <c r="A56" t="inlineStr">
        <is>
          <t>li-4379119940</t>
        </is>
      </c>
      <c r="B56" t="inlineStr">
        <is>
          <t>Senior Data Engineer</t>
        </is>
      </c>
      <c r="C56" t="inlineStr">
        <is>
          <t>Jobs via Dice</t>
        </is>
      </c>
      <c r="D56" t="inlineStr">
        <is>
          <t>linkedin</t>
        </is>
      </c>
      <c r="E56">
        <f>HYPERLINK("https://www.linkedin.com/jobs/view/4379119940", "https://www.linkedin.com/jobs/view/4379119940")</f>
        <v/>
      </c>
      <c r="F56" t="inlineStr"/>
      <c r="G56" t="inlineStr">
        <is>
          <t>St Louis, MO</t>
        </is>
      </c>
      <c r="H56" t="inlineStr"/>
      <c r="I56" t="inlineStr">
        <is>
          <t>RESPONSIBILITIES:
 Kforce is working with a client that is seeking a Senior Data Engineer to help architect, build, and support modern data platforms on AWS. This position is onsite, 5 days a week in downtown Saint Louis, MO.
 Summary:
 In this role, you'll design and optimize data pipelines that power analytics, reporting, and data\-driven decision\-making across the organization. You'll work with large, complex data sets while ensuring data is accurate, secure, and readily available for downstream use. This position plays a key role in translating business needs into scalable, cloud\-based data solutions.
 Duties:
* Senior Data Engineer will design, develop, and support robust data pipelines that move data from diverse source systems into AWS\-based platforms
* Partner with business and technical stakeholders to gather requirements and deliver data solutions aligned to organizational needs
* Implement and maintain ETL/ELT processes that transform raw data into high\-quality, analytics\-ready datasets
* Monitor pipeline performance, proactively troubleshoot issues, and continuously optimize for reliability and scalability
* As a Senior Data Engineer, you will ensure strong data quality, consistency, and integrity across all data assets
* Apply best practices for data security, privacy, and governance throughout the data lifecycle
 REQUIREMENTS:
* Bachelor's degree in Computer Science or a related field, or equivalent practical experience
* 10\+ years of progressive experience in data engineering or related roles
* Deep experience with AWS data services, including S3, Redshift, Aurora PostgreSQL, Glue, Lambda, Step Functions, Lake Formation, DataZone, Kinesis, MSK, and EMR
* Hands\-on experience with relational databases (e.g., PostgreSQL, SQL Server) and distributed data processing frameworks such as PySpark
* Proven experience building and managing ETL pipelines using tools like AWS Glue and SSIS
* Experience integrating multiple data sources while maintaining data accuracy and consistency
* Solid understanding of data modeling, schema design, and database architecture
* Familiarity with data orchestration and workflow tools such as Apache Airflow, Glue Workflows, and AWS Step Functions, including alerting and notifications
* Exposure to Infrastructure as Code and DevOps practices (e.g., Terraform, Git, CI/CD pipelines)
* Working knowledge of data governance, regulatory requirements, and security best practices
* Strong analytical and problem\-solving skills, with the ability to diagnose complex data issues and recommend solutions
 Technologies:
* Languages: Python, SQL
* AWS Services: Glue, S3, Redshift, Lambda, Lake Formation, DataZone
* Strong proficiency in Python and SQL for data transformation, querying, and automation
 The pay range is the lowest to highest compensation we reasonably in good faith believe we would pay at posting for this role. We may ultimately pay more or less than this range. Employee pay is based on factors like relevant education, qualifications, certifications, experience, skills, seniority, location, performance, union contract and business needs. This range may be modified in the future.
 We offer comprehensive benefits including medical/dental/vision insurance, HSA, FSA, 401(k), and life, disability \&amp; ADD insurance to eligible employees. Salaried personnel receive paid time off. Hourly employees are not eligible for paid time off unless required by law. Hourly employees on a Service Contract Act project are eligible for paid sick leave.
 Note: Pay is not considered compensation until it is earned, vested and determinable. The amount and availability of any compensation remains in Kforce's sole discretion unless and until paid and may be modified in its discretion consistent with the law.
 This job is not eligible for bonuses, incentives or commissions.
 Kforce is an Equal Opportunity/Affirmative Action Employer. All qualified applicants will receive consideration for employment without regard to race, color, religion, sex, pregnancy, sexual orientation, gender identity, national origin, age, protected veteran status, or disability status.
 By clicking ?Apply Today? you agree to receive calls, AI\-generated calls, text messages or emails from Kforce and its affiliates, and service providers. Note that if you choose to communicate with Kforce via text messaging the frequency may vary, and message and data rates may apply. Carriers are not liable for delayed or undelivered messages. You will always have the right to cease communicating via text by using key words such as STOP.</t>
        </is>
      </c>
    </row>
    <row r="57">
      <c r="A57" t="inlineStr">
        <is>
          <t>li-4379141010</t>
        </is>
      </c>
      <c r="B57" t="inlineStr">
        <is>
          <t>Senior Data Engineer</t>
        </is>
      </c>
      <c r="C57" t="inlineStr">
        <is>
          <t>Jobs via Dice</t>
        </is>
      </c>
      <c r="D57" t="inlineStr">
        <is>
          <t>linkedin</t>
        </is>
      </c>
      <c r="E57">
        <f>HYPERLINK("https://www.linkedin.com/jobs/view/4379141010", "https://www.linkedin.com/jobs/view/4379141010")</f>
        <v/>
      </c>
      <c r="F57" t="inlineStr"/>
      <c r="G57" t="inlineStr">
        <is>
          <t>Merrimack, NH</t>
        </is>
      </c>
      <c r="H57" t="inlineStr"/>
      <c r="I57" t="inlineStr">
        <is>
          <t>RESPONSIBILITIES:
 Kforce has a client that is seeking a Senior Data Engineer in Merrimack, NH.
 Key Tasks:
* Help the team in designing and building best\-in\-class data solutions using very diversified tech stack
* Design and develop ETL reporting and analytics solutions
* Create, update, and maintain technical documentation for software\-based projects and products
* Solving production issues
* Interact effectively with business partners to understand business requirements and assist in generation of technical requirements
* Participate in architecture, technical design, and product implementation discussions
 REQUIREMENTS:
* A proven foundation in data engineering \- Bachelor's degree \+ preferred
* 6\+ years of experience
* Extensive experience with ETL technologies
* Experience with DevOps, Continuous Integration and Continuous Delivery (Maven, Jenkins, Stash, Ansible, Docker) will be preferred
* RMDS experience (Snowflake, PostgreSQL) \- required
* Demonstrable experience with ETL tools (Informatica, Snaplogic)
* Experience working with Python in an AWS environment
* Experience with developing sophisticated Continuous Integration \&amp; Continuous Delivery (CI/CD) pipeline including software configuration management, test automation, version control, static code analysis
* Strong experience of working in large teams and proven technical leadership capabilities
* Knowledge of Enterprise level implementations like data warehouse, automated solutions
* Knowledge of Cloud platforms and Services (AWS \- IAM, EC2, S3, Lambda, RDS) \- required
* Expert in SQL and Stored Procedures on any Relational databases
* Advanced data manipulation languages and frameworks (JAVA, PYTHON, JSON) \- required
* Good in debugging, analyzing and Production Support
* Application Development based on JIRA stories (Agile environment)
* Working Knowledge of Unix/Linux operating systems and shell scripting
* Excellent interpersonal and communication skills
* Proven ability to deal with ambiguity and work in fast paced environment
* Ability to work with global Agile teams
* Ability to mentor junior data engineers
* Ability to negotiate, influence and work with business peers and management
* Ability to develop and drive a strategy as per the needs of the team
* Knowledge of Data Warehousing methodologies and concepts \- preferred
 The pay range is the lowest to highest compensation we reasonably in good faith believe we would pay at posting for this role. We may ultimately pay more or less than this range. Employee pay is based on factors like relevant education, qualifications, certifications, experience, skills, seniority, location, performance, union contract and business needs. This range may be modified in the future.
 We offer comprehensive benefits including medical/dental/vision insurance, HSA, FSA, 401(k), and life, disability \&amp; ADD insurance to eligible employees. Salaried personnel receive paid time off. Hourly employees are not eligible for paid time off unless required by law. Hourly employees on a Service Contract Act project are eligible for paid sick leave.
 Note: Pay is not considered compensation until it is earned, vested and determinable. The amount and availability of any compensation remains in Kforce's sole discretion unless and until paid and may be modified in its discretion consistent with the law.
 This job is not eligible for bonuses, incentives or commissions.
 Kforce is an Equal Opportunity/Affirmative Action Employer. All qualified applicants will receive consideration for employment without regard to race, color, religion, sex, pregnancy, sexual orientation, gender identity, national origin, age, protected veteran status, or disability status.
 By clicking ?Apply Today? you agree to receive calls, AI\-generated calls, text messages or emails from Kforce and its affiliates, and service providers. Note that if you choose to communicate with Kforce via text messaging the frequency may vary, and message and data rates may apply. Carriers are not liable for delayed or undelivered messages. You will always have the right to cease communicating via text by using key words such as STOP.</t>
        </is>
      </c>
    </row>
    <row r="58">
      <c r="A58" t="inlineStr">
        <is>
          <t>li-4379126492</t>
        </is>
      </c>
      <c r="B58" t="inlineStr">
        <is>
          <t>Senior Data Engineer</t>
        </is>
      </c>
      <c r="C58" t="inlineStr">
        <is>
          <t>Jobs via Dice</t>
        </is>
      </c>
      <c r="D58" t="inlineStr">
        <is>
          <t>linkedin</t>
        </is>
      </c>
      <c r="E58">
        <f>HYPERLINK("https://www.linkedin.com/jobs/view/4379126492", "https://www.linkedin.com/jobs/view/4379126492")</f>
        <v/>
      </c>
      <c r="F58">
        <f>HYPERLINK("https://click.appcast.io/t/sDAY-HfNQMG0LxulrJWwiYkKKi7rPspdOMAFH_iCZcU=&amp;urlHash=-8EU", "https://click.appcast.io/t/sDAY-HfNQMG0LxulrJWwiYkKKi7rPspdOMAFH_iCZcU=&amp;urlHash=-8EU")</f>
        <v/>
      </c>
      <c r="G58" t="inlineStr">
        <is>
          <t>Memphis, TN</t>
        </is>
      </c>
      <c r="H58" t="inlineStr"/>
      <c r="I58" t="inlineStr">
        <is>
          <t>RESPONSIBILITIES:
 Kforce is working with a client seeking a Senior Data Engineer to help architect, build, and support modern data platforms on AWS. This position is onsite, 5 days a week in Memphis, TN.
 Summary:
 In this role, you'll design and optimize data pipelines that power analytics, reporting, and data\-driven decision\-making across the organization. You'll work with large, complex data sets while ensuring data is accurate, secure, and readily available for downstream use. This position plays a key role in translating business needs into scalable, cloud\-based data solutions.
 What You'll Do:
* Design, develop, and support robust data pipelines that move data from diverse source systems into AWS\-based platforms
* Partner with business and technical stakeholders to gather requirements and deliver data solutions aligned to organizational needs
* Implement and maintain ETL/ELT processes that transform raw data into high\-quality, analytics\-ready datasets
* Monitor pipeline performance, proactively troubleshoot issues, and continuously optimize for reliability and scalability
* Ensure strong data quality, consistency, and integrity across all data assets
* Apply best practices for data security, privacy, and governance throughout the data lifecycle
 REQUIREMENTS:
* Bachelor's degree in Computer Science or a related field, or equivalent practical experience
* 10\+ years of progressive experience in data engineering or related roles
* Strong proficiency in Python and SQL for data transformation, querying, and automation
* Deep experience with AWS data services, including S3, Redshift, Aurora PostgreSQL, Glue, Lambda, Step Functions, Lake Formation, DataZone, Kinesis, MSK, and EMR
* Solid understanding of data modeling, schema design, and database architecture
* Hands\-on experience with relational databases (e.g., PostgreSQL, SQL Server) and distributed data processing frameworks such as PySpark
* Proven experience building and managing ETL pipelines using tools like AWS Glue and SSIS
* Familiarity with data orchestration and workflow tools such as Apache Airflow, Glue Workflows, and AWS Step Functions, including alerting and notifications
* Experience integrating multiple data sources while maintaining data accuracy and consistency
* Exposure to Infrastructure as Code and DevOps practices (e.g., Terraform, Git, CI/CD pipelines)
* Strong analytical and problem\-solving skills, with the ability to diagnose complex data issues and recommend solutions
* Working knowledge of data governance, regulatory requirements, and security best practices
 Technologies:
* Languages: Python, SQL
* AWS Services: Glue, S3, Redshift, Lambda, Lake Formation, DataZone
 The pay range is the lowest to highest compensation we reasonably in good faith believe we would pay at posting for this role. We may ultimately pay more or less than this range. Employee pay is based on factors like relevant education, qualifications, certifications, experience, skills, seniority, location, performance, union contract and business needs. This range may be modified in the future.
 We offer comprehensive benefits including medical/dental/vision insurance, HSA, FSA, 401(k), and life, disability \&amp; ADD insurance to eligible employees. Salaried personnel receive paid time off. Hourly employees are not eligible for paid time off unless required by law. Hourly employees on a Service Contract Act project are eligible for paid sick leave.
 Note: Pay is not considered compensation until it is earned, vested and determinable. The amount and availability of any compensation remains in Kforce's sole discretion unless and until paid and may be modified in its discretion consistent with the law.
 This job is not eligible for bonuses, incentives or commissions.
 Kforce is an Equal Opportunity/Affirmative Action Employer. All qualified applicants will receive consideration for employment without regard to race, color, religion, sex, pregnancy, sexual orientation, gender identity, national origin, age, protected veteran status, or disability status.
 By clicking ?Apply Today? you agree to receive calls, AI\-generated calls, text messages or emails from Kforce and its affiliates, and service providers. Note that if you choose to communicate with Kforce via text messaging the frequency may vary, and message and data rates may apply. Carriers are not liable for delayed or undelivered messages. You will always have the right to cease communicating via text by using key words such as STOP.</t>
        </is>
      </c>
    </row>
    <row r="59">
      <c r="A59" t="inlineStr">
        <is>
          <t>li-4370938369</t>
        </is>
      </c>
      <c r="B59" t="inlineStr">
        <is>
          <t>Senior Data Engineer</t>
        </is>
      </c>
      <c r="C59" t="inlineStr">
        <is>
          <t>Capital One</t>
        </is>
      </c>
      <c r="D59" t="inlineStr">
        <is>
          <t>linkedin</t>
        </is>
      </c>
      <c r="E59">
        <f>HYPERLINK("https://www.linkedin.com/jobs/view/4370938369", "https://www.linkedin.com/jobs/view/4370938369")</f>
        <v/>
      </c>
      <c r="F59" t="inlineStr"/>
      <c r="G59" t="inlineStr">
        <is>
          <t>Wilmington, DE</t>
        </is>
      </c>
      <c r="H59" t="inlineStr"/>
      <c r="I59" t="inlineStr">
        <is>
          <t>**Do you love building and pioneering in the technology space? Do you enjoy solving complex business problems in a fast\-paced, collaborative, inclusive, and iterative delivery environment? At Capital One, you'll be part of a big group of makers, breakers, doers and disruptors, who solve real problems and meet real customer needs. We are seeking
 **Data Engineers** 
 who are passionate about marrying data with emerging technologies. As a Capital One Data Engineer, you’ll have the opportunity to be on the forefront of driving a major transformation within Capital One.**
****What You’ll Do:****
* Collaborate with and across Agile teams to design, develop, test, implement, and support technical solutions in full\-stack development tools and technologies
* Work with a team of developers with deep experience in machine learning, distributed microservices, and full stack systems
* Utilize programming languages like Java, Scala, Python and Open Source RDBMS and NoSQL databases and Cloud based data warehousing services such as Redshift and Snowflake
* Share your passion for staying on top of tech trends, experimenting with and learning new technologies, participating in internal \&amp; external technology communities, and mentoring other members of the engineering community
* Collaborate with digital product managers, and deliver robust cloud\-based solutions that drive powerful experiences to help millions of Americans achieve financial empowerment
* Perform unit tests and conduct reviews with other team members to make sure your code is rigorously designed, elegantly coded, and effectively tuned for performance
****Basic Qualifications:****
* Bachelor’s Degree
* At least 3 years of experience in application development (Internship experience does not apply)
* At least 1 year of experience in big data technologies
****Preferred Qualifications:****
* 5\+ years of experience in application development including Python, SQL, Scala, or Java
* 2\+ years of experience with a public cloud (AWS, Microsoft Azure, Google Cloud)
* 3\+ years experience with Distributed data/computing tools (MapReduce, Hadoop, Hive, EMR, Kafka, Spark, Gurobi, or MySQL)
* 2\+ year experience working on real\-time data and streaming applications
* 2\+ years of experience with NoSQL implementation (Mongo, Cassandra)
* 2\+ years of data warehousing experience (Redshift or Snowflake)
* 3\+ years of experience with UNIX/Linux including basic commands and shell scripting
* 2\+ years of experience with Agile engineering practices
***At this time, Capital One will not sponsor a new applicant for employment authorization, or offer any immigration related support for this position (i.e. H1B, F\-1 OPT, F\-1 STEM OPT, F\-1 CPT, J\-1, TN, E\-2, E\-3, L\-1 and O\-1, or any EADs or other forms of work authorization that require immigration support from an employer).***
 The minimum and maximum full\-time annual salaries for this role are listed below, by location. Please note that this salary information is solely for candidates hired to perform work within one of these locations, and refers to the amount Capital One is willing to pay at the time of this posting. Salaries for part\-time roles will be prorated based upon the agreed upon number of hours to be regularly worked.
 Wilmington, DE: $147,100 \- $167,900 for Senior Data Engineer
 Candidates hired to work in other locations will be subject to the pay range associated with that location, and the actual annualized salary amount offered to any candidate at the time of hire will be reflected solely in the candidate’s offer letter.
 This role is also eligible to earn performance based incentive compensation, which may include cash bonus(es) and/or long term incentives (LTI). Incentives could be discretionary or non discretionary depending on the plan.
 Capital One offers a comprehensive, competitive, and inclusive set of health, financial and other benefits that support your total well\-being. Learn more at the Capital One Careers website. Eligibility varies based on full or part\-time status, exempt or non\-exempt status, and management level.
 This role is expected to accept applications for a minimum of 5 business days.
 No agencies please. Capital One is an equal opportunity employer (EOE, including disability/vet) committed to non\-discrimination in compliance with applicable federal, state, and local laws. Capital One promotes a drug\-free workplace. Capital One will consider for employment qualified applicants with a criminal history in a manner consistent with the requirements of applicable laws regarding criminal background inquiries, including, to the extent applicable, Article 23\-A of the New York Correction Law; San Francisco, California Police Code Article 49, Sections 4901\-4920; New York City’s Fair Chance Act; Philadelphia’s Fair Criminal Records Screening Act; and other applicable federal, state, and local laws and regulations regarding criminal background inquiries.
 If you have visited our website in search of information on employment opportunities or to apply for a position, and you require an accommodation, please contact Capital One Recruiting at 1\-800\-304\-9102 or via email at RecruitingAccommodation@capitalone.com. All information you provide will be kept confidential and will be used only to the extent required to provide needed reasonable accommodations.
 For technical support or questions about Capital One's recruiting process, please send an email to Careers@capitalone.com
 Capital One does not provide, endorse nor guarantee and is not liable for third\-party products, services, educational tools or other information available through this site.
 Capital One Financial is made up of several different entities. Please note that any position posted in Canada is for Capital One Canada, any position posted in the United Kingdom is for Capital One Europe and any position posted in the Philippines is for Capital One Philippines Service Corp. (COPSSC).</t>
        </is>
      </c>
    </row>
    <row r="60">
      <c r="A60" t="inlineStr">
        <is>
          <t>li-4379127478</t>
        </is>
      </c>
      <c r="B60" t="inlineStr">
        <is>
          <t>Google Cloud Platform Data Engineer</t>
        </is>
      </c>
      <c r="C60" t="inlineStr">
        <is>
          <t>Jobs via Dice</t>
        </is>
      </c>
      <c r="D60" t="inlineStr">
        <is>
          <t>linkedin</t>
        </is>
      </c>
      <c r="E60">
        <f>HYPERLINK("https://www.linkedin.com/jobs/view/4379127478", "https://www.linkedin.com/jobs/view/4379127478")</f>
        <v/>
      </c>
      <c r="F60">
        <f>HYPERLINK("https://click.appcast.io/t/tegC4AhslOwoiHIbHzr0Tk05GdKXj74zo9MNShPqT7M=&amp;urlHash=xVuy", "https://click.appcast.io/t/tegC4AhslOwoiHIbHzr0Tk05GdKXj74zo9MNShPqT7M=&amp;urlHash=xVuy")</f>
        <v/>
      </c>
      <c r="G60" t="inlineStr"/>
      <c r="H60" t="inlineStr"/>
      <c r="I60" t="inlineStr">
        <is>
          <t>Dice is the leading career destination for tech experts at every stage of their careers. Our client, IT First Source, is seeking the following. Apply via Dice today!
* Strong expertise in Google Cloud Platform data stack (BigQuery, Dataflow, Composer, GCS, Pub/Sub, Dataproc, Dataplex).
* Hands\-on experience with data ingestion, pipeline orchestration, and transformations.
* Experience with ERP datasets (Workday, Oracle, Lawson, PeopleSoft).
* Strong SQL and data modeling skills (3NF, star/snowflake, canonical and logical models).
* Experience with metadata management, lineage, and governance frameworks.
* Solid understanding of HIPAA, PHI/PII handling, DLP, IAM, VPC security.
 Cloud \&amp; Infrastructure and Terraform
* Solid understanding of cloud networking, hybrid connectivity, VPC design, firewalling, DNS, service accounts, IAM, and security models.
* Cloud Native Data movement services
* Experience with on\-prem to cloud migrations.</t>
        </is>
      </c>
    </row>
    <row r="61">
      <c r="A61" t="inlineStr">
        <is>
          <t>li-4363231418</t>
        </is>
      </c>
      <c r="B61" t="inlineStr">
        <is>
          <t>Sr. Data Engineer - MFS Investment Management</t>
        </is>
      </c>
      <c r="C61" t="inlineStr">
        <is>
          <t>Jobs via eFinancialCareers</t>
        </is>
      </c>
      <c r="D61" t="inlineStr">
        <is>
          <t>linkedin</t>
        </is>
      </c>
      <c r="E61">
        <f>HYPERLINK("https://www.linkedin.com/jobs/view/4363231418", "https://www.linkedin.com/jobs/view/4363231418")</f>
        <v/>
      </c>
      <c r="F61">
        <f>HYPERLINK("https://click.appcast.io/t/d4TkHJK6KQ7EbG5wjAtnWCVrfIAe-IRGHvxo3FFXbP4=&amp;urlHash=Uwcb", "https://click.appcast.io/t/d4TkHJK6KQ7EbG5wjAtnWCVrfIAe-IRGHvxo3FFXbP4=&amp;urlHash=Uwcb")</f>
        <v/>
      </c>
      <c r="G61" t="inlineStr">
        <is>
          <t>Boston, MA</t>
        </is>
      </c>
      <c r="H61" t="inlineStr"/>
      <c r="I61" t="inlineStr">
        <is>
          <t>At MFS, you will find a culture that supports you in doing what you do best. Our employees work together to reach better outcomes, favoring the strongest idea over the strongest individual. We put people first and demonstrate care and compassion for our community and each other. Because what we do matters \- to us as valued professionals and to the millions of people and institutions who rely on us to help them build more secure and prosperous futures.
**THE ROLE**
 The Sr. Data Engineer will play a critical role in enhancing and maintaining a data platform for execution and operations research within the trading department. The candidate will be working as a part of a team of Quantitative Trading Strategists to store new data sets, ensure reliability of data pipelines, build out additional capabilities across multiple asset classes. The Sr. Data Engineer will work across vendors and internal teams to ensure seamless, scalable data flows are built in an accessible way throughout the trading ecosystem.
**What You Will Do**
* Design, build, and maintain scalable data pipelines to ingest data from numerous sources.
* Proactively and independently work to enhance reliability of data capture.
* Collaborate with team to develop processes to transform raw data into more usable data sets.
* Find and action opportunities for automation in analytics production.
* Implement robust data quality checks and enhance monitoring for data pipelines.
* Partner with Quantitative Trading Strategists to improve current platform capabilities and performance.
**WHAT WE ARE LOOKING FOR**
* Bachelor's degree in Computer Science or Engineering, with a focus on software engineering. Knowledge of data science or statistics is beneficial.
* Minimum of three to five years of experience in a data intensive field.
* Experience with Python, KDB/Q or other programming languages with a focus on interfacing with high volume data.
* Experience working with large data sets, structured and unstructured
* Experience with data visualization and concepts around display of data
* Equity and fixed income quantitative background, market structure knowledge, plus experience with trading processes and/or transaction cost analysis (TCA).
* Ability to work independently and proactively generate project ideas.
* Strong interpersonal and communication skills.
* Some international travel.
 Base Salary Range: $ 95,500 \- $ 137,500
 This position is eligible for competitive incentive bonus.
 At MFS, we believe in fair and transparent compensation. For that reason, we're including the salary range for this position. This range reflects our good\-faith expectation for what we'll pay depending on the candidate's experience, training and education. In addition to the salary, we also offer significant and competitive incentive compensation based on both individual and company performance. Other components of our Total Rewards Package include:
* MFS contributes an amount equal to 15% of your base salary to your retirement account that is separate from the company \-sponsored 401(k)
* Education Assistance: MFS contributes $100 monthly up to $10,000 lifetime maximum directly to loan provider
* Education Assistance: Tuition reimbursement up to $8,000 annually
* Education Assistance: Access to discounted tutors and college coaches
* Generous time off and fully paid leaves including 20\-weeks for maternity, 12\-weeks for parental and caregiver leaves
* Choice of medical and dental plans and an and an employer contribution into the Health Savings Account
* Tax deferred commuter benefits \&amp; flexible spending accounts (medical \&amp; dependent care)
* Wellness Programs: Robust wellness webinars, employee assistance program with a focus on mental health, subsidized fitness benefit via Wellhub (formerly Gympass), where you can workout at gyms, studios and boutique fitness locations near you, join virtual personal training sessions and access a wide variety of well\-being apps
 Our compensation philosophy is to pay competitively for talent while ensuring equity across employees performing comparable work. We are committed to transparency \- if you have questions about how we arrived at this range or what additional benefits and bonus opportunities come with the role, we'll be happy to discuss them
 At MFS, we are dedicated to building a diverse, inclusive and authentic workplace. If you are excited about this role but your past experience doesn't align perfectly, we encourage you to apply \- you might be just the right candidate for this role or others.
 MFS is a
 **hybrid work environment** 
 (remote/onsite) unless otherwise stated in the job posting.
 If any applicant is unable to complete an application or respond to a job opening because of a disability, please contact MFS at 617\-954\-5000 or email talent\_acquisition@mfs.com for assistance.
 MFS is an Equal Opportunity Employer and it is our policy to not discriminate against any employee or applicant for employment because of race, color, religion, sex, national origin, age, marital status, sexual orientation, gender identity, genetic information, disability, veteran status, or any other status protected by federal, state or local laws. Employees and applicants of MFS will not be subject to harassment on the basis of their status. Additionally, retaliation, including intimidation, threats, or coercion, because an employee or applicant has objected to discrimination, engaged or may engage in filing a complaint, assisted in a review, investigation, or hearing or have otherwise sought to obtain their legal rights under any Federal, State, or local EEO law is prohibited. Please see the Know Your Rights: Workplace Discrimination is Illegal document, linked for your reference.</t>
        </is>
      </c>
    </row>
    <row r="62">
      <c r="A62" t="inlineStr">
        <is>
          <t>li-4378864669</t>
        </is>
      </c>
      <c r="B62" t="inlineStr">
        <is>
          <t>Senior Data Engineer</t>
        </is>
      </c>
      <c r="C62" t="inlineStr">
        <is>
          <t>Jobs via Dice</t>
        </is>
      </c>
      <c r="D62" t="inlineStr">
        <is>
          <t>linkedin</t>
        </is>
      </c>
      <c r="E62">
        <f>HYPERLINK("https://www.linkedin.com/jobs/view/4378864669", "https://www.linkedin.com/jobs/view/4378864669")</f>
        <v/>
      </c>
      <c r="F62" t="inlineStr"/>
      <c r="G62" t="inlineStr">
        <is>
          <t>Woodbury, MN</t>
        </is>
      </c>
      <c r="H62" t="inlineStr"/>
      <c r="I62" t="inlineStr">
        <is>
          <t>Dice is the leading career destination for tech experts at every stage of their careers. Our client, Ledgent Technology, is seeking the following. Apply via Dice today!
**Senior Data Engineer**
**Onsite (5 Days) \| Woodbury, MN**
**Compensation: $120,000 \- $145,000**
 We are seeking a hands\-on
 **Senior Data Engineer** 
 to modernize and scale our data platform. This role focuses on refactoring Postgres based business logic, building reliable data pipelines, and preparing data systems for advanced analytics and AI use cases. This is a senior individual contributor position with significant day\-to\-day coding and database ownership.
**Key Responsibilities**
* Modernize and refactor complex business logic currently embedded in Postgres functions.
* Design scalable schemas, analytics and AI ready data models, and performance optimized queries.
* Implement database partitioning, indexing, and tuning to support data growth and reliability.
* Design, build, and own production grade data pipelines from ingestion through consumption.
* Ensure data quality, testing, monitoring, and operational reliability across pipelines.
* Work directly in production systems to troubleshoot and resolve data and performance issues.
**Required Qualifications**
* PostgreSQL expertise is a must have, including advanced SQL and deep, production\-level experience.
* 5\+ years of hands\-on experience in data engineering, backend engineering, or a related role.
* Experience refactoring or modernizing legacy, database\-centric systems.
* Proficiency in Python or a comparable data engineering language.
* Strong understanding of ETL/ELT pipelines, data modeling, and performance optimization.
**Nice to Have**
* Experience preparing data platforms for AI or machine learning workloads.
* Familiarity with orchestration tools (e.g., Airflow) or cloud data platforms.
* Experience implementing automated data quality checks or pipeline testing.
*All qualified applicants will receive consideration for employment without regard to race, color, national origin, age, ancestry, religion, sex, sexual orientation, gender identity, gender expression, marital status, disability, medical condition, genetic information, pregnancy, or military or veteran status. We consider all qualified applicants, including those with criminal histories, in a manner consistent with state and local laws, including the California Fair Chance Act, City of Los Angeles' Fair Chance Initiative for Hiring Ordinance, and Los Angeles County Fair Chance Ordinance.*</t>
        </is>
      </c>
    </row>
    <row r="63">
      <c r="A63" t="inlineStr">
        <is>
          <t>li-4378864689</t>
        </is>
      </c>
      <c r="B63" t="inlineStr">
        <is>
          <t>Senior Data Engineer - 26-01958</t>
        </is>
      </c>
      <c r="C63" t="inlineStr">
        <is>
          <t>Jobs via Dice</t>
        </is>
      </c>
      <c r="D63" t="inlineStr">
        <is>
          <t>linkedin</t>
        </is>
      </c>
      <c r="E63">
        <f>HYPERLINK("https://www.linkedin.com/jobs/view/4378864689", "https://www.linkedin.com/jobs/view/4378864689")</f>
        <v/>
      </c>
      <c r="F63">
        <f>HYPERLINK("https://click.appcast.io/t/suOOdaWrx1r6nqmwL5wyQBPjJy5JwaPeJqTX0Y8MYt4=&amp;urlHash=vFNU", "https://click.appcast.io/t/suOOdaWrx1r6nqmwL5wyQBPjJy5JwaPeJqTX0Y8MYt4=&amp;urlHash=vFNU")</f>
        <v/>
      </c>
      <c r="G63" t="inlineStr">
        <is>
          <t>New York, NY</t>
        </is>
      </c>
      <c r="H63" t="inlineStr"/>
      <c r="I63" t="inlineStr">
        <is>
          <t>Dice is the leading career destination for tech experts at every stage of their careers. Our client, Compu\-Vision Consulting, Inc., is seeking the following. Apply via Dice today!
**Senior Data Engineer**
**Location:** 
 New York, NY
**Employment Type:** 
 Contract / Full\-Time (as applicable)
**Position Overview**
 We are seeking a highly experienced
 **Senior Data Engineer** 
 to join a dynamic technology team supporting enterprise data platforms and analytics initiatives. The ideal candidate will have strong hands\-on expertise in modern data engineering tools, cloud\-based data platforms, and end\-to\-end SDLC processes.
**Key Responsibilities**
* Analyze and interpret technical specifications and business requirements
* Collaborate with business analysts and stakeholders to define data solutions
* Design, develop, and maintain applications using:
+ Python
+ SQL Server
+ Snowflake
+ Azure Databricks
* Architect and implement scalable data pipelines and ETL workflows
* Develop and maintain data models and schemas for integration and analytics
* Implement data validation and quality control mechanisms
* Execute Unit Testing (UT) and support System Integration Testing (SIT)
* Partner with business teams to support User Acceptance Testing (UAT)
* Provide production support, monitoring, and ongoing platform maintenance
* Participate in CI/CD pipeline implementation and release management
**Required Experience**
**General Qualifications**
* 12\+ years of IT industry experience
* Strong communication and stakeholder engagement skills
* Experience working within Agile and SDLC frameworks
* Proven design and architecture experience
* Experience working in global delivery models (onshore/offshore/nearshore)
* Strong analytical and problem\-solving skills
* Self\-motivated team player capable of working with minimal supervision
**Mandatory Technical Skills**
* Python
* SQL Server \&amp; relational database concepts
* Azure Databricks
* Snowflake
* ETL development
* Scheduler tools (Autosys / Control\-M)
* CI/CD pipelines
**Preferred Skills**
* PySpark
* Experience in financial systems, capital markets, credit risk, or regulatory application development</t>
        </is>
      </c>
    </row>
    <row r="64">
      <c r="A64" t="inlineStr">
        <is>
          <t>li-4379128461</t>
        </is>
      </c>
      <c r="B64" t="inlineStr">
        <is>
          <t>Cloud Data Engineer</t>
        </is>
      </c>
      <c r="C64" t="inlineStr">
        <is>
          <t>Jobs via Dice</t>
        </is>
      </c>
      <c r="D64" t="inlineStr">
        <is>
          <t>linkedin</t>
        </is>
      </c>
      <c r="E64">
        <f>HYPERLINK("https://www.linkedin.com/jobs/view/4379128461", "https://www.linkedin.com/jobs/view/4379128461")</f>
        <v/>
      </c>
      <c r="F64">
        <f>HYPERLINK("https://click.appcast.io/t/x6h6T4HagZpsbex0DDL6VSzMSrLKnH1iLjibOxCW7wE=&amp;urlHash=d6B7", "https://click.appcast.io/t/x6h6T4HagZpsbex0DDL6VSzMSrLKnH1iLjibOxCW7wE=&amp;urlHash=d6B7")</f>
        <v/>
      </c>
      <c r="G64" t="inlineStr">
        <is>
          <t>Oak Brook, IL</t>
        </is>
      </c>
      <c r="H64" t="inlineStr"/>
      <c r="I64" t="inlineStr">
        <is>
          <t>Dice is the leading career destination for tech experts at every stage of their careers. Our client, Apex Systems, is seeking the following. Apply via Dice today!
**Job\#: 3017356**
**Job Description:**
 Apex Systems is currently hiring a Cloud Data Engineer with one of our top healthcare clients in the Chicago, IL area!
 Qualified candidates will have the following experience and skills:
* 5\+ years of experience in at least two IT disciplines, including database management, cloud engineering, data engineering and middleware technologies.
* FiveTran HVR for high volume data replication
* Public Cloud experience
* Snowflake
* Python \&amp; SQL
* Healthcare exp (preferably provider exp)
* Location: Chicago, IL\- 100% remote
* Pay range: $60\-$70 an hour
 If you are interested, please apply here or email an updated copy of your resume to
**Primary Purpose:**
 Responsible for the implementation of a technology framework providing technical support of initiatives in cloud computing, integration, and automation, with a focus on the design of systems and services that run on cloud platforms. Primary focus will be to support design and development of end\-to\-end data integration solutions in AAH cloud infrastructure using approved technologies. Contributes to the Cloud Data Engineering team effort to provide architecture, design support for data movement within AAH cloud infrastructure. Additionally, will aid in ensuring the integrity, reliability and quality of that data services implemented in the platform.
**Major Responsibilities:**
 Drive scope definition, requirements analysis, data and technical design, pipeline build, product configuration, unit testing, and production deployment.
 Design scalable ingestion processes to bring on\-prem, API drive, 3rd party, end user generated data sources to integrate in common cloud infrastructure.
 Design reusable assets, components, standards, frameworks, and processes to accelerate and facilitate data integration projects.
 Develop data integration and transformation jobs using Python, SQL and ETL /ELT tools.
 Build the infrastructure required for optimal extraction, transformation, and loading of data from a wide variety of data sources.
 Build processes supporting data transformation, data structures, metadata, dependency and workload management.
 Design parameter driven orchestration to allow for change data capture and monitoring.
 Develop and implement scripts for data process maintenance, monitoring, and performance tuning.
 Test and document data processes through data validation and verification procedures.
 Collaborate with cross functional team to resolve data quality and operational issues.
 Ensure delivered solutions meet/perform to technical and functional/non\-functional requirements.
 Ensure delivered solutions are realized in time frame committed.
 Provide technical guidance and mentorship to junior engineers, ensuring best practices in data engineering.
 Maintain overall industry knowledge on latest trends, technology, etc.
**Licensure, Registration and/or Certification Required:**
 Must have experience in data transformation and data pipeline development using GUI based tools or programming languages like SQL and Python.
**Education Required:**
 Bachelor's Degree in Computer Science or related field.
**Experience Required:**
 Typically requires 5 years of experience in at least two IT disciplines, including database management, cloud engineering, data engineering and middleware technologies. Includes 2 years of work experience with cloud platforms, including experience with data integration, performance optimization, and platform administration
**Knowledge, Skills \&amp; Abilities Required:**
 Experience defining, designing, and developing solutions with data integration platforms/tools
 Proven experience building and optimizing data pipelines, and data sets.
 Advanced working SQL knowledge and experience working with relational databases, query authoring (SQL) as well as working familiarity with a variety of databases.
 Hands\-on experience working with cloud based modern ETL/ELT tools and technologies like Fivetran, HVR, dbt, Airflow etc.
 Proficiency in Python and SQL for scripting and building data transformation processes is preferred.
 Experience in test automation with a focus on testing integrations, including APIs and data flows between enterprise systems.
 Must have experience with DevOps tool chains and processes.
 Understanding and exposure to Snowflake Data Cloud
**Apex Benefits Overview:** 
 Apex offers a range of supplemental benefits, including medical, dental, vision, life, disability, and other insurance plans that offer an optional layer of financial protection. We offer an ESPP (employee stock purchase program) and a 401K program which allows you to contribute typically within 30 days of starting, with a company match after 12 months of tenure. Apex also offers a HSA (Health Savings Account on the HDHP plan), a SupportLinc Employee Assistance Program (EAP) with up to 8 free counseling sessions, a corporate discount savings program and other discounts. In terms of professional development, Apex hosts an on\-demand training program, provides access to certification prep and a library of technical and leadership courses/books/seminars once you have 6\+ months of tenure, and certification discounts and other perks to associations that include CompTIA and IIBA. Apex has a dedicated customer service team for our Consultants that can address questions around benefits and other resources, as well as a certified Career Coach. You can access a full list of our benefits, programs, support teams and resources within our 'Welcome Packet' as well, which an Apex team member can provide.
**EEO Employer**
 Apex Systems is an equal opportunity employer. We do not discriminate or allow discrimination on the basis of race, color, religion, creed, sex (including pregnancy, childbirth, breastfeeding, or related medical conditions), age, sexual orientation, gender identity, national origin, ancestry, citizenship, genetic information, registered domestic partner status, marital status, disability, status as a crime victim, protected veteran status, political affiliation, union membership, or any other characteristic protected by law. Apex will consider qualified applicants with criminal histories in a manner consistent with the requirements of applicable law. If you have visited our website in search of information on employment opportunities or to apply for a position, and you require an accommodation in using our website for a search or application, please contact our Employee Services Department at or .
 Apex Systems is a world\-class IT services company that serves thousands of clients across the globe. When you join Apex, you become part of a team that values innovation, collaboration, and continuous learning. We offer quality career resources, training, certifications, development opportunities, and a comprehensive benefits package. Our commitment to excellence is reflected in many awards, including ClearlyRated's Best of Staffing in Talent Satisfaction in the United States and Great Place to Work in the United Kingdom and Mexico.
 Apex Systems is a world\-class IT services company that serves thousands of clients across the globe. When you join Apex, you become part of a team that values innovation, collaboration, and continuous learning. We offer quality career resources, training, certifications, development opportunities, and a comprehensive benefits package. Our commitment to excellence is reflected in many awards, including ClearlyRated's Best of Staffing in Talent Satisfaction in the United States and Great Place to Work in the United Kingdom and Mexico. Apex uses a virtual recruiter as part of the application process. Click for more details.
**Apex Benefits Overview:** 
 Apex offers a range of supplemental benefits, including medical, dental, vision, life, disability, and other insurance plans that offer an optional layer of financial protection. We offer an ESPP (employee stock purchase program) and a 401K program which allows you to contribute typically within 30 days of starting, with a company match after 12 months of tenure. Apex also offers a HSA (Health Savings Account on the HDHP plan), a SupportLinc Employee Assistance Program (EAP) with up to 8 free counseling sessions, a corporate discount savings program and other discounts. In terms of professional development, Apex hosts an on\-demand training program, provides access to certification prep and a library of technical and leadership courses/books/seminars once you have 6\+ months of tenure, and certification discounts and other perks to associations that include CompTIA and IIBA. Apex has a dedicated customer service team for our Consultants that can address questions around benefits and other resources, as well as a certified Career Coach. You can access a full list of our benefits, programs, support teams and resources within our 'Welcome Packet' as well, which an Apex team member can provide.</t>
        </is>
      </c>
    </row>
    <row r="65">
      <c r="A65" t="inlineStr">
        <is>
          <t>li-4379177925</t>
        </is>
      </c>
      <c r="B65" t="inlineStr">
        <is>
          <t>Data Engineer/Data Scientist onsite in Nashville</t>
        </is>
      </c>
      <c r="C65" t="inlineStr">
        <is>
          <t>Capgemini</t>
        </is>
      </c>
      <c r="D65" t="inlineStr">
        <is>
          <t>linkedin</t>
        </is>
      </c>
      <c r="E65">
        <f>HYPERLINK("https://www.linkedin.com/jobs/view/4379177925", "https://www.linkedin.com/jobs/view/4379177925")</f>
        <v/>
      </c>
      <c r="F65" t="inlineStr"/>
      <c r="G65" t="inlineStr">
        <is>
          <t>North Carolina, United States</t>
        </is>
      </c>
      <c r="H65" t="inlineStr"/>
      <c r="I65" t="inlineStr">
        <is>
          <t>**Thanks for your interest, please apply only after reading 1 to 4\. You must work 100% in office in Nashville not remote from North Carolina, relocate at your own expense.** 
1. **You must starts April 13th 2026 at the 6 weeks training session, not able to start after**
2. **You must have graduated 2025 and before not graduating in 2026\.**
3. **You must have 1 year\+ minimum post graduate experience in AWS or Azure or Databricks or Google Cloud (internship experience not included)**
4. **You must work full time, not a contractor and no C2C**
**About the Role** 
 We are seeking a skilled
 **Data Engineer** 
 with hands\-on experience in
 **Databricks or AWS or Azure or Google Cloud Platform (GCP)** 
 to design, build, and optimize data pipelines and analytics solutions. The ideal candidate will have a strong background in distributed data processing, cloud architecture, and data modeling. This role partners closely with data analysts, data scientists, and business stakeholders to deliver scalable, reliable, and high‑quality data products.
**Key Responsibilities** 
**Data Engineering \&amp; Pipeline Development** 
* Design, build, and maintain
 **ETL/ELT pipelines** 
 using Databricks (PySpark, Delta Lake).
* Optimize pipelines for performance, cost efficiency, and scalability within GCP.
* Develop batch and streaming data processes using Spark Streaming, and related technologies.
**Cloud Architecture \&amp; Platform Engineering** 
* Implement data solutions leveraging
 **GCP services** 
 such as BigQuery, Cloud Storage, Dataflow, Cloud Composer, and Vertex AI integrations.
* Apply best practices for cloud security, IAM configuration, monitoring, and cost management.
**Data Modeling \&amp; Quality** 
* Build and maintain
 **data models** 
 , including dimensional modeling and data vault structures.
* Implement data quality frameworks, validation rules, and automated testing.
* Manage data versioning, governance, and lineage using tools such as Unity Catalog or GCP Data Catalog.
**Collaboration \&amp; Stakeholder Engagement** 
* Partner with cross‑functional teams to gather requirements and translate them into technical designs.
* Provide technical guidance and influence engineering best practices across the team.
* Contribute to documentation, architectural diagrams, and knowledge sharing.
**Required Qualifications** 
* 1\+ years of experience as a Data Engineer or similar role.
* Strong hands\-on experience with
 **Databricks** 
 , including:
* PySpark/Spark
* Delta Lake
* Databricks workflows/jobs
* Proficiency with
 **GCP** 
 :
* BigQuery
* Cloud Storage
* Dataflow or Dataproc
* Strong coding skills in
 **Python** 
 and SQL.
* Solid understanding of distributed systems, data warehousing, and data architecture principles.
* Experience with CI/CD tools (GitHub, GitLab, Azure DevOps, or similar).
**Preferred Qualifications** 
* Databricks or GCP certifications (e.g., Data Engineer, Architect).
* Experience with Terraform or other Infrastructure\-as\-Code tools.
* Knowledge of ML workflows or MLOps frameworks.
* Familiarity with data governance tools (Unity Catalog, Great Expectations, dbt, etc.).
**Soft Skills** 
* Excellent problem\-solving and analytical abilities.
* Strong communication skills and the ability to work effectively with technical and non\-technical teams.
* Growth mindset and passion for continuous learning and innovation.
 The base compensation range for this role in the posted location is $46,400 to $111,090\.
 Capgemini provides compensation range information in accordance with applicable national, state, provincial, and local pay transparency laws. The base compensation range listed for this position reflects the minimum and maximum target compensation Capgemini, in good faith, believes it may pay for the role at the time of this posting. This range may be subject to change as permitted by law.
 The actual compensation offered to any candidate may fall outside of the posted range and will be determined based on multiple factors legally permitted in the applicable jurisdiction. These may include, but are not limited to: Geographic location, Education and qualifications, Certifications and licenses, Relevant experience and skills, Seniority and performance, Market and business consideration, Internal pay equity.
 It is not typical for candidates to be hired at or near the top of the posted compensation range.
 In addition to base salary, this role may be eligible for additional compensation such as variable incentives, bonuses, or commissions, depending on the position and applicable laws.
**Capgemini offers a comprehensive, non\-negotiable benefits package to all regular, full\-time employees.** 
 In the U.S. and Canada, available benefits are determined by local policy and eligibility and may include:
* Paid time off based on employee grade (A\-F), defined by policy: Vacation: 12\-25 days, depending on grade, Company paid holidays, Personal Days, Sick Leave
* Medical, dental, and vision coverage (or provincial healthcare coordination in Canada)
* Retirement savings plans (e.g., 401(k) in the U.S., RRSP in Canada)
* Life and disability insurance
* Employee assistance programs
* Other benefits as provided by local policy and eligibility
**Important Notice:** 
 Compensation (including bonuses, commissions, or other forms of incentive pay) is not considered earned, vested, or payable until it becomes due under the terms of applicable plans or agreements and is subject to Capgemini’s discretion, consistent with applicable laws. The Company reserves the right to amend or withdraw compensation programs at any time, within the limits of applicable legislation.
**Disclaimers** 
 Capgemini is an Equal Opportunity Employer encouraging inclusion in the workplace. Capgemini also participates in the Partnership Accreditation in Indigenous Relations (PAIR) program which supports meaningful engagement with Indigenous communities across Canada by promoting fairness, accessibility, inclusion and respect. We value the rich cultural heritage and contributions of Indigenous Peoples and actively work to create a welcoming and respectful environment. All qualified applicants will receive consideration for employment without regard to race, national origin, gender identity/expression, age, religion, disability, sexual orientation, genetics, veteran status, marital status or any other characteristic protected by law.
 This is a general description of the Duties, Responsibilities and Qualifications required for this position. Physical, mental, sensory or environmental demands may be referenced in an attempt to communicate the manner in which this position traditionally is performed. Whenever necessary to provide individuals with disabilities an equal employment opportunity, Capgemini will consider reasonable accommodations that might involve varying job requirements and/or changing the way this job is performed, provided that such accommodation does not pose an undue hardship. Capgemini is committed to providing reasonable accommodation during our recruitment process. If you need assistance or accommodation, please reach out to your recruiting contact.
 Please be aware that Capgemini may capture your image (video or screenshot) during the interview process and that image may be used for verification, including during the hiring and onboarding process.
 Click the following link for more information on your rights as an Applicant in the United States.
 **http://www.capgemini.com/resources/equal\-employment\-opportunity\-is\-the\-law** 
 Capgemini is a global business and technology transformation partner, helping organizations to accelerate their dual transition to a digital and sustainable world, while creating tangible impact for enterprises and society. It is a responsible and diverse group of 340,000 team members in more than 50 countries. With its strong over 55\-year heritage, Capgemini is trusted by its clients to unlock the value of technology to address the entire breadth of their business needs. It delivers end\-to\-end services and solutions leveraging strengths from strategy and design to engineering, all fueled by its market leading capabilities in AI, generative AI, cloud and data, combined with its deep industry expertise and partner ecosystem.</t>
        </is>
      </c>
    </row>
    <row r="66">
      <c r="A66" t="inlineStr">
        <is>
          <t>li-4379401001</t>
        </is>
      </c>
      <c r="B66" t="inlineStr">
        <is>
          <t>Data Engineer/Data Scientist onsite in Nashville</t>
        </is>
      </c>
      <c r="C66" t="inlineStr">
        <is>
          <t>Capgemini</t>
        </is>
      </c>
      <c r="D66" t="inlineStr">
        <is>
          <t>linkedin</t>
        </is>
      </c>
      <c r="E66">
        <f>HYPERLINK("https://www.linkedin.com/jobs/view/4379401001", "https://www.linkedin.com/jobs/view/4379401001")</f>
        <v/>
      </c>
      <c r="F66" t="inlineStr"/>
      <c r="G66" t="inlineStr">
        <is>
          <t>Texas, United States</t>
        </is>
      </c>
      <c r="H66" t="inlineStr"/>
      <c r="I66" t="inlineStr">
        <is>
          <t>**Thanks for your interest, please apply only after reading 1 to 4\. You must work 100% in office in Nashville not remote from North Carolina, relocate at your own expense.** 
**You must starts April 13th 2026 at the 6 weeks training session, not able to start after** 
**You must have graduated 2025 and before not graduating in 2026\.** 
**You must have 1 year\+ minimum post graduate experience in AWS or Azure or Databricks or Google Cloud (internship experience not included)** 
**You must work full time, not a contractor and no C2C** 
**About the Role** 
 We are seeking a skilled Data Engineer with hands\-on experience in
 **Databricks or AWS or Azure or Google Cloud Platform (GCP)** 
 to design, build, and optimize data pipelines and analytics solutions. The ideal candidate will have a strong background in distributed data processing, cloud architecture, and data modeling. This role partners closely with data analysts, data scientists, and business stakeholders to deliver scalable, reliable, and high‑quality data products.
**Key Responsibilities** 
 Data Engineering \&amp; Pipeline Development
 Design, build, and maintain ETL/ELT pipelines using Databricks (PySpark, Delta Lake).
 Optimize pipelines for performance, cost efficiency, and scalability within GCP.
 Develop batch and streaming data processes using Spark Streaming, and related technologies.
 Cloud Architecture \&amp; Platform Engineering
 Implement data solutions leveraging GCP services such as BigQuery, Cloud Storage, Dataflow, Cloud Composer, and Vertex AI integrations.
 Apply best practices for cloud security, IAM configuration, monitoring, and cost management.
 Data Modeling \&amp; Quality
 Build and maintain data models, including dimensional modeling and data vault structures.
 Implement data quality frameworks, validation rules, and automated testing.
 Manage data versioning, governance, and lineage using tools such as Unity Catalog or GCP Data Catalog.
 Collaboration \&amp; Stakeholder Engagement
 Partner with cross‑functional teams to gather requirements and translate them into technical designs.
 Provide technical guidance and influence engineering best practices across the team.
 Contribute to documentation, architectural diagrams, and knowledge sharing.
**Required Qualifications** 
 1\+ years of experience as a Data Engineer or similar role.
 Strong hands\-on experience with Databricks, including:
 PySpark/Spark
 Delta Lake
 Databricks workflows/jobs
 Proficiency with GCP:
 BigQuery
 Cloud Storage
 Dataflow or Dataproc
 Strong coding skills in Python and SQL.
 Solid understanding of distributed systems, data warehousing, and data architecture principles.
 Experience with CI/CD tools (GitHub, GitLab, Azure DevOps, or similar).
 Preferred Qualifications
 Databricks or GCP certifications (e.g., Data Engineer, Architect).
 Experience with Terraform or other Infrastructure\-as\-Code tools.
 Knowledge of ML workflows or MLOps frameworks.
 Familiarity with data governance tools (Unity Catalog, Great Expectations, dbt, etc.).
 Soft Skills
 Excellent problem\-solving and analytical abilities.
 Strong communication skills and the ability to work effectively with technical and non\-technical teams.
 Growth mindset and passion for continuous learning and innovation.
 The base compensation range for this role in the posted location is $46,400 to $111,090\.
 Capgemini provides compensation range information in accordance with applicable national, state, provincial, and local pay transparency laws. The base compensation range listed for this position reflects the minimum and maximum target compensation Capgemini, in good faith, believes it may pay for the role at the time of this posting. This range may be subject to change as permitted by law.
 The actual compensation offered to any candidate may fall outside of the posted range and will be determined based on multiple factors legally permitted in the applicable jurisdiction. These may include, but are not limited to: Geographic location, Education and qualifications, Certifications and licenses, Relevant experience and skills, Seniority and performance, Market and business consideration, Internal pay equity.
 It is not typical for candidates to be hired at or near the top of the posted compensation range.
 In addition to base salary, this role may be eligible for additional compensation such as variable incentives, bonuses, or commissions, depending on the position and applicable laws.
 Capgemini offers a comprehensive, non\-negotiable benefits package to all regular, full\-time employees. In the U.S. and Canada, available benefits are determined by local policy and eligibility and may include:
 Paid time off based on employee grade (A\-F), defined by policy: Vacation: 12\-25 days, depending on grade, Company paid holidays, Personal Days, Sick Leave
 Medical, dental, and vision coverage (or provincial healthcare coordination in Canada)
 Retirement savings plans (e.g., 401(k) in the U.S., RRSP in Canada)
 Life and disability insurance
 Employee assistance programs
 Other benefits as provided by local policy and eligibility
 Important Notice: Compensation (including bonuses, commissions, or other forms of incentive pay) is not considered earned, vested, or payable until it becomes due under the terms of applicable plans or agreements and is subject to Capgemini’s discretion, consistent with applicable laws. The Company reserves the right to amend or withdraw compensation programs at any time, within the limits of applicable legislation.
 Disclaimers
 Capgemini is an Equal Opportunity Employer encouraging inclusion in the workplace. Capgemini also participates in the Partnership Accreditation in Indigenous Relations (PAIR) program which supports meaningful engagement with Indigenous communities across Canada by promoting fairness, accessibility, inclusion and respect. We value the rich cultural heritage and contributions of Indigenous Peoples and actively work to create a welcoming and respectful environment. All qualified applicants will receive consideration for employment without regard to race, national origin, gender identity/expression, age, religion, disability, sexual orientation, genetics, veteran status, marital status or any other characteristic protected by law.
 This is a general description of the Duties, Responsibilities and Qualifications required for this position. Physical, mental, sensory or environmental demands may be referenced in an attempt to communicate the manner in which this position traditionally is performed. Whenever necessary to provide individuals with disabilities an equal employment opportunity, Capgemini will consider reasonable accommodations that might involve varying job requirements and/or changing the way this job is performed, provided that such accommodation does not pose an undue hardship. Capgemini is committed to providing reasonable accommodation during our recruitment process. If you need assistance or accommodation, please reach out to your recruiting contact.
 Please be aware that Capgemini may capture your image (video or screenshot) during the interview process and that image may be used for verification, including during the hiring and onboarding process.
 Click the following link for more information on your rights as an Applicant in the United States. http://www.capgemini.com/resources/equal\-employment\-opportunity\-is\-the\-law
 Capgemini is a global business and technology transformation partner, helping organizations to accelerate their dual transition to a digital and sustainable world, while creating tangible impact for enterprises and society. It is a responsible and diverse group of 340,000 team members in more than 50 countries. With its strong over 55\-year heritage, Capgemini is trusted by its clients to unlock the value of technology to address the entire breadth of their business needs. It delivers end\-to\-end services and solutions leveraging strengths from strategy and design to engineering, all fueled by its market leading capabilities in AI, generative AI, cloud and data, combined with its deep industry expertise and partner ecosystem.</t>
        </is>
      </c>
    </row>
    <row r="67">
      <c r="A67" t="inlineStr">
        <is>
          <t>li-4379193439</t>
        </is>
      </c>
      <c r="B67" t="inlineStr">
        <is>
          <t>Data Engineer/Data Scientist onsite in Nashville</t>
        </is>
      </c>
      <c r="C67" t="inlineStr">
        <is>
          <t>Capgemini</t>
        </is>
      </c>
      <c r="D67" t="inlineStr">
        <is>
          <t>linkedin</t>
        </is>
      </c>
      <c r="E67">
        <f>HYPERLINK("https://www.linkedin.com/jobs/view/4379193439", "https://www.linkedin.com/jobs/view/4379193439")</f>
        <v/>
      </c>
      <c r="F67" t="inlineStr"/>
      <c r="G67" t="inlineStr">
        <is>
          <t>Illinois, United States</t>
        </is>
      </c>
      <c r="H67" t="inlineStr"/>
      <c r="I67" t="inlineStr">
        <is>
          <t>**Thanks for your interest, please apply only after reading 1 to 4\. You must work 100% in office in Nashville not remote from Chicago, relocate at your own expense.** 
**You must starts April 13th 2026 at the 6 weeks training session, not able to start after** 
**You must have graduated 2025 and before not graduating in 2026\.** 
**You must have 1 year\+ minimum post graduate experience in AWS or Azure or Databricks or Google Cloud (internship experience not included)** 
**You must work full time, not a contractor and no C2C** 
**About the Role** 
 We are seeking a skilled Data Engineer with hands\-on experience in
 **Databricks or AWS or Azure or Google Cloud Platform (GCP)** 
 to design, build, and optimize data pipelines and analytics solutions. The ideal candidate will have a strong background in distributed data processing, cloud architecture, and data modeling. This role partners closely with data analysts, data scientists, and business stakeholders to deliver scalable, reliable, and high‑quality data products.
**Key Responsibilities** 
 Data Engineering \&amp; Pipeline Development
 Design, build, and maintain ETL/ELT pipelines using Databricks (PySpark, Delta Lake).
 Optimize pipelines for performance, cost efficiency, and scalability within GCP.
 Develop batch and streaming data processes using Spark Streaming, and related technologies.
 Cloud Architecture \&amp; Platform Engineering
 Implement data solutions leveraging GCP services such as BigQuery, Cloud Storage, Dataflow, Cloud Composer, and Vertex AI integrations.
 Apply best practices for cloud security, IAM configuration, monitoring, and cost management.
 Data Modeling \&amp; Quality
 Build and maintain data models, including dimensional modeling and data vault structures.
 Implement data quality frameworks, validation rules, and automated testing.
 Manage data versioning, governance, and lineage using tools such as Unity Catalog or GCP Data Catalog.
 Collaboration \&amp; Stakeholder Engagement
 Partner with cross‑functional teams to gather requirements and translate them into technical designs.
 Provide technical guidance and influence engineering best practices across the team.
 Contribute to documentation, architectural diagrams, and knowledge sharing.
**Required Qualifications** 
 1\+ years of experience as a Data Engineer or similar role.
 Strong hands\-on experience with Databricks, including:
 PySpark/Spark
 Delta Lake
 Databricks workflows/jobs
 Proficiency with GCP:
 BigQuery
 Cloud Storage
 Dataflow or Dataproc
 Strong coding skills in Python and SQL.
 Solid understanding of distributed systems, data warehousing, and data architecture principles.
 Experience with CI/CD tools (GitHub, GitLab, Azure DevOps, or similar).
 Preferred Qualifications
 Databricks or GCP certifications (e.g., Data Engineer, Architect).
 Experience with Terraform or other Infrastructure\-as\-Code tools.
 Knowledge of ML workflows or MLOps frameworks.
 Familiarity with data governance tools (Unity Catalog, Great Expectations, dbt, etc.).
 Soft Skills
 Excellent problem\-solving and analytical abilities.
 Strong communication skills and the ability to work effectively with technical and non\-technical teams.
 Growth mindset and passion for continuous learning and innovation.
 The base compensation range for this role in the posted location is $46,400 to $111,090\.
 Capgemini provides compensation range information in accordance with applicable national, state, provincial, and local pay transparency laws. The base compensation range listed for this position reflects the minimum and maximum target compensation Capgemini, in good faith, believes it may pay for the role at the time of this posting. This range may be subject to change as permitted by law.
 The actual compensation offered to any candidate may fall outside of the posted range and will be determined based on multiple factors legally permitted in the applicable jurisdiction. These may include, but are not limited to: Geographic location, Education and qualifications, Certifications and licenses, Relevant experience and skills, Seniority and performance, Market and business consideration, Internal pay equity.
 It is not typical for candidates to be hired at or near the top of the posted compensation range.
 In addition to base salary, this role may be eligible for additional compensation such as variable incentives, bonuses, or commissions, depending on the position and applicable laws.
 Capgemini offers a comprehensive, non\-negotiable benefits package to all regular, full\-time employees. In the U.S. and Canada, available benefits are determined by local policy and eligibility and may include:
 Paid time off based on employee grade (A\-F), defined by policy: Vacation: 12\-25 days, depending on grade, Company paid holidays, Personal Days, Sick Leave
 Medical, dental, and vision coverage (or provincial healthcare coordination in Canada)
 Retirement savings plans (e.g., 401(k) in the U.S., RRSP in Canada)
 Life and disability insurance
 Employee assistance programs
 Other benefits as provided by local policy and eligibility
 Important Notice: Compensation (including bonuses, commissions, or other forms of incentive pay) is not considered earned, vested, or payable until it becomes due under the terms of applicable plans or agreements and is subject to Capgemini’s discretion, consistent with applicable laws. The Company reserves the right to amend or withdraw compensation programs at any time, within the limits of applicable legislation.
 Disclaimers
 Capgemini is an Equal Opportunity Employer encouraging inclusion in the workplace. Capgemini also participates in the Partnership Accreditation in Indigenous Relations (PAIR) program which supports meaningful engagement with Indigenous communities across Canada by promoting fairness, accessibility, inclusion and respect. We value the rich cultural heritage and contributions of Indigenous Peoples and actively work to create a welcoming and respectful environment. All qualified applicants will receive consideration for employment without regard to race, national origin, gender identity/expression, age, religion, disability, sexual orientation, genetics, veteran status, marital status or any other characteristic protected by law.
 This is a general description of the Duties, Responsibilities and Qualifications required for this position. Physical, mental, sensory or environmental demands may be referenced in an attempt to communicate the manner in which this position traditionally is performed. Whenever necessary to provide individuals with disabilities an equal employment opportunity, Capgemini will consider reasonable accommodations that might involve varying job requirements and/or changing the way this job is performed, provided that such accommodation does not pose an undue hardship. Capgemini is committed to providing reasonable accommodation during our recruitment process. If you need assistance or accommodation, please reach out to your recruiting contact.
 Please be aware that Capgemini may capture your image (video or screenshot) during the interview process and that image may be used for verification, including during the hiring and onboarding process.
 Click the following link for more information on your rights as an Applicant in the United States. http://www.capgemini.com/resources/equal\-employment\-opportunity\-is\-the\-law
 Capgemini is a global business and technology transformation partner, helping organizations to accelerate their dual transition to a digital and sustainable world, while creating tangible impact for enterprises and society. It is a responsible and diverse group of 340,000 team members in more than 50 countries. With its strong over 55\-year heritage, Capgemini is trusted by its clients to unlock the value of technology to address the entire breadth of their business needs. It delivers end\-to\-end services and solutions leveraging strengths from strategy and design to engineering, all fueled by its market leading capabilities in AI, generative AI, cloud and data, combined with its deep industry expertise and partner ecosystem.</t>
        </is>
      </c>
    </row>
    <row r="68">
      <c r="A68" t="inlineStr">
        <is>
          <t>li-4380309792</t>
        </is>
      </c>
      <c r="B68" t="inlineStr">
        <is>
          <t>Analytics Engineer</t>
        </is>
      </c>
      <c r="C68" t="inlineStr">
        <is>
          <t>Westchester Medical Center Health Network</t>
        </is>
      </c>
      <c r="D68" t="inlineStr">
        <is>
          <t>linkedin</t>
        </is>
      </c>
      <c r="E68">
        <f>HYPERLINK("https://www.linkedin.com/jobs/view/4380309792", "https://www.linkedin.com/jobs/view/4380309792")</f>
        <v/>
      </c>
      <c r="F68" t="inlineStr"/>
      <c r="G68" t="inlineStr">
        <is>
          <t>Valhalla, NY</t>
        </is>
      </c>
      <c r="H68" t="inlineStr"/>
      <c r="I68" t="inlineStr">
        <is>
          <t>Job Summary: As an Analytics Engineer within the Operational Excellence \# Enterprise Analytics Department, you will be responsible for expanding and optimizing our network enterprise data warehouse, thus enabling our organization to make data\-driven decisions and improvements. The ideal candidate has skills as a data pipeline developer and data wrangler who enjoys optimizing data systems and building them from the ground up. You must be self\-directed and comfortable supporting the data needs of multiple teams and systems in the clinical and non\-clinical domains. The right candidate will be excited by the prospect of optimizing or even re\-designing our company\#s data architecture to enable data\-driven decision making for strategic, operational, and clinical domains. \# Responsibilities: Build the infrastructure required for optimal extraction, loading, and transformation (ELT) of data into our enterprise data warehouse (EDW) from a wide variety of data sources using SQL and Cloud data warehousing technologies (Azure, AWS, Snowflake, etc.). Create and maintain optimal data pipeline ingestion architecture for various unstructured and structured data sources. Strong business process acumen with the ability to attribute how specific clinical or non\-clinical business processes generate data. With a comprehensive understanding of how our operational processes generate data, develop the transformation logic to establish structured and analytical data repositories across various domains. Using data orchestration and scheduling techniques, combine and organize siloed data from multiple data storage locations, making it available for data analysis tools and enabling automation. Develop and maintain front\-end analytics tools and dashboards (Tableau/Power BI) that utilize the data pipeline to provide actionable insights into operational performance and other key business performance metrics. Successfully implement sound data cataloging \# and analytics development best practices to create organized inventories and source control which aid in data governance. Ensure data quality \# governance at the enterprise level by utilizing data lineage techniques and following standard data documentation practices. Collaborate with stakeholders including Executive leadership, Operations Management, Data and Design teams to assist with data\-related technical issues and support their data infrastructure needs. Ensure internal and external data security standards are maintained to safeguard our enterprise and patient data. Provide recommendations to enhance our data engineering techniques and architecture design. Create data tools and collaborate with management engineering, analytics, and data scientist team members to assist them in building and optimizing various analytics solutions. Utilize agile skills that draw from other disciplines such as management consulting, business administration, organizational development, information technology, and computer science. Qualifications/Requirements: Experience: Minimum of 1 year of experience in an Analytics Engineer role, with an undergraduate degree in Computer Science, Statistics, Informatics, Information Systems, or another quantitative field, required. Proficiency in SQL, required CI/CD development experience for data transformation with SQL, highly preferred Experience with Cloud Data Warehouse architecture (Snowflake/Azure), preferred Experience with Python, R, or other programming language, preferred Education: Bachelor\#s degree, required, Master\#s degree, preferred. \# Licenses / Certifications: N/A \# Skills: Experience in SQL development, table design, pipeline design and build, pipeline monitoring, orchestration \# scheduling, data profiling, expertise in analyzing data to identify gaps and inconsistencies, troubleshooting, dashboard development/visualization, Cloud EDWs (Snowflake/Azure preferred), Data modeling, Data documentation, SSMS, SQL Server, SSIS Visual Studio. Excellent written and verbal communication with a strong drive for perfection/professionalism in delivery and presentation. Proven ability to work both independently on projects and as part of a larger team. Advanced proficiency in statistics and statistical software with an ability to visualize data for improvement/performance monitoring. \# Special Requirements: \# Physical Requirements:\# \# Physical Activity (please check one box): â˜\# Sedentary Work (involves sitting most of the time, occasionally walking and standing; requires lifting no more \#\#\# than 10 pounds at a time and/or occasionally lifting or carrying objects) \#\#\#\#\#\#\#\#\# â˜’\# Light Work (involves lifting no more than 20 pounds at a time with frequent lifting or carrying of objects \#\#\# weighing up to 10 pounds; requires moderate mobility to different work locations) \#\#\#\#\#\#\#\#\# â˜\# Medium Work (involves substantial physical activity and mobility; and lifting no more than 50 pounds at a time \#\#\#\#\#\#\#\#\# with frequent lifting or carrying of objects weighing up to 25 pounds.) \#\#\#\#\#\#\#\#\# â˜\# Heavy Work (involves some type of manual labor including operating heavy machinery/ equipment or physical \#\#\#\#\#\#\#\#\# labor; requires lifting no more than 100 pounds at a time with frequent lifting or carrying of objects weighing up \#\#\#\#\#\#\#\#\# to 50 pounds)</t>
        </is>
      </c>
    </row>
    <row r="69">
      <c r="A69" t="inlineStr">
        <is>
          <t>li-4326392749</t>
        </is>
      </c>
      <c r="B69" t="inlineStr">
        <is>
          <t>Senior Software Engineer - Data Engineering</t>
        </is>
      </c>
      <c r="C69" t="inlineStr">
        <is>
          <t>Abnormal AI</t>
        </is>
      </c>
      <c r="D69" t="inlineStr">
        <is>
          <t>linkedin</t>
        </is>
      </c>
      <c r="E69">
        <f>HYPERLINK("https://www.linkedin.com/jobs/view/4326392749", "https://www.linkedin.com/jobs/view/4326392749")</f>
        <v/>
      </c>
      <c r="F69">
        <f>HYPERLINK("https://abnormal.ai/careers/jobs/7548462003?gh_jid=7548462003&amp;gh_src=ff6e8ad03us&amp;urlHash=osA3", "https://abnormal.ai/careers/jobs/7548462003?gh_jid=7548462003&amp;gh_src=ff6e8ad03us&amp;urlHash=osA3")</f>
        <v/>
      </c>
      <c r="G69" t="inlineStr"/>
      <c r="H69" t="inlineStr"/>
      <c r="I69" t="inlineStr">
        <is>
          <t>**About The Role**
 Abnormal AI is investing strongly in building and supporting our world\-class data pipelines that power our AI\-native security platform at massive scale. As the founding member of our Data Engineering function, you will establish the technical and operational foundation for data excellence across the company. Your work will enable Abnormal to continue its steep growth trajectory while delivering enterprise\-grade reliability and performance.
 You’ll own the end\-to\-end reliability of the business\-critical data pipelines that fuel our AI models, everything from detection analytics to behavioral baselining systems to the data infrastructure backing our threat intelligence capabilities. As we expand globally and onboard increasingly large enterprises, you’ll architect systems that scale gracefully while maintaining 99\.9% availability.
 This is a high\-visibility, cross\-functional role. Your work will directly accelerate Data Science innovation, improve product quality for customers, and inform GTM and financial decisions across the organization. You will serve as the connective tissue between our Data Platform team and our Data Guild’s analytical expertise.
**What You Will Do**
* Own mission\-critical pipeline reliability: Take end\-to\-end ownership of our production data pipelines processing billions of messages weekly, ensuring 99\.9% uptime for revenue\-critical pipelines that directly enable sales and customer\-facing AI products
* Build self\-healing pipelines: Design and implement automated monitoring, testing, and recovery systems for data pipelines that eliminate manual intervention and reduce MTTR from hours to minutes
* Accelerate development velocity: Deploy CI/CD pipelines and self\-service platforms that reduce deployment time from 3\-5 days to under 2 hours, enabling Data Scientists to safely deploy models without engineering bottlenecks
* Architect for scale: Optimize data pipelines handling exponential annual growth, implementing cost\-effective solutions that support regional expansion and compliance requirements (GDPR, FedRAMP, SOC2\)
* Bridge technical and business domains: Partner with Sales, Finance, and Product teams to ensure data infrastructure aligns with business needs, making critical trade\-off decisions when pipelines impact revenue
* Establish data engineering excellence: Define best practices for dbt, Airflow, Spark usage, PII anonymization, and cross\-divisional data sharing while mentoring embedded Data Guild team members on these.
* Enable AI and accessible data consumption: Design and maintain an accessible semantic layer that provides consistent, trustworthy definitions and abstractions, making it easy for stakeholders to consume data and incorporate AI\-driven insights into their workflows.
**Must Haves**
* 6\+ years of software engineering experience in backend, distributed systems, or data\-focused roles.
* Proven experience designing and running large\-scale, production\-grade data pipelines.
* Proficiency in our stack: Python, Spark/PySpark, Airflow, SQL, dbt, Databricks, Snowflake, AWS.
* Proven track record of driving pipeline reliability to 99%\+ uptime, including SLAs, observability tooling, and automated recovery patterns.
* Strong systems\-thinking skills with the ability to debug complex distributed systems, optimize for performance and cost, and make architectural decisions balancing short\-term needs with long\-term scalability.
* Demonstrated ownership mindset and ability to drive projects from conception to production independently, including on\-call responsibilities for critical systems.
* Experience collaborating with Data Science, Analytics, Product, Finance, Marketing, and Sales, along with the ability to communicate technical decisions clearly to non\-technical stakeholders and executives.
* Bachelor’s degree in Computer Science, Applied Sciences, Information Systems or other related quantitative fields.
**Nice to Have**
* Experience building or operating AI/ML data pipelines, including data readiness for training and evaluation.
* Background in high\-growth environments where data volume doubles annually, requiring frequent re\-architecture and optimization.
* Experience with compliance frameworks such as GDPR, SOC2, FedRAMP, plus familiarity with PII handling and anonymization.
* Knowledge of multi\-region data architectures, cellular/multi\-tenant systems, or related large\-scale distributed design patterns.
* Background in cybersecurity, threat detection, or email security.
* Experience building internal developer tools for data scientists and analysts.
* Track record of mentorship, tech leadership, and driving cross\-functional initiatives.
* Advanced degree in Computer Science or related fields.
**Why This Role Matters**
 This is a founding role where you'll establish data engineering excellence at Abnormal and build the foundation that powers our next phase of growth. You'll have the autonomy to make critical technical decisions, the visibility to see your direct impact on business outcomes, and the potential opportunity to build a team and platform from the ground up. As we scale to protect more of the world's largest enterprises, your work will ensure our data pipeline infrastructure matches the world\-class standard of our security products.
 At Abnormal AI, certain roles are eligible for a bonus, restricted stock units (RSUs), and benefits. Individual compensation packages are based on factors unique to each candidate, including their skills, experience, qualifications and other job\-related reasons.
 Base salary range:
 $176,000—$207,000 USD
 Abnormal AI is an equal opportunity employer. Qualified applicants will receive consideration for employment without regard to race, color, religion, sex, national origin, disability, protected veteran status or other characteristics protected by law. For our EEO policy statement please
 *click here* 
 . If you would like more information on your EEO rights under the law, please
 *click here* 
 .</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2026-03-03T16:58:16Z</dcterms:created>
  <dcterms:modified xsi:type="dcterms:W3CDTF">2026-03-03T16:58:16Z</dcterms:modified>
</cp:coreProperties>
</file>