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2"/>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in-7edd363fc79b61cb</t>
        </is>
      </c>
      <c r="B2" t="inlineStr">
        <is>
          <t>Sr. Applied Scientist, Amazon Ads</t>
        </is>
      </c>
      <c r="C2" t="inlineStr">
        <is>
          <t>Amazon.com</t>
        </is>
      </c>
      <c r="D2" t="inlineStr">
        <is>
          <t>indeed</t>
        </is>
      </c>
      <c r="E2">
        <f>HYPERLINK("https://www.indeed.com/viewjob?jk=7edd363fc79b61cb", "https://www.indeed.com/viewjob?jk=7edd363fc79b61cb")</f>
        <v/>
      </c>
      <c r="F2">
        <f>HYPERLINK("https://www.amazon.jobs/jobs/3139328/sr-applied-scientist-amazon-ads?cmpid=DA_INAD200785B", "https://www.amazon.jobs/jobs/3139328/sr-applied-scientist-amazon-ads?cmpid=DA_INAD200785B")</f>
        <v/>
      </c>
      <c r="G2" t="inlineStr">
        <is>
          <t>New York, NY, US</t>
        </is>
      </c>
      <c r="H2" s="1" t="n">
        <v>45998</v>
      </c>
      <c r="I2"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3">
      <c r="A3" t="inlineStr">
        <is>
          <t>in-7312e73eb8801f21</t>
        </is>
      </c>
      <c r="B3" t="inlineStr">
        <is>
          <t>Sr. Applied Scientist, Amazon Ads</t>
        </is>
      </c>
      <c r="C3" t="inlineStr">
        <is>
          <t>Amazon.com</t>
        </is>
      </c>
      <c r="D3" t="inlineStr">
        <is>
          <t>indeed</t>
        </is>
      </c>
      <c r="E3">
        <f>HYPERLINK("https://www.indeed.com/viewjob?jk=7312e73eb8801f21", "https://www.indeed.com/viewjob?jk=7312e73eb8801f21")</f>
        <v/>
      </c>
      <c r="F3">
        <f>HYPERLINK("https://www.amazon.jobs/jobs/3139328/sr-applied-scientist-amazon-ads?cmpid=DA_INAD200785B", "https://www.amazon.jobs/jobs/3139328/sr-applied-scientist-amazon-ads?cmpid=DA_INAD200785B")</f>
        <v/>
      </c>
      <c r="G3" t="inlineStr">
        <is>
          <t>Brooklyn, NY, US</t>
        </is>
      </c>
      <c r="H3" s="1" t="n">
        <v>45998</v>
      </c>
      <c r="I3"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4">
      <c r="A4" t="inlineStr">
        <is>
          <t>in-10f92128022aa500</t>
        </is>
      </c>
      <c r="B4" t="inlineStr">
        <is>
          <t>Sr. Applied Scientist, Amazon Ads</t>
        </is>
      </c>
      <c r="C4" t="inlineStr">
        <is>
          <t>Amazon.com</t>
        </is>
      </c>
      <c r="D4" t="inlineStr">
        <is>
          <t>indeed</t>
        </is>
      </c>
      <c r="E4">
        <f>HYPERLINK("https://www.indeed.com/viewjob?jk=10f92128022aa500", "https://www.indeed.com/viewjob?jk=10f92128022aa500")</f>
        <v/>
      </c>
      <c r="F4">
        <f>HYPERLINK("https://www.amazon.jobs/jobs/3139328/sr-applied-scientist-amazon-ads?cmpid=DA_INAD200785B", "https://www.amazon.jobs/jobs/3139328/sr-applied-scientist-amazon-ads?cmpid=DA_INAD200785B")</f>
        <v/>
      </c>
      <c r="G4" t="inlineStr">
        <is>
          <t>Santa Monica, CA, US</t>
        </is>
      </c>
      <c r="H4" s="1" t="n">
        <v>45998</v>
      </c>
      <c r="I4"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5">
      <c r="A5" t="inlineStr">
        <is>
          <t>in-449a4268d54afab3</t>
        </is>
      </c>
      <c r="B5" t="inlineStr">
        <is>
          <t>Sr. Applied Scientist, Amazon Ads</t>
        </is>
      </c>
      <c r="C5" t="inlineStr">
        <is>
          <t>Amazon.com</t>
        </is>
      </c>
      <c r="D5" t="inlineStr">
        <is>
          <t>indeed</t>
        </is>
      </c>
      <c r="E5">
        <f>HYPERLINK("https://www.indeed.com/viewjob?jk=449a4268d54afab3", "https://www.indeed.com/viewjob?jk=449a4268d54afab3")</f>
        <v/>
      </c>
      <c r="F5">
        <f>HYPERLINK("https://www.amazon.jobs/jobs/3139328/sr-applied-scientist-amazon-ads?cmpid=DA_INAD200785B", "https://www.amazon.jobs/jobs/3139328/sr-applied-scientist-amazon-ads?cmpid=DA_INAD200785B")</f>
        <v/>
      </c>
      <c r="G5" t="inlineStr">
        <is>
          <t>Palo Alto, CA, US</t>
        </is>
      </c>
      <c r="H5" s="1" t="n">
        <v>45998</v>
      </c>
      <c r="I5"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
      <c r="A6" t="inlineStr">
        <is>
          <t>in-13ab10e2c2d47892</t>
        </is>
      </c>
      <c r="B6" t="inlineStr">
        <is>
          <t>Sr. Applied Scientist, Amazon Ads</t>
        </is>
      </c>
      <c r="C6" t="inlineStr">
        <is>
          <t>Amazon.com</t>
        </is>
      </c>
      <c r="D6" t="inlineStr">
        <is>
          <t>indeed</t>
        </is>
      </c>
      <c r="E6">
        <f>HYPERLINK("https://www.indeed.com/viewjob?jk=13ab10e2c2d47892", "https://www.indeed.com/viewjob?jk=13ab10e2c2d47892")</f>
        <v/>
      </c>
      <c r="F6">
        <f>HYPERLINK("https://www.amazon.jobs/jobs/3139328/sr-applied-scientist-amazon-ads?cmpid=DA_INAD200785B", "https://www.amazon.jobs/jobs/3139328/sr-applied-scientist-amazon-ads?cmpid=DA_INAD200785B")</f>
        <v/>
      </c>
      <c r="G6" t="inlineStr">
        <is>
          <t>Tukwila, WA, US</t>
        </is>
      </c>
      <c r="H6" s="1" t="n">
        <v>45998</v>
      </c>
      <c r="I6"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7">
      <c r="A7" t="inlineStr">
        <is>
          <t>in-aaa6e7b6a12975af</t>
        </is>
      </c>
      <c r="B7" t="inlineStr">
        <is>
          <t>Sr. Applied Scientist, Amazon Ads</t>
        </is>
      </c>
      <c r="C7" t="inlineStr">
        <is>
          <t>Amazon.com</t>
        </is>
      </c>
      <c r="D7" t="inlineStr">
        <is>
          <t>indeed</t>
        </is>
      </c>
      <c r="E7">
        <f>HYPERLINK("https://www.indeed.com/viewjob?jk=aaa6e7b6a12975af", "https://www.indeed.com/viewjob?jk=aaa6e7b6a12975af")</f>
        <v/>
      </c>
      <c r="F7">
        <f>HYPERLINK("https://www.amazon.jobs/jobs/3139328/sr-applied-scientist-amazon-ads?cmpid=DA_INAD200785B", "https://www.amazon.jobs/jobs/3139328/sr-applied-scientist-amazon-ads?cmpid=DA_INAD200785B")</f>
        <v/>
      </c>
      <c r="G7" t="inlineStr">
        <is>
          <t>Corvallis, OR, US</t>
        </is>
      </c>
      <c r="H7" s="1" t="n">
        <v>45998</v>
      </c>
      <c r="I7"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8">
      <c r="A8" t="inlineStr">
        <is>
          <t>in-2191f9140db1826b</t>
        </is>
      </c>
      <c r="B8" t="inlineStr">
        <is>
          <t>Sr. Applied Scientist, Amazon Ads</t>
        </is>
      </c>
      <c r="C8" t="inlineStr">
        <is>
          <t>Amazon.com</t>
        </is>
      </c>
      <c r="D8" t="inlineStr">
        <is>
          <t>indeed</t>
        </is>
      </c>
      <c r="E8">
        <f>HYPERLINK("https://www.indeed.com/viewjob?jk=2191f9140db1826b", "https://www.indeed.com/viewjob?jk=2191f9140db1826b")</f>
        <v/>
      </c>
      <c r="F8">
        <f>HYPERLINK("https://www.amazon.jobs/jobs/3139328/sr-applied-scientist-amazon-ads?cmpid=DA_INAD200785B", "https://www.amazon.jobs/jobs/3139328/sr-applied-scientist-amazon-ads?cmpid=DA_INAD200785B")</f>
        <v/>
      </c>
      <c r="G8" t="inlineStr">
        <is>
          <t>Seattle, WA, US</t>
        </is>
      </c>
      <c r="H8" s="1" t="n">
        <v>45998</v>
      </c>
      <c r="I8"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9">
      <c r="A9" t="inlineStr">
        <is>
          <t>in-0d9fda81a1eda978</t>
        </is>
      </c>
      <c r="B9" t="inlineStr">
        <is>
          <t>Sr. Applied Scientist, Amazon Ads</t>
        </is>
      </c>
      <c r="C9" t="inlineStr">
        <is>
          <t>Amazon.com</t>
        </is>
      </c>
      <c r="D9" t="inlineStr">
        <is>
          <t>indeed</t>
        </is>
      </c>
      <c r="E9">
        <f>HYPERLINK("https://www.indeed.com/viewjob?jk=0d9fda81a1eda978", "https://www.indeed.com/viewjob?jk=0d9fda81a1eda978")</f>
        <v/>
      </c>
      <c r="F9">
        <f>HYPERLINK("https://www.amazon.jobs/jobs/3139328/sr-applied-scientist-amazon-ads?cmpid=DA_INAD200785B", "https://www.amazon.jobs/jobs/3139328/sr-applied-scientist-amazon-ads?cmpid=DA_INAD200785B")</f>
        <v/>
      </c>
      <c r="G9" t="inlineStr">
        <is>
          <t>Boulder, CO, US</t>
        </is>
      </c>
      <c r="H9" s="1" t="n">
        <v>45998</v>
      </c>
      <c r="I9"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0">
      <c r="A10" t="inlineStr">
        <is>
          <t>in-d7912e78b5f014c3</t>
        </is>
      </c>
      <c r="B10" t="inlineStr">
        <is>
          <t>Sr. Applied Scientist, Amazon Ads</t>
        </is>
      </c>
      <c r="C10" t="inlineStr">
        <is>
          <t>Amazon.com</t>
        </is>
      </c>
      <c r="D10" t="inlineStr">
        <is>
          <t>indeed</t>
        </is>
      </c>
      <c r="E10">
        <f>HYPERLINK("https://www.indeed.com/viewjob?jk=d7912e78b5f014c3", "https://www.indeed.com/viewjob?jk=d7912e78b5f014c3")</f>
        <v/>
      </c>
      <c r="F10">
        <f>HYPERLINK("https://www.amazon.jobs/jobs/3139328/sr-applied-scientist-amazon-ads?cmpid=DA_INAD200785B", "https://www.amazon.jobs/jobs/3139328/sr-applied-scientist-amazon-ads?cmpid=DA_INAD200785B")</f>
        <v/>
      </c>
      <c r="G10" t="inlineStr">
        <is>
          <t>Sunnyvale, CA, US</t>
        </is>
      </c>
      <c r="H10" s="1" t="n">
        <v>45998</v>
      </c>
      <c r="I10"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1">
      <c r="A11" t="inlineStr">
        <is>
          <t>in-b0fe9acdcac88caa</t>
        </is>
      </c>
      <c r="B11" t="inlineStr">
        <is>
          <t>Sr. Applied Scientist, Amazon Ads</t>
        </is>
      </c>
      <c r="C11" t="inlineStr">
        <is>
          <t>Amazon.com</t>
        </is>
      </c>
      <c r="D11" t="inlineStr">
        <is>
          <t>indeed</t>
        </is>
      </c>
      <c r="E11">
        <f>HYPERLINK("https://www.indeed.com/viewjob?jk=b0fe9acdcac88caa", "https://www.indeed.com/viewjob?jk=b0fe9acdcac88caa")</f>
        <v/>
      </c>
      <c r="F11">
        <f>HYPERLINK("https://www.amazon.jobs/jobs/3139328/sr-applied-scientist-amazon-ads?cmpid=DA_INAD200785B", "https://www.amazon.jobs/jobs/3139328/sr-applied-scientist-amazon-ads?cmpid=DA_INAD200785B")</f>
        <v/>
      </c>
      <c r="G11" t="inlineStr">
        <is>
          <t>Boston, MA, US</t>
        </is>
      </c>
      <c r="H11" s="1" t="n">
        <v>45998</v>
      </c>
      <c r="I11"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2">
      <c r="A12" t="inlineStr">
        <is>
          <t>in-5f7701a182ccc85d</t>
        </is>
      </c>
      <c r="B12" t="inlineStr">
        <is>
          <t>Applied Scientist II, Prime Video - Personalization and Discovery Science, Personalization and Discovery Science</t>
        </is>
      </c>
      <c r="C12" t="inlineStr">
        <is>
          <t>Amazon.com</t>
        </is>
      </c>
      <c r="D12" t="inlineStr">
        <is>
          <t>indeed</t>
        </is>
      </c>
      <c r="E12">
        <f>HYPERLINK("https://www.indeed.com/viewjob?jk=5f7701a182ccc85d", "https://www.indeed.com/viewjob?jk=5f7701a182ccc85d")</f>
        <v/>
      </c>
      <c r="F12">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2" t="inlineStr">
        <is>
          <t>New York, NY, US</t>
        </is>
      </c>
      <c r="H12" s="1" t="n">
        <v>45930</v>
      </c>
      <c r="I1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in-fcbf11f1387bb3ca</t>
        </is>
      </c>
      <c r="B13" t="inlineStr">
        <is>
          <t>Applied Scientist II, Prime Video - Personalization and Discovery Science, Personalization and Discovery Science</t>
        </is>
      </c>
      <c r="C13" t="inlineStr">
        <is>
          <t>Amazon.com</t>
        </is>
      </c>
      <c r="D13" t="inlineStr">
        <is>
          <t>indeed</t>
        </is>
      </c>
      <c r="E13">
        <f>HYPERLINK("https://www.indeed.com/viewjob?jk=fcbf11f1387bb3ca", "https://www.indeed.com/viewjob?jk=fcbf11f1387bb3ca")</f>
        <v/>
      </c>
      <c r="F13">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3" t="inlineStr">
        <is>
          <t>Sunnyvale, CA, US</t>
        </is>
      </c>
      <c r="H13" s="1" t="n">
        <v>45930</v>
      </c>
      <c r="I1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in-62555f5c2dd9e762</t>
        </is>
      </c>
      <c r="B14" t="inlineStr">
        <is>
          <t>Applied Scientist II, Prime Video - Personalization and Discovery Science, Personalization and Discovery Science</t>
        </is>
      </c>
      <c r="C14" t="inlineStr">
        <is>
          <t>Amazon.com</t>
        </is>
      </c>
      <c r="D14" t="inlineStr">
        <is>
          <t>indeed</t>
        </is>
      </c>
      <c r="E14">
        <f>HYPERLINK("https://www.indeed.com/viewjob?jk=62555f5c2dd9e762", "https://www.indeed.com/viewjob?jk=62555f5c2dd9e762")</f>
        <v/>
      </c>
      <c r="F14">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4" t="inlineStr">
        <is>
          <t>Seattle, WA, US</t>
        </is>
      </c>
      <c r="H14" s="1" t="n">
        <v>45930</v>
      </c>
      <c r="I1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in-93b7cb2f24de2ff0</t>
        </is>
      </c>
      <c r="B15" t="inlineStr">
        <is>
          <t>Applied Scientist II, Prime Video - Personalization and Discovery Science</t>
        </is>
      </c>
      <c r="C15" t="inlineStr">
        <is>
          <t>Amazon.com</t>
        </is>
      </c>
      <c r="D15" t="inlineStr">
        <is>
          <t>indeed</t>
        </is>
      </c>
      <c r="E15">
        <f>HYPERLINK("https://www.indeed.com/viewjob?jk=93b7cb2f24de2ff0", "https://www.indeed.com/viewjob?jk=93b7cb2f24de2ff0")</f>
        <v/>
      </c>
      <c r="F15">
        <f>HYPERLINK("https://www.amazon.jobs/jobs/3059253/applied-scientist-ii-prime-video--personalization-and-discovery-science?cmpid=DA_INAD200785B", "https://www.amazon.jobs/jobs/3059253/applied-scientist-ii-prime-video--personalization-and-discovery-science?cmpid=DA_INAD200785B")</f>
        <v/>
      </c>
      <c r="G15" t="inlineStr">
        <is>
          <t>Seattle, WA, US</t>
        </is>
      </c>
      <c r="H15" s="1" t="n">
        <v>45881</v>
      </c>
      <c r="I1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in-05da49f34dec8b7c</t>
        </is>
      </c>
      <c r="B16" t="inlineStr">
        <is>
          <t>Sr. Applied Scientist, Prime Video - Personalization and Discovery Science</t>
        </is>
      </c>
      <c r="C16" t="inlineStr">
        <is>
          <t>Amazon.com</t>
        </is>
      </c>
      <c r="D16" t="inlineStr">
        <is>
          <t>indeed</t>
        </is>
      </c>
      <c r="E16">
        <f>HYPERLINK("https://www.indeed.com/viewjob?jk=05da49f34dec8b7c", "https://www.indeed.com/viewjob?jk=05da49f34dec8b7c")</f>
        <v/>
      </c>
      <c r="F16">
        <f>HYPERLINK("https://www.amazon.jobs/jobs/3059256/sr-applied-scientist-prime-video--personalization-and-discovery-science?cmpid=DA_INAD200785B", "https://www.amazon.jobs/jobs/3059256/sr-applied-scientist-prime-video--personalization-and-discovery-science?cmpid=DA_INAD200785B")</f>
        <v/>
      </c>
      <c r="G16" t="inlineStr">
        <is>
          <t>Sunnyvale, CA, US</t>
        </is>
      </c>
      <c r="H16" s="1" t="n">
        <v>45881</v>
      </c>
      <c r="I1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in-2435fbd64eb98968</t>
        </is>
      </c>
      <c r="B17" t="inlineStr">
        <is>
          <t>Applied Scientist II, Prime Video - Personalization and Discovery Science</t>
        </is>
      </c>
      <c r="C17" t="inlineStr">
        <is>
          <t>Amazon.com</t>
        </is>
      </c>
      <c r="D17" t="inlineStr">
        <is>
          <t>indeed</t>
        </is>
      </c>
      <c r="E17">
        <f>HYPERLINK("https://www.indeed.com/viewjob?jk=2435fbd64eb98968", "https://www.indeed.com/viewjob?jk=2435fbd64eb98968")</f>
        <v/>
      </c>
      <c r="F17">
        <f>HYPERLINK("https://www.amazon.jobs/jobs/3059253/applied-scientist-ii-prime-video--personalization-and-discovery-science?cmpid=DA_INAD200785B", "https://www.amazon.jobs/jobs/3059253/applied-scientist-ii-prime-video--personalization-and-discovery-science?cmpid=DA_INAD200785B")</f>
        <v/>
      </c>
      <c r="G17" t="inlineStr">
        <is>
          <t>New York, NY, US</t>
        </is>
      </c>
      <c r="H17" s="1" t="n">
        <v>45881</v>
      </c>
      <c r="I1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8">
      <c r="A18" t="inlineStr">
        <is>
          <t>in-43e323f1bcd00105</t>
        </is>
      </c>
      <c r="B18" t="inlineStr">
        <is>
          <t>Sr. Applied Scientist, Prime Video - Personalization and Discovery Science</t>
        </is>
      </c>
      <c r="C18" t="inlineStr">
        <is>
          <t>Amazon.com</t>
        </is>
      </c>
      <c r="D18" t="inlineStr">
        <is>
          <t>indeed</t>
        </is>
      </c>
      <c r="E18">
        <f>HYPERLINK("https://www.indeed.com/viewjob?jk=43e323f1bcd00105", "https://www.indeed.com/viewjob?jk=43e323f1bcd00105")</f>
        <v/>
      </c>
      <c r="F18">
        <f>HYPERLINK("https://www.amazon.jobs/jobs/3059256/sr-applied-scientist-prime-video--personalization-and-discovery-science?cmpid=DA_INAD200785B", "https://www.amazon.jobs/jobs/3059256/sr-applied-scientist-prime-video--personalization-and-discovery-science?cmpid=DA_INAD200785B")</f>
        <v/>
      </c>
      <c r="G18" t="inlineStr">
        <is>
          <t>New York, NY, US</t>
        </is>
      </c>
      <c r="H18" s="1" t="n">
        <v>45881</v>
      </c>
      <c r="I1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9">
      <c r="A19" t="inlineStr">
        <is>
          <t>in-b6e657b2d421d8b2</t>
        </is>
      </c>
      <c r="B19" t="inlineStr">
        <is>
          <t>Sr. Applied Scientist, Prime Video - Personalization and Discovery Science</t>
        </is>
      </c>
      <c r="C19" t="inlineStr">
        <is>
          <t>Amazon.com</t>
        </is>
      </c>
      <c r="D19" t="inlineStr">
        <is>
          <t>indeed</t>
        </is>
      </c>
      <c r="E19">
        <f>HYPERLINK("https://www.indeed.com/viewjob?jk=b6e657b2d421d8b2", "https://www.indeed.com/viewjob?jk=b6e657b2d421d8b2")</f>
        <v/>
      </c>
      <c r="F19">
        <f>HYPERLINK("https://www.amazon.jobs/jobs/3059256/sr-applied-scientist-prime-video--personalization-and-discovery-science?cmpid=DA_INAD200785B", "https://www.amazon.jobs/jobs/3059256/sr-applied-scientist-prime-video--personalization-and-discovery-science?cmpid=DA_INAD200785B")</f>
        <v/>
      </c>
      <c r="G19" t="inlineStr">
        <is>
          <t>Seattle, WA, US</t>
        </is>
      </c>
      <c r="H19" s="1" t="n">
        <v>45881</v>
      </c>
      <c r="I1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0">
      <c r="A20" t="inlineStr">
        <is>
          <t>in-dcaa52c7ebf5f9b2</t>
        </is>
      </c>
      <c r="B20" t="inlineStr">
        <is>
          <t>Applied Scientist II, Prime Video - Personalization and Discovery Science</t>
        </is>
      </c>
      <c r="C20" t="inlineStr">
        <is>
          <t>Amazon.com</t>
        </is>
      </c>
      <c r="D20" t="inlineStr">
        <is>
          <t>indeed</t>
        </is>
      </c>
      <c r="E20">
        <f>HYPERLINK("https://www.indeed.com/viewjob?jk=dcaa52c7ebf5f9b2", "https://www.indeed.com/viewjob?jk=dcaa52c7ebf5f9b2")</f>
        <v/>
      </c>
      <c r="F20">
        <f>HYPERLINK("https://www.amazon.jobs/jobs/3059253/applied-scientist-ii-prime-video--personalization-and-discovery-science?cmpid=DA_INAD200785B", "https://www.amazon.jobs/jobs/3059253/applied-scientist-ii-prime-video--personalization-and-discovery-science?cmpid=DA_INAD200785B")</f>
        <v/>
      </c>
      <c r="G20" t="inlineStr">
        <is>
          <t>Sunnyvale, CA, US</t>
        </is>
      </c>
      <c r="H20" s="1" t="n">
        <v>45881</v>
      </c>
      <c r="I2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in-dcf858668ab5698a</t>
        </is>
      </c>
      <c r="B21" t="inlineStr">
        <is>
          <t>Data Scientist, AWS Infrastructure Services Science</t>
        </is>
      </c>
      <c r="C21" t="inlineStr">
        <is>
          <t>Amazon.com</t>
        </is>
      </c>
      <c r="D21" t="inlineStr">
        <is>
          <t>indeed</t>
        </is>
      </c>
      <c r="E21">
        <f>HYPERLINK("https://www.indeed.com/viewjob?jk=dcf858668ab5698a", "https://www.indeed.com/viewjob?jk=dcf858668ab5698a")</f>
        <v/>
      </c>
      <c r="F21">
        <f>HYPERLINK("https://www.amazon.jobs/jobs/3181348/data-scientist-aws-infrastructure-services-science?cmpid=DA_INAD200785B", "https://www.amazon.jobs/jobs/3181348/data-scientist-aws-infrastructure-services-science?cmpid=DA_INAD200785B")</f>
        <v/>
      </c>
      <c r="G21" t="inlineStr">
        <is>
          <t>Seattle, WA, US</t>
        </is>
      </c>
      <c r="H21" s="1" t="n">
        <v>46065</v>
      </c>
      <c r="I21"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t>
        </is>
      </c>
    </row>
    <row r="22">
      <c r="A22" t="inlineStr">
        <is>
          <t>in-7a925d759b3c0796</t>
        </is>
      </c>
      <c r="B22" t="inlineStr">
        <is>
          <t>Data Scientist, AWS Infrastructure Services Science</t>
        </is>
      </c>
      <c r="C22" t="inlineStr">
        <is>
          <t>Amazon.com</t>
        </is>
      </c>
      <c r="D22" t="inlineStr">
        <is>
          <t>indeed</t>
        </is>
      </c>
      <c r="E22">
        <f>HYPERLINK("https://www.indeed.com/viewjob?jk=7a925d759b3c0796", "https://www.indeed.com/viewjob?jk=7a925d759b3c0796")</f>
        <v/>
      </c>
      <c r="F22">
        <f>HYPERLINK("https://www.amazon.jobs/jobs/3181348/data-scientist-aws-infrastructure-services-science?cmpid=DA_INAD200785B", "https://www.amazon.jobs/jobs/3181348/data-scientist-aws-infrastructure-services-science?cmpid=DA_INAD200785B")</f>
        <v/>
      </c>
      <c r="G22" t="inlineStr">
        <is>
          <t>Herndon, VA, US</t>
        </is>
      </c>
      <c r="H22" s="1" t="n">
        <v>46065</v>
      </c>
      <c r="I22"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AWS Infrastructure Services Science (AISS) researches and builds machine learning models that influence the power utilization at our data centers to ensure the health of our thermal and electrical infrastructure at high infrastructure utilization.  
As a Data Scientist, you will work on our Science team and partner closely with other scientists and data engineers as well as Business Intelligence, Technical Program Management, and Software teams to accurately model and optimize our power infrastructure. Outputs from your models will directly influence our data center topology and will drive exceptional cost savings. You will be responsible for building data science prototypes that optimize our power and thermal infrastructure, working across AWS to solve data mapping and quality issues (e.g. predicting when we might have bad sensor readings), and contribute to our Science team vision.  
You are skeptical. When someone gives you a data source, you pepper them with questions about sampling biases, accuracy, and coverage. When you’re told a model can make assumptions, you actively try to break those assumptions.  
You have passion for excellence. The wrong choice of data could cost the business dearly. You maintain rigorous standards and take ownership of the outcome of your data pipelines and code.  
You do whatever it takes to add value. You don’t care whether you’re building complex ML models, writing blazing fast code, integrating multiple disparate data\-sets, or creating baseline models \- you care passionately about stakeholders and know that as a curator of data insight you can unlock massive cost savings and preserve customer availability.  
You have a limitless curiosity. You constantly ask questions about the technologies and approaches we are taking and are constantly learning about industry best practices you can bring to our team.  
You have excellent business and communication skills to be able to work with product owners to understand key business questions and earn the trust of senior leaders. You will need to learn Data Center architecture and components of electrical engineering to build your models.  
You are comfortable juggling competing priorities and handling ambiguity. You thrive in an agile and fast\-paced environment on highly visible projects and initiatives. The tradeoffs of cost savings and customer availability are constantly up for debate among senior leadership \- you will help drive this conversation.  
Key job responsibilities  
* Proactively seek to identify opportunities and insights through analysis and provide solutions to automate and optimize power utilization based on a broad and deep knowledge of AWS data center systems and infrastructure.
* Apply a range of data science techniques and tools combined with subject matter expertise to solve difficult customer or business problems and cases in which the solution approach is unclear.
* Collaborate with Engineering teams to obtain useful data by accessing data sources and building the necessary SQL/ETL queries or scripts.
* Build models and automated tools using statistical modeling, econometric modeling, network modeling, machine learning algorithms and neural networks.
* Validate these models against alternative approaches, expected and observed outcome, and other business defined key performance indicators.
* Collaborate with Engineering teams to implement these models in a manner which complies with evaluations of the computational demands, accuracy, and reliability of the relevant ETL processes at various stages of production.
About the team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Master's degree in Operations Research, Statistics, Applied Mathematics, Engineering, Computer Science or related field, or Bachelor's degree and 3\+ years of data scientist or similar role involving data extraction, analysis, statistical modeling and communication experience
* Experience with data scripting languages (e.g., SQL, Python, R, or equivalent) or statistical/mathematical software (e.g., R, SAS, Matlab, or equivalent)
**PREFERRED QUALIFICATIONS**
----------------------------
* Master's degree in Operations Research, Statistics, Applied Mathematics, Engineering, Computer Science or related field
* 3\+ years of data/research scientist, statistician or quantitative analyst in an internet\-based company with complex and big data sources experience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\- 108,300\.00 \- 160,000\.00 USD annually  
USA, WA, Seattle \- 108,300\.00 \- 160,000\.00 USD annually</t>
        </is>
      </c>
    </row>
    <row r="23">
      <c r="A23" t="inlineStr">
        <is>
          <t>in-6beaf2e8a5f23c71</t>
        </is>
      </c>
      <c r="B23" t="inlineStr">
        <is>
          <t>Data Scientist, Rapid &amp; Rural Logistics (R2L)</t>
        </is>
      </c>
      <c r="C23" t="inlineStr">
        <is>
          <t>Amazon.com</t>
        </is>
      </c>
      <c r="D23" t="inlineStr">
        <is>
          <t>indeed</t>
        </is>
      </c>
      <c r="E23">
        <f>HYPERLINK("https://www.indeed.com/viewjob?jk=6beaf2e8a5f23c71", "https://www.indeed.com/viewjob?jk=6beaf2e8a5f23c71")</f>
        <v/>
      </c>
      <c r="F23">
        <f>HYPERLINK("https://www.amazon.jobs/jobs/3187361/data-scientist-rapid--rural-logistics-rl?cmpid=DA_INAD200785B", "https://www.amazon.jobs/jobs/3187361/data-scientist-rapid--rural-logistics-rl?cmpid=DA_INAD200785B")</f>
        <v/>
      </c>
      <c r="G23" t="inlineStr">
        <is>
          <t>Bellevue, WA, US</t>
        </is>
      </c>
      <c r="H23" s="1" t="n">
        <v>46056</v>
      </c>
      <c r="I23" t="inlineStr">
        <is>
          <t>**DESCRIPTION**
---------------
The R2L team is responsible for building the next generation supply chain for Amazon’s world\-class ultra\-fast customer experiences including Amazon Fresh groceries, Sub\-Same Day, Amazon Now, and other soon\-to\-launch exciting new businesses. Join us and you'll be taking part in serving our customers in as fast as 30 minutes!  
We are looking for a Data Scientist to join our team and solve some of the most complex business problems!  
Key job responsibilities  
* Work with product managers, engineers, other scientists, and leadership to identify and prioritize complex problems.
* Interview stakeholders to gather business requirements and translate business problems into data science or analytical problems
* Design, develop, and evaluate highly innovative statistics and ML models
* Guide and establish scalable, efficient, automated processes for large scale data analyses, model development, model validation and model implementation
* Proactively seek to identify business opportunities and insights and provide solutions to shape key business processes and policies based on a broad and deep knowledge of Amazon data, industry best\-practices, and work done by other teams.
A day in the life  
In this role, you will be a technical expert with significant scope and impact. You will work with Product and Supply Chain Managers, Business Intelligence Engineers, System Developers and other Scientists, to develop models that solve a wide range of complex and ambiguous business problems, with the main goal to improve customer experience, improve availability of products and reduce supply chain cost. A successful Data Scientist will have bias for action needed in a startup environment, with great leadership skills, proven ability to build and manage medium\-scale modeling projects, identify data requirements, build methodology and tools that are statistically grounded. It will be a person who enjoys diving deep into data, doing analysis, discovering root causes, and designing long\-term scientific solutions. We are seeking someone who can thrive in a fast\-paced, high\-energy and fun work environment where we deliver value incrementally and frequently. We look for individuals who know how to deliver results and show a desire to develop themselves, their colleagues, and their career.  
About the team  
The R2L team is responsible for building the next generation supply chain for Amazon’s world\-class ultra\-fast customer experiences including Amazon Fresh groceries, Sub\-Same Day, Amazon Now, and other soon\-to\-launch exciting new businesses. Join us and you'll be taking part in serving our customers in as fast as 30 minutes!**BASIC QUALIFICATIONS**
------------------------
* Master's degree in engineering, technology, computer science, machine learning, robotics, operations research, statistics, mathematics or equivalent quantitative field
* 5\+ years of data querying languages (e.g. SQL), scripting languages (e.g. Python) or statistical/mathematical software (e.g. R, SAS, Matlab, etc.) experience
* Master's degree in Operations Research, Statistics, Applied Mathematics, Engineering, Computer Science or related field, or PhD and 5\+ years of data scientist or similar role involving data extraction, analysis, statistical modeling and communication experience
* Experience as a data engineer or related specialty (e.g., software engineer, business intelligence engineer, data scientist) with a track record of manipulating, processing, and extracting value from large datasets
* Experience in written and verbal communication with the ability to present complex technical information in a clear and concise manner to executives and non\-technical leaders
* Experience working in a fast\-paced, team environment
\- \- Ability to dive deep into complex technical problems and drive change.  
* Excellent problem solving skills with a strong attention to detail.
**PREFERRED QUALIFICATIONS**
----------------------------
* Ph.D. in Science, Technology, Engineering, or Mathematics (STEM)
* Knowledge of statistical packages and business intelligence tools such as SPSS, SAS, S\-PLUS, or R
* Knowledge of machine learning concepts and their application to reasoning and problem\-solving
* Experience with clustered data processing (e.g., Hadoop, Spark, Map\-reduce, and Hive)
* Experience working with or evaluating AI systems
* Experience applying quantitative analysis to solve business problems and making data\-driven business decisions
* Experience effectively communicating complex concepts through written and verbal communication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\- 119,200\.00 \- 178,400\.00 USD annually  
USA, WA, Bellevue \- 108,300\.00 \- 160,000\.00 USD annually</t>
        </is>
      </c>
    </row>
    <row r="24">
      <c r="A24" t="inlineStr">
        <is>
          <t>in-5bf202d512fde73a</t>
        </is>
      </c>
      <c r="B24" t="inlineStr">
        <is>
          <t>Data Scientist, Rapid &amp; Rural Logistics (R2L)</t>
        </is>
      </c>
      <c r="C24" t="inlineStr">
        <is>
          <t>Amazon.com</t>
        </is>
      </c>
      <c r="D24" t="inlineStr">
        <is>
          <t>indeed</t>
        </is>
      </c>
      <c r="E24">
        <f>HYPERLINK("https://www.indeed.com/viewjob?jk=5bf202d512fde73a", "https://www.indeed.com/viewjob?jk=5bf202d512fde73a")</f>
        <v/>
      </c>
      <c r="F24">
        <f>HYPERLINK("https://www.amazon.jobs/jobs/3187361/data-scientist-rapid--rural-logistics-rl?cmpid=DA_INAD200785B", "https://www.amazon.jobs/jobs/3187361/data-scientist-rapid--rural-logistics-rl?cmpid=DA_INAD200785B")</f>
        <v/>
      </c>
      <c r="G24" t="inlineStr">
        <is>
          <t>New York, NY, US</t>
        </is>
      </c>
      <c r="H24" s="1" t="n">
        <v>46056</v>
      </c>
      <c r="I24" t="inlineStr">
        <is>
          <t>**DESCRIPTION**
---------------
The R2L team is responsible for building the next generation supply chain for Amazon’s world\-class ultra\-fast customer experiences including Amazon Fresh groceries, Sub\-Same Day, Amazon Now, and other soon\-to\-launch exciting new businesses. Join us and you'll be taking part in serving our customers in as fast as 30 minutes!  
We are looking for a Data Scientist to join our team and solve some of the most complex business problems!  
Key job responsibilities  
* Work with product managers, engineers, other scientists, and leadership to identify and prioritize complex problems.
* Interview stakeholders to gather business requirements and translate business problems into data science or analytical problems
* Design, develop, and evaluate highly innovative statistics and ML models
* Guide and establish scalable, efficient, automated processes for large scale data analyses, model development, model validation and model implementation
* Proactively seek to identify business opportunities and insights and provide solutions to shape key business processes and policies based on a broad and deep knowledge of Amazon data, industry best\-practices, and work done by other teams.
A day in the life  
In this role, you will be a technical expert with significant scope and impact. You will work with Product and Supply Chain Managers, Business Intelligence Engineers, System Developers and other Scientists, to develop models that solve a wide range of complex and ambiguous business problems, with the main goal to improve customer experience, improve availability of products and reduce supply chain cost. A successful Data Scientist will have bias for action needed in a startup environment, with great leadership skills, proven ability to build and manage medium\-scale modeling projects, identify data requirements, build methodology and tools that are statistically grounded. It will be a person who enjoys diving deep into data, doing analysis, discovering root causes, and designing long\-term scientific solutions. We are seeking someone who can thrive in a fast\-paced, high\-energy and fun work environment where we deliver value incrementally and frequently. We look for individuals who know how to deliver results and show a desire to develop themselves, their colleagues, and their career.  
About the team  
The R2L team is responsible for building the next generation supply chain for Amazon’s world\-class ultra\-fast customer experiences including Amazon Fresh groceries, Sub\-Same Day, Amazon Now, and other soon\-to\-launch exciting new businesses. Join us and you'll be taking part in serving our customers in as fast as 30 minutes!**BASIC QUALIFICATIONS**
------------------------
* Master's degree in engineering, technology, computer science, machine learning, robotics, operations research, statistics, mathematics or equivalent quantitative field
* 5\+ years of data querying languages (e.g. SQL), scripting languages (e.g. Python) or statistical/mathematical software (e.g. R, SAS, Matlab, etc.) experience
* Master's degree in Operations Research, Statistics, Applied Mathematics, Engineering, Computer Science or related field, or PhD and 5\+ years of data scientist or similar role involving data extraction, analysis, statistical modeling and communication experience
* Experience as a data engineer or related specialty (e.g., software engineer, business intelligence engineer, data scientist) with a track record of manipulating, processing, and extracting value from large datasets
* Experience in written and verbal communication with the ability to present complex technical information in a clear and concise manner to executives and non\-technical leaders
* Experience working in a fast\-paced, team environment
\- \- Ability to dive deep into complex technical problems and drive change.  
* Excellent problem solving skills with a strong attention to detail.
**PREFERRED QUALIFICATIONS**
----------------------------
* Ph.D. in Science, Technology, Engineering, or Mathematics (STEM)
* Knowledge of statistical packages and business intelligence tools such as SPSS, SAS, S\-PLUS, or R
* Knowledge of machine learning concepts and their application to reasoning and problem\-solving
* Experience with clustered data processing (e.g., Hadoop, Spark, Map\-reduce, and Hive)
* Experience working with or evaluating AI systems
* Experience applying quantitative analysis to solve business problems and making data\-driven business decisions
* Experience effectively communicating complex concepts through written and verbal communication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\- 119,200\.00 \- 178,400\.00 USD annually  
USA, WA, Bellevue \- 108,300\.00 \- 160,000\.00 USD annually</t>
        </is>
      </c>
    </row>
    <row r="25">
      <c r="A25" t="inlineStr">
        <is>
          <t>in-d64c7149195607e9</t>
        </is>
      </c>
      <c r="B25" t="inlineStr">
        <is>
          <t>Entry Level Data Scientist - Collections Analytics</t>
        </is>
      </c>
      <c r="C25" t="inlineStr">
        <is>
          <t>Sequium Asset Solutions</t>
        </is>
      </c>
      <c r="D25" t="inlineStr">
        <is>
          <t>indeed</t>
        </is>
      </c>
      <c r="E25">
        <f>HYPERLINK("https://www.indeed.com/viewjob?jk=d64c7149195607e9", "https://www.indeed.com/viewjob?jk=d64c7149195607e9")</f>
        <v/>
      </c>
      <c r="F25">
        <f>HYPERLINK("https://recruiting.paylocity.com/recruiting/jobs/Details/3965258/SEQUIUM-ASSET-SOLUTIONS-LLC/Entry-Level-Data-Scientist---Collections-Analytics?source=Indeed_Feed", "https://recruiting.paylocity.com/recruiting/jobs/Details/3965258/SEQUIUM-ASSET-SOLUTIONS-LLC/Entry-Level-Data-Scientist---Collections-Analytics?source=Indeed_Feed")</f>
        <v/>
      </c>
      <c r="G25" t="inlineStr">
        <is>
          <t>Atlanta, GA, US</t>
        </is>
      </c>
      <c r="H25" s="1" t="n">
        <v>46083</v>
      </c>
      <c r="I25" t="inlineStr">
        <is>
          <t>Job title: Entry Level Data Scientist \- Collections Analytics
Location: Atlanta, GA or Remote
Employment type: Full\-time
Reports to: VP Strategic Initiatives
**About us**
Sequium Asset Solutions is the industry's most progressive and advanced debt collection servicer. Our mission is to provide uncompromising operational excellence by setting the highest standards in service and reliability through the application of our five core values: Leadership, Training, Talent Acquisition, Rewards and Technology. At Sequium, **Tomorrow is Today.**
We have an outstanding opportunity for an accomplished data scientist to join one of the most exciting and fastest growing companies in the industry. In this role you will report directly to the Vice President of Strategic Initiatives and support analytics and modeling projects across account segmentation, contact strategy optimization, and early\-warning
detection. You will work with cross\-functional teams (operations, compliance, IT) to turn data into actionable insights, build repeatable analytics, and productionize models. Our company has made huge investments in data science and generated an agentic AI. We are attempting to fully automate all decisioning processes to give us the highest statistical result and incremental value for all performance matrices.
The successful applicant must possess a high level of intelligence, motivation and enthusiasm in creating breakthrough value enhancements. This is a critical position within the organization for someone who is creative, self\-starting and who wants to be in control of their own destiny.
**Key responsibilities**
* Must have significant knowledge using enterprise AI software (Claude, Cursor and Python) with the ability to direct and prompt this software in order to create significant breakthroughs to enhance automated and real\-time strategies.
* Build, validate, and maintain predictive models (e.g., credit/payment propensity, churn/risk, contact response) using Python/R and standard ML libraries.
* Clean, explore, and feature\-engineer large\-structured datasets from multiple sources (payments, contact history, credit bureau, CRM).
* Run A/B tests and propensity\-matched experiments to evaluate contact strategies and messaging, measure lift and report results.
* Create dashboards, visualizations, and regular reports for operations and leadership (KPIs: recovery rates, promise\-to\-pay keep rates, contact conversion, roll rates).
* Assist in productionizing models: packaging, documentation, monitoring, and retraining schedules in collaboration with others.
* Implement and track model performance, fairness, and stability metrics; support model governance and compliance documentation.
* Support data pipelines and ETL tasks; partner with data engineering to ensure data quality and lineage.
* Translate business problems into analytical approaches; present findings and recommended actions to stakeholders.
* Stay current on best practices in supervised/unsupervised learning, causal inference, and responsible AI as applied to collections.
**Required qualifications**
* Bachelor’s degree (or equivalent) in Data Science, Statistics, Computer Science, Mathematics, Industrial Engineering, or related quantitative field; graduation within the last 2\-3 years.
* Solid SQL skills for data extraction and manipulation.
* Strong programming skills in Python.
* Understanding of basic ML algorithms (logistic regression, decision trees, ensemble methods, clustering) and evaluation metrics (precision/recall, confusion matrix, calibration).
* Experience with data visualization tools (Power BI, Tableau or equivalent) or ability to produce clear visual analyses in Python/R.
* Hands\-on experience with at least one machine learning project (class project, internship, capstone, or competition) with end\-to\-end work (data cleaning, modeling, evaluation).
* Strong analytical problem\-solving, attention to detail, and ability to communicate technical results to non\-technical stakeholders.
* Commitment to ethical data practices and regulatory compliance (willingness to learn collections/consumer protection rules).
**Preferred (nice\-to\-have)**
* Internship or part\-time experience in finance, collections, payments, credit risk, or customer analytics.
* Familiarity with time\-series or survival analysis and propensity scoring.
* Experience with model monitoring frameworks, cloud platforms (AWS, GCP, Azure).
* Knowledge of compliance/regulatory frameworks relevant to collections (e.g., FDCPA basics).
**Technical stack expectations**
* Data: SQL, relational databases
* Visualization: Power BI
* Languages: Python (R acceptable)
* ML: scikit\-learn, XGBoost/LightGBM, basic knowledge of neural nets optional
* Workflow: Git, Jupyter notebooks, basic command line
* Cloud/Infrastructure: AWS/GCP/Azure; containerization (Docker), Kubernetes experience preferred
**Success metrics (first 6–12 months)**
* Deliver at least one validated predictive model and support its production handoff
* Implement 2–3 dashboards or automated reports used by operations.
* Demonstrate measurable lift from an A/B test or strategy change driven by your analysis.
* Complete formal documentation for at least one model covering training data, features, performance, and monitoring plan.
**Behavioral competencies**
* Curious, proactive learner who seeks feedback and owns development.
* Team player who collaborates with ops, IT, and compliance.
* Communicates clearly, distills complex analyses into actionable recommendations.
* Comfortable working in a regulated, data\-sensitive environment.
**Application process**
Submit resume, transcript (unofficial acceptable), and a one\-page project summary showing relevant work.</t>
        </is>
      </c>
    </row>
    <row r="26">
      <c r="A26" t="inlineStr">
        <is>
          <t>in-cd7e108c9b2a8919</t>
        </is>
      </c>
      <c r="B26" t="inlineStr">
        <is>
          <t>Sr Data Scientist (FAST, AVOD)</t>
        </is>
      </c>
      <c r="C26" t="inlineStr">
        <is>
          <t>Sony Pictures Entertainment</t>
        </is>
      </c>
      <c r="D26" t="inlineStr">
        <is>
          <t>indeed</t>
        </is>
      </c>
      <c r="E26">
        <f>HYPERLINK("https://www.indeed.com/viewjob?jk=cd7e108c9b2a8919", "https://www.indeed.com/viewjob?jk=cd7e108c9b2a8919")</f>
        <v/>
      </c>
      <c r="F26">
        <f>HYPERLINK("https://www.sonypicturesjobs.com/job/-/-/22978/92316188224", "https://www.sonypicturesjobs.com/job/-/-/22978/92316188224")</f>
        <v/>
      </c>
      <c r="G26" t="inlineStr">
        <is>
          <t>Culver City, CA, US</t>
        </is>
      </c>
      <c r="H26" s="1" t="n">
        <v>46082</v>
      </c>
      <c r="I26" t="inlineStr">
        <is>
          <t>Sony Pictures Entertainment, a division of Sony Corporation, is a global creative entertainment company built on a foundation of technology, storytelling, and innovation. Sony Pictures Core is a streaming service that operates on BRAVIA TVs and PlayStation consoles. We are seeking a strategic and analytical **Senior Data Scientist** to own the advanced analytics and modeling to help shape the future of our DTC AVOD and FAST platforms\- ultimately influencing the vision, launch, and growth of Sony Pictures Core. This role is a part of the broader ISA team but is dedicated and embedded in the day to day of the Sony Pictures Core AVOD/FAST business. The ideal candidate has a strong blend of technical expertise, business acumen, and leadership skills.
Key Responsibilities
* Build predictive models, map customer journeys, and deliver data products that help launch, scale, and optimize Sony’s DTC streaming offering.
* Serve as thought leader developer of key DTC analytical models like customer lifetime value, attribution, churn, and AB testing
Own end\-to\-end model development, from scoping exploration feature engineering model development validation* deployment.
* Work closely with data engineering and product teams to operationalize models, ensuring scalability, reproducibility, and automated monitoring.
* Conduct deep\-dive analyses to uncover insights that inform content strategy, product experience, and growth plans for the service.
* Translate complex modeling results into clear, compelling narratives for leadership and cross\-functional teams.
* Work closely with product, marketing, and platform teams to identify opportunities for advanced analytics and modeling.
* Partner with Insights Strategy \&amp; Analytics dedicated Core team (BI, data engineering, and Strategic Analysts) and leadership to integrate modeling outputs into data products, dashboards, and business\-embedded tools that support decision\-making across the Sony Pictures Core ecosystem.
Qualifications
* 7\+ years of experience in data science, ideally in streaming, digital media, consumer apps, or subscription businesses.
* Proven track record developing predictive models, experimentation frameworks, and advanced analytics for DTC or digital platforms.
* Expert proficiency in Python and SQL.
* Hands\-on experience with experimentation platforms, uplift modeling, statistical testing, and causal inference.
* Strong skills in feature engineering, handling large\-scale behavioral data, and building ML pipelines.
* Experience with cloud\-based environments (AWS, GCP, Databricks) and MLOps practices
* Strong understanding of the TV and streaming landscape across linear, digital, AVOD, FAST, SVOD, and emerging platforms
* Strong communicator capable of presenting complex modeling outputs to non\-technical audiences.
* Ability to operate in ambiguity and help stakeholders articulate questions, opportunities, and hypotheses.
* Passion for streaming, entertainment, consumer behavior, and data\-driven storytelling.
* Highly collaborative, curious, and eager to partner across functions
The anticipated base salary for this position is $140K to $180K. This role may also qualify for annual incentive and/or comprehensive benefits. The actual base salary offered will depend on a variety of factors, including without limitation, the qualifications of the individual applicant for the position, years of relevant experience, level of education attained, certifications or other professional licenses held, and if applicable, the location of the position.
Sony Pictures Entertainment is an equal opportunity employer. We evaluate qualified applicants without regard to race, color, religion, sex, national origin, disability, veteran status, age, sexual orientation, gender identity, or other protected characteristics.
SPE will consider qualified applicants with arrest or conviction records in accordance with applicable law.
To request an accommodation for purposes of participating in the hiring process, you may contact us at SPE\_Accommodation\_Assistance@spe.sony.com.</t>
        </is>
      </c>
    </row>
    <row r="27">
      <c r="A27" t="inlineStr">
        <is>
          <t>in-8a144595c8d2938b</t>
        </is>
      </c>
      <c r="B27" t="inlineStr">
        <is>
          <t>Data Scientist II, ADSP Product Operations &amp; Analytics</t>
        </is>
      </c>
      <c r="C27" t="inlineStr">
        <is>
          <t>Amazon.com</t>
        </is>
      </c>
      <c r="D27" t="inlineStr">
        <is>
          <t>indeed</t>
        </is>
      </c>
      <c r="E27">
        <f>HYPERLINK("https://www.indeed.com/viewjob?jk=8a144595c8d2938b", "https://www.indeed.com/viewjob?jk=8a144595c8d2938b")</f>
        <v/>
      </c>
      <c r="F27">
        <f>HYPERLINK("https://www.amazon.jobs/jobs/3180118/data-scientist-ii-adsp-product-operations--analytics?cmpid=DA_INAD200785B", "https://www.amazon.jobs/jobs/3180118/data-scientist-ii-adsp-product-operations--analytics?cmpid=DA_INAD200785B")</f>
        <v/>
      </c>
      <c r="G27" t="inlineStr">
        <is>
          <t>New York, NY, US</t>
        </is>
      </c>
      <c r="H27" s="1" t="n">
        <v>46062</v>
      </c>
      <c r="I27" t="inlineStr">
        <is>
          <t>**DESCRIPTION**
---------------
In this role, you will build scalable solutions and sophisticated models that identify and drive growth opportunities for Amazon Ads teams, specifically within Amazon's Demand Side Platform (ADSP). You will leverage machine learning, simulation, and advanced statistical techniques to explain complex patterns, quantify business impact, predict future trends, and prescribe actionable strategies that inform critical business decisions at the highest levels of the organization. You will work with various stakeholders to align on priorities, with the understanding that scope and direction may evolve based on organizational needs. You will translate business goals into agile, insightful analytics that create tangible value for both stakeholders and customers, and communicate your findings clearly and actionably to managers and senior leaders so they can quickly understand insights and take decisive action.  
You will set the strategy for ads delivery and quality and establish the measurement and decision frameworks. A core mandate for this role is to identify, instrument, and operationalize the input metrics that most directly drive ads delivery, quality, and performance, ensuring we optimize the levers that move outcomes rather than simply reporting on lagging KPIs.  
Key job responsibilities  
* You will define and execute in\-depth data analysis that drives data\-informed decision making for product, sales, and finance teams who speak on behalf of advertisers.
* You will establish and drive data hygiene best practices to ensure coherence and integrity of data feeding into production ML/AI solutions.
* You will identify, instrument, and operationalize the input metrics that most directly drive ads delivery, quality, and performance, creating robust measurement frameworks.
* You will collaborate with colleagues across science and engineering disciplines for fast turnaround proof\-of\-concept prototyping at scale.
* You will partner with product managers and stakeholders to define forward\-looking product visions and prospective business use cases.
* You will set the strategy for ads delivery and quality, establishing decision frameworks that enable teams to move from reactive reporting to proactive optimization.
* You will drive and lead a culture of data\-driven innovations within the Amazon AdTech org.
**BASIC QUALIFICATIONS**
------------------------
* 3\+ years of data querying languages (e.g. SQL), scripting languages (e.g. Python) or statistical/mathematical software (e.g. R, SAS, Matlab, etc.) experience
* 2\+ years of data scientist experience
* Bachelor's degree
* Experience applying theoretical models in an applied environment
* 3\+ years of machine learning/statistical modeling data analysis tools and techniques, and parameters that affect their performance experience
**PREFERRED QUALIFICATIONS**
----------------------------
* Experience in Python, Perl, or another scripting language
* Experience in a ML or data scientist role with a large technology company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\- 153,400\.00 \- 207,500\.00 USD annually  
USA, WA, Seattle \- 136,000\.00 \- 184,000\.00 USD annually</t>
        </is>
      </c>
    </row>
    <row r="28">
      <c r="A28" t="inlineStr">
        <is>
          <t>in-1c23a0e03c8de854</t>
        </is>
      </c>
      <c r="B28" t="inlineStr">
        <is>
          <t>Data Scientist II, ADSP Product Operations &amp; Analytics</t>
        </is>
      </c>
      <c r="C28" t="inlineStr">
        <is>
          <t>Amazon.com</t>
        </is>
      </c>
      <c r="D28" t="inlineStr">
        <is>
          <t>indeed</t>
        </is>
      </c>
      <c r="E28">
        <f>HYPERLINK("https://www.indeed.com/viewjob?jk=1c23a0e03c8de854", "https://www.indeed.com/viewjob?jk=1c23a0e03c8de854")</f>
        <v/>
      </c>
      <c r="F28">
        <f>HYPERLINK("https://www.amazon.jobs/jobs/3180118/data-scientist-ii-adsp-product-operations--analytics?cmpid=DA_INAD200785B", "https://www.amazon.jobs/jobs/3180118/data-scientist-ii-adsp-product-operations--analytics?cmpid=DA_INAD200785B")</f>
        <v/>
      </c>
      <c r="G28" t="inlineStr">
        <is>
          <t>Seattle, WA, US</t>
        </is>
      </c>
      <c r="H28" s="1" t="n">
        <v>46062</v>
      </c>
      <c r="I28" t="inlineStr">
        <is>
          <t>**DESCRIPTION**
---------------
In this role, you will build scalable solutions and sophisticated models that identify and drive growth opportunities for Amazon Ads teams, specifically within Amazon's Demand Side Platform (ADSP). You will leverage machine learning, simulation, and advanced statistical techniques to explain complex patterns, quantify business impact, predict future trends, and prescribe actionable strategies that inform critical business decisions at the highest levels of the organization. You will work with various stakeholders to align on priorities, with the understanding that scope and direction may evolve based on organizational needs. You will translate business goals into agile, insightful analytics that create tangible value for both stakeholders and customers, and communicate your findings clearly and actionably to managers and senior leaders so they can quickly understand insights and take decisive action.  
You will set the strategy for ads delivery and quality and establish the measurement and decision frameworks. A core mandate for this role is to identify, instrument, and operationalize the input metrics that most directly drive ads delivery, quality, and performance, ensuring we optimize the levers that move outcomes rather than simply reporting on lagging KPIs.  
Key job responsibilities  
* You will define and execute in\-depth data analysis that drives data\-informed decision making for product, sales, and finance teams who speak on behalf of advertisers.
* You will establish and drive data hygiene best practices to ensure coherence and integrity of data feeding into production ML/AI solutions.
* You will identify, instrument, and operationalize the input metrics that most directly drive ads delivery, quality, and performance, creating robust measurement frameworks.
* You will collaborate with colleagues across science and engineering disciplines for fast turnaround proof\-of\-concept prototyping at scale.
* You will partner with product managers and stakeholders to define forward\-looking product visions and prospective business use cases.
* You will set the strategy for ads delivery and quality, establishing decision frameworks that enable teams to move from reactive reporting to proactive optimization.
* You will drive and lead a culture of data\-driven innovations within the Amazon AdTech org.
**BASIC QUALIFICATIONS**
------------------------
* 3\+ years of data querying languages (e.g. SQL), scripting languages (e.g. Python) or statistical/mathematical software (e.g. R, SAS, Matlab, etc.) experience
* 2\+ years of data scientist experience
* Bachelor's degree
* Experience applying theoretical models in an applied environment
* 3\+ years of machine learning/statistical modeling data analysis tools and techniques, and parameters that affect their performance experience
**PREFERRED QUALIFICATIONS**
----------------------------
* Experience in Python, Perl, or another scripting language
* Experience in a ML or data scientist role with a large technology company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\- 153,400\.00 \- 207,500\.00 USD annually  
USA, WA, Seattle \- 136,000\.00 \- 184,000\.00 USD annually</t>
        </is>
      </c>
    </row>
    <row r="29">
      <c r="A29" t="inlineStr">
        <is>
          <t>in-ffbd2265f0a23513</t>
        </is>
      </c>
      <c r="B29" t="inlineStr">
        <is>
          <t>Principal Applied Scientist, AWS Marketplace &amp; Partner Services</t>
        </is>
      </c>
      <c r="C29" t="inlineStr">
        <is>
          <t>Amazon Web Services</t>
        </is>
      </c>
      <c r="D29" t="inlineStr">
        <is>
          <t>indeed</t>
        </is>
      </c>
      <c r="E29">
        <f>HYPERLINK("https://www.indeed.com/viewjob?jk=ffbd2265f0a23513", "https://www.indeed.com/viewjob?jk=ffbd2265f0a23513")</f>
        <v/>
      </c>
      <c r="F29">
        <f>HYPERLINK("https://www.amazon.jobs/jobs/3177084/principal-applied-scientist-aws-marketplace--partner-services?cmpid=DA_INAD200785B", "https://www.amazon.jobs/jobs/3177084/principal-applied-scientist-aws-marketplace--partner-services?cmpid=DA_INAD200785B")</f>
        <v/>
      </c>
      <c r="G29" t="inlineStr">
        <is>
          <t>New York, NY, US</t>
        </is>
      </c>
      <c r="H29" s="1" t="n">
        <v>46056</v>
      </c>
      <c r="I29"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30">
      <c r="A30" t="inlineStr">
        <is>
          <t>in-30b06169072a54c3</t>
        </is>
      </c>
      <c r="B30" t="inlineStr">
        <is>
          <t>Principal Applied Scientist, AWS Marketplace &amp; Partner Services</t>
        </is>
      </c>
      <c r="C30" t="inlineStr">
        <is>
          <t>Amazon Web Services</t>
        </is>
      </c>
      <c r="D30" t="inlineStr">
        <is>
          <t>indeed</t>
        </is>
      </c>
      <c r="E30">
        <f>HYPERLINK("https://www.indeed.com/viewjob?jk=30b06169072a54c3", "https://www.indeed.com/viewjob?jk=30b06169072a54c3")</f>
        <v/>
      </c>
      <c r="F30">
        <f>HYPERLINK("https://www.amazon.jobs/jobs/3177084/principal-applied-scientist-aws-marketplace--partner-services?cmpid=DA_INAD200785B", "https://www.amazon.jobs/jobs/3177084/principal-applied-scientist-aws-marketplace--partner-services?cmpid=DA_INAD200785B")</f>
        <v/>
      </c>
      <c r="G30" t="inlineStr">
        <is>
          <t>San Diego, CA, US</t>
        </is>
      </c>
      <c r="H30" s="1" t="n">
        <v>46056</v>
      </c>
      <c r="I30"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31">
      <c r="A31" t="inlineStr">
        <is>
          <t>in-b29825ef53c1b23b</t>
        </is>
      </c>
      <c r="B31" t="inlineStr">
        <is>
          <t>Principal Applied Scientist, AWS Marketplace &amp; Partner Services</t>
        </is>
      </c>
      <c r="C31" t="inlineStr">
        <is>
          <t>Amazon Web Services</t>
        </is>
      </c>
      <c r="D31" t="inlineStr">
        <is>
          <t>indeed</t>
        </is>
      </c>
      <c r="E31">
        <f>HYPERLINK("https://www.indeed.com/viewjob?jk=b29825ef53c1b23b", "https://www.indeed.com/viewjob?jk=b29825ef53c1b23b")</f>
        <v/>
      </c>
      <c r="F31">
        <f>HYPERLINK("https://www.amazon.jobs/jobs/3177084/principal-applied-scientist-aws-marketplace--partner-services?cmpid=DA_INAD200785B", "https://www.amazon.jobs/jobs/3177084/principal-applied-scientist-aws-marketplace--partner-services?cmpid=DA_INAD200785B")</f>
        <v/>
      </c>
      <c r="G31" t="inlineStr">
        <is>
          <t>Seattle, WA, US</t>
        </is>
      </c>
      <c r="H31" s="1" t="n">
        <v>46056</v>
      </c>
      <c r="I31"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32">
      <c r="A32" t="inlineStr">
        <is>
          <t>in-a61811627709cab4</t>
        </is>
      </c>
      <c r="B32" t="inlineStr">
        <is>
          <t>Principal Applied Scientist, AWS Marketplace &amp; Partner Services</t>
        </is>
      </c>
      <c r="C32" t="inlineStr">
        <is>
          <t>Amazon Web Services</t>
        </is>
      </c>
      <c r="D32" t="inlineStr">
        <is>
          <t>indeed</t>
        </is>
      </c>
      <c r="E32">
        <f>HYPERLINK("https://www.indeed.com/viewjob?jk=a61811627709cab4", "https://www.indeed.com/viewjob?jk=a61811627709cab4")</f>
        <v/>
      </c>
      <c r="F32">
        <f>HYPERLINK("https://www.amazon.jobs/jobs/3177084/principal-applied-scientist-aws-marketplace--partner-services?cmpid=DA_INAD200785B", "https://www.amazon.jobs/jobs/3177084/principal-applied-scientist-aws-marketplace--partner-services?cmpid=DA_INAD200785B")</f>
        <v/>
      </c>
      <c r="G32" t="inlineStr">
        <is>
          <t>Austin, TX, US</t>
        </is>
      </c>
      <c r="H32" s="1" t="n">
        <v>46056</v>
      </c>
      <c r="I32"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33">
      <c r="A33" t="inlineStr">
        <is>
          <t>in-f7dbf5fb6fc6a80e</t>
        </is>
      </c>
      <c r="B33" t="inlineStr">
        <is>
          <t>Sr. Applied Scientist, AWS Healthcare-AI</t>
        </is>
      </c>
      <c r="C33" t="inlineStr">
        <is>
          <t>Amazon.com</t>
        </is>
      </c>
      <c r="D33" t="inlineStr">
        <is>
          <t>indeed</t>
        </is>
      </c>
      <c r="E33">
        <f>HYPERLINK("https://www.indeed.com/viewjob?jk=f7dbf5fb6fc6a80e", "https://www.indeed.com/viewjob?jk=f7dbf5fb6fc6a80e")</f>
        <v/>
      </c>
      <c r="F33">
        <f>HYPERLINK("https://www.amazon.jobs/jobs/3179064/sr-applied-scientist-aws-healthcareai?cmpid=DA_INAD200785B", "https://www.amazon.jobs/jobs/3179064/sr-applied-scientist-aws-healthcareai?cmpid=DA_INAD200785B")</f>
        <v/>
      </c>
      <c r="G33" t="inlineStr">
        <is>
          <t>Seattle, WA, US</t>
        </is>
      </c>
      <c r="H33" s="1" t="n">
        <v>46055</v>
      </c>
      <c r="I33" t="inlineStr">
        <is>
          <t>**DESCRIPTION**
---------------
At AWS Healthcare AI, we're revolutionizing healthcare delivery through AI solutions that serve millions globally. As a pioneer in healthcare technology, we're building next\-generation services that combine Amazon's world\-class AI infrastructure with deep healthcare expertise. Our mission is to accelerate our healthcare businesses by delivering intuitive and differentiated technology solutions that solve enduring business challenges. The AWS Healthcare AI organization includes services such as HealthScribe, Comprehend Medical, HealthLake, and more.  
We're seeking a Senior Applied Scientist to join our team working on our AI driven clinical solutions that are transforming how clinicians interact with patients and document care.  
Key Job Responsibilities
To be successful in this mission, we are seeking an experienced Applied Scientist to lead pioneering research and development of new, highly confidential AI applications that re\-imagine experiences for end\-customers (e.g., consumers, patients), frontline workers (e.g., customer service agents, clinicians), and back\-office staff (e.g., claims processing, medical coding). As a leading subject matter expert in NLU, deep learning, knowledge representation, foundation models, and reinforcement learning, you will guide a team of scientists to invent novel, generative AI\-powered experiences. This role involves defining research directions, developing new ML techniques, conducting rigorous experiments, and ensuring research translates to impactful products. You will be a hands\-on technical innovator who is passionate about building scalable scientific solutions. You will set the standard for excellence, invent scalable, scientifically sound solutions across teams, define evaluation methods, and lead complex reviews. This role wields significant influence across AWS, Amazon, and the global research community.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Mountain View \- 192,200\.00 \- 260,000\.00 USD annually  
USA, WA, Seattle \- 167,100\.00 \- 226,100\.00 USD annually</t>
        </is>
      </c>
    </row>
    <row r="34">
      <c r="A34" t="inlineStr">
        <is>
          <t>in-e8a49285a382166c</t>
        </is>
      </c>
      <c r="B34" t="inlineStr">
        <is>
          <t>Sr. Applied Scientist, AWS Healthcare-AI</t>
        </is>
      </c>
      <c r="C34" t="inlineStr">
        <is>
          <t>Amazon.com</t>
        </is>
      </c>
      <c r="D34" t="inlineStr">
        <is>
          <t>indeed</t>
        </is>
      </c>
      <c r="E34">
        <f>HYPERLINK("https://www.indeed.com/viewjob?jk=e8a49285a382166c", "https://www.indeed.com/viewjob?jk=e8a49285a382166c")</f>
        <v/>
      </c>
      <c r="F34">
        <f>HYPERLINK("https://www.amazon.jobs/jobs/3179064/sr-applied-scientist-aws-healthcareai?cmpid=DA_INAD200785B", "https://www.amazon.jobs/jobs/3179064/sr-applied-scientist-aws-healthcareai?cmpid=DA_INAD200785B")</f>
        <v/>
      </c>
      <c r="G34" t="inlineStr">
        <is>
          <t>Mountain View, CA, US</t>
        </is>
      </c>
      <c r="H34" s="1" t="n">
        <v>46055</v>
      </c>
      <c r="I34" t="inlineStr">
        <is>
          <t>**DESCRIPTION**
---------------
At AWS Healthcare AI, we're revolutionizing healthcare delivery through AI solutions that serve millions globally. As a pioneer in healthcare technology, we're building next\-generation services that combine Amazon's world\-class AI infrastructure with deep healthcare expertise. Our mission is to accelerate our healthcare businesses by delivering intuitive and differentiated technology solutions that solve enduring business challenges. The AWS Healthcare AI organization includes services such as HealthScribe, Comprehend Medical, HealthLake, and more.  
We're seeking a Senior Applied Scientist to join our team working on our AI driven clinical solutions that are transforming how clinicians interact with patients and document care.  
Key Job Responsibilities
To be successful in this mission, we are seeking an experienced Applied Scientist to lead pioneering research and development of new, highly confidential AI applications that re\-imagine experiences for end\-customers (e.g., consumers, patients), frontline workers (e.g., customer service agents, clinicians), and back\-office staff (e.g., claims processing, medical coding). As a leading subject matter expert in NLU, deep learning, knowledge representation, foundation models, and reinforcement learning, you will guide a team of scientists to invent novel, generative AI\-powered experiences. This role involves defining research directions, developing new ML techniques, conducting rigorous experiments, and ensuring research translates to impactful products. You will be a hands\-on technical innovator who is passionate about building scalable scientific solutions. You will set the standard for excellence, invent scalable, scientifically sound solutions across teams, define evaluation methods, and lead complex reviews. This role wields significant influence across AWS, Amazon, and the global research community.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Mountain View \- 192,200\.00 \- 260,000\.00 USD annually  
USA, WA, Seattle \- 167,100\.00 \- 226,100\.00 USD annually</t>
        </is>
      </c>
    </row>
    <row r="35">
      <c r="A35" t="inlineStr">
        <is>
          <t>in-d395e3f36097b32f</t>
        </is>
      </c>
      <c r="B35" t="inlineStr">
        <is>
          <t>Applied Scientist (Contract), Artificial General Intelligence</t>
        </is>
      </c>
      <c r="C35" t="inlineStr">
        <is>
          <t>Amazon.com</t>
        </is>
      </c>
      <c r="D35" t="inlineStr">
        <is>
          <t>indeed</t>
        </is>
      </c>
      <c r="E35">
        <f>HYPERLINK("https://www.indeed.com/viewjob?jk=d395e3f36097b32f", "https://www.indeed.com/viewjob?jk=d395e3f36097b32f")</f>
        <v/>
      </c>
      <c r="F35">
        <f>HYPERLINK("https://www.amazon.jobs/jobs/3179188/applied-scientist-contract-artificial-general-intelligence?cmpid=DA_INAD200785B", "https://www.amazon.jobs/jobs/3179188/applied-scientist-contract-artificial-general-intelligence?cmpid=DA_INAD200785B")</f>
        <v/>
      </c>
      <c r="G35" t="inlineStr">
        <is>
          <t>Bellevue, WA, US</t>
        </is>
      </c>
      <c r="H35" s="1" t="n">
        <v>46055</v>
      </c>
      <c r="I35"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6">
      <c r="A36" t="inlineStr">
        <is>
          <t>in-25a9cb0d69a5473f</t>
        </is>
      </c>
      <c r="B36" t="inlineStr">
        <is>
          <t>Applied Scientist (Contract), Artificial General Intelligence</t>
        </is>
      </c>
      <c r="C36" t="inlineStr">
        <is>
          <t>Amazon.com</t>
        </is>
      </c>
      <c r="D36" t="inlineStr">
        <is>
          <t>indeed</t>
        </is>
      </c>
      <c r="E36">
        <f>HYPERLINK("https://www.indeed.com/viewjob?jk=25a9cb0d69a5473f", "https://www.indeed.com/viewjob?jk=25a9cb0d69a5473f")</f>
        <v/>
      </c>
      <c r="F36">
        <f>HYPERLINK("https://www.amazon.jobs/jobs/3179168/applied-scientist-contract-artificial-general-intelligence?cmpid=DA_INAD200785B", "https://www.amazon.jobs/jobs/3179168/applied-scientist-contract-artificial-general-intelligence?cmpid=DA_INAD200785B")</f>
        <v/>
      </c>
      <c r="G36" t="inlineStr">
        <is>
          <t>Boston, MA, US</t>
        </is>
      </c>
      <c r="H36" s="1" t="n">
        <v>46055</v>
      </c>
      <c r="I36"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7">
      <c r="A37" t="inlineStr">
        <is>
          <t>in-5b7c257e903be09c</t>
        </is>
      </c>
      <c r="B37" t="inlineStr">
        <is>
          <t>Applied Scientist (Contract), Artificial General Intelligence</t>
        </is>
      </c>
      <c r="C37" t="inlineStr">
        <is>
          <t>Amazon.com</t>
        </is>
      </c>
      <c r="D37" t="inlineStr">
        <is>
          <t>indeed</t>
        </is>
      </c>
      <c r="E37">
        <f>HYPERLINK("https://www.indeed.com/viewjob?jk=5b7c257e903be09c", "https://www.indeed.com/viewjob?jk=5b7c257e903be09c")</f>
        <v/>
      </c>
      <c r="F37">
        <f>HYPERLINK("https://www.amazon.jobs/jobs/3179168/applied-scientist-contract-artificial-general-intelligence?cmpid=DA_INAD200785B", "https://www.amazon.jobs/jobs/3179168/applied-scientist-contract-artificial-general-intelligence?cmpid=DA_INAD200785B")</f>
        <v/>
      </c>
      <c r="G37" t="inlineStr">
        <is>
          <t>Bellevue, WA, US</t>
        </is>
      </c>
      <c r="H37" s="1" t="n">
        <v>46055</v>
      </c>
      <c r="I37"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8">
      <c r="A38" t="inlineStr">
        <is>
          <t>in-46822940b4e2921d</t>
        </is>
      </c>
      <c r="B38" t="inlineStr">
        <is>
          <t>Applied Scientist (Contract), Artificial General Intelligence</t>
        </is>
      </c>
      <c r="C38" t="inlineStr">
        <is>
          <t>Amazon.com</t>
        </is>
      </c>
      <c r="D38" t="inlineStr">
        <is>
          <t>indeed</t>
        </is>
      </c>
      <c r="E38">
        <f>HYPERLINK("https://www.indeed.com/viewjob?jk=46822940b4e2921d", "https://www.indeed.com/viewjob?jk=46822940b4e2921d")</f>
        <v/>
      </c>
      <c r="F38">
        <f>HYPERLINK("https://www.amazon.jobs/jobs/3179169/applied-scientist-contract-artificial-general-intelligence?cmpid=DA_INAD200785B", "https://www.amazon.jobs/jobs/3179169/applied-scientist-contract-artificial-general-intelligence?cmpid=DA_INAD200785B")</f>
        <v/>
      </c>
      <c r="G38" t="inlineStr">
        <is>
          <t>Bellevue, WA, US</t>
        </is>
      </c>
      <c r="H38" s="1" t="n">
        <v>46055</v>
      </c>
      <c r="I38"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9">
      <c r="A39" t="inlineStr">
        <is>
          <t>in-a1d72f4d6f3df938</t>
        </is>
      </c>
      <c r="B39" t="inlineStr">
        <is>
          <t>Applied Scientist (Contract), Artificial General Intelligence</t>
        </is>
      </c>
      <c r="C39" t="inlineStr">
        <is>
          <t>Amazon.com</t>
        </is>
      </c>
      <c r="D39" t="inlineStr">
        <is>
          <t>indeed</t>
        </is>
      </c>
      <c r="E39">
        <f>HYPERLINK("https://www.indeed.com/viewjob?jk=a1d72f4d6f3df938", "https://www.indeed.com/viewjob?jk=a1d72f4d6f3df938")</f>
        <v/>
      </c>
      <c r="F39">
        <f>HYPERLINK("https://www.amazon.jobs/jobs/3179188/applied-scientist-contract-artificial-general-intelligence?cmpid=DA_INAD200785B", "https://www.amazon.jobs/jobs/3179188/applied-scientist-contract-artificial-general-intelligence?cmpid=DA_INAD200785B")</f>
        <v/>
      </c>
      <c r="G39" t="inlineStr">
        <is>
          <t>Boston, MA, US</t>
        </is>
      </c>
      <c r="H39" s="1" t="n">
        <v>46055</v>
      </c>
      <c r="I39"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40">
      <c r="A40" t="inlineStr">
        <is>
          <t>in-b4de5a93f517605c</t>
        </is>
      </c>
      <c r="B40" t="inlineStr">
        <is>
          <t>Applied Scientist (Contract), Artificial General Intelligence</t>
        </is>
      </c>
      <c r="C40" t="inlineStr">
        <is>
          <t>Amazon.com</t>
        </is>
      </c>
      <c r="D40" t="inlineStr">
        <is>
          <t>indeed</t>
        </is>
      </c>
      <c r="E40">
        <f>HYPERLINK("https://www.indeed.com/viewjob?jk=b4de5a93f517605c", "https://www.indeed.com/viewjob?jk=b4de5a93f517605c")</f>
        <v/>
      </c>
      <c r="F40">
        <f>HYPERLINK("https://www.amazon.jobs/jobs/3179169/applied-scientist-contract-artificial-general-intelligence?cmpid=DA_INAD200785B", "https://www.amazon.jobs/jobs/3179169/applied-scientist-contract-artificial-general-intelligence?cmpid=DA_INAD200785B")</f>
        <v/>
      </c>
      <c r="G40" t="inlineStr">
        <is>
          <t>Boston, MA, US</t>
        </is>
      </c>
      <c r="H40" s="1" t="n">
        <v>46055</v>
      </c>
      <c r="I40"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41">
      <c r="A41" t="inlineStr">
        <is>
          <t>in-2908cfdb5e3ad33c</t>
        </is>
      </c>
      <c r="B41" t="inlineStr">
        <is>
          <t>Applied Scientist (Contract), Artificial General Intelligence</t>
        </is>
      </c>
      <c r="C41" t="inlineStr">
        <is>
          <t>Amazon.com</t>
        </is>
      </c>
      <c r="D41" t="inlineStr">
        <is>
          <t>indeed</t>
        </is>
      </c>
      <c r="E41">
        <f>HYPERLINK("https://www.indeed.com/viewjob?jk=2908cfdb5e3ad33c", "https://www.indeed.com/viewjob?jk=2908cfdb5e3ad33c")</f>
        <v/>
      </c>
      <c r="F41">
        <f>HYPERLINK("https://www.amazon.jobs/jobs/3179187/applied-scientist-contract-artificial-general-intelligence?cmpid=DA_INAD200785B", "https://www.amazon.jobs/jobs/3179187/applied-scientist-contract-artificial-general-intelligence?cmpid=DA_INAD200785B")</f>
        <v/>
      </c>
      <c r="G41" t="inlineStr">
        <is>
          <t>Bellevue, WA, US</t>
        </is>
      </c>
      <c r="H41" s="1" t="n">
        <v>46051</v>
      </c>
      <c r="I41"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42">
      <c r="A42" t="inlineStr">
        <is>
          <t>in-15f40f2dd81b6bbb</t>
        </is>
      </c>
      <c r="B42" t="inlineStr">
        <is>
          <t>Applied Scientist (Contract), Artificial General Intelligence</t>
        </is>
      </c>
      <c r="C42" t="inlineStr">
        <is>
          <t>Amazon.com</t>
        </is>
      </c>
      <c r="D42" t="inlineStr">
        <is>
          <t>indeed</t>
        </is>
      </c>
      <c r="E42">
        <f>HYPERLINK("https://www.indeed.com/viewjob?jk=15f40f2dd81b6bbb", "https://www.indeed.com/viewjob?jk=15f40f2dd81b6bbb")</f>
        <v/>
      </c>
      <c r="F42">
        <f>HYPERLINK("https://www.amazon.jobs/jobs/3179187/applied-scientist-contract-artificial-general-intelligence?cmpid=DA_INAD200785B", "https://www.amazon.jobs/jobs/3179187/applied-scientist-contract-artificial-general-intelligence?cmpid=DA_INAD200785B")</f>
        <v/>
      </c>
      <c r="G42" t="inlineStr">
        <is>
          <t>Boston, MA, US</t>
        </is>
      </c>
      <c r="H42" s="1" t="n">
        <v>46051</v>
      </c>
      <c r="I42"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43">
      <c r="A43" t="inlineStr">
        <is>
          <t>in-95561a92c0676662</t>
        </is>
      </c>
      <c r="B43" t="inlineStr">
        <is>
          <t>Sr. Applied Scientist - SLAM, Amazon Industrial Robotics</t>
        </is>
      </c>
      <c r="C43" t="inlineStr">
        <is>
          <t>Amazon.com</t>
        </is>
      </c>
      <c r="D43" t="inlineStr">
        <is>
          <t>indeed</t>
        </is>
      </c>
      <c r="E43">
        <f>HYPERLINK("https://www.indeed.com/viewjob?jk=95561a92c0676662", "https://www.indeed.com/viewjob?jk=95561a92c0676662")</f>
        <v/>
      </c>
      <c r="F43">
        <f>HYPERLINK("https://www.amazon.jobs/jobs/3172078/sr-applied-scientist--slam-amazon-industrial-robotics?cmpid=DA_INAD200785B", "https://www.amazon.jobs/jobs/3172078/sr-applied-scientist--slam-amazon-industrial-robotics?cmpid=DA_INAD200785B")</f>
        <v/>
      </c>
      <c r="G43" t="inlineStr">
        <is>
          <t>Reading, MA, US</t>
        </is>
      </c>
      <c r="H43" s="1" t="n">
        <v>46050</v>
      </c>
      <c r="I43" t="inlineStr">
        <is>
          <t>**DESCRIPTION**
---------------
Amazon Industrial Robotics (AIR)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the latest software and AI tools for robots.
We are seeking an expert to lead the development of our SLAM and Spatial AI module. In this role, you will create methods that will enable our robot to perceive the environment and navigate with unrivaled vision and fidelity. The system will combine an array of diverse sensors with simultaneous localization and mapping software that continuously updates the map in real\-time automatically. It will have the capability to ‘see’ and identify different objects, people, vehicles, and places as it moves and react to moving people and vehicles in an intelligent way.  
The system combines a mix of high\-performance sensors with simultaneous localization and mapping software that builds and continuously updates maps in real\-time, completely automatically. It has the capability to ‘see’ and identify different objects, people, vehicles, and places as it moves and react to moving people and vehicles in an intelligent way.  
Key job responsibilities  
* Analyze, design, develop, and test existing and new perception capabilities using cameras and LIDAR sensor inputs for obstacle detection and semantic understanding.
* Research, design, implement and evaluate scientific approaches to a variety of autonomy challenges..
* Create experiments and prototype implementations of new perception algorithms.
* Deliver high quality production level code (C\+\+ or Python) and support systems in production.
* Collaborate with other functional teams in a robotics organization.
* Collaborate closely with hardware engineering team members on developing systems from prototyping to production level.
* Represent Amazon in academia community through publications and scientific presentations.
* Work with stakeholders across hardware, science, and operations teams to iterate on systems design and implementation.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\- 167,100\.00 \- 226,100\.00 USD annually</t>
        </is>
      </c>
    </row>
    <row r="44">
      <c r="A44" t="inlineStr">
        <is>
          <t>in-3eecb88e399dccd3</t>
        </is>
      </c>
      <c r="B44" t="inlineStr">
        <is>
          <t>Sr. Applied Scientist - SLAM, Amazon Industrial Robotics</t>
        </is>
      </c>
      <c r="C44" t="inlineStr">
        <is>
          <t>Amazon.com</t>
        </is>
      </c>
      <c r="D44" t="inlineStr">
        <is>
          <t>indeed</t>
        </is>
      </c>
      <c r="E44">
        <f>HYPERLINK("https://www.indeed.com/viewjob?jk=3eecb88e399dccd3", "https://www.indeed.com/viewjob?jk=3eecb88e399dccd3")</f>
        <v/>
      </c>
      <c r="F44">
        <f>HYPERLINK("https://www.amazon.jobs/jobs/3172078/sr-applied-scientist--slam-amazon-industrial-robotics?cmpid=DA_INAD200785B", "https://www.amazon.jobs/jobs/3172078/sr-applied-scientist--slam-amazon-industrial-robotics?cmpid=DA_INAD200785B")</f>
        <v/>
      </c>
      <c r="G44" t="inlineStr">
        <is>
          <t>Reading, MA, US</t>
        </is>
      </c>
      <c r="H44" s="1" t="n">
        <v>46050</v>
      </c>
      <c r="I44" t="inlineStr">
        <is>
          <t>**DESCRIPTION**
---------------
Amazon Industrial Robotics (AIR)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the latest software and AI tools for robots.
We are seeking an expert to lead the development of our SLAM and Spatial AI module. In this role, you will create methods that will enable our robot to perceive the environment and navigate with unrivaled vision and fidelity. The system will combine an array of diverse sensors with simultaneous localization and mapping software that continuously updates the map in real\-time automatically. It will have the capability to ‘see’ and identify different objects, people, vehicles, and places as it moves and react to moving people and vehicles in an intelligent way.  
The system combines a mix of high\-performance sensors with simultaneous localization and mapping software that builds and continuously updates maps in real\-time, completely automatically. It has the capability to ‘see’ and identify different objects, people, vehicles, and places as it moves and react to moving people and vehicles in an intelligent way.  
Key job responsibilities  
* Analyze, design, develop, and test existing and new perception capabilities using cameras and LIDAR sensor inputs for obstacle detection and semantic understanding.
* Research, design, implement and evaluate scientific approaches to a variety of autonomy challenges..
* Create experiments and prototype implementations of new perception algorithms.
* Deliver high quality production level code (C\+\+ or Python) and support systems in production.
* Collaborate with other functional teams in a robotics organization.
* Collaborate closely with hardware engineering team members on developing systems from prototyping to production level.
* Represent Amazon in academia community through publications and scientific presentations.
* Work with stakeholders across hardware, science, and operations teams to iterate on systems design and implementation.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\- 167,100\.00 \- 226,100\.00 USD annually</t>
        </is>
      </c>
    </row>
    <row r="45">
      <c r="A45" t="inlineStr">
        <is>
          <t>in-bc81381f2ddaf398</t>
        </is>
      </c>
      <c r="B45" t="inlineStr">
        <is>
          <t>Principal Applied Scientist, Sensing, Industrial Robotics Group</t>
        </is>
      </c>
      <c r="C45" t="inlineStr">
        <is>
          <t>Amazon.com</t>
        </is>
      </c>
      <c r="D45" t="inlineStr">
        <is>
          <t>indeed</t>
        </is>
      </c>
      <c r="E45">
        <f>HYPERLINK("https://www.indeed.com/viewjob?jk=bc81381f2ddaf398", "https://www.indeed.com/viewjob?jk=bc81381f2ddaf398")</f>
        <v/>
      </c>
      <c r="F45">
        <f>HYPERLINK("https://www.amazon.jobs/jobs/3170953/principal-applied-scientist-sensing-industrial-robotics-group-?cmpid=DA_INAD200785B", "https://www.amazon.jobs/jobs/3170953/principal-applied-scientist-sensing-industrial-robotics-group-?cmpid=DA_INAD200785B")</f>
        <v/>
      </c>
      <c r="G45" t="inlineStr">
        <is>
          <t>Reading, MA, US</t>
        </is>
      </c>
      <c r="H45" s="1" t="n">
        <v>46050</v>
      </c>
      <c r="I45" t="inlineStr">
        <is>
          <t>**DESCRIPTION**
---------------
Amazon's Industrial Robotics Group (IRG)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As a Principal Scientist, you will lead the research and development of complex sensing systems that help our robots perceive the world around them. You will explore and guide the exploration of novel sensing modalities, refining the existing ones, and imagine the future of robot–based perception, safety, and navigation. You will formulate a robust sensing architecture, lead the experimentation and prototyping, and take part in creating future robots that are fully aware of their surroundings.
Key job responsibilities  
* Build and lead teams focused on hardware, firmware, and embedded systems
* Drive technical roadmaps for next\-generation robotics platforms
* Drive architecture decisions for complex robotics perception systems
* Bring the latest trends and scientific developments in robotic perception to the technical team
* Create technical standards for robotics sensing platforms
* Drive innovation in real\-time perception and control systems
**BASIC QUALIFICATIONS**
------------------------
* PhD in computer science, machine learning, engineering, or related fields
* 10\+ years experience in sensing and perception research
* 5\+ years technical leadership in perception systems and learning
* Strong background in real\-time multimodal sensing
* Proven track record in robotics computing platforms
**PREFERRED QUALIFICATIONS**
----------------------------
* Experience with robotics perception\-driven control systems and sensor integration
* Background in real\-time operating systems and deterministic computing
* Experience developing complex perception\-driven robotic architectures
* Track record of innovation in robotics sensing platforms
* Experience with safety applications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\- 198,900\.00 \- 269,000\.00 USD annually</t>
        </is>
      </c>
    </row>
    <row r="46">
      <c r="A46" t="inlineStr">
        <is>
          <t>in-84deac1a0893f7f8</t>
        </is>
      </c>
      <c r="B46" t="inlineStr">
        <is>
          <t>Principal Applied Scientist, Sensing, Industrial Robotics Group</t>
        </is>
      </c>
      <c r="C46" t="inlineStr">
        <is>
          <t>Amazon.com</t>
        </is>
      </c>
      <c r="D46" t="inlineStr">
        <is>
          <t>indeed</t>
        </is>
      </c>
      <c r="E46">
        <f>HYPERLINK("https://www.indeed.com/viewjob?jk=84deac1a0893f7f8", "https://www.indeed.com/viewjob?jk=84deac1a0893f7f8")</f>
        <v/>
      </c>
      <c r="F46">
        <f>HYPERLINK("https://www.amazon.jobs/jobs/3170953/principal-applied-scientist-sensing-industrial-robotics-group-?cmpid=DA_INAD200785B", "https://www.amazon.jobs/jobs/3170953/principal-applied-scientist-sensing-industrial-robotics-group-?cmpid=DA_INAD200785B")</f>
        <v/>
      </c>
      <c r="G46" t="inlineStr">
        <is>
          <t>Reading, MA, US</t>
        </is>
      </c>
      <c r="H46" s="1" t="n">
        <v>46050</v>
      </c>
      <c r="I46" t="inlineStr">
        <is>
          <t>**DESCRIPTION**
---------------
Amazon's Industrial Robotics Group (IRG)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As a Principal Scientist, you will lead the research and development of complex sensing systems that help our robots perceive the world around them. You will explore and guide the exploration of novel sensing modalities, refining the existing ones, and imagine the future of robot–based perception, safety, and navigation. You will formulate a robust sensing architecture, lead the experimentation and prototyping, and take part in creating future robots that are fully aware of their surroundings.
Key job responsibilities  
* Build and lead teams focused on hardware, firmware, and embedded systems
* Drive technical roadmaps for next\-generation robotics platforms
* Drive architecture decisions for complex robotics perception systems
* Bring the latest trends and scientific developments in robotic perception to the technical team
* Create technical standards for robotics sensing platforms
* Drive innovation in real\-time perception and control systems
**BASIC QUALIFICATIONS**
------------------------
* PhD in computer science, machine learning, engineering, or related fields
* 10\+ years experience in sensing and perception research
* 5\+ years technical leadership in perception systems and learning
* Strong background in real\-time multimodal sensing
* Proven track record in robotics computing platforms
**PREFERRED QUALIFICATIONS**
----------------------------
* Experience with robotics perception\-driven control systems and sensor integration
* Background in real\-time operating systems and deterministic computing
* Experience developing complex perception\-driven robotic architectures
* Track record of innovation in robotics sensing platforms
* Experience with safety applications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\- 198,900\.00 \- 269,000\.00 USD annually</t>
        </is>
      </c>
    </row>
    <row r="47">
      <c r="A47" t="inlineStr">
        <is>
          <t>in-f7f6a0f811cd6424</t>
        </is>
      </c>
      <c r="B47" t="inlineStr">
        <is>
          <t>Applied Scientist II, Prime Video Personalization and Discovery Science</t>
        </is>
      </c>
      <c r="C47" t="inlineStr">
        <is>
          <t>Amazon.com</t>
        </is>
      </c>
      <c r="D47" t="inlineStr">
        <is>
          <t>indeed</t>
        </is>
      </c>
      <c r="E47">
        <f>HYPERLINK("https://www.indeed.com/viewjob?jk=f7f6a0f811cd6424", "https://www.indeed.com/viewjob?jk=f7f6a0f811cd6424")</f>
        <v/>
      </c>
      <c r="F47">
        <f>HYPERLINK("https://www.amazon.jobs/jobs/3168905/applied-scientist-ii-prime-video-personalization-and-discovery-science?cmpid=DA_INAD200785B", "https://www.amazon.jobs/jobs/3168905/applied-scientist-ii-prime-video-personalization-and-discovery-science?cmpid=DA_INAD200785B")</f>
        <v/>
      </c>
      <c r="G47" t="inlineStr">
        <is>
          <t>New York, NY, US</t>
        </is>
      </c>
      <c r="H47" s="1" t="n">
        <v>46047</v>
      </c>
      <c r="I4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8">
      <c r="A48" t="inlineStr">
        <is>
          <t>in-09892d33d99f17a2</t>
        </is>
      </c>
      <c r="B48" t="inlineStr">
        <is>
          <t>Applied Scientist II, Prime Video Personalization and Discovery Science</t>
        </is>
      </c>
      <c r="C48" t="inlineStr">
        <is>
          <t>Amazon.com</t>
        </is>
      </c>
      <c r="D48" t="inlineStr">
        <is>
          <t>indeed</t>
        </is>
      </c>
      <c r="E48">
        <f>HYPERLINK("https://www.indeed.com/viewjob?jk=09892d33d99f17a2", "https://www.indeed.com/viewjob?jk=09892d33d99f17a2")</f>
        <v/>
      </c>
      <c r="F48">
        <f>HYPERLINK("https://www.amazon.jobs/jobs/3168905/applied-scientist-ii-prime-video-personalization-and-discovery-science?cmpid=DA_INAD200785B", "https://www.amazon.jobs/jobs/3168905/applied-scientist-ii-prime-video-personalization-and-discovery-science?cmpid=DA_INAD200785B")</f>
        <v/>
      </c>
      <c r="G48" t="inlineStr">
        <is>
          <t>Seattle, WA, US</t>
        </is>
      </c>
      <c r="H48" s="1" t="n">
        <v>46047</v>
      </c>
      <c r="I4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9">
      <c r="A49" t="inlineStr">
        <is>
          <t>in-3e15cae0469c1bd1</t>
        </is>
      </c>
      <c r="B49" t="inlineStr">
        <is>
          <t>Applied Scientist II, Prime Video Personalization and Discovery Science</t>
        </is>
      </c>
      <c r="C49" t="inlineStr">
        <is>
          <t>Amazon.com</t>
        </is>
      </c>
      <c r="D49" t="inlineStr">
        <is>
          <t>indeed</t>
        </is>
      </c>
      <c r="E49">
        <f>HYPERLINK("https://www.indeed.com/viewjob?jk=3e15cae0469c1bd1", "https://www.indeed.com/viewjob?jk=3e15cae0469c1bd1")</f>
        <v/>
      </c>
      <c r="F49">
        <f>HYPERLINK("https://www.amazon.jobs/jobs/3168905/applied-scientist-ii-prime-video-personalization-and-discovery-science?cmpid=DA_INAD200785B", "https://www.amazon.jobs/jobs/3168905/applied-scientist-ii-prime-video-personalization-and-discovery-science?cmpid=DA_INAD200785B")</f>
        <v/>
      </c>
      <c r="G49" t="inlineStr">
        <is>
          <t>Sunnyvale, CA, US</t>
        </is>
      </c>
      <c r="H49" s="1" t="n">
        <v>46047</v>
      </c>
      <c r="I4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50">
      <c r="A50" t="inlineStr">
        <is>
          <t>in-7d8a84d0ab807a13</t>
        </is>
      </c>
      <c r="B50" t="inlineStr">
        <is>
          <t>Applied Scientist, Amazon Connect</t>
        </is>
      </c>
      <c r="C50" t="inlineStr">
        <is>
          <t>Amazon Web Services</t>
        </is>
      </c>
      <c r="D50" t="inlineStr">
        <is>
          <t>indeed</t>
        </is>
      </c>
      <c r="E50">
        <f>HYPERLINK("https://www.indeed.com/viewjob?jk=7d8a84d0ab807a13", "https://www.indeed.com/viewjob?jk=7d8a84d0ab807a13")</f>
        <v/>
      </c>
      <c r="F50">
        <f>HYPERLINK("https://www.amazon.jobs/jobs/3168981/applied-scientist-amazon-connect?cmpid=DA_INAD200785B", "https://www.amazon.jobs/jobs/3168981/applied-scientist-amazon-connect?cmpid=DA_INAD200785B")</f>
        <v/>
      </c>
      <c r="G50" t="inlineStr">
        <is>
          <t>New York, NY, US</t>
        </is>
      </c>
      <c r="H50" s="1" t="n">
        <v>46047</v>
      </c>
      <c r="I50"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1">
      <c r="A51" t="inlineStr">
        <is>
          <t>in-a54cc9637e721273</t>
        </is>
      </c>
      <c r="B51" t="inlineStr">
        <is>
          <t>Applied Scientist, Amazon Connect</t>
        </is>
      </c>
      <c r="C51" t="inlineStr">
        <is>
          <t>Amazon Web Services</t>
        </is>
      </c>
      <c r="D51" t="inlineStr">
        <is>
          <t>indeed</t>
        </is>
      </c>
      <c r="E51">
        <f>HYPERLINK("https://www.indeed.com/viewjob?jk=a54cc9637e721273", "https://www.indeed.com/viewjob?jk=a54cc9637e721273")</f>
        <v/>
      </c>
      <c r="F51">
        <f>HYPERLINK("https://www.amazon.jobs/jobs/3168981/applied-scientist-amazon-connect?cmpid=DA_INAD200785B", "https://www.amazon.jobs/jobs/3168981/applied-scientist-amazon-connect?cmpid=DA_INAD200785B")</f>
        <v/>
      </c>
      <c r="G51" t="inlineStr">
        <is>
          <t>Seattle, WA, US</t>
        </is>
      </c>
      <c r="H51" s="1" t="n">
        <v>46047</v>
      </c>
      <c r="I51"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2">
      <c r="A52" t="inlineStr">
        <is>
          <t>in-1df4d36974e653cf</t>
        </is>
      </c>
      <c r="B52" t="inlineStr">
        <is>
          <t>Applied Scientist, Safety ML</t>
        </is>
      </c>
      <c r="C52" t="inlineStr">
        <is>
          <t>Amazon.com</t>
        </is>
      </c>
      <c r="D52" t="inlineStr">
        <is>
          <t>indeed</t>
        </is>
      </c>
      <c r="E52">
        <f>HYPERLINK("https://www.indeed.com/viewjob?jk=1df4d36974e653cf", "https://www.indeed.com/viewjob?jk=1df4d36974e653cf")</f>
        <v/>
      </c>
      <c r="F52">
        <f>HYPERLINK("https://www.amazon.jobs/jobs/3161224/applied-scientist-safety-ml?cmpid=DA_INAD200785B", "https://www.amazon.jobs/jobs/3161224/applied-scientist-safety-ml?cmpid=DA_INAD200785B")</f>
        <v/>
      </c>
      <c r="G52" t="inlineStr">
        <is>
          <t>San Francisco, CA, US</t>
        </is>
      </c>
      <c r="H52" s="1" t="n">
        <v>46037</v>
      </c>
      <c r="I5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53">
      <c r="A53" t="inlineStr">
        <is>
          <t>in-5159b1a456d8fc19</t>
        </is>
      </c>
      <c r="B53" t="inlineStr">
        <is>
          <t>Applied Scientist, Safety ML</t>
        </is>
      </c>
      <c r="C53" t="inlineStr">
        <is>
          <t>Amazon.com</t>
        </is>
      </c>
      <c r="D53" t="inlineStr">
        <is>
          <t>indeed</t>
        </is>
      </c>
      <c r="E53">
        <f>HYPERLINK("https://www.indeed.com/viewjob?jk=5159b1a456d8fc19", "https://www.indeed.com/viewjob?jk=5159b1a456d8fc19")</f>
        <v/>
      </c>
      <c r="F53">
        <f>HYPERLINK("https://www.amazon.jobs/jobs/3161224/applied-scientist-safety-ml?cmpid=DA_INAD200785B", "https://www.amazon.jobs/jobs/3161224/applied-scientist-safety-ml?cmpid=DA_INAD200785B")</f>
        <v/>
      </c>
      <c r="G53" t="inlineStr">
        <is>
          <t>Seattle, WA, US</t>
        </is>
      </c>
      <c r="H53" s="1" t="n">
        <v>46037</v>
      </c>
      <c r="I5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54">
      <c r="A54" t="inlineStr">
        <is>
          <t>in-5c60c9d3a82ca6e7</t>
        </is>
      </c>
      <c r="B54" t="inlineStr">
        <is>
          <t>Principal Applied Scientist, Measurement, AdTech and Data Science, Ads Performance Measurement</t>
        </is>
      </c>
      <c r="C54" t="inlineStr">
        <is>
          <t>Amazon.com</t>
        </is>
      </c>
      <c r="D54" t="inlineStr">
        <is>
          <t>indeed</t>
        </is>
      </c>
      <c r="E54">
        <f>HYPERLINK("https://www.indeed.com/viewjob?jk=5c60c9d3a82ca6e7", "https://www.indeed.com/viewjob?jk=5c60c9d3a82ca6e7")</f>
        <v/>
      </c>
      <c r="F54">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54" t="inlineStr">
        <is>
          <t>Palo Alto, CA, US</t>
        </is>
      </c>
      <c r="H54" s="1" t="n">
        <v>46037</v>
      </c>
      <c r="I54"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55">
      <c r="A55" t="inlineStr">
        <is>
          <t>in-1479a5911a22498d</t>
        </is>
      </c>
      <c r="B55" t="inlineStr">
        <is>
          <t>Principal Applied Scientist, Measurement, AdTech and Data Science, Ads Performance Measurement</t>
        </is>
      </c>
      <c r="C55" t="inlineStr">
        <is>
          <t>Amazon.com</t>
        </is>
      </c>
      <c r="D55" t="inlineStr">
        <is>
          <t>indeed</t>
        </is>
      </c>
      <c r="E55">
        <f>HYPERLINK("https://www.indeed.com/viewjob?jk=1479a5911a22498d", "https://www.indeed.com/viewjob?jk=1479a5911a22498d")</f>
        <v/>
      </c>
      <c r="F55">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55" t="inlineStr">
        <is>
          <t>New York, NY, US</t>
        </is>
      </c>
      <c r="H55" s="1" t="n">
        <v>46037</v>
      </c>
      <c r="I55"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56">
      <c r="A56" t="inlineStr">
        <is>
          <t>in-379648bdb0625f32</t>
        </is>
      </c>
      <c r="B56" t="inlineStr">
        <is>
          <t>Principal Applied Scientist, Measurement, AdTech and Data Science, Ads Performance Measurement</t>
        </is>
      </c>
      <c r="C56" t="inlineStr">
        <is>
          <t>Amazon.com</t>
        </is>
      </c>
      <c r="D56" t="inlineStr">
        <is>
          <t>indeed</t>
        </is>
      </c>
      <c r="E56">
        <f>HYPERLINK("https://www.indeed.com/viewjob?jk=379648bdb0625f32", "https://www.indeed.com/viewjob?jk=379648bdb0625f32")</f>
        <v/>
      </c>
      <c r="F56">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56" t="inlineStr">
        <is>
          <t>Seattle, WA, US</t>
        </is>
      </c>
      <c r="H56" s="1" t="n">
        <v>46037</v>
      </c>
      <c r="I56"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57">
      <c r="A57" t="inlineStr">
        <is>
          <t>in-5abecb7ba5fa1d60</t>
        </is>
      </c>
      <c r="B57" t="inlineStr">
        <is>
          <t>Applied Scientist, LLM Code Agents, Kiro Science</t>
        </is>
      </c>
      <c r="C57" t="inlineStr">
        <is>
          <t>Amazon.com</t>
        </is>
      </c>
      <c r="D57" t="inlineStr">
        <is>
          <t>indeed</t>
        </is>
      </c>
      <c r="E57">
        <f>HYPERLINK("https://www.indeed.com/viewjob?jk=5abecb7ba5fa1d60", "https://www.indeed.com/viewjob?jk=5abecb7ba5fa1d60")</f>
        <v/>
      </c>
      <c r="F57">
        <f>HYPERLINK("https://www.amazon.jobs/jobs/3161363/applied-scientist-llm-code-agents-kiro-science?cmpid=DA_INAD200785B", "https://www.amazon.jobs/jobs/3161363/applied-scientist-llm-code-agents-kiro-science?cmpid=DA_INAD200785B")</f>
        <v/>
      </c>
      <c r="G57" t="inlineStr">
        <is>
          <t>Santa Clara, CA, US</t>
        </is>
      </c>
      <c r="H57" s="1" t="n">
        <v>46035</v>
      </c>
      <c r="I57"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58">
      <c r="A58" t="inlineStr">
        <is>
          <t>in-61a4b0ced2d236d1</t>
        </is>
      </c>
      <c r="B58" t="inlineStr">
        <is>
          <t>Applied Scientist, LLM Code Agents, Kiro Science</t>
        </is>
      </c>
      <c r="C58" t="inlineStr">
        <is>
          <t>Amazon.com</t>
        </is>
      </c>
      <c r="D58" t="inlineStr">
        <is>
          <t>indeed</t>
        </is>
      </c>
      <c r="E58">
        <f>HYPERLINK("https://www.indeed.com/viewjob?jk=61a4b0ced2d236d1", "https://www.indeed.com/viewjob?jk=61a4b0ced2d236d1")</f>
        <v/>
      </c>
      <c r="F58">
        <f>HYPERLINK("https://www.amazon.jobs/jobs/3161363/applied-scientist-llm-code-agents-kiro-science?cmpid=DA_INAD200785B", "https://www.amazon.jobs/jobs/3161363/applied-scientist-llm-code-agents-kiro-science?cmpid=DA_INAD200785B")</f>
        <v/>
      </c>
      <c r="G58" t="inlineStr">
        <is>
          <t>Seattle, WA, US</t>
        </is>
      </c>
      <c r="H58" s="1" t="n">
        <v>46035</v>
      </c>
      <c r="I58"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59">
      <c r="A59" t="inlineStr">
        <is>
          <t>in-338ca4325877546f</t>
        </is>
      </c>
      <c r="B59" t="inlineStr">
        <is>
          <t>Applied Scientist II, Prime Video Personalization and Discovery Science</t>
        </is>
      </c>
      <c r="C59" t="inlineStr">
        <is>
          <t>Amazon.com</t>
        </is>
      </c>
      <c r="D59" t="inlineStr">
        <is>
          <t>indeed</t>
        </is>
      </c>
      <c r="E59">
        <f>HYPERLINK("https://www.indeed.com/viewjob?jk=338ca4325877546f", "https://www.indeed.com/viewjob?jk=338ca4325877546f")</f>
        <v/>
      </c>
      <c r="F59">
        <f>HYPERLINK("https://www.amazon.jobs/jobs/3165157/applied-scientist-ii-prime-video-personalization-and-discovery-science?cmpid=DA_INAD200785B", "https://www.amazon.jobs/jobs/3165157/applied-scientist-ii-prime-video-personalization-and-discovery-science?cmpid=DA_INAD200785B")</f>
        <v/>
      </c>
      <c r="G59" t="inlineStr">
        <is>
          <t>Sunnyvale, CA, US</t>
        </is>
      </c>
      <c r="H59" s="1" t="n">
        <v>46034</v>
      </c>
      <c r="I5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60">
      <c r="A60" t="inlineStr">
        <is>
          <t>in-a0fd5b95c6131da0</t>
        </is>
      </c>
      <c r="B60" t="inlineStr">
        <is>
          <t>Applied Scientist II, Prime Video Personalization and Discovery Science</t>
        </is>
      </c>
      <c r="C60" t="inlineStr">
        <is>
          <t>Amazon.com</t>
        </is>
      </c>
      <c r="D60" t="inlineStr">
        <is>
          <t>indeed</t>
        </is>
      </c>
      <c r="E60">
        <f>HYPERLINK("https://www.indeed.com/viewjob?jk=a0fd5b95c6131da0", "https://www.indeed.com/viewjob?jk=a0fd5b95c6131da0")</f>
        <v/>
      </c>
      <c r="F60">
        <f>HYPERLINK("https://www.amazon.jobs/jobs/3165157/applied-scientist-ii-prime-video-personalization-and-discovery-science?cmpid=DA_INAD200785B", "https://www.amazon.jobs/jobs/3165157/applied-scientist-ii-prime-video-personalization-and-discovery-science?cmpid=DA_INAD200785B")</f>
        <v/>
      </c>
      <c r="G60" t="inlineStr">
        <is>
          <t>Seattle, WA, US</t>
        </is>
      </c>
      <c r="H60" s="1" t="n">
        <v>46034</v>
      </c>
      <c r="I6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61">
      <c r="A61" t="inlineStr">
        <is>
          <t>in-33b38f75b86541f3</t>
        </is>
      </c>
      <c r="B61" t="inlineStr">
        <is>
          <t>Applied Scientist, Alexa Smart Home</t>
        </is>
      </c>
      <c r="C61" t="inlineStr">
        <is>
          <t>Amazon.com</t>
        </is>
      </c>
      <c r="D61" t="inlineStr">
        <is>
          <t>indeed</t>
        </is>
      </c>
      <c r="E61">
        <f>HYPERLINK("https://www.indeed.com/viewjob?jk=33b38f75b86541f3", "https://www.indeed.com/viewjob?jk=33b38f75b86541f3")</f>
        <v/>
      </c>
      <c r="F61">
        <f>HYPERLINK("https://www.amazon.jobs/jobs/3169205/applied-scientist-alexa-smart-home?cmpid=DA_INAD200785B", "https://www.amazon.jobs/jobs/3169205/applied-scientist-alexa-smart-home?cmpid=DA_INAD200785B")</f>
        <v/>
      </c>
      <c r="G61" t="inlineStr">
        <is>
          <t>Sunnyvale, CA, US</t>
        </is>
      </c>
      <c r="H61" s="1" t="n">
        <v>46033</v>
      </c>
      <c r="I61"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62">
      <c r="A62" t="inlineStr">
        <is>
          <t>in-f55c0ead33335d61</t>
        </is>
      </c>
      <c r="B62" t="inlineStr">
        <is>
          <t>Applied Scientist, Alexa Smart Home</t>
        </is>
      </c>
      <c r="C62" t="inlineStr">
        <is>
          <t>Amazon.com</t>
        </is>
      </c>
      <c r="D62" t="inlineStr">
        <is>
          <t>indeed</t>
        </is>
      </c>
      <c r="E62">
        <f>HYPERLINK("https://www.indeed.com/viewjob?jk=f55c0ead33335d61", "https://www.indeed.com/viewjob?jk=f55c0ead33335d61")</f>
        <v/>
      </c>
      <c r="F62">
        <f>HYPERLINK("https://www.amazon.jobs/jobs/3169205/applied-scientist-alexa-smart-home?cmpid=DA_INAD200785B", "https://www.amazon.jobs/jobs/3169205/applied-scientist-alexa-smart-home?cmpid=DA_INAD200785B")</f>
        <v/>
      </c>
      <c r="G62" t="inlineStr">
        <is>
          <t>Seattle, WA, US</t>
        </is>
      </c>
      <c r="H62" s="1" t="n">
        <v>46033</v>
      </c>
      <c r="I62"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63">
      <c r="A63" t="inlineStr">
        <is>
          <t>in-3e1e2af19a14089d</t>
        </is>
      </c>
      <c r="B63" t="inlineStr">
        <is>
          <t>Applied Scientist, AWS Applied AI Solutions</t>
        </is>
      </c>
      <c r="C63" t="inlineStr">
        <is>
          <t>Amazon Web Services</t>
        </is>
      </c>
      <c r="D63" t="inlineStr">
        <is>
          <t>indeed</t>
        </is>
      </c>
      <c r="E63">
        <f>HYPERLINK("https://www.indeed.com/viewjob?jk=3e1e2af19a14089d", "https://www.indeed.com/viewjob?jk=3e1e2af19a14089d")</f>
        <v/>
      </c>
      <c r="F63">
        <f>HYPERLINK("https://www.amazon.jobs/jobs/3166907/applied-scientist-aws-applied-ai-solutions?cmpid=DA_INAD200785B", "https://www.amazon.jobs/jobs/3166907/applied-scientist-aws-applied-ai-solutions?cmpid=DA_INAD200785B")</f>
        <v/>
      </c>
      <c r="G63" t="inlineStr">
        <is>
          <t>Seattle, WA, US</t>
        </is>
      </c>
      <c r="H63" s="1" t="n">
        <v>46030</v>
      </c>
      <c r="I63"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64">
      <c r="A64" t="inlineStr">
        <is>
          <t>in-8faeff21ac84ddfc</t>
        </is>
      </c>
      <c r="B64" t="inlineStr">
        <is>
          <t>Applied Scientist, AWS Applied AI Solutions</t>
        </is>
      </c>
      <c r="C64" t="inlineStr">
        <is>
          <t>Amazon Web Services</t>
        </is>
      </c>
      <c r="D64" t="inlineStr">
        <is>
          <t>indeed</t>
        </is>
      </c>
      <c r="E64">
        <f>HYPERLINK("https://www.indeed.com/viewjob?jk=8faeff21ac84ddfc", "https://www.indeed.com/viewjob?jk=8faeff21ac84ddfc")</f>
        <v/>
      </c>
      <c r="F64">
        <f>HYPERLINK("https://www.amazon.jobs/jobs/3166907/applied-scientist-aws-applied-ai-solutions?cmpid=DA_INAD200785B", "https://www.amazon.jobs/jobs/3166907/applied-scientist-aws-applied-ai-solutions?cmpid=DA_INAD200785B")</f>
        <v/>
      </c>
      <c r="G64" t="inlineStr">
        <is>
          <t>New York, NY, US</t>
        </is>
      </c>
      <c r="H64" s="1" t="n">
        <v>46030</v>
      </c>
      <c r="I64"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65">
      <c r="A65" t="inlineStr">
        <is>
          <t>in-3590bd20ab6433b6</t>
        </is>
      </c>
      <c r="B65" t="inlineStr">
        <is>
          <t>Senior Data Scientist, Amazon Global Logistics</t>
        </is>
      </c>
      <c r="C65" t="inlineStr">
        <is>
          <t>Amazon.com</t>
        </is>
      </c>
      <c r="D65" t="inlineStr">
        <is>
          <t>indeed</t>
        </is>
      </c>
      <c r="E65">
        <f>HYPERLINK("https://www.indeed.com/viewjob?jk=3590bd20ab6433b6", "https://www.indeed.com/viewjob?jk=3590bd20ab6433b6")</f>
        <v/>
      </c>
      <c r="F65">
        <f>HYPERLINK("https://www.amazon.jobs/jobs/3166902/senior-data-scientist-amazon-global-logistics?cmpid=DA_INAD200785B", "https://www.amazon.jobs/jobs/3166902/senior-data-scientist-amazon-global-logistics?cmpid=DA_INAD200785B")</f>
        <v/>
      </c>
      <c r="G65" t="inlineStr">
        <is>
          <t>Bellevue, WA, US</t>
        </is>
      </c>
      <c r="H65" s="1" t="n">
        <v>46029</v>
      </c>
      <c r="I65" t="inlineStr">
        <is>
          <t>**DESCRIPTION**
---------------
Join Amazon Global Logistics (AGL) as a Senior Data Scientist on our Pricing \&amp; Science team. You'll develop machine learning models, AI agents, and optimization systems that serve businesses of all sizes in cross\-border logistics. This role combines advanced machine learning with hands\-on execution to establish AGL as a leading global freight provider.  
You'll work on high\-impact initiatives including agentic AI systems that drive marketing effectiveness and enable data\-driven sales decisions, ML\-powered fraud and theft detection models to protect Amazon's supply chain, revenue management systems incorporating real\-time market signals and capacity constraints, and economic value models to quantify the business impact of logistics capabilities.  
Key job responsibilities  
* Collaborate with product, engineering, operations, and security teams to translate business problems into production\-ready solutions
* Own end\-to\-end model development from exploratory analysis to deployment and monitoring
* Define, track, and explain success metrics to measure model impact and inform decision\-making
* Build business cases to support science initiatives and model prioritization
* Develop ML\-powered systems for marketing effectiveness, fraud detection, revenue management, and economic value modeling
* Write technical papers and submit work to internal and external conferences and publications
A day in the life  
Your day might start with improving theft detection model accuracy. You'll collaborate with scientists to enhance features for pricing models. You'll connect with stakeholders in international markets to evaluate new agentic marketing solutions.  
You'll sync with applied scientists and engineering teams on productionizing models. You'll meet with operations to understand capacity forecasts and routing constraints. You'll work with security teams on theft detection workflows. You'll design new modeling approaches, run experiments, and present recommendations to stakeholders.  
The role offers strategic thinking, hands\-on model development, and tactical analysis in a fast\-paced environment where you'll own significant technical initiatives.  
About the team  
The AGL Pricing \&amp; Science team operates at the intersection of science, logistics, and business strategy. We're a diverse group of problem\-solvers working to transform international freight forwarding.  
Our team builds intelligent pricing systems, predicts and prevents seller churn, develops GenAI applications for operational intelligence, creates ML\-powered fraud detection systems, builds routing optimization models, and prioritizes seller experience. We value data\-driven decision making and innovation.  
Our work protects millions in GMS and drives hundreds of millions in cost savings annually. We offer opportunities to make significant impact while working with AI technologies and systems at Amazon scale.**BASIC QUALIFICATIONS**
------------------------
* 5\+ years of data querying languages (e.g. SQL), scripting languages (e.g. Python) or statistical/mathematical software (e.g. R, SAS, Matlab, etc.) experience
* Master's degree in computer science, engineering, mathematics or equivalent
* 5\+ years of data scientist experience
* Experience with Machine Learning and Large Language Model fundamentals, including architecture, training/inference lifecycles, and optimization of model execution, or experience in machine learning, data mining, information retrieval, statistics or natural language processing
* Experience working with cross\-functional teams across business development, marketing, operations, product development, legal, etc.
* Comfort navigating between strategic work and exploratory analysis
**PREFERRED QUALIFICATIONS**
----------------------------
* Knowledge of AWS tech stack (e.g., AWS Redshift, S3, EC2, Glue)
* Experience as a leader and mentor on a data science team
* 2\+ years of data visualization using AWS QuickSight, Tableau, R Shiny, etc. experience
* Experience documenting modeling for technical and business leaders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\- 159,200\.00 \- 215,300\.00 USD annually  
USA, WA, Bellevue \- 159,200\.00 \- 215,300\.00 USD annually</t>
        </is>
      </c>
    </row>
    <row r="66">
      <c r="A66" t="inlineStr">
        <is>
          <t>in-2966f89e7b6b470e</t>
        </is>
      </c>
      <c r="B66" t="inlineStr">
        <is>
          <t>Senior Data Scientist, Amazon Global Logistics</t>
        </is>
      </c>
      <c r="C66" t="inlineStr">
        <is>
          <t>Amazon.com</t>
        </is>
      </c>
      <c r="D66" t="inlineStr">
        <is>
          <t>indeed</t>
        </is>
      </c>
      <c r="E66">
        <f>HYPERLINK("https://www.indeed.com/viewjob?jk=2966f89e7b6b470e", "https://www.indeed.com/viewjob?jk=2966f89e7b6b470e")</f>
        <v/>
      </c>
      <c r="F66">
        <f>HYPERLINK("https://www.amazon.jobs/jobs/3166902/senior-data-scientist-amazon-global-logistics?cmpid=DA_INAD200785B", "https://www.amazon.jobs/jobs/3166902/senior-data-scientist-amazon-global-logistics?cmpid=DA_INAD200785B")</f>
        <v/>
      </c>
      <c r="G66" t="inlineStr">
        <is>
          <t>Boston, MA, US</t>
        </is>
      </c>
      <c r="H66" s="1" t="n">
        <v>46029</v>
      </c>
      <c r="I66" t="inlineStr">
        <is>
          <t>**DESCRIPTION**
---------------
Join Amazon Global Logistics (AGL) as a Senior Data Scientist on our Pricing \&amp; Science team. You'll develop machine learning models, AI agents, and optimization systems that serve businesses of all sizes in cross\-border logistics. This role combines advanced machine learning with hands\-on execution to establish AGL as a leading global freight provider.  
You'll work on high\-impact initiatives including agentic AI systems that drive marketing effectiveness and enable data\-driven sales decisions, ML\-powered fraud and theft detection models to protect Amazon's supply chain, revenue management systems incorporating real\-time market signals and capacity constraints, and economic value models to quantify the business impact of logistics capabilities.  
Key job responsibilities  
* Collaborate with product, engineering, operations, and security teams to translate business problems into production\-ready solutions
* Own end\-to\-end model development from exploratory analysis to deployment and monitoring
* Define, track, and explain success metrics to measure model impact and inform decision\-making
* Build business cases to support science initiatives and model prioritization
* Develop ML\-powered systems for marketing effectiveness, fraud detection, revenue management, and economic value modeling
* Write technical papers and submit work to internal and external conferences and publications
A day in the life  
Your day might start with improving theft detection model accuracy. You'll collaborate with scientists to enhance features for pricing models. You'll connect with stakeholders in international markets to evaluate new agentic marketing solutions.  
You'll sync with applied scientists and engineering teams on productionizing models. You'll meet with operations to understand capacity forecasts and routing constraints. You'll work with security teams on theft detection workflows. You'll design new modeling approaches, run experiments, and present recommendations to stakeholders.  
The role offers strategic thinking, hands\-on model development, and tactical analysis in a fast\-paced environment where you'll own significant technical initiatives.  
About the team  
The AGL Pricing \&amp; Science team operates at the intersection of science, logistics, and business strategy. We're a diverse group of problem\-solvers working to transform international freight forwarding.  
Our team builds intelligent pricing systems, predicts and prevents seller churn, develops GenAI applications for operational intelligence, creates ML\-powered fraud detection systems, builds routing optimization models, and prioritizes seller experience. We value data\-driven decision making and innovation.  
Our work protects millions in GMS and drives hundreds of millions in cost savings annually. We offer opportunities to make significant impact while working with AI technologies and systems at Amazon scale.**BASIC QUALIFICATIONS**
------------------------
* 5\+ years of data querying languages (e.g. SQL), scripting languages (e.g. Python) or statistical/mathematical software (e.g. R, SAS, Matlab, etc.) experience
* Master's degree in computer science, engineering, mathematics or equivalent
* 5\+ years of data scientist experience
* Experience with Machine Learning and Large Language Model fundamentals, including architecture, training/inference lifecycles, and optimization of model execution, or experience in machine learning, data mining, information retrieval, statistics or natural language processing
* Experience working with cross\-functional teams across business development, marketing, operations, product development, legal, etc.
* Comfort navigating between strategic work and exploratory analysis
**PREFERRED QUALIFICATIONS**
----------------------------
* Knowledge of AWS tech stack (e.g., AWS Redshift, S3, EC2, Glue)
* Experience as a leader and mentor on a data science team
* 2\+ years of data visualization using AWS QuickSight, Tableau, R Shiny, etc. experience
* Experience documenting modeling for technical and business leaders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\- 159,200\.00 \- 215,300\.00 USD annually  
USA, WA, Bellevue \- 159,200\.00 \- 215,300\.00 USD annually</t>
        </is>
      </c>
    </row>
    <row r="67">
      <c r="A67" t="inlineStr">
        <is>
          <t>in-4d2c785de67d3f52</t>
        </is>
      </c>
      <c r="B67" t="inlineStr">
        <is>
          <t>Applied Scientist II, Prime Video Personalization and Discovery Science</t>
        </is>
      </c>
      <c r="C67" t="inlineStr">
        <is>
          <t>Amazon.com</t>
        </is>
      </c>
      <c r="D67" t="inlineStr">
        <is>
          <t>indeed</t>
        </is>
      </c>
      <c r="E67">
        <f>HYPERLINK("https://www.indeed.com/viewjob?jk=4d2c785de67d3f52", "https://www.indeed.com/viewjob?jk=4d2c785de67d3f52")</f>
        <v/>
      </c>
      <c r="F67">
        <f>HYPERLINK("https://www.amazon.jobs/jobs/3155448/applied-scientist-ii-prime-video-personalization-and-discovery-science?cmpid=DA_INAD200785B", "https://www.amazon.jobs/jobs/3155448/applied-scientist-ii-prime-video-personalization-and-discovery-science?cmpid=DA_INAD200785B")</f>
        <v/>
      </c>
      <c r="G67" t="inlineStr">
        <is>
          <t>New York, NY, US</t>
        </is>
      </c>
      <c r="H67" s="1" t="n">
        <v>46028</v>
      </c>
      <c r="I6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68">
      <c r="A68" t="inlineStr">
        <is>
          <t>in-fe6fcea1e122b678</t>
        </is>
      </c>
      <c r="B68" t="inlineStr">
        <is>
          <t>Applied Scientist II, Prime Video Personalization and Discovery Science</t>
        </is>
      </c>
      <c r="C68" t="inlineStr">
        <is>
          <t>Amazon.com</t>
        </is>
      </c>
      <c r="D68" t="inlineStr">
        <is>
          <t>indeed</t>
        </is>
      </c>
      <c r="E68">
        <f>HYPERLINK("https://www.indeed.com/viewjob?jk=fe6fcea1e122b678", "https://www.indeed.com/viewjob?jk=fe6fcea1e122b678")</f>
        <v/>
      </c>
      <c r="F68">
        <f>HYPERLINK("https://www.amazon.jobs/jobs/3155448/applied-scientist-ii-prime-video-personalization-and-discovery-science?cmpid=DA_INAD200785B", "https://www.amazon.jobs/jobs/3155448/applied-scientist-ii-prime-video-personalization-and-discovery-science?cmpid=DA_INAD200785B")</f>
        <v/>
      </c>
      <c r="G68" t="inlineStr">
        <is>
          <t>Seattle, WA, US</t>
        </is>
      </c>
      <c r="H68" s="1" t="n">
        <v>46028</v>
      </c>
      <c r="I6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69">
      <c r="A69" t="inlineStr">
        <is>
          <t>in-e88cbbfbec73b26a</t>
        </is>
      </c>
      <c r="B69" t="inlineStr">
        <is>
          <t>Applied Scientist II, Prime Video Personalization and Discovery Science</t>
        </is>
      </c>
      <c r="C69" t="inlineStr">
        <is>
          <t>Amazon.com</t>
        </is>
      </c>
      <c r="D69" t="inlineStr">
        <is>
          <t>indeed</t>
        </is>
      </c>
      <c r="E69">
        <f>HYPERLINK("https://www.indeed.com/viewjob?jk=e88cbbfbec73b26a", "https://www.indeed.com/viewjob?jk=e88cbbfbec73b26a")</f>
        <v/>
      </c>
      <c r="F69">
        <f>HYPERLINK("https://www.amazon.jobs/jobs/3155448/applied-scientist-ii-prime-video-personalization-and-discovery-science?cmpid=DA_INAD200785B", "https://www.amazon.jobs/jobs/3155448/applied-scientist-ii-prime-video-personalization-and-discovery-science?cmpid=DA_INAD200785B")</f>
        <v/>
      </c>
      <c r="G69" t="inlineStr">
        <is>
          <t>Sunnyvale, CA, US</t>
        </is>
      </c>
      <c r="H69" s="1" t="n">
        <v>46028</v>
      </c>
      <c r="I6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70">
      <c r="A70" t="inlineStr">
        <is>
          <t>in-fd322ca47597bee3</t>
        </is>
      </c>
      <c r="B70" t="inlineStr">
        <is>
          <t>Senior Applied Scientist, Distributed SQL</t>
        </is>
      </c>
      <c r="C70" t="inlineStr">
        <is>
          <t>Amazon Web Services</t>
        </is>
      </c>
      <c r="D70" t="inlineStr">
        <is>
          <t>indeed</t>
        </is>
      </c>
      <c r="E70">
        <f>HYPERLINK("https://www.indeed.com/viewjob?jk=fd322ca47597bee3", "https://www.indeed.com/viewjob?jk=fd322ca47597bee3")</f>
        <v/>
      </c>
      <c r="F70">
        <f>HYPERLINK("https://www.amazon.jobs/jobs/3148444/senior-applied-scientist-distributed-sql?cmpid=DA_INAD200785B", "https://www.amazon.jobs/jobs/3148444/senior-applied-scientist-distributed-sql?cmpid=DA_INAD200785B")</f>
        <v/>
      </c>
      <c r="G70" t="inlineStr">
        <is>
          <t>East Palo Alto, CA, US</t>
        </is>
      </c>
      <c r="H70" s="1" t="n">
        <v>46012</v>
      </c>
      <c r="I70"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71">
      <c r="A71" t="inlineStr">
        <is>
          <t>in-0732bd55e31a0433</t>
        </is>
      </c>
      <c r="B71" t="inlineStr">
        <is>
          <t>Senior Applied Scientist, Distributed SQL</t>
        </is>
      </c>
      <c r="C71" t="inlineStr">
        <is>
          <t>Amazon Web Services</t>
        </is>
      </c>
      <c r="D71" t="inlineStr">
        <is>
          <t>indeed</t>
        </is>
      </c>
      <c r="E71">
        <f>HYPERLINK("https://www.indeed.com/viewjob?jk=0732bd55e31a0433", "https://www.indeed.com/viewjob?jk=0732bd55e31a0433")</f>
        <v/>
      </c>
      <c r="F71">
        <f>HYPERLINK("https://www.amazon.jobs/jobs/3148444/senior-applied-scientist-distributed-sql?cmpid=DA_INAD200785B", "https://www.amazon.jobs/jobs/3148444/senior-applied-scientist-distributed-sql?cmpid=DA_INAD200785B")</f>
        <v/>
      </c>
      <c r="G71" t="inlineStr">
        <is>
          <t>Seattle, WA, US</t>
        </is>
      </c>
      <c r="H71" s="1" t="n">
        <v>46012</v>
      </c>
      <c r="I71"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72">
      <c r="A72" t="inlineStr">
        <is>
          <t>in-66463b314699f2c1</t>
        </is>
      </c>
      <c r="B72" t="inlineStr">
        <is>
          <t>Applied Scientist, Delivery Foundation Model</t>
        </is>
      </c>
      <c r="C72" t="inlineStr">
        <is>
          <t>Amazon.com</t>
        </is>
      </c>
      <c r="D72" t="inlineStr">
        <is>
          <t>indeed</t>
        </is>
      </c>
      <c r="E72">
        <f>HYPERLINK("https://www.indeed.com/viewjob?jk=66463b314699f2c1", "https://www.indeed.com/viewjob?jk=66463b314699f2c1")</f>
        <v/>
      </c>
      <c r="F72">
        <f>HYPERLINK("https://www.amazon.jobs/jobs/3169077/applied-scientist-delivery-foundation-model-?cmpid=DA_INAD200785B", "https://www.amazon.jobs/jobs/3169077/applied-scientist-delivery-foundation-model-?cmpid=DA_INAD200785B")</f>
        <v/>
      </c>
      <c r="G72" t="inlineStr">
        <is>
          <t>Bellevue, WA, US</t>
        </is>
      </c>
      <c r="H72" s="1" t="n">
        <v>46009</v>
      </c>
      <c r="I7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Drive technical direction for specific research initiatives, ensuring robust performance in production environments.
A day in the life  
As a member of the Delivery Foundation Model team, you’ll spend your day on the following:  
* Develop and implement novel foundation model architectures, working hands\-on with data and our extensive training and evaluation infrastructure
* Collaborate with fellow scientists in solving complex technical challenges, from trajectory planning to efficient multi\-task learning
* Collaborate with fellow engineers in building scalable and reusable infra to support model training, evaluation, and inference
* Contribute to focused technical initiatives from conception through deployment, ensuring successful integration with production systems
* Drive technical discussions within the team and and key stakeholders
* Conduct experiments and prototype new ideas
* Make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1\+ years of CS, CE, ML or related field experience
* 4\+ years of programming in Java, C\+\+, Python or related language experience
* Experience building machine learning models or developing algorithms for business application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Bellevue \- 142,800\.00 \- 193,200\.00 USD annually</t>
        </is>
      </c>
    </row>
    <row r="73">
      <c r="A73" t="inlineStr">
        <is>
          <t>in-823c56c297db6cb7</t>
        </is>
      </c>
      <c r="B73" t="inlineStr">
        <is>
          <t>Applied Scientist, Delivery Foundation Model</t>
        </is>
      </c>
      <c r="C73" t="inlineStr">
        <is>
          <t>Amazon.com</t>
        </is>
      </c>
      <c r="D73" t="inlineStr">
        <is>
          <t>indeed</t>
        </is>
      </c>
      <c r="E73">
        <f>HYPERLINK("https://www.indeed.com/viewjob?jk=823c56c297db6cb7", "https://www.indeed.com/viewjob?jk=823c56c297db6cb7")</f>
        <v/>
      </c>
      <c r="F73">
        <f>HYPERLINK("https://www.amazon.jobs/jobs/3169077/applied-scientist-delivery-foundation-model-?cmpid=DA_INAD200785B", "https://www.amazon.jobs/jobs/3169077/applied-scientist-delivery-foundation-model-?cmpid=DA_INAD200785B")</f>
        <v/>
      </c>
      <c r="G73" t="inlineStr">
        <is>
          <t>Santa Clara, CA, US</t>
        </is>
      </c>
      <c r="H73" s="1" t="n">
        <v>46009</v>
      </c>
      <c r="I7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Drive technical direction for specific research initiatives, ensuring robust performance in production environments.
A day in the life  
As a member of the Delivery Foundation Model team, you’ll spend your day on the following:  
* Develop and implement novel foundation model architectures, working hands\-on with data and our extensive training and evaluation infrastructure
* Collaborate with fellow scientists in solving complex technical challenges, from trajectory planning to efficient multi\-task learning
* Collaborate with fellow engineers in building scalable and reusable infra to support model training, evaluation, and inference
* Contribute to focused technical initiatives from conception through deployment, ensuring successful integration with production systems
* Drive technical discussions within the team and and key stakeholders
* Conduct experiments and prototype new ideas
* Make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1\+ years of CS, CE, ML or related field experience
* 4\+ years of programming in Java, C\+\+, Python or related language experience
* Experience building machine learning models or developing algorithms for business application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Bellevue \- 142,800\.00 \- 193,200\.00 USD annually</t>
        </is>
      </c>
    </row>
    <row r="74">
      <c r="A74" t="inlineStr">
        <is>
          <t>in-0891d8c37460dbdb</t>
        </is>
      </c>
      <c r="B74" t="inlineStr">
        <is>
          <t>Principal Applied Scientist, Kiro Science</t>
        </is>
      </c>
      <c r="C74" t="inlineStr">
        <is>
          <t>Amazon Web Services</t>
        </is>
      </c>
      <c r="D74" t="inlineStr">
        <is>
          <t>indeed</t>
        </is>
      </c>
      <c r="E74">
        <f>HYPERLINK("https://www.indeed.com/viewjob?jk=0891d8c37460dbdb", "https://www.indeed.com/viewjob?jk=0891d8c37460dbdb")</f>
        <v/>
      </c>
      <c r="F74">
        <f>HYPERLINK("https://www.amazon.jobs/jobs/3161064/principal-applied-scientist-kiro-science?cmpid=DA_INAD200785B", "https://www.amazon.jobs/jobs/3161064/principal-applied-scientist-kiro-science?cmpid=DA_INAD200785B")</f>
        <v/>
      </c>
      <c r="G74" t="inlineStr">
        <is>
          <t>New York, NY, US</t>
        </is>
      </c>
      <c r="H74" s="1" t="n">
        <v>45999</v>
      </c>
      <c r="I74"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75">
      <c r="A75" t="inlineStr">
        <is>
          <t>in-f811ee41b9ed5c3b</t>
        </is>
      </c>
      <c r="B75" t="inlineStr">
        <is>
          <t>Principal Applied Scientist, Kiro Science</t>
        </is>
      </c>
      <c r="C75" t="inlineStr">
        <is>
          <t>Amazon Web Services</t>
        </is>
      </c>
      <c r="D75" t="inlineStr">
        <is>
          <t>indeed</t>
        </is>
      </c>
      <c r="E75">
        <f>HYPERLINK("https://www.indeed.com/viewjob?jk=f811ee41b9ed5c3b", "https://www.indeed.com/viewjob?jk=f811ee41b9ed5c3b")</f>
        <v/>
      </c>
      <c r="F75">
        <f>HYPERLINK("https://www.amazon.jobs/jobs/3161064/principal-applied-scientist-kiro-science?cmpid=DA_INAD200785B", "https://www.amazon.jobs/jobs/3161064/principal-applied-scientist-kiro-science?cmpid=DA_INAD200785B")</f>
        <v/>
      </c>
      <c r="G75" t="inlineStr">
        <is>
          <t>Santa Clara, CA, US</t>
        </is>
      </c>
      <c r="H75" s="1" t="n">
        <v>45999</v>
      </c>
      <c r="I75"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76">
      <c r="A76" t="inlineStr">
        <is>
          <t>in-e5c3d6b9d5815041</t>
        </is>
      </c>
      <c r="B76" t="inlineStr">
        <is>
          <t>Principal Applied Scientist, Sponsored Products and Brands</t>
        </is>
      </c>
      <c r="C76" t="inlineStr">
        <is>
          <t>Amazon.com</t>
        </is>
      </c>
      <c r="D76" t="inlineStr">
        <is>
          <t>indeed</t>
        </is>
      </c>
      <c r="E76">
        <f>HYPERLINK("https://www.indeed.com/viewjob?jk=e5c3d6b9d5815041", "https://www.indeed.com/viewjob?jk=e5c3d6b9d5815041")</f>
        <v/>
      </c>
      <c r="F76">
        <f>HYPERLINK("https://www.amazon.jobs/jobs/3130855/principal-applied-scientist-sponsored-products-and-brands?cmpid=DA_INAD200785B", "https://www.amazon.jobs/jobs/3130855/principal-applied-scientist-sponsored-products-and-brands?cmpid=DA_INAD200785B")</f>
        <v/>
      </c>
      <c r="G76" t="inlineStr">
        <is>
          <t>New York, NY, US</t>
        </is>
      </c>
      <c r="H76" s="1" t="n">
        <v>45979</v>
      </c>
      <c r="I76"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7">
      <c r="A77" t="inlineStr">
        <is>
          <t>in-1277c7cc4d6e5430</t>
        </is>
      </c>
      <c r="B77" t="inlineStr">
        <is>
          <t>Principal Applied Scientist, Sponsored Products and Brands</t>
        </is>
      </c>
      <c r="C77" t="inlineStr">
        <is>
          <t>Amazon.com</t>
        </is>
      </c>
      <c r="D77" t="inlineStr">
        <is>
          <t>indeed</t>
        </is>
      </c>
      <c r="E77">
        <f>HYPERLINK("https://www.indeed.com/viewjob?jk=1277c7cc4d6e5430", "https://www.indeed.com/viewjob?jk=1277c7cc4d6e5430")</f>
        <v/>
      </c>
      <c r="F77">
        <f>HYPERLINK("https://www.amazon.jobs/jobs/3130855/principal-applied-scientist-sponsored-products-and-brands?cmpid=DA_INAD200785B", "https://www.amazon.jobs/jobs/3130855/principal-applied-scientist-sponsored-products-and-brands?cmpid=DA_INAD200785B")</f>
        <v/>
      </c>
      <c r="G77" t="inlineStr">
        <is>
          <t>Seattle, WA, US</t>
        </is>
      </c>
      <c r="H77" s="1" t="n">
        <v>45979</v>
      </c>
      <c r="I77"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8">
      <c r="A78" t="inlineStr">
        <is>
          <t>in-02d022341a093978</t>
        </is>
      </c>
      <c r="B78" t="inlineStr">
        <is>
          <t>Senior Applied Scientist, Sponsored Products and Brands</t>
        </is>
      </c>
      <c r="C78" t="inlineStr">
        <is>
          <t>Amazon.com</t>
        </is>
      </c>
      <c r="D78" t="inlineStr">
        <is>
          <t>indeed</t>
        </is>
      </c>
      <c r="E78">
        <f>HYPERLINK("https://www.indeed.com/viewjob?jk=02d022341a093978", "https://www.indeed.com/viewjob?jk=02d022341a093978")</f>
        <v/>
      </c>
      <c r="F78">
        <f>HYPERLINK("https://www.amazon.jobs/jobs/3130062/senior-applied-scientist-sponsored-products-and-brands?cmpid=DA_INAD200785B", "https://www.amazon.jobs/jobs/3130062/senior-applied-scientist-sponsored-products-and-brands?cmpid=DA_INAD200785B")</f>
        <v/>
      </c>
      <c r="G78" t="inlineStr">
        <is>
          <t>New York, NY, US</t>
        </is>
      </c>
      <c r="H78" s="1" t="n">
        <v>45979</v>
      </c>
      <c r="I78"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79">
      <c r="A79" t="inlineStr">
        <is>
          <t>in-cfe6da9b3da9c98f</t>
        </is>
      </c>
      <c r="B79" t="inlineStr">
        <is>
          <t>Senior Applied Scientist, Sponsored Products and Brands</t>
        </is>
      </c>
      <c r="C79" t="inlineStr">
        <is>
          <t>Amazon.com</t>
        </is>
      </c>
      <c r="D79" t="inlineStr">
        <is>
          <t>indeed</t>
        </is>
      </c>
      <c r="E79">
        <f>HYPERLINK("https://www.indeed.com/viewjob?jk=cfe6da9b3da9c98f", "https://www.indeed.com/viewjob?jk=cfe6da9b3da9c98f")</f>
        <v/>
      </c>
      <c r="F79">
        <f>HYPERLINK("https://www.amazon.jobs/jobs/3130062/senior-applied-scientist-sponsored-products-and-brands?cmpid=DA_INAD200785B", "https://www.amazon.jobs/jobs/3130062/senior-applied-scientist-sponsored-products-and-brands?cmpid=DA_INAD200785B")</f>
        <v/>
      </c>
      <c r="G79" t="inlineStr">
        <is>
          <t>Seattle, WA, US</t>
        </is>
      </c>
      <c r="H79" s="1" t="n">
        <v>45979</v>
      </c>
      <c r="I79"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80">
      <c r="A80" t="inlineStr">
        <is>
          <t>in-25fd9a95a64a19c1</t>
        </is>
      </c>
      <c r="B80" t="inlineStr">
        <is>
          <t>Sr. Applied Scientist, Sponsored Products</t>
        </is>
      </c>
      <c r="C80" t="inlineStr">
        <is>
          <t>Amazon.com</t>
        </is>
      </c>
      <c r="D80" t="inlineStr">
        <is>
          <t>indeed</t>
        </is>
      </c>
      <c r="E80">
        <f>HYPERLINK("https://www.indeed.com/viewjob?jk=25fd9a95a64a19c1", "https://www.indeed.com/viewjob?jk=25fd9a95a64a19c1")</f>
        <v/>
      </c>
      <c r="F80">
        <f>HYPERLINK("https://www.amazon.jobs/jobs/3136156/sr-applied-scientist-sponsored-products?cmpid=DA_INAD200785B", "https://www.amazon.jobs/jobs/3136156/sr-applied-scientist-sponsored-products?cmpid=DA_INAD200785B")</f>
        <v/>
      </c>
      <c r="G80" t="inlineStr">
        <is>
          <t>Seattle, WA, US</t>
        </is>
      </c>
      <c r="H80" s="1" t="n">
        <v>45976</v>
      </c>
      <c r="I80"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81">
      <c r="A81" t="inlineStr">
        <is>
          <t>in-dd55c448e9af5c40</t>
        </is>
      </c>
      <c r="B81" t="inlineStr">
        <is>
          <t>Sr. Applied Scientist, Sponsored Products</t>
        </is>
      </c>
      <c r="C81" t="inlineStr">
        <is>
          <t>Amazon.com</t>
        </is>
      </c>
      <c r="D81" t="inlineStr">
        <is>
          <t>indeed</t>
        </is>
      </c>
      <c r="E81">
        <f>HYPERLINK("https://www.indeed.com/viewjob?jk=dd55c448e9af5c40", "https://www.indeed.com/viewjob?jk=dd55c448e9af5c40")</f>
        <v/>
      </c>
      <c r="F81">
        <f>HYPERLINK("https://www.amazon.jobs/jobs/3136156/sr-applied-scientist-sponsored-products?cmpid=DA_INAD200785B", "https://www.amazon.jobs/jobs/3136156/sr-applied-scientist-sponsored-products?cmpid=DA_INAD200785B")</f>
        <v/>
      </c>
      <c r="G81" t="inlineStr">
        <is>
          <t>New York, NY, US</t>
        </is>
      </c>
      <c r="H81" s="1" t="n">
        <v>45976</v>
      </c>
      <c r="I81"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82">
      <c r="A82" t="inlineStr">
        <is>
          <t>in-5983783a5349f3bf</t>
        </is>
      </c>
      <c r="B82" t="inlineStr">
        <is>
          <t>Sr. Applied Scientist, Sponsored Products</t>
        </is>
      </c>
      <c r="C82" t="inlineStr">
        <is>
          <t>Amazon.com</t>
        </is>
      </c>
      <c r="D82" t="inlineStr">
        <is>
          <t>indeed</t>
        </is>
      </c>
      <c r="E82">
        <f>HYPERLINK("https://www.indeed.com/viewjob?jk=5983783a5349f3bf", "https://www.indeed.com/viewjob?jk=5983783a5349f3bf")</f>
        <v/>
      </c>
      <c r="F82">
        <f>HYPERLINK("https://www.amazon.jobs/jobs/3136156/sr-applied-scientist-sponsored-products?cmpid=DA_INAD200785B", "https://www.amazon.jobs/jobs/3136156/sr-applied-scientist-sponsored-products?cmpid=DA_INAD200785B")</f>
        <v/>
      </c>
      <c r="G82" t="inlineStr">
        <is>
          <t>Arlington, VA, US</t>
        </is>
      </c>
      <c r="H82" s="1" t="n">
        <v>45976</v>
      </c>
      <c r="I82"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83">
      <c r="A83" t="inlineStr">
        <is>
          <t>in-4a06d454f9c7e3a2</t>
        </is>
      </c>
      <c r="B83" t="inlineStr">
        <is>
          <t>Applied Scientist, AWS Agentic AI</t>
        </is>
      </c>
      <c r="C83" t="inlineStr">
        <is>
          <t>Amazon Web Services</t>
        </is>
      </c>
      <c r="D83" t="inlineStr">
        <is>
          <t>indeed</t>
        </is>
      </c>
      <c r="E83">
        <f>HYPERLINK("https://www.indeed.com/viewjob?jk=4a06d454f9c7e3a2", "https://www.indeed.com/viewjob?jk=4a06d454f9c7e3a2")</f>
        <v/>
      </c>
      <c r="F83">
        <f>HYPERLINK("https://www.amazon.jobs/jobs/3141517/applied-scientist-aws-agentic-ai-?cmpid=DA_INAD200785B", "https://www.amazon.jobs/jobs/3141517/applied-scientist-aws-agentic-ai-?cmpid=DA_INAD200785B")</f>
        <v/>
      </c>
      <c r="G83" t="inlineStr">
        <is>
          <t>Seattle, WA, US</t>
        </is>
      </c>
      <c r="H83" s="1" t="n">
        <v>45962</v>
      </c>
      <c r="I83"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4">
      <c r="A84" t="inlineStr">
        <is>
          <t>in-caad6b21582c0ffa</t>
        </is>
      </c>
      <c r="B84" t="inlineStr">
        <is>
          <t>Applied Scientist, AWS Agentic AI</t>
        </is>
      </c>
      <c r="C84" t="inlineStr">
        <is>
          <t>Amazon Web Services</t>
        </is>
      </c>
      <c r="D84" t="inlineStr">
        <is>
          <t>indeed</t>
        </is>
      </c>
      <c r="E84">
        <f>HYPERLINK("https://www.indeed.com/viewjob?jk=caad6b21582c0ffa", "https://www.indeed.com/viewjob?jk=caad6b21582c0ffa")</f>
        <v/>
      </c>
      <c r="F84">
        <f>HYPERLINK("https://www.amazon.jobs/jobs/3141517/applied-scientist-aws-agentic-ai-?cmpid=DA_INAD200785B", "https://www.amazon.jobs/jobs/3141517/applied-scientist-aws-agentic-ai-?cmpid=DA_INAD200785B")</f>
        <v/>
      </c>
      <c r="G84" t="inlineStr">
        <is>
          <t>Santa Clara, CA, US</t>
        </is>
      </c>
      <c r="H84" s="1" t="n">
        <v>45962</v>
      </c>
      <c r="I84"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5">
      <c r="A85" t="inlineStr">
        <is>
          <t>in-9d708788d4bb5262</t>
        </is>
      </c>
      <c r="B85" t="inlineStr">
        <is>
          <t>Applied Scientist, AWS Agentic AI</t>
        </is>
      </c>
      <c r="C85" t="inlineStr">
        <is>
          <t>Amazon Web Services</t>
        </is>
      </c>
      <c r="D85" t="inlineStr">
        <is>
          <t>indeed</t>
        </is>
      </c>
      <c r="E85">
        <f>HYPERLINK("https://www.indeed.com/viewjob?jk=9d708788d4bb5262", "https://www.indeed.com/viewjob?jk=9d708788d4bb5262")</f>
        <v/>
      </c>
      <c r="F85">
        <f>HYPERLINK("https://www.amazon.jobs/jobs/3141517/applied-scientist-aws-agentic-ai-?cmpid=DA_INAD200785B", "https://www.amazon.jobs/jobs/3141517/applied-scientist-aws-agentic-ai-?cmpid=DA_INAD200785B")</f>
        <v/>
      </c>
      <c r="G85" t="inlineStr">
        <is>
          <t>New York, NY, US</t>
        </is>
      </c>
      <c r="H85" s="1" t="n">
        <v>45962</v>
      </c>
      <c r="I85"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6">
      <c r="A86" t="inlineStr">
        <is>
          <t>in-271dcc756f99a5a4</t>
        </is>
      </c>
      <c r="B86" t="inlineStr">
        <is>
          <t>Applied Scientist, Prime Video - Content Understanding, Localization &amp; Enrichment Team</t>
        </is>
      </c>
      <c r="C86" t="inlineStr">
        <is>
          <t>Amazon.com</t>
        </is>
      </c>
      <c r="D86" t="inlineStr">
        <is>
          <t>indeed</t>
        </is>
      </c>
      <c r="E86">
        <f>HYPERLINK("https://www.indeed.com/viewjob?jk=271dcc756f99a5a4", "https://www.indeed.com/viewjob?jk=271dcc756f99a5a4")</f>
        <v/>
      </c>
      <c r="F86">
        <f>HYPERLINK("https://www.amazon.jobs/jobs/3111928/applied-scientist-prime-video--content-understanding-localization--enrichment-team?cmpid=DA_INAD200785B", "https://www.amazon.jobs/jobs/3111928/applied-scientist-prime-video--content-understanding-localization--enrichment-team?cmpid=DA_INAD200785B")</f>
        <v/>
      </c>
      <c r="G86" t="inlineStr">
        <is>
          <t>Seattle, WA, US</t>
        </is>
      </c>
      <c r="H86" s="1" t="n">
        <v>45943</v>
      </c>
      <c r="I8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87">
      <c r="A87" t="inlineStr">
        <is>
          <t>in-647cff8195121796</t>
        </is>
      </c>
      <c r="B87" t="inlineStr">
        <is>
          <t>Applied Scientist, Prime Video - Content Understanding, Localization &amp; Enrichment Team</t>
        </is>
      </c>
      <c r="C87" t="inlineStr">
        <is>
          <t>Amazon.com</t>
        </is>
      </c>
      <c r="D87" t="inlineStr">
        <is>
          <t>indeed</t>
        </is>
      </c>
      <c r="E87">
        <f>HYPERLINK("https://www.indeed.com/viewjob?jk=647cff8195121796", "https://www.indeed.com/viewjob?jk=647cff8195121796")</f>
        <v/>
      </c>
      <c r="F87">
        <f>HYPERLINK("https://www.amazon.jobs/jobs/3111928/applied-scientist-prime-video--content-understanding-localization--enrichment-team?cmpid=DA_INAD200785B", "https://www.amazon.jobs/jobs/3111928/applied-scientist-prime-video--content-understanding-localization--enrichment-team?cmpid=DA_INAD200785B")</f>
        <v/>
      </c>
      <c r="G87" t="inlineStr">
        <is>
          <t>San Francisco, CA, US</t>
        </is>
      </c>
      <c r="H87" s="1" t="n">
        <v>45943</v>
      </c>
      <c r="I8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88">
      <c r="A88" t="inlineStr">
        <is>
          <t>in-f1f3372d2bdfa416</t>
        </is>
      </c>
      <c r="B88" t="inlineStr">
        <is>
          <t>Principal Applied Scientist, Advertiser Growth, Amazon Sponsored Products &amp; Brands</t>
        </is>
      </c>
      <c r="C88" t="inlineStr">
        <is>
          <t>Amazon.com</t>
        </is>
      </c>
      <c r="D88" t="inlineStr">
        <is>
          <t>indeed</t>
        </is>
      </c>
      <c r="E88">
        <f>HYPERLINK("https://www.indeed.com/viewjob?jk=f1f3372d2bdfa416", "https://www.indeed.com/viewjob?jk=f1f3372d2bdfa416")</f>
        <v/>
      </c>
      <c r="F88">
        <f>HYPERLINK("https://www.amazon.jobs/jobs/3115279/principal-applied-scientist-advertiser-growth-amazon-sponsored-products--brands?cmpid=DA_INAD200785B", "https://www.amazon.jobs/jobs/3115279/principal-applied-scientist-advertiser-growth-amazon-sponsored-products--brands?cmpid=DA_INAD200785B")</f>
        <v/>
      </c>
      <c r="G88" t="inlineStr">
        <is>
          <t>New York, NY, US</t>
        </is>
      </c>
      <c r="H88" s="1" t="n">
        <v>45942</v>
      </c>
      <c r="I88"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9">
      <c r="A89" t="inlineStr">
        <is>
          <t>in-43806c3b7a617208</t>
        </is>
      </c>
      <c r="B89" t="inlineStr">
        <is>
          <t>Principal Applied Scientist, Advertiser Growth, Amazon Sponsored Products &amp; Brands</t>
        </is>
      </c>
      <c r="C89" t="inlineStr">
        <is>
          <t>Amazon.com</t>
        </is>
      </c>
      <c r="D89" t="inlineStr">
        <is>
          <t>indeed</t>
        </is>
      </c>
      <c r="E89">
        <f>HYPERLINK("https://www.indeed.com/viewjob?jk=43806c3b7a617208", "https://www.indeed.com/viewjob?jk=43806c3b7a617208")</f>
        <v/>
      </c>
      <c r="F89">
        <f>HYPERLINK("https://www.amazon.jobs/jobs/3115279/principal-applied-scientist-advertiser-growth-amazon-sponsored-products--brands?cmpid=DA_INAD200785B", "https://www.amazon.jobs/jobs/3115279/principal-applied-scientist-advertiser-growth-amazon-sponsored-products--brands?cmpid=DA_INAD200785B")</f>
        <v/>
      </c>
      <c r="G89" t="inlineStr">
        <is>
          <t>Seattle, WA, US</t>
        </is>
      </c>
      <c r="H89" s="1" t="n">
        <v>45942</v>
      </c>
      <c r="I89"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0">
      <c r="A90" t="inlineStr">
        <is>
          <t>in-8b71f5523e8bcef3</t>
        </is>
      </c>
      <c r="B90" t="inlineStr">
        <is>
          <t>Principal Applied Scientist, Advertiser Growth, Amazon Sponsored Products &amp; Brands</t>
        </is>
      </c>
      <c r="C90" t="inlineStr">
        <is>
          <t>Amazon.com</t>
        </is>
      </c>
      <c r="D90" t="inlineStr">
        <is>
          <t>indeed</t>
        </is>
      </c>
      <c r="E90">
        <f>HYPERLINK("https://www.indeed.com/viewjob?jk=8b71f5523e8bcef3", "https://www.indeed.com/viewjob?jk=8b71f5523e8bcef3")</f>
        <v/>
      </c>
      <c r="F90">
        <f>HYPERLINK("https://www.amazon.jobs/jobs/3115279/principal-applied-scientist-advertiser-growth-amazon-sponsored-products--brands?cmpid=DA_INAD200785B", "https://www.amazon.jobs/jobs/3115279/principal-applied-scientist-advertiser-growth-amazon-sponsored-products--brands?cmpid=DA_INAD200785B")</f>
        <v/>
      </c>
      <c r="G90" t="inlineStr">
        <is>
          <t>Palo Alto, CA, US</t>
        </is>
      </c>
      <c r="H90" s="1" t="n">
        <v>45942</v>
      </c>
      <c r="I90"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1">
      <c r="A91" t="inlineStr">
        <is>
          <t>in-995ce15b7aaa32de</t>
        </is>
      </c>
      <c r="B91" t="inlineStr">
        <is>
          <t>Applied Scientist, Workplace Health &amp; Safety</t>
        </is>
      </c>
      <c r="C91" t="inlineStr">
        <is>
          <t>Amazon.com</t>
        </is>
      </c>
      <c r="D91" t="inlineStr">
        <is>
          <t>indeed</t>
        </is>
      </c>
      <c r="E91">
        <f>HYPERLINK("https://www.indeed.com/viewjob?jk=995ce15b7aaa32de", "https://www.indeed.com/viewjob?jk=995ce15b7aaa32de")</f>
        <v/>
      </c>
      <c r="F91">
        <f>HYPERLINK("https://www.amazon.jobs/jobs/3144886/applied-scientist-workplace-health--safety-?cmpid=DA_INAD200785B", "https://www.amazon.jobs/jobs/3144886/applied-scientist-workplace-health--safety-?cmpid=DA_INAD200785B")</f>
        <v/>
      </c>
      <c r="G91" t="inlineStr">
        <is>
          <t>Nashville, TN, US</t>
        </is>
      </c>
      <c r="H91" s="1" t="n">
        <v>45917</v>
      </c>
      <c r="I91"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2">
      <c r="A92" t="inlineStr">
        <is>
          <t>in-ba8705014da90664</t>
        </is>
      </c>
      <c r="B92" t="inlineStr">
        <is>
          <t>Applied Scientist, Workplace Health &amp; Safety</t>
        </is>
      </c>
      <c r="C92" t="inlineStr">
        <is>
          <t>Amazon.com</t>
        </is>
      </c>
      <c r="D92" t="inlineStr">
        <is>
          <t>indeed</t>
        </is>
      </c>
      <c r="E92">
        <f>HYPERLINK("https://www.indeed.com/viewjob?jk=ba8705014da90664", "https://www.indeed.com/viewjob?jk=ba8705014da90664")</f>
        <v/>
      </c>
      <c r="F92">
        <f>HYPERLINK("https://www.amazon.jobs/jobs/3144886/applied-scientist-workplace-health--safety-?cmpid=DA_INAD200785B", "https://www.amazon.jobs/jobs/3144886/applied-scientist-workplace-health--safety-?cmpid=DA_INAD200785B")</f>
        <v/>
      </c>
      <c r="G92" t="inlineStr">
        <is>
          <t>Bellevue, WA, US</t>
        </is>
      </c>
      <c r="H92" s="1" t="n">
        <v>45917</v>
      </c>
      <c r="I92"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3">
      <c r="A93" t="inlineStr">
        <is>
          <t>in-496a85ac20b54b3c</t>
        </is>
      </c>
      <c r="B93" t="inlineStr">
        <is>
          <t>Sr. Applied Scientist, Prime Video - Personalization and Discovery Science</t>
        </is>
      </c>
      <c r="C93" t="inlineStr">
        <is>
          <t>Amazon.com</t>
        </is>
      </c>
      <c r="D93" t="inlineStr">
        <is>
          <t>indeed</t>
        </is>
      </c>
      <c r="E93">
        <f>HYPERLINK("https://www.indeed.com/viewjob?jk=496a85ac20b54b3c", "https://www.indeed.com/viewjob?jk=496a85ac20b54b3c")</f>
        <v/>
      </c>
      <c r="F93">
        <f>HYPERLINK("https://www.amazon.jobs/jobs/3084479/sr-applied-scientist-prime-video--personalization-and-discovery-science?cmpid=DA_INAD200785B", "https://www.amazon.jobs/jobs/3084479/sr-applied-scientist-prime-video--personalization-and-discovery-science?cmpid=DA_INAD200785B")</f>
        <v/>
      </c>
      <c r="G93" t="inlineStr">
        <is>
          <t>New York, NY, US</t>
        </is>
      </c>
      <c r="H93" s="1" t="n">
        <v>45896</v>
      </c>
      <c r="I9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94">
      <c r="A94" t="inlineStr">
        <is>
          <t>in-da6e331f766c55ba</t>
        </is>
      </c>
      <c r="B94" t="inlineStr">
        <is>
          <t>Sr. Applied Scientist, Prime Video - Personalization and Discovery Science</t>
        </is>
      </c>
      <c r="C94" t="inlineStr">
        <is>
          <t>Amazon.com</t>
        </is>
      </c>
      <c r="D94" t="inlineStr">
        <is>
          <t>indeed</t>
        </is>
      </c>
      <c r="E94">
        <f>HYPERLINK("https://www.indeed.com/viewjob?jk=da6e331f766c55ba", "https://www.indeed.com/viewjob?jk=da6e331f766c55ba")</f>
        <v/>
      </c>
      <c r="F94">
        <f>HYPERLINK("https://www.amazon.jobs/jobs/3084479/sr-applied-scientist-prime-video--personalization-and-discovery-science?cmpid=DA_INAD200785B", "https://www.amazon.jobs/jobs/3084479/sr-applied-scientist-prime-video--personalization-and-discovery-science?cmpid=DA_INAD200785B")</f>
        <v/>
      </c>
      <c r="G94" t="inlineStr">
        <is>
          <t>Seattle, WA, US</t>
        </is>
      </c>
      <c r="H94" s="1" t="n">
        <v>45896</v>
      </c>
      <c r="I9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95">
      <c r="A95" t="inlineStr">
        <is>
          <t>in-bb823a0be9d40a20</t>
        </is>
      </c>
      <c r="B95" t="inlineStr">
        <is>
          <t>Sr. Applied Scientist, Prime Video - Personalization and Discovery Science</t>
        </is>
      </c>
      <c r="C95" t="inlineStr">
        <is>
          <t>Amazon.com</t>
        </is>
      </c>
      <c r="D95" t="inlineStr">
        <is>
          <t>indeed</t>
        </is>
      </c>
      <c r="E95">
        <f>HYPERLINK("https://www.indeed.com/viewjob?jk=bb823a0be9d40a20", "https://www.indeed.com/viewjob?jk=bb823a0be9d40a20")</f>
        <v/>
      </c>
      <c r="F95">
        <f>HYPERLINK("https://www.amazon.jobs/jobs/3084479/sr-applied-scientist-prime-video--personalization-and-discovery-science?cmpid=DA_INAD200785B", "https://www.amazon.jobs/jobs/3084479/sr-applied-scientist-prime-video--personalization-and-discovery-science?cmpid=DA_INAD200785B")</f>
        <v/>
      </c>
      <c r="G95" t="inlineStr">
        <is>
          <t>Sunnyvale, CA, US</t>
        </is>
      </c>
      <c r="H95" s="1" t="n">
        <v>45896</v>
      </c>
      <c r="I9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96">
      <c r="A96" t="inlineStr">
        <is>
          <t>in-67c53e092b456657</t>
        </is>
      </c>
      <c r="B96" t="inlineStr">
        <is>
          <t>Sr. Applied Scientist, Amazon Advertising</t>
        </is>
      </c>
      <c r="C96" t="inlineStr">
        <is>
          <t>Amazon.com</t>
        </is>
      </c>
      <c r="D96" t="inlineStr">
        <is>
          <t>indeed</t>
        </is>
      </c>
      <c r="E96">
        <f>HYPERLINK("https://www.indeed.com/viewjob?jk=67c53e092b456657", "https://www.indeed.com/viewjob?jk=67c53e092b456657")</f>
        <v/>
      </c>
      <c r="F96">
        <f>HYPERLINK("https://www.amazon.jobs/jobs/3035686/sr-applied-scientist-amazon-advertising?cmpid=DA_INAD200785B", "https://www.amazon.jobs/jobs/3035686/sr-applied-scientist-amazon-advertising?cmpid=DA_INAD200785B")</f>
        <v/>
      </c>
      <c r="G96" t="inlineStr">
        <is>
          <t>Los Angeles, CA, US</t>
        </is>
      </c>
      <c r="H96" s="1" t="n">
        <v>45851</v>
      </c>
      <c r="I96"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7">
      <c r="A97" t="inlineStr">
        <is>
          <t>in-64ec9adedc9ba592</t>
        </is>
      </c>
      <c r="B97" t="inlineStr">
        <is>
          <t>Sr. Applied Scientist, Amazon Advertising</t>
        </is>
      </c>
      <c r="C97" t="inlineStr">
        <is>
          <t>Amazon.com</t>
        </is>
      </c>
      <c r="D97" t="inlineStr">
        <is>
          <t>indeed</t>
        </is>
      </c>
      <c r="E97">
        <f>HYPERLINK("https://www.indeed.com/viewjob?jk=64ec9adedc9ba592", "https://www.indeed.com/viewjob?jk=64ec9adedc9ba592")</f>
        <v/>
      </c>
      <c r="F97">
        <f>HYPERLINK("https://www.amazon.jobs/jobs/3035686/sr-applied-scientist-amazon-advertising?cmpid=DA_INAD200785B", "https://www.amazon.jobs/jobs/3035686/sr-applied-scientist-amazon-advertising?cmpid=DA_INAD200785B")</f>
        <v/>
      </c>
      <c r="G97" t="inlineStr">
        <is>
          <t>Austin, TX, US</t>
        </is>
      </c>
      <c r="H97" s="1" t="n">
        <v>45851</v>
      </c>
      <c r="I97"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8">
      <c r="A98" t="inlineStr">
        <is>
          <t>in-746cc4114f4f93a3</t>
        </is>
      </c>
      <c r="B98" t="inlineStr">
        <is>
          <t>Sr. Applied Scientist, Amazon Advertising</t>
        </is>
      </c>
      <c r="C98" t="inlineStr">
        <is>
          <t>Amazon.com</t>
        </is>
      </c>
      <c r="D98" t="inlineStr">
        <is>
          <t>indeed</t>
        </is>
      </c>
      <c r="E98">
        <f>HYPERLINK("https://www.indeed.com/viewjob?jk=746cc4114f4f93a3", "https://www.indeed.com/viewjob?jk=746cc4114f4f93a3")</f>
        <v/>
      </c>
      <c r="F98">
        <f>HYPERLINK("https://www.amazon.jobs/jobs/3035686/sr-applied-scientist-amazon-advertising?cmpid=DA_INAD200785B", "https://www.amazon.jobs/jobs/3035686/sr-applied-scientist-amazon-advertising?cmpid=DA_INAD200785B")</f>
        <v/>
      </c>
      <c r="G98" t="inlineStr">
        <is>
          <t>Simi Valley, CA, US</t>
        </is>
      </c>
      <c r="H98" s="1" t="n">
        <v>45851</v>
      </c>
      <c r="I98"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9">
      <c r="A99" t="inlineStr">
        <is>
          <t>in-5066872067e8cfd8</t>
        </is>
      </c>
      <c r="B99" t="inlineStr">
        <is>
          <t>Sr. Applied Scientist, Amazon Advertising</t>
        </is>
      </c>
      <c r="C99" t="inlineStr">
        <is>
          <t>Amazon.com</t>
        </is>
      </c>
      <c r="D99" t="inlineStr">
        <is>
          <t>indeed</t>
        </is>
      </c>
      <c r="E99">
        <f>HYPERLINK("https://www.indeed.com/viewjob?jk=5066872067e8cfd8", "https://www.indeed.com/viewjob?jk=5066872067e8cfd8")</f>
        <v/>
      </c>
      <c r="F99">
        <f>HYPERLINK("https://www.amazon.jobs/jobs/3035686/sr-applied-scientist-amazon-advertising?cmpid=DA_INAD200785B", "https://www.amazon.jobs/jobs/3035686/sr-applied-scientist-amazon-advertising?cmpid=DA_INAD200785B")</f>
        <v/>
      </c>
      <c r="G99" t="inlineStr">
        <is>
          <t>Arlington, VA, US</t>
        </is>
      </c>
      <c r="H99" s="1" t="n">
        <v>45851</v>
      </c>
      <c r="I99"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0">
      <c r="A100" t="inlineStr">
        <is>
          <t>in-6c9294f5e357fe81</t>
        </is>
      </c>
      <c r="B100" t="inlineStr">
        <is>
          <t>Sr. Applied Scientist, Amazon Advertising</t>
        </is>
      </c>
      <c r="C100" t="inlineStr">
        <is>
          <t>Amazon.com</t>
        </is>
      </c>
      <c r="D100" t="inlineStr">
        <is>
          <t>indeed</t>
        </is>
      </c>
      <c r="E100">
        <f>HYPERLINK("https://www.indeed.com/viewjob?jk=6c9294f5e357fe81", "https://www.indeed.com/viewjob?jk=6c9294f5e357fe81")</f>
        <v/>
      </c>
      <c r="F100">
        <f>HYPERLINK("https://www.amazon.jobs/jobs/3035686/sr-applied-scientist-amazon-advertising?cmpid=DA_INAD200785B", "https://www.amazon.jobs/jobs/3035686/sr-applied-scientist-amazon-advertising?cmpid=DA_INAD200785B")</f>
        <v/>
      </c>
      <c r="G100" t="inlineStr">
        <is>
          <t>West Hollywood, CA, US</t>
        </is>
      </c>
      <c r="H100" s="1" t="n">
        <v>45851</v>
      </c>
      <c r="I100"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1">
      <c r="A101" t="inlineStr">
        <is>
          <t>in-a0d07f2ca55bd76d</t>
        </is>
      </c>
      <c r="B101" t="inlineStr">
        <is>
          <t>Sr. Applied Scientist, Amazon Advertising</t>
        </is>
      </c>
      <c r="C101" t="inlineStr">
        <is>
          <t>Amazon.com</t>
        </is>
      </c>
      <c r="D101" t="inlineStr">
        <is>
          <t>indeed</t>
        </is>
      </c>
      <c r="E101">
        <f>HYPERLINK("https://www.indeed.com/viewjob?jk=a0d07f2ca55bd76d", "https://www.indeed.com/viewjob?jk=a0d07f2ca55bd76d")</f>
        <v/>
      </c>
      <c r="F101">
        <f>HYPERLINK("https://www.amazon.jobs/jobs/3035686/sr-applied-scientist-amazon-advertising?cmpid=DA_INAD200785B", "https://www.amazon.jobs/jobs/3035686/sr-applied-scientist-amazon-advertising?cmpid=DA_INAD200785B")</f>
        <v/>
      </c>
      <c r="G101" t="inlineStr">
        <is>
          <t>Palo Alto, CA, US</t>
        </is>
      </c>
      <c r="H101" s="1" t="n">
        <v>45851</v>
      </c>
      <c r="I101"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2">
      <c r="A102" t="inlineStr">
        <is>
          <t>in-1eeaa76f6601dbc0</t>
        </is>
      </c>
      <c r="B102" t="inlineStr">
        <is>
          <t>Sr. Applied Scientist, Amazon Advertising</t>
        </is>
      </c>
      <c r="C102" t="inlineStr">
        <is>
          <t>Amazon.com</t>
        </is>
      </c>
      <c r="D102" t="inlineStr">
        <is>
          <t>indeed</t>
        </is>
      </c>
      <c r="E102">
        <f>HYPERLINK("https://www.indeed.com/viewjob?jk=1eeaa76f6601dbc0", "https://www.indeed.com/viewjob?jk=1eeaa76f6601dbc0")</f>
        <v/>
      </c>
      <c r="F102">
        <f>HYPERLINK("https://www.amazon.jobs/jobs/3035686/sr-applied-scientist-amazon-advertising?cmpid=DA_INAD200785B", "https://www.amazon.jobs/jobs/3035686/sr-applied-scientist-amazon-advertising?cmpid=DA_INAD200785B")</f>
        <v/>
      </c>
      <c r="G102" t="inlineStr">
        <is>
          <t>New York, NY, US</t>
        </is>
      </c>
      <c r="H102" s="1" t="n">
        <v>45851</v>
      </c>
      <c r="I102"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3">
      <c r="A103" t="inlineStr">
        <is>
          <t>in-d9c1512e0a535d3e</t>
        </is>
      </c>
      <c r="B103" t="inlineStr">
        <is>
          <t>Sr. Applied Scientist, Amazon Advertising</t>
        </is>
      </c>
      <c r="C103" t="inlineStr">
        <is>
          <t>Amazon.com</t>
        </is>
      </c>
      <c r="D103" t="inlineStr">
        <is>
          <t>indeed</t>
        </is>
      </c>
      <c r="E103">
        <f>HYPERLINK("https://www.indeed.com/viewjob?jk=d9c1512e0a535d3e", "https://www.indeed.com/viewjob?jk=d9c1512e0a535d3e")</f>
        <v/>
      </c>
      <c r="F103">
        <f>HYPERLINK("https://www.amazon.jobs/jobs/3035686/sr-applied-scientist-amazon-advertising?cmpid=DA_INAD200785B", "https://www.amazon.jobs/jobs/3035686/sr-applied-scientist-amazon-advertising?cmpid=DA_INAD200785B")</f>
        <v/>
      </c>
      <c r="G103" t="inlineStr">
        <is>
          <t>Seattle, WA, US</t>
        </is>
      </c>
      <c r="H103" s="1" t="n">
        <v>45851</v>
      </c>
      <c r="I103"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4">
      <c r="A104" t="inlineStr">
        <is>
          <t>in-87ae57076e2c8978</t>
        </is>
      </c>
      <c r="B104" t="inlineStr">
        <is>
          <t>Applied Scientist, Prime Video - Personalization and Discovery Science</t>
        </is>
      </c>
      <c r="C104" t="inlineStr">
        <is>
          <t>Amazon.com</t>
        </is>
      </c>
      <c r="D104" t="inlineStr">
        <is>
          <t>indeed</t>
        </is>
      </c>
      <c r="E104">
        <f>HYPERLINK("https://www.indeed.com/viewjob?jk=87ae57076e2c8978", "https://www.indeed.com/viewjob?jk=87ae57076e2c8978")</f>
        <v/>
      </c>
      <c r="F104">
        <f>HYPERLINK("https://www.amazon.jobs/jobs/3033050/applied-scientist-prime-video--personalization-and-discovery-science?cmpid=DA_INAD200785B", "https://www.amazon.jobs/jobs/3033050/applied-scientist-prime-video--personalization-and-discovery-science?cmpid=DA_INAD200785B")</f>
        <v/>
      </c>
      <c r="G104" t="inlineStr">
        <is>
          <t>Sunnyvale, CA, US</t>
        </is>
      </c>
      <c r="H104" s="1" t="n">
        <v>45845</v>
      </c>
      <c r="I10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105">
      <c r="A105" t="inlineStr">
        <is>
          <t>in-d26e11dfc9a497b1</t>
        </is>
      </c>
      <c r="B105" t="inlineStr">
        <is>
          <t>Applied Scientist, Prime Video - Personalization and Discovery Science</t>
        </is>
      </c>
      <c r="C105" t="inlineStr">
        <is>
          <t>Amazon.com</t>
        </is>
      </c>
      <c r="D105" t="inlineStr">
        <is>
          <t>indeed</t>
        </is>
      </c>
      <c r="E105">
        <f>HYPERLINK("https://www.indeed.com/viewjob?jk=d26e11dfc9a497b1", "https://www.indeed.com/viewjob?jk=d26e11dfc9a497b1")</f>
        <v/>
      </c>
      <c r="F105">
        <f>HYPERLINK("https://www.amazon.jobs/jobs/3033050/applied-scientist-prime-video--personalization-and-discovery-science?cmpid=DA_INAD200785B", "https://www.amazon.jobs/jobs/3033050/applied-scientist-prime-video--personalization-and-discovery-science?cmpid=DA_INAD200785B")</f>
        <v/>
      </c>
      <c r="G105" t="inlineStr">
        <is>
          <t>Seattle, WA, US</t>
        </is>
      </c>
      <c r="H105" s="1" t="n">
        <v>45845</v>
      </c>
      <c r="I10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106">
      <c r="A106" t="inlineStr">
        <is>
          <t>in-00c2d30de4398c51</t>
        </is>
      </c>
      <c r="B106" t="inlineStr">
        <is>
          <t>Applied Scientist, Prime Video - Personalization and Discovery Science</t>
        </is>
      </c>
      <c r="C106" t="inlineStr">
        <is>
          <t>Amazon.com</t>
        </is>
      </c>
      <c r="D106" t="inlineStr">
        <is>
          <t>indeed</t>
        </is>
      </c>
      <c r="E106">
        <f>HYPERLINK("https://www.indeed.com/viewjob?jk=00c2d30de4398c51", "https://www.indeed.com/viewjob?jk=00c2d30de4398c51")</f>
        <v/>
      </c>
      <c r="F106">
        <f>HYPERLINK("https://www.amazon.jobs/jobs/3033050/applied-scientist-prime-video--personalization-and-discovery-science?cmpid=DA_INAD200785B", "https://www.amazon.jobs/jobs/3033050/applied-scientist-prime-video--personalization-and-discovery-science?cmpid=DA_INAD200785B")</f>
        <v/>
      </c>
      <c r="G106" t="inlineStr">
        <is>
          <t>New York, NY, US</t>
        </is>
      </c>
      <c r="H106" s="1" t="n">
        <v>45845</v>
      </c>
      <c r="I10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107">
      <c r="A107" t="inlineStr">
        <is>
          <t>in-2ceb0d9d767eeeb6</t>
        </is>
      </c>
      <c r="B107" t="inlineStr">
        <is>
          <t>Sr. Data Scientist, Amazon Leo Global Planning, Amazon Leo</t>
        </is>
      </c>
      <c r="C107" t="inlineStr">
        <is>
          <t>Amazon.com</t>
        </is>
      </c>
      <c r="D107" t="inlineStr">
        <is>
          <t>indeed</t>
        </is>
      </c>
      <c r="E107">
        <f>HYPERLINK("https://www.indeed.com/viewjob?jk=2ceb0d9d767eeeb6", "https://www.indeed.com/viewjob?jk=2ceb0d9d767eeeb6")</f>
        <v/>
      </c>
      <c r="F107">
        <f>HYPERLINK("https://www.amazon.jobs/jobs/3016062/sr-data-scientist-amazon-leo-global-planning-amazon-leo?cmpid=DA_INAD200785B", "https://www.amazon.jobs/jobs/3016062/sr-data-scientist-amazon-leo-global-planning-amazon-leo?cmpid=DA_INAD200785B")</f>
        <v/>
      </c>
      <c r="G107" t="inlineStr">
        <is>
          <t>Bellevue, WA, US</t>
        </is>
      </c>
      <c r="H107" s="1" t="n">
        <v>45830</v>
      </c>
      <c r="I107" t="inlineStr">
        <is>
          <t>**DESCRIPTION**
---------------
Amazon Leo is an initiative to increase global broadband access through a constellation of 3,236 satellites in low Earth orbit (LEO). Its mission is to bring fast, affordable broadband to unserved and underserved communities around the world. Amazon Leo will help close the digital divide by delivering fast, affordable broadband to a wide range of customers, including consumers, businesses, government agencies, and other organizations operating in places without reliable connectivity.  
Do you get excited by aerospace, space exploration, and/or satellites? Do you want to help build solutions at Amazon Leo to transform the space industry? If so, then we would love to talk!  
Key job responsibilities  
Work cross\-functionally with product, business development, and various technical teams (engineering, science, simulations, etc.) to execute on the long\-term vision, strategy, and architecture for the science\-based global demand forecast.  
Design and deliver modern, flexible, scalable solutions to integrate data from a variety of sources and systems (both internal and external) and develop Bandwidth Usage models at granular temporal and geographic grains, deployable to Leo traffic management systems.  
Work closely with the capacity planning science team to ensure that demand forecasts feed seamlessly into their systems to deliver continuous optimization of resources.  
Lead short and long terms technical roadmap definition efforts to deliver solutions that meet business needs in pre\-launch, early\-launch, and mature business phases.  
Synthesize and communicate insights and recommendations to audiences of varying levels of technical sophistication to drive change across Amazon Leo.  
Export Control Requirement: Due to applicable export control laws and regulations, candidates must be a U.S. citizen or national, U.S. permanent resident (i.e., current Green Card holder), or lawfully admitted into the U.S. as a refugee or granted asylum.  
About the team  
The Amazon Leo Global Demand Planning team's mission is to map customer demand across space and time. We enable Amazon Leo's long\-term success by delivering actionable insights and scientific forecasts across geographies and customer segments to empower long range planning, capacity simulations, business strategy, and hardware manufacturing recommendations through scalable tools and durable mechanisms.
**BASIC QUALIFICATIONS**
------------------------
* 4\+ years of data scientist experience
* 5\+ years of data querying languages (e.g. SQL), scripting languages (e.g. Python) or statistical/mathematical software (e.g. R, SAS, Matlab, etc.) experience
* Experience with statistical models e.g. multinomial logistic regression
* Experience developing forecasting methodologies
**PREFERRED QUALIFICATIONS**
----------------------------
* Master's degree in a quantitative field such as statistics, mathematics, data science, business analytics, economics, finance, engineering, or computer science
* Experience managing data pipelines
* Experience working with scientists, economists, software developers, or product managers
* 3\+ years of data visualization using AWS QuickSight, Tableau, R Shiny, etc. experience
* Experience in data applications using large scale distributed systems (e.g., EMR, Spark, Elasticsearch, Hadoop, Pig, and Hive)
* Hands\-on experience in building machine learning or optimization models in a business environment using tools such as AWS SageMaker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Bellevue \- 159,200\.00 \- 215,300\.00 USD annually  
USA, WA, Redmond \- 159,200\.00 \- 215,300\.00 USD annually</t>
        </is>
      </c>
    </row>
    <row r="108">
      <c r="A108" t="inlineStr">
        <is>
          <t>in-1e64a7a062e53fe9</t>
        </is>
      </c>
      <c r="B108" t="inlineStr">
        <is>
          <t>Sr. Data Scientist, Amazon Leo Global Planning, Amazon Leo</t>
        </is>
      </c>
      <c r="C108" t="inlineStr">
        <is>
          <t>Amazon.com</t>
        </is>
      </c>
      <c r="D108" t="inlineStr">
        <is>
          <t>indeed</t>
        </is>
      </c>
      <c r="E108">
        <f>HYPERLINK("https://www.indeed.com/viewjob?jk=1e64a7a062e53fe9", "https://www.indeed.com/viewjob?jk=1e64a7a062e53fe9")</f>
        <v/>
      </c>
      <c r="F108">
        <f>HYPERLINK("https://www.amazon.jobs/jobs/3016062/sr-data-scientist-amazon-leo-global-planning-amazon-leo?cmpid=DA_INAD200785B", "https://www.amazon.jobs/jobs/3016062/sr-data-scientist-amazon-leo-global-planning-amazon-leo?cmpid=DA_INAD200785B")</f>
        <v/>
      </c>
      <c r="G108" t="inlineStr">
        <is>
          <t>Redmond, WA, US</t>
        </is>
      </c>
      <c r="H108" s="1" t="n">
        <v>45830</v>
      </c>
      <c r="I108" t="inlineStr">
        <is>
          <t>**DESCRIPTION**
---------------
Amazon Leo is an initiative to increase global broadband access through a constellation of 3,236 satellites in low Earth orbit (LEO). Its mission is to bring fast, affordable broadband to unserved and underserved communities around the world. Amazon Leo will help close the digital divide by delivering fast, affordable broadband to a wide range of customers, including consumers, businesses, government agencies, and other organizations operating in places without reliable connectivity.  
Do you get excited by aerospace, space exploration, and/or satellites? Do you want to help build solutions at Amazon Leo to transform the space industry? If so, then we would love to talk!  
Key job responsibilities  
Work cross\-functionally with product, business development, and various technical teams (engineering, science, simulations, etc.) to execute on the long\-term vision, strategy, and architecture for the science\-based global demand forecast.  
Design and deliver modern, flexible, scalable solutions to integrate data from a variety of sources and systems (both internal and external) and develop Bandwidth Usage models at granular temporal and geographic grains, deployable to Leo traffic management systems.  
Work closely with the capacity planning science team to ensure that demand forecasts feed seamlessly into their systems to deliver continuous optimization of resources.  
Lead short and long terms technical roadmap definition efforts to deliver solutions that meet business needs in pre\-launch, early\-launch, and mature business phases.  
Synthesize and communicate insights and recommendations to audiences of varying levels of technical sophistication to drive change across Amazon Leo.  
Export Control Requirement: Due to applicable export control laws and regulations, candidates must be a U.S. citizen or national, U.S. permanent resident (i.e., current Green Card holder), or lawfully admitted into the U.S. as a refugee or granted asylum.  
About the team  
The Amazon Leo Global Demand Planning team's mission is to map customer demand across space and time. We enable Amazon Leo's long\-term success by delivering actionable insights and scientific forecasts across geographies and customer segments to empower long range planning, capacity simulations, business strategy, and hardware manufacturing recommendations through scalable tools and durable mechanisms.
**BASIC QUALIFICATIONS**
------------------------
* 4\+ years of data scientist experience
* 5\+ years of data querying languages (e.g. SQL), scripting languages (e.g. Python) or statistical/mathematical software (e.g. R, SAS, Matlab, etc.) experience
* Experience with statistical models e.g. multinomial logistic regression
* Experience developing forecasting methodologies
**PREFERRED QUALIFICATIONS**
----------------------------
* Master's degree in a quantitative field such as statistics, mathematics, data science, business analytics, economics, finance, engineering, or computer science
* Experience managing data pipelines
* Experience working with scientists, economists, software developers, or product managers
* 3\+ years of data visualization using AWS QuickSight, Tableau, R Shiny, etc. experience
* Experience in data applications using large scale distributed systems (e.g., EMR, Spark, Elasticsearch, Hadoop, Pig, and Hive)
* Hands\-on experience in building machine learning or optimization models in a business environment using tools such as AWS SageMaker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Bellevue \- 159,200\.00 \- 215,300\.00 USD annually  
USA, WA, Redmond \- 159,200\.00 \- 215,300\.00 USD annually</t>
        </is>
      </c>
    </row>
    <row r="109">
      <c r="A109" t="inlineStr">
        <is>
          <t>in-12d0d303088ed9a9</t>
        </is>
      </c>
      <c r="B109" t="inlineStr">
        <is>
          <t>Principal Applied Scientist, Delivery Foundation Model</t>
        </is>
      </c>
      <c r="C109" t="inlineStr">
        <is>
          <t>Amazon.com</t>
        </is>
      </c>
      <c r="D109" t="inlineStr">
        <is>
          <t>indeed</t>
        </is>
      </c>
      <c r="E109">
        <f>HYPERLINK("https://www.indeed.com/viewjob?jk=12d0d303088ed9a9", "https://www.indeed.com/viewjob?jk=12d0d303088ed9a9")</f>
        <v/>
      </c>
      <c r="F109">
        <f>HYPERLINK("https://www.amazon.jobs/jobs/3006938/principal-applied-scientist-delivery-foundation-model-?cmpid=DA_INAD200785B", "https://www.amazon.jobs/jobs/3006938/principal-applied-scientist-delivery-foundation-model-?cmpid=DA_INAD200785B")</f>
        <v/>
      </c>
      <c r="G109" t="inlineStr">
        <is>
          <t>New York, NY, US</t>
        </is>
      </c>
      <c r="H109" s="1" t="n">
        <v>45810</v>
      </c>
      <c r="I109"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10">
      <c r="A110" t="inlineStr">
        <is>
          <t>in-70ef6b25ef8b850b</t>
        </is>
      </c>
      <c r="B110" t="inlineStr">
        <is>
          <t>Principal Applied Scientist, Delivery Foundation Model</t>
        </is>
      </c>
      <c r="C110" t="inlineStr">
        <is>
          <t>Amazon.com</t>
        </is>
      </c>
      <c r="D110" t="inlineStr">
        <is>
          <t>indeed</t>
        </is>
      </c>
      <c r="E110">
        <f>HYPERLINK("https://www.indeed.com/viewjob?jk=70ef6b25ef8b850b", "https://www.indeed.com/viewjob?jk=70ef6b25ef8b850b")</f>
        <v/>
      </c>
      <c r="F110">
        <f>HYPERLINK("https://www.amazon.jobs/jobs/3006938/principal-applied-scientist-delivery-foundation-model-?cmpid=DA_INAD200785B", "https://www.amazon.jobs/jobs/3006938/principal-applied-scientist-delivery-foundation-model-?cmpid=DA_INAD200785B")</f>
        <v/>
      </c>
      <c r="G110" t="inlineStr">
        <is>
          <t>Bellevue, WA, US</t>
        </is>
      </c>
      <c r="H110" s="1" t="n">
        <v>45810</v>
      </c>
      <c r="I11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11">
      <c r="A111" t="inlineStr">
        <is>
          <t>in-d130551b2dd66bca</t>
        </is>
      </c>
      <c r="B111" t="inlineStr">
        <is>
          <t>Principal Applied Scientist, Delivery Foundation Model</t>
        </is>
      </c>
      <c r="C111" t="inlineStr">
        <is>
          <t>Amazon.com</t>
        </is>
      </c>
      <c r="D111" t="inlineStr">
        <is>
          <t>indeed</t>
        </is>
      </c>
      <c r="E111">
        <f>HYPERLINK("https://www.indeed.com/viewjob?jk=d130551b2dd66bca", "https://www.indeed.com/viewjob?jk=d130551b2dd66bca")</f>
        <v/>
      </c>
      <c r="F111">
        <f>HYPERLINK("https://www.amazon.jobs/jobs/3006938/principal-applied-scientist-delivery-foundation-model-?cmpid=DA_INAD200785B", "https://www.amazon.jobs/jobs/3006938/principal-applied-scientist-delivery-foundation-model-?cmpid=DA_INAD200785B")</f>
        <v/>
      </c>
      <c r="G111" t="inlineStr">
        <is>
          <t>Austin, TX, US</t>
        </is>
      </c>
      <c r="H111" s="1" t="n">
        <v>45810</v>
      </c>
      <c r="I111"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12">
      <c r="A112" t="inlineStr">
        <is>
          <t>in-abfdb9e86ba30eb8</t>
        </is>
      </c>
      <c r="B112" t="inlineStr">
        <is>
          <t>Principal Applied Scientist, Delivery Foundation Model</t>
        </is>
      </c>
      <c r="C112" t="inlineStr">
        <is>
          <t>Amazon.com</t>
        </is>
      </c>
      <c r="D112" t="inlineStr">
        <is>
          <t>indeed</t>
        </is>
      </c>
      <c r="E112">
        <f>HYPERLINK("https://www.indeed.com/viewjob?jk=abfdb9e86ba30eb8", "https://www.indeed.com/viewjob?jk=abfdb9e86ba30eb8")</f>
        <v/>
      </c>
      <c r="F112">
        <f>HYPERLINK("https://www.amazon.jobs/jobs/3006938/principal-applied-scientist-delivery-foundation-model-?cmpid=DA_INAD200785B", "https://www.amazon.jobs/jobs/3006938/principal-applied-scientist-delivery-foundation-model-?cmpid=DA_INAD200785B")</f>
        <v/>
      </c>
      <c r="G112" t="inlineStr">
        <is>
          <t>Santa Clara, CA, US</t>
        </is>
      </c>
      <c r="H112" s="1" t="n">
        <v>45810</v>
      </c>
      <c r="I11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13">
      <c r="A113" t="inlineStr">
        <is>
          <t>in-0d9ce62759152ab0</t>
        </is>
      </c>
      <c r="B113" t="inlineStr">
        <is>
          <t>Senior Applied Scientist, Delivery Foundation Model</t>
        </is>
      </c>
      <c r="C113" t="inlineStr">
        <is>
          <t>Amazon.com</t>
        </is>
      </c>
      <c r="D113" t="inlineStr">
        <is>
          <t>indeed</t>
        </is>
      </c>
      <c r="E113">
        <f>HYPERLINK("https://www.indeed.com/viewjob?jk=0d9ce62759152ab0", "https://www.indeed.com/viewjob?jk=0d9ce62759152ab0")</f>
        <v/>
      </c>
      <c r="F113">
        <f>HYPERLINK("https://www.amazon.jobs/jobs/2998435/senior-applied-scientist-delivery-foundation-model-?cmpid=DA_INAD200785B", "https://www.amazon.jobs/jobs/2998435/senior-applied-scientist-delivery-foundation-model-?cmpid=DA_INAD200785B")</f>
        <v/>
      </c>
      <c r="G113" t="inlineStr">
        <is>
          <t>Santa Clara, CA, US</t>
        </is>
      </c>
      <c r="H113" s="1" t="n">
        <v>45806</v>
      </c>
      <c r="I11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4">
      <c r="A114" t="inlineStr">
        <is>
          <t>in-24a0bdb9386971e0</t>
        </is>
      </c>
      <c r="B114" t="inlineStr">
        <is>
          <t>Senior Applied Scientist, Delivery Foundation Model</t>
        </is>
      </c>
      <c r="C114" t="inlineStr">
        <is>
          <t>Amazon.com</t>
        </is>
      </c>
      <c r="D114" t="inlineStr">
        <is>
          <t>indeed</t>
        </is>
      </c>
      <c r="E114">
        <f>HYPERLINK("https://www.indeed.com/viewjob?jk=24a0bdb9386971e0", "https://www.indeed.com/viewjob?jk=24a0bdb9386971e0")</f>
        <v/>
      </c>
      <c r="F114">
        <f>HYPERLINK("https://www.amazon.jobs/jobs/2998435/senior-applied-scientist-delivery-foundation-model-?cmpid=DA_INAD200785B", "https://www.amazon.jobs/jobs/2998435/senior-applied-scientist-delivery-foundation-model-?cmpid=DA_INAD200785B")</f>
        <v/>
      </c>
      <c r="G114" t="inlineStr">
        <is>
          <t>Bellevue, WA, US</t>
        </is>
      </c>
      <c r="H114" s="1" t="n">
        <v>45806</v>
      </c>
      <c r="I114"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5">
      <c r="A115" t="inlineStr">
        <is>
          <t>in-4cd5fc2198b4d068</t>
        </is>
      </c>
      <c r="B115" t="inlineStr">
        <is>
          <t>Senior Applied Scientist, Delivery Foundation Model</t>
        </is>
      </c>
      <c r="C115" t="inlineStr">
        <is>
          <t>Amazon.com</t>
        </is>
      </c>
      <c r="D115" t="inlineStr">
        <is>
          <t>indeed</t>
        </is>
      </c>
      <c r="E115">
        <f>HYPERLINK("https://www.indeed.com/viewjob?jk=4cd5fc2198b4d068", "https://www.indeed.com/viewjob?jk=4cd5fc2198b4d068")</f>
        <v/>
      </c>
      <c r="F115">
        <f>HYPERLINK("https://www.amazon.jobs/jobs/2998435/senior-applied-scientist-delivery-foundation-model-?cmpid=DA_INAD200785B", "https://www.amazon.jobs/jobs/2998435/senior-applied-scientist-delivery-foundation-model-?cmpid=DA_INAD200785B")</f>
        <v/>
      </c>
      <c r="G115" t="inlineStr">
        <is>
          <t>New York, NY, US</t>
        </is>
      </c>
      <c r="H115" s="1" t="n">
        <v>45806</v>
      </c>
      <c r="I115"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6">
      <c r="A116" t="inlineStr">
        <is>
          <t>in-01456651a16481e6</t>
        </is>
      </c>
      <c r="B116" t="inlineStr">
        <is>
          <t>Sr. Applied Scientist - Privacy, Privacy Engineering</t>
        </is>
      </c>
      <c r="C116" t="inlineStr">
        <is>
          <t>Amazon.com</t>
        </is>
      </c>
      <c r="D116" t="inlineStr">
        <is>
          <t>indeed</t>
        </is>
      </c>
      <c r="E116">
        <f>HYPERLINK("https://www.indeed.com/viewjob?jk=01456651a16481e6", "https://www.indeed.com/viewjob?jk=01456651a16481e6")</f>
        <v/>
      </c>
      <c r="F116">
        <f>HYPERLINK("https://www.amazon.jobs/jobs/2997657/sr-applied-scientist--privacy-privacy-engineering?cmpid=DA_INAD200785B", "https://www.amazon.jobs/jobs/2997657/sr-applied-scientist--privacy-privacy-engineering?cmpid=DA_INAD200785B")</f>
        <v/>
      </c>
      <c r="G116" t="inlineStr">
        <is>
          <t>Sunnyvale, CA, US</t>
        </is>
      </c>
      <c r="H116" s="1" t="n">
        <v>45787</v>
      </c>
      <c r="I116"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7">
      <c r="A117" t="inlineStr">
        <is>
          <t>in-dd6776139f86f8eb</t>
        </is>
      </c>
      <c r="B117" t="inlineStr">
        <is>
          <t>Sr. Applied Scientist - Privacy, Privacy Engineering</t>
        </is>
      </c>
      <c r="C117" t="inlineStr">
        <is>
          <t>Amazon.com</t>
        </is>
      </c>
      <c r="D117" t="inlineStr">
        <is>
          <t>indeed</t>
        </is>
      </c>
      <c r="E117">
        <f>HYPERLINK("https://www.indeed.com/viewjob?jk=dd6776139f86f8eb", "https://www.indeed.com/viewjob?jk=dd6776139f86f8eb")</f>
        <v/>
      </c>
      <c r="F117">
        <f>HYPERLINK("https://www.amazon.jobs/jobs/2997657/sr-applied-scientist--privacy-privacy-engineering?cmpid=DA_INAD200785B", "https://www.amazon.jobs/jobs/2997657/sr-applied-scientist--privacy-privacy-engineering?cmpid=DA_INAD200785B")</f>
        <v/>
      </c>
      <c r="G117" t="inlineStr">
        <is>
          <t>San Francisco, CA, US</t>
        </is>
      </c>
      <c r="H117" s="1" t="n">
        <v>45787</v>
      </c>
      <c r="I117"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8">
      <c r="A118" t="inlineStr">
        <is>
          <t>in-1cd7156b4cda59c1</t>
        </is>
      </c>
      <c r="B118" t="inlineStr">
        <is>
          <t>Sr. Applied Scientist - Privacy, Privacy Engineering</t>
        </is>
      </c>
      <c r="C118" t="inlineStr">
        <is>
          <t>Amazon.com</t>
        </is>
      </c>
      <c r="D118" t="inlineStr">
        <is>
          <t>indeed</t>
        </is>
      </c>
      <c r="E118">
        <f>HYPERLINK("https://www.indeed.com/viewjob?jk=1cd7156b4cda59c1", "https://www.indeed.com/viewjob?jk=1cd7156b4cda59c1")</f>
        <v/>
      </c>
      <c r="F118">
        <f>HYPERLINK("https://www.amazon.jobs/jobs/2997657/sr-applied-scientist--privacy-privacy-engineering?cmpid=DA_INAD200785B", "https://www.amazon.jobs/jobs/2997657/sr-applied-scientist--privacy-privacy-engineering?cmpid=DA_INAD200785B")</f>
        <v/>
      </c>
      <c r="G118" t="inlineStr">
        <is>
          <t>Santa Clara, CA, US</t>
        </is>
      </c>
      <c r="H118" s="1" t="n">
        <v>45787</v>
      </c>
      <c r="I118"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9">
      <c r="A119" t="inlineStr">
        <is>
          <t>in-78c1ac85760bc375</t>
        </is>
      </c>
      <c r="B119" t="inlineStr">
        <is>
          <t>Sr. Applied Scientist - Privacy, Privacy Engineering</t>
        </is>
      </c>
      <c r="C119" t="inlineStr">
        <is>
          <t>Amazon.com</t>
        </is>
      </c>
      <c r="D119" t="inlineStr">
        <is>
          <t>indeed</t>
        </is>
      </c>
      <c r="E119">
        <f>HYPERLINK("https://www.indeed.com/viewjob?jk=78c1ac85760bc375", "https://www.indeed.com/viewjob?jk=78c1ac85760bc375")</f>
        <v/>
      </c>
      <c r="F119">
        <f>HYPERLINK("https://www.amazon.jobs/jobs/2997657/sr-applied-scientist--privacy-privacy-engineering?cmpid=DA_INAD200785B", "https://www.amazon.jobs/jobs/2997657/sr-applied-scientist--privacy-privacy-engineering?cmpid=DA_INAD200785B")</f>
        <v/>
      </c>
      <c r="G119" t="inlineStr">
        <is>
          <t>Seattle, WA, US</t>
        </is>
      </c>
      <c r="H119" s="1" t="n">
        <v>45787</v>
      </c>
      <c r="I119"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0">
      <c r="A120" t="inlineStr">
        <is>
          <t>in-3a7d4d33c0d1e880</t>
        </is>
      </c>
      <c r="B120" t="inlineStr">
        <is>
          <t>Principal Applied Scientist, Delivery Foundation Model</t>
        </is>
      </c>
      <c r="C120" t="inlineStr">
        <is>
          <t>Amazon.com</t>
        </is>
      </c>
      <c r="D120" t="inlineStr">
        <is>
          <t>indeed</t>
        </is>
      </c>
      <c r="E120">
        <f>HYPERLINK("https://www.indeed.com/viewjob?jk=3a7d4d33c0d1e880", "https://www.indeed.com/viewjob?jk=3a7d4d33c0d1e880")</f>
        <v/>
      </c>
      <c r="F120">
        <f>HYPERLINK("https://www.amazon.jobs/jobs/2998635/principal-applied-scientist-delivery-foundation-model-?cmpid=DA_INAD200785B", "https://www.amazon.jobs/jobs/2998635/principal-applied-scientist-delivery-foundation-model-?cmpid=DA_INAD200785B")</f>
        <v/>
      </c>
      <c r="G120" t="inlineStr">
        <is>
          <t>New York, NY, US</t>
        </is>
      </c>
      <c r="H120" s="1" t="n">
        <v>45757</v>
      </c>
      <c r="I12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row r="121">
      <c r="A121" t="inlineStr">
        <is>
          <t>in-192d5b24cc2a06f0</t>
        </is>
      </c>
      <c r="B121" t="inlineStr">
        <is>
          <t>Principal Applied Scientist, Delivery Foundation Model</t>
        </is>
      </c>
      <c r="C121" t="inlineStr">
        <is>
          <t>Amazon.com</t>
        </is>
      </c>
      <c r="D121" t="inlineStr">
        <is>
          <t>indeed</t>
        </is>
      </c>
      <c r="E121">
        <f>HYPERLINK("https://www.indeed.com/viewjob?jk=192d5b24cc2a06f0", "https://www.indeed.com/viewjob?jk=192d5b24cc2a06f0")</f>
        <v/>
      </c>
      <c r="F121">
        <f>HYPERLINK("https://www.amazon.jobs/jobs/2998635/principal-applied-scientist-delivery-foundation-model-?cmpid=DA_INAD200785B", "https://www.amazon.jobs/jobs/2998635/principal-applied-scientist-delivery-foundation-model-?cmpid=DA_INAD200785B")</f>
        <v/>
      </c>
      <c r="G121" t="inlineStr">
        <is>
          <t>Santa Clara, CA, US</t>
        </is>
      </c>
      <c r="H121" s="1" t="n">
        <v>45757</v>
      </c>
      <c r="I121"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row r="122">
      <c r="A122" t="inlineStr">
        <is>
          <t>in-0ac4ec83ff6368e6</t>
        </is>
      </c>
      <c r="B122" t="inlineStr">
        <is>
          <t>Principal Applied Scientist, Delivery Foundation Model</t>
        </is>
      </c>
      <c r="C122" t="inlineStr">
        <is>
          <t>Amazon.com</t>
        </is>
      </c>
      <c r="D122" t="inlineStr">
        <is>
          <t>indeed</t>
        </is>
      </c>
      <c r="E122">
        <f>HYPERLINK("https://www.indeed.com/viewjob?jk=0ac4ec83ff6368e6", "https://www.indeed.com/viewjob?jk=0ac4ec83ff6368e6")</f>
        <v/>
      </c>
      <c r="F122">
        <f>HYPERLINK("https://www.amazon.jobs/jobs/2998635/principal-applied-scientist-delivery-foundation-model-?cmpid=DA_INAD200785B", "https://www.amazon.jobs/jobs/2998635/principal-applied-scientist-delivery-foundation-model-?cmpid=DA_INAD200785B")</f>
        <v/>
      </c>
      <c r="G122" t="inlineStr">
        <is>
          <t>Bellevue, WA, US</t>
        </is>
      </c>
      <c r="H122" s="1" t="n">
        <v>45757</v>
      </c>
      <c r="I12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li-4379190321</t>
        </is>
      </c>
      <c r="B2" t="inlineStr">
        <is>
          <t>Data Engineer/Data Scientist</t>
        </is>
      </c>
      <c r="C2" t="inlineStr">
        <is>
          <t>Capgemini</t>
        </is>
      </c>
      <c r="D2" t="inlineStr">
        <is>
          <t>linkedin</t>
        </is>
      </c>
      <c r="E2">
        <f>HYPERLINK("https://www.linkedin.com/jobs/view/4379190321", "https://www.linkedin.com/jobs/view/4379190321")</f>
        <v/>
      </c>
      <c r="F2" t="inlineStr"/>
      <c r="G2" t="inlineStr">
        <is>
          <t>Nashville, TN</t>
        </is>
      </c>
      <c r="H2" t="inlineStr"/>
      <c r="I2" t="inlineStr">
        <is>
          <t>**Thanks for your interest, please apply only after reading 1 to 5\.** 
1. **You must work 100% in office in Nashville NO remote, relocate at your own expense**
2. **You must starts April 13th 2026 at the 6 weeks training session, not able to start after**
3. **You must have graduated 2025 and before not graduating in 2026\.**
4. **You must have 1 year\+ minimum post graduate experience in AWS or Azure or Databricks or Google Cloud (internship experience not included)**
5. **You must work full time, not a contractor and no C2C**
**About the Role** 
 We are seeking a skilled
 **Data Engineer** 
 with hands\-on experience in
 **Databricks**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3\+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3">
      <c r="A3" t="inlineStr">
        <is>
          <t>li-4379188431</t>
        </is>
      </c>
      <c r="B3" t="inlineStr">
        <is>
          <t>Data Engineer/Data Scientist Onsite in Nashville</t>
        </is>
      </c>
      <c r="C3" t="inlineStr">
        <is>
          <t>Capgemini</t>
        </is>
      </c>
      <c r="D3" t="inlineStr">
        <is>
          <t>linkedin</t>
        </is>
      </c>
      <c r="E3">
        <f>HYPERLINK("https://www.linkedin.com/jobs/view/4379188431", "https://www.linkedin.com/jobs/view/4379188431")</f>
        <v/>
      </c>
      <c r="F3" t="inlineStr"/>
      <c r="G3" t="inlineStr">
        <is>
          <t>Atlanta, GA</t>
        </is>
      </c>
      <c r="H3" t="inlineStr"/>
      <c r="I3" t="inlineStr">
        <is>
          <t>**Thanks for your interest, please apply only after reading 1 to 4\. You must work 100% in office in Nashville not remote from Atlanta, relocate at your own expense.** 
1. **You must starts April 13th 2026 at the 6 weeks training session, not able to start after**
2. **You must have graduated 2025 and before not graduating in 2026\.**
3. **You must have 1 year\+ minimum post graduate experience in AWS or Azure or Databricks or Google Cloud (internship experience not included)**
4.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1\+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4">
      <c r="A4" t="inlineStr">
        <is>
          <t>li-4120823579</t>
        </is>
      </c>
      <c r="B4" t="inlineStr">
        <is>
          <t>Data Scientist, Product Analytics</t>
        </is>
      </c>
      <c r="C4" t="inlineStr">
        <is>
          <t>Meta</t>
        </is>
      </c>
      <c r="D4" t="inlineStr">
        <is>
          <t>linkedin</t>
        </is>
      </c>
      <c r="E4">
        <f>HYPERLINK("https://www.linkedin.com/jobs/view/4120823579", "https://www.linkedin.com/jobs/view/4120823579")</f>
        <v/>
      </c>
      <c r="F4" t="inlineStr"/>
      <c r="G4" t="inlineStr">
        <is>
          <t>Burlingame, CA</t>
        </is>
      </c>
      <c r="H4" t="inlineStr"/>
      <c r="I4" t="inlineStr">
        <is>
          <t>As a Data Scientist at Meta, you will shape the future of people\-facing and business\-facing products we build across our entire family of applications (Facebook, Instagram, Messenger, WhatsApp, Oculus). By applying your technical skills, analytical mindset, and product intuition to one of the richest data sets in the world, you will help define the experiences we build for billions of people and hundreds of millions of businesses around the world. You will collaborate on a wide array of product and business problems with a wide\-range of cross\-functional partners across Product, Engineering, Research, Data Engineering, Marketing, Sales, Finance and others. You will use data and analysis to identify and solve product development's biggest challenges. You will influence product strategy and investment decisions with data, be focused on impact, and collaborate with other teams. By joining Meta, you will become part of a world\-class analytics community dedicated to skill development and career growth in analytics and beyond.Product leadership: You will use data to shape product development, quantify new opportunities, identify upcoming challenges, and ensure the products we build bring value to people, businesses, and Meta. You will help your partner teams prioritize what to build, set goals, and understand their product's ecosystem.Analytics: You will guide teams using data and insights. You will focus on developing hypotheses and employ a varied toolkit of rigorous analytical approaches, different methodologies, frameworks, and technical approaches to test them.Communication and influence: You won't simply present data, but tell data\-driven stories. You will convince and influence your partners using clear insights and recommendations. You will build credibility through structure and clarity, and be a trusted strategic partner.
 Data Scientist, Product Analytics Responsibilities:
* Work with large and complex data sets to solve a wide array of challenging problems using different analytical and statistical approaches
* Apply technical expertise with quantitative analysis, experimentation, data mining, and the presentation of data to develop strategies for our products that serve billions of people and hundreds of millions of businesses
* Identify and measure success of product efforts through goal setting, forecasting, and monitoring of key product metrics to understand trends
* Define, understand, and test opportunities and levers to improve the product, and drive roadmaps through your insights and recommendations
* Partner with Product, Engineering, and cross\-functional teams to inform, influence, support, and execute product strategy and investment decisions
 Minimum Qualifications:
* Bachelor's degree in Computer Science, Computer Engineering, relevant technical field, or equivalent practical experience
* A minimum of 6 years of work experience in analytics (minimum of 4 years with a Ph.D.)
* Bachelor's degree in Mathematics, Statistics, a relevant technical field, or equivalent practical experience
* Experience with data querying languages (e.g. SQL), scripting languages (e.g. Python), and/or statistical/mathematical software (e.g. R)
 Preferred Qualifications:
* Master's or Ph.D. Degree in a quantitative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$177,000/year to $247,000/year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
      <c r="A5" t="inlineStr">
        <is>
          <t>li-4120824556</t>
        </is>
      </c>
      <c r="B5" t="inlineStr">
        <is>
          <t>Data Scientist, Product Analytics</t>
        </is>
      </c>
      <c r="C5" t="inlineStr">
        <is>
          <t>Meta</t>
        </is>
      </c>
      <c r="D5" t="inlineStr">
        <is>
          <t>linkedin</t>
        </is>
      </c>
      <c r="E5">
        <f>HYPERLINK("https://www.linkedin.com/jobs/view/4120824556", "https://www.linkedin.com/jobs/view/4120824556")</f>
        <v/>
      </c>
      <c r="F5" t="inlineStr"/>
      <c r="G5" t="inlineStr">
        <is>
          <t>Sunnyvale, CA</t>
        </is>
      </c>
      <c r="H5" t="inlineStr"/>
      <c r="I5" t="inlineStr">
        <is>
          <t>As a Data Scientist at Meta, you will shape the future of people\-facing and business\-facing products we build across our entire family of applications (Facebook, Instagram, Messenger, WhatsApp, Oculus). By applying your technical skills, analytical mindset, and product intuition to one of the richest data sets in the world, you will help define the experiences we build for billions of people and hundreds of millions of businesses around the world. You will collaborate on a wide array of product and business problems with a wide\-range of cross\-functional partners across Product, Engineering, Research, Data Engineering, Marketing, Sales, Finance and others. You will use data and analysis to identify and solve product development's biggest challenges. You will influence product strategy and investment decisions with data, be focused on impact, and collaborate with other teams. By joining Meta, you will become part of a world\-class analytics community dedicated to skill development and career growth in analytics and beyond.Product leadership: You will use data to shape product development, quantify new opportunities, identify upcoming challenges, and ensure the products we build bring value to people, businesses, and Meta. You will help your partner teams prioritize what to build, set goals, and understand their product's ecosystem.Analytics: You will guide teams using data and insights. You will focus on developing hypotheses and employ a varied toolkit of rigorous analytical approaches, different methodologies, frameworks, and technical approaches to test them.Communication and influence: You won't simply present data, but tell data\-driven stories. You will convince and influence your partners using clear insights and recommendations. You will build credibility through structure and clarity, and be a trusted strategic partner.
 Data Scientist, Product Analytics Responsibilities:
* Work with large and complex data sets to solve a wide array of challenging problems using different analytical and statistical approaches
* Apply technical expertise with quantitative analysis, experimentation, data mining, and the presentation of data to develop strategies for our products that serve billions of people and hundreds of millions of businesses
* Identify and measure success of product efforts through goal setting, forecasting, and monitoring of key product metrics to understand trends
* Define, understand, and test opportunities and levers to improve the product, and drive roadmaps through your insights and recommendations
* Partner with Product, Engineering, and cross\-functional teams to inform, influence, support, and execute product strategy and investment decisions
 Minimum Qualifications:
* Bachelor's degree in Computer Science, Computer Engineering, relevant technical field, or equivalent practical experience
* Bachelor's degree in Mathematics, Statistics, a relevant technical field, or equivalent
* 4\+ years of work experience in analytics, data querying languages such as SQL, scripting languages such as Python, and/or statistical mathematical software such as R (minimum of 2 years with a Ph.D.)
* 4\+ years of experience solving analytical problems using quantitative approaches, understanding ecosystems, user behaviors \&amp; long\-term product trends, and leading data\-driven projects from definition to execution \[including defining metrics, experiment, design, communicating actionable insights]
 Preferred Qualifications:
* Master's or Ph.D. Degree in a quantitative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$147,000/year to $208,000/year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6">
      <c r="A6" t="inlineStr">
        <is>
          <t>li-4120823523</t>
        </is>
      </c>
      <c r="B6" t="inlineStr">
        <is>
          <t>Data Scientist, Product Analytics</t>
        </is>
      </c>
      <c r="C6" t="inlineStr">
        <is>
          <t>Meta</t>
        </is>
      </c>
      <c r="D6" t="inlineStr">
        <is>
          <t>linkedin</t>
        </is>
      </c>
      <c r="E6">
        <f>HYPERLINK("https://www.linkedin.com/jobs/view/4120823523", "https://www.linkedin.com/jobs/view/4120823523")</f>
        <v/>
      </c>
      <c r="F6">
        <f>HYPERLINK("https://jsv3.recruitics.com/redirect?rx_cid=3239&amp;rx_jobId=a1KDp00000E2K2TMAV_1002&amp;rx_url=https%3A%2F%2Fwww.metacareers.com%2Fjobs%2F435020605866341%2F%3Frx_campaign%3DLinkedin1%26rx_ch%3Dconnector%26rx_group%3D126320%26rx_id%3Dec45a07c-0440-11f1-9440-c9034fc6f3b6%26rx_job%3Da1KDp00000E2K2TMAV_1002%26rx_medium%3Dpost%26rx_r%3Dnone%26rx_source%3DLinkedin%26rx_ts%3D20260303T121208Z%26rx_vp%3Dslots%26utm_campaign%3DJob%252Bboard%26utm_medium%3Djobs%26utm_source%3DLIpaid&amp;urlHash=sd71", "https://jsv3.recruitics.com/redirect?rx_cid=3239&amp;rx_jobId=a1KDp00000E2K2TMAV_1002&amp;rx_url=https%3A%2F%2Fwww.metacareers.com%2Fjobs%2F435020605866341%2F%3Frx_campaign%3DLinkedin1%26rx_ch%3Dconnector%26rx_group%3D126320%26rx_id%3Dec45a07c-0440-11f1-9440-c9034fc6f3b6%26rx_job%3Da1KDp00000E2K2TMAV_1002%26rx_medium%3Dpost%26rx_r%3Dnone%26rx_source%3DLinkedin%26rx_ts%3D20260303T121208Z%26rx_vp%3Dslots%26utm_campaign%3DJob%252Bboard%26utm_medium%3Djobs%26utm_source%3DLIpaid&amp;urlHash=sd71")</f>
        <v/>
      </c>
      <c r="G6" t="inlineStr">
        <is>
          <t>Bellevue, WA</t>
        </is>
      </c>
      <c r="H6" t="inlineStr"/>
      <c r="I6" t="inlineStr">
        <is>
          <t>As a Data Scientist at Meta, you will shape the future of people\-facing and business\-facing products we build across our entire family of applications (Facebook, Instagram, Messenger, WhatsApp, Oculus). By applying your technical skills, analytical mindset, and product intuition to one of the richest data sets in the world, you will help define the experiences we build for billions of people and hundreds of millions of businesses around the world. You will collaborate on a wide array of product and business problems with a wide\-range of cross\-functional partners across Product, Engineering, Research, Data Engineering, Marketing, Sales, Finance and others. You will use data and analysis to identify and solve product development's biggest challenges. You will influence product strategy and investment decisions with data, be focused on impact, and collaborate with other teams. By joining Meta, you will become part of a world\-class analytics community dedicated to skill development and career growth in analytics and beyond.Product leadership: You will use data to shape product development, quantify new opportunities, identify upcoming challenges, and ensure the products we build bring value to people, businesses, and Meta. You will help your partner teams prioritize what to build, set goals, and understand their product's ecosystem.Analytics: You will guide teams using data and insights. You will focus on developing hypotheses and employ a varied toolkit of rigorous analytical approaches, different methodologies, frameworks, and technical approaches to test them.Communication and influence: You won't simply present data, but tell data\-driven stories. You will convince and influence your partners using clear insights and recommendations. You will build credibility through structure and clarity, and be a trusted strategic partner.
 Data Scientist, Product Analytics Responsibilities:
* Work with large and complex data sets to solve a wide array of challenging problems using different analytical and statistical approaches
* Apply technical expertise with quantitative analysis, experimentation, data mining, and the presentation of data to develop strategies for our products that serve billions of people and hundreds of millions of businesses
* Identify and measure success of product efforts through goal setting, forecasting, and monitoring of key product metrics to understand trends
* Define, understand, and test opportunities and levers to improve the product, and drive roadmaps through your insights and recommendations
* Partner with Product, Engineering, and cross\-functional teams to inform, influence, support, and execute product strategy and investment decisions
 Minimum Qualifications:
* Bachelor's degree in Computer Science, Computer Engineering, relevant technical field, or equivalent practical experience
* Bachelor's degree in Mathematics, Statistics, a relevant technical field, or equivalent
* 4\+ years of work experience in analytics, data querying languages such as SQL, scripting languages such as Python, and/or statistical mathematical software such as R (minimum of 2 years with a Ph.D.)
* 4\+ years of experience solving analytical problems using quantitative approaches, understanding ecosystems, user behaviors \&amp; long\-term product trends, and leading data\-driven projects from definition to execution \[including defining metrics, experiment, design, communicating actionable insights]
 Preferred Qualifications:
* Master's or Ph.D. Degree in a quantitative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$147,000/year to $208,000/year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7">
      <c r="A7" t="inlineStr">
        <is>
          <t>li-4120827281</t>
        </is>
      </c>
      <c r="B7" t="inlineStr">
        <is>
          <t>Data Scientist, Product Analytics</t>
        </is>
      </c>
      <c r="C7" t="inlineStr">
        <is>
          <t>Meta</t>
        </is>
      </c>
      <c r="D7" t="inlineStr">
        <is>
          <t>linkedin</t>
        </is>
      </c>
      <c r="E7">
        <f>HYPERLINK("https://www.linkedin.com/jobs/view/4120827281", "https://www.linkedin.com/jobs/view/4120827281")</f>
        <v/>
      </c>
      <c r="F7">
        <f>HYPERLINK("https://jsv3.recruitics.com/redirect?rx_cid=3239&amp;rx_jobId=a1KDp00000E2K2nMAF_1003&amp;rx_url=https%3A%2F%2Fwww.metacareers.com%2Fjobs%2F1070147800777577%2F%3Frx_campaign%3DLinkedin1%26rx_ch%3Dconnector%26rx_group%3D126320%26rx_id%3Daca9106e-0ebb-11f1-90c1-6317de204b41%26rx_job%3Da1KDp00000E2K2nMAF_1003%26rx_medium%3Dpost%26rx_r%3Dnone%26rx_source%3DLinkedin%26rx_ts%3D20260303T121208Z%26rx_vp%3Dslots%26utm_campaign%3DJob%252Bboard%26utm_medium%3Djobs%26utm_source%3DLIpaid&amp;urlHash=WpUH", "https://jsv3.recruitics.com/redirect?rx_cid=3239&amp;rx_jobId=a1KDp00000E2K2nMAF_1003&amp;rx_url=https%3A%2F%2Fwww.metacareers.com%2Fjobs%2F1070147800777577%2F%3Frx_campaign%3DLinkedin1%26rx_ch%3Dconnector%26rx_group%3D126320%26rx_id%3Daca9106e-0ebb-11f1-90c1-6317de204b41%26rx_job%3Da1KDp00000E2K2nMAF_1003%26rx_medium%3Dpost%26rx_r%3Dnone%26rx_source%3DLinkedin%26rx_ts%3D20260303T121208Z%26rx_vp%3Dslots%26utm_campaign%3DJob%252Bboard%26utm_medium%3Djobs%26utm_source%3DLIpaid&amp;urlHash=WpUH")</f>
        <v/>
      </c>
      <c r="G7" t="inlineStr">
        <is>
          <t>Menlo Park, CA</t>
        </is>
      </c>
      <c r="H7" t="inlineStr"/>
      <c r="I7" t="inlineStr">
        <is>
          <t>As a Data Scientist at Meta, you will shape the future of people\-facing and business\-facing products we build across our entire family of applications (Facebook, Instagram, Messenger, WhatsApp, Oculus). By applying your technical skills, analytical mindset, and product intuition to one of the richest data sets in the world, you will help define the experiences we build for billions of people and hundreds of millions of businesses around the world. You will collaborate on a wide array of product and business problems with a wide\-range of cross\-functional partners across Product, Engineering, Research, Data Engineering, Marketing, Sales, Finance and others. You will use data and analysis to identify and solve product development's biggest challenges. You will influence product strategy and investment decisions with data, be focused on impact, and collaborate with other teams. By joining Meta, you will become part of a world\-class analytics community dedicated to skill development and career growth in analytics and beyond.Product leadership: You will use data to shape product development, quantify new opportunities, identify upcoming challenges, and ensure the products we build bring value to people, businesses, and Meta. You will help your partner teams prioritize what to build, set goals, and understand their product's ecosystem.Analytics: You will guide teams using data and insights. You will focus on developing hypotheses and employ a varied toolkit of rigorous analytical approaches, different methodologies, frameworks, and technical approaches to test them.Communication and influence: You won't simply present data, but tell data\-driven stories. You will convince and influence your partners using clear insights and recommendations. You will build credibility through structure and clarity, and be a trusted strategic partner.
 Data Scientist, Product Analytics Responsibilities:
* Work with large and complex data sets to solve a wide array of challenging problems using different analytical and statistical approaches
* Apply technical expertise with quantitative analysis, experimentation, data mining, and the presentation of data to develop strategies for our products that serve billions of people and hundreds of millions of businesses
* Identify and measure success of product efforts through goal setting, forecasting, and monitoring of key product metrics to understand trends
* Define, understand, and test opportunities and levers to improve the product, and drive roadmaps through your insights and recommendations
* Partner with Product, Engineering, and cross\-functional teams to inform, influence, support, and execute product strategy and investment decisions
 Minimum Qualifications:
* Bachelor's degree in Computer Science, Computer Engineering, relevant technical field, or equivalent practical experience
* A minimum of 6 years of work experience in analytics (minimum of 4 years with a Ph.D.)
* Bachelor's degree in Mathematics, Statistics, a relevant technical field, or equivalent practical experience
* Experience with data querying languages (e.g. SQL), scripting languages (e.g. Python), and/or statistical/mathematical software (e.g. R)
 Preferred Qualifications:
* Master's or Ph.D. Degree in a quantitative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$177,000/year to $247,000/year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8">
      <c r="A8" t="inlineStr">
        <is>
          <t>li-4380311408</t>
        </is>
      </c>
      <c r="B8" t="inlineStr">
        <is>
          <t>Data Scientist/ Senior Data Scientist -Demand Forecasting</t>
        </is>
      </c>
      <c r="C8" t="inlineStr">
        <is>
          <t>Tiger Analytics</t>
        </is>
      </c>
      <c r="D8" t="inlineStr">
        <is>
          <t>linkedin</t>
        </is>
      </c>
      <c r="E8">
        <f>HYPERLINK("https://www.linkedin.com/jobs/view/4380311408", "https://www.linkedin.com/jobs/view/4380311408")</f>
        <v/>
      </c>
      <c r="F8" t="inlineStr"/>
      <c r="G8" t="inlineStr"/>
      <c r="H8" t="inlineStr"/>
      <c r="I8" t="inlineStr">
        <is>
          <t>Tiger Analytics is looking for experienced Data Scientists to join our fast\-growing advanced analytics consulting firm. Our consultants bring deep expertise in Data Science, Machine Learning and AI. We are the trusted analytics partner for multiple Fortune 500 companies, enabling them to generate business value from data. Our business value and leadership has been recognized by various market research firms, including Forrester and Gartner. We are looking for top\-notch talent as we continue to build the best global analytics consulting team in the world.
 We are seeking a Senior / Lead Data Scientist with strong expertise in forecasting, tree\-based models, and large\-scale data processing. The role requires hands\-on experience with PySpark, Databricks, and Azure and the ability to lead end\-to\-end model development and deployment. Experience with MLOps / DevOps is a strong plus.
**Key Responsibilities**
* Collaborate with business partners to develop innovative solutions to meet objectives utilizing cutting edge techniques and tools
* Apply advanced data science techniques to identify patterns, inefficiencies, and bottlenecks across logistics and operations.
* Build scalable data pipelines and analytical models using PySpark for large\-scale datasets.
* Develop predictive and prescriptive models to support decision\-making in areas such as demand forecasting, routing, and inventory management.
* Collaborate with cross\-functional teams including operations, product, and engineering to translate business challenges into analytical solutions.
* Communicate insights and recommendations clearly to stakeholders through data storytelling, visualizations, and presentations
* Share your passion for Data Science with the broader enterprise community; identify and develop long\-term processes, frameworks, tools, methods and standards
* Collaborate, coach, and learn with a growing team of experienced Data Scientists.
* Stay connected with external sources of ideas through conferences and community engagements
**Requirements**
* 6\+ years of professional experience in Data Science, Analytics, or related roles.
* Design, build, and optimize forecasting models (time series, demand forecasting, predictive analytics)
* Strong programming skills in Python with demonstrated use of scientific computing libraries (NumPy, Pandas, SciPy, scikit\-learn, etc.).
* Experience with PySpark for large\-scale data processing and analytics.
* Hands‑on in experimentation, diagnostics, and evaluation, comfortable operating with imperfect data and iterative validation; experience supporting merchandising, assortment planning, or supply‑chain decisions in a large enterprise environment
* Develop and tune tree\-based models (Random Forest, Gradient Boosting, XGBoost, LightGBM, CatBoost)
* Strong analytical, problem\-solving, and communication skills
* Experience developing models from inception to deployment
**Benefits**
 This position offers an excellent opportunity for significant career development in a fast\-growing and challenging entrepreneurial environment with a high degree of individual responsibility.
***Tiger Analytics provides equal employment opportunities to applicants and employees without regard to race, color, religion, age, sex, sexual orientation, gender identity/expression, pregnancy, national origin, ancestry, marital status, protected veteran status, disability status, or any other basis as protected by federal, state, or local law.***</t>
        </is>
      </c>
    </row>
    <row r="9">
      <c r="A9" t="inlineStr">
        <is>
          <t>li-4120820950</t>
        </is>
      </c>
      <c r="B9" t="inlineStr">
        <is>
          <t>Data Scientist, Product Analytics</t>
        </is>
      </c>
      <c r="C9" t="inlineStr">
        <is>
          <t>Meta</t>
        </is>
      </c>
      <c r="D9" t="inlineStr">
        <is>
          <t>linkedin</t>
        </is>
      </c>
      <c r="E9">
        <f>HYPERLINK("https://www.linkedin.com/jobs/view/4120820950", "https://www.linkedin.com/jobs/view/4120820950")</f>
        <v/>
      </c>
      <c r="F9" t="inlineStr"/>
      <c r="G9" t="inlineStr">
        <is>
          <t>Washington, DC</t>
        </is>
      </c>
      <c r="H9" t="inlineStr"/>
      <c r="I9" t="inlineStr">
        <is>
          <t>As a Data Scientist at Meta, you will shape the future of people\-facing and business\-facing products we build across our entire family of applications (Facebook, Instagram, Messenger, WhatsApp, Oculus). By applying your technical skills, analytical mindset, and product intuition to one of the richest data sets in the world, you will help define the experiences we build for billions of people and hundreds of millions of businesses around the world. You will collaborate on a wide array of product and business problems with a wide\-range of cross\-functional partners across Product, Engineering, Research, Data Engineering, Marketing, Sales, Finance and others. You will use data and analysis to identify and solve product development's biggest challenges. You will influence product strategy and investment decisions with data, be focused on impact, and collaborate with other teams. By joining Meta, you will become part of a world\-class analytics community dedicated to skill development and career growth in analytics and beyond.Product leadership: You will use data to shape product development, quantify new opportunities, identify upcoming challenges, and ensure the products we build bring value to people, businesses, and Meta. You will help your partner teams prioritize what to build, set goals, and understand their product's ecosystem.Analytics: You will guide teams using data and insights. You will focus on developing hypotheses and employ a varied toolkit of rigorous analytical approaches, different methodologies, frameworks, and technical approaches to test them.Communication and influence: You won't simply present data, but tell data\-driven stories. You will convince and influence your partners using clear insights and recommendations. You will build credibility through structure and clarity, and be a trusted strategic partner.
 Data Scientist, Product Analytics Responsibilities:
* Work with large and complex data sets to solve a wide array of challenging problems using different analytical and statistical approaches
* Apply technical expertise with quantitative analysis, experimentation, data mining, and the presentation of data to develop strategies for our products that serve billions of people and hundreds of millions of businesses
* Identify and measure success of product efforts through goal setting, forecasting, and monitoring of key product metrics to understand trends
* Define, understand, and test opportunities and levers to improve the product, and drive roadmaps through your insights and recommendations
* Partner with Product, Engineering, and cross\-functional teams to inform, influence, support, and execute product strategy and investment decisions
 Minimum Qualifications:
* Bachelor's degree in Computer Science, Computer Engineering, relevant technical field, or equivalent practical experience
* A minimum of 6 years of work experience in analytics (minimum of 4 years with a Ph.D.)
* Bachelor's degree in Mathematics, Statistics, a relevant technical field, or equivalent practical experience
* Experience with data querying languages (e.g. SQL), scripting languages (e.g. Python), and/or statistical/mathematical software (e.g. R)
 Preferred Qualifications:
* Master's or Ph.D. Degree in a quantitative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$177,000/year to $247,000/year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0">
      <c r="A10" t="inlineStr">
        <is>
          <t>li-4038954365</t>
        </is>
      </c>
      <c r="B10" t="inlineStr">
        <is>
          <t>Data Scientist (New York)</t>
        </is>
      </c>
      <c r="C10" t="inlineStr">
        <is>
          <t>The Voleon Group</t>
        </is>
      </c>
      <c r="D10" t="inlineStr">
        <is>
          <t>linkedin</t>
        </is>
      </c>
      <c r="E10">
        <f>HYPERLINK("https://www.linkedin.com/jobs/view/4038954365", "https://www.linkedin.com/jobs/view/4038954365")</f>
        <v/>
      </c>
      <c r="F10" t="inlineStr"/>
      <c r="G10" t="inlineStr">
        <is>
          <t>New York, United States</t>
        </is>
      </c>
      <c r="H10" t="inlineStr"/>
      <c r="I10" t="inlineStr">
        <is>
          <t>Voleon is a technology company that applies state\-of\-the\-art AI and machine learning techniques to real\-world problems in finance. For nearly two decades, we have led our industry and worked at the frontier of applying AI/ML to investment management. We have become a multibillion\-dollar asset manager, and we have ambitious goals for the future.
 Your colleagues will include internationally recognized experts in artificial intelligence and machine learning research as well as highly experienced finance and technology professionals.
 In addition to our enriching and collegial working environment, we offer highly competitive compensation and benefits packages, technology talks by our experts, a beautiful modern office, daily catered lunches, and more.
 The Voleon Group is forming a new team to help advance our data\-driven investment initiatives. As a Data Scientist, you will be responsible for harvesting insights from a complex array of data. Your role will involve data curation, analysis, interpretation, visualization, and communication of your findings to members of the research staff and executive leadership. This role is a means to make a difference: as a machine learning company, data insights are essential to our business.
**Responsibilities**
* Design and implement systems to ensure data correctness and monitor data health in data stores and live feeds
* Proactively identify abnormal production behavior and communicate them clearly to relevant stakeholders
* Perform extemporaneous analyses on research and production trading systems with leadership
* Harness financial expertise and statistical analysis to gain actionable insights into our production trading and research systems
* Design and implement analysis pipelines that automate those analyses found to be valuable for ongoing monitoring
**Requirements**
* 1\+ years of applied end\-to\-end industry experience, including internships working with complex datasets, including curation, querying, aggregation, exploratory data analysis, and visualization
* Experience using statistical methods to analyze data, identify patterns, conduct root cause analysis, discover insights, and recommend solutions
* Ability to frame and answer questions mathematically
* Ability to infer useful forward\-looking directions from results of retrospective analysis
* Fluency in managing, processing, and visualizing tabular data using a combination of SQL, Pandas, and R
* Basic software development skills and experience with bash, linux/unix, and git
* Ability to refine requirements from ambiguous requests to produce reports demonstrating excellence in communication
* Bachelor’s degree in a quantitative discipline (statistics, biostatistics, data science, computer science, or a related field)
**Preferred**
* Master’s degree in a quantitative discipline
* Prior industry experience or displayed interest in finance, such as related academic projects, coursework in financial engineering, or industry internships
* Experience developing in a production\-facing environment and familiarity with standard concepts and tooling, e.g., CI/CD, git, Airflow
**Compensation**
 The base salary range for this position is $150,000 to $190,000 in the location(s) of this posting. Individual salaries are determined through a variety of factors, including, but not limited to, education, experience, knowledge, skills, and geography. Base salary does not include other forms of total compensation, such as bonus compensation and other benefits. Our benefits package includes medical, dental, and vision coverage, life and AD\&amp;D insurance, 20 days of paid time off, 9 sick days, and a 401(k) plan with a company match.
**“Friends of Voleon” Candidate Referral Program**
 If you have a great candidate in mind for this role and would like to have the potential to earn $7,500 if your referred candidate is successfully hired and employed by The Voleon Group, please use this form to submit your referral. For more details regarding eligibility, terms and conditions please make sure to review the Voleon Referral Bonus Program .
**Equal Opportunity Employer**
 The Voleon Group is an Equal Opportunity employer. Applicants are considered without regard to race, color, religion, creed, national origin, age, sex, gender, marital status, sexual orientation and identity, genetic information, veteran status, citizenship, or any other factors prohibited by local, state, or federal law.
 We may use artificial intelligence (AI) tools to support parts of the hiring process. These tools assist our recruitment team but do not replace human judgement. Final hiring decisions are ultimately made by humans. If you would like more information about how your data is processed, please contact us.</t>
        </is>
      </c>
    </row>
    <row r="11">
      <c r="A11" t="inlineStr">
        <is>
          <t>li-4300697351</t>
        </is>
      </c>
      <c r="B11" t="inlineStr">
        <is>
          <t>Data Scientist</t>
        </is>
      </c>
      <c r="C11" t="inlineStr">
        <is>
          <t>Procter &amp; Gamble</t>
        </is>
      </c>
      <c r="D11" t="inlineStr">
        <is>
          <t>linkedin</t>
        </is>
      </c>
      <c r="E11">
        <f>HYPERLINK("https://www.linkedin.com/jobs/view/4300697351", "https://www.linkedin.com/jobs/view/4300697351")</f>
        <v/>
      </c>
      <c r="F11">
        <f>HYPERLINK("https://www.pgcareers.com/global/en/job/R000135859/Data-Scientist?source=RS_LINKEDIN&amp;urlHash=fFLd", "https://www.pgcareers.com/global/en/job/R000135859/Data-Scientist?source=RS_LINKEDIN&amp;urlHash=fFLd")</f>
        <v/>
      </c>
      <c r="G11" t="inlineStr">
        <is>
          <t>Cincinnati, OH</t>
        </is>
      </c>
      <c r="H11" t="inlineStr"/>
      <c r="I11" t="inlineStr">
        <is>
          <t>**Job Location**
 CINCINNATI GENERAL OFFICES
**Job Description**
 Do you enjoy solving billion\-dollar data science problems across trillions of data points? Are you passionate about working at the cutting edge of interdisciplinary boundaries, where computer science meets hard science? If you like turning untidy data into nonobvious insights and surprising business leaders with the transformative power of Artificial Intelligence (AI), including Generative and Agentic AI, we want you on our team at P\&amp;G.
 As a Data Scientist in our organization, you will play a crucial role in disrupting current business practices by designing and implementing innovative models that enhance our processes. You will be expected to constructively research, design, and customize algorithms tailored to various problems and data types. Utilizing your expertise in Operations Research (including optimization and simulation) and machine learning models (such as tree models, deep learning, and reinforcement learning), you will directly contribute to the development of scalable Data Science algorithms. Your work will also integrate advanced techniques from Generative and Agentic AI to create more dynamic and responsive models, enhancing our analytical capabilities. You will collaborate with Data and AI Engineering teams to productionize these solutions, applying exploratory data analysis, feature engineering, and model building within cloud environments on massive datasets to deliver accurate and impactful insights. Additionally, you will mentor others as a technical coach and become a recognized expert in one or more Data Science techniques, quantifying the improvements in business outcomes resulting from your work.
 Key Responsibilities:
* Algorithm Design \&amp; Development: Directly contribute to the design and development of scalable Data Science algorithms.
* Collaboration: Work closely with Data and Software Engineering teams to effectively productionize algorithms.
* Data Analysis: Apply thorough technical knowledge to large datasets, conducting exploratory data analysis, feature engineering, and model building.
* Coaching \&amp; Mentorship: Develop others as a technical coach, sharing your expertise and insights.
* Expertise Development: Become a known expert in one or multiple Data Science techniques and methodologies.
**Job Qualifications**
**Required Qualifications:**
* Education: Pursuing or has graduated with a Master’s degree in a quantitative field (Operations Research, Computer Science, Engineering, Applied Mathematics, Statistics, Physics, Analytics, etc.) or possess equivalent work experience.
* Technical Skills: Proficient in programming languages such as Python and familiar with data science/machine learning libraries like OpenCV, scikit\-learn, PyTorch, TensorFlow/Keras, and Pandas. Demonstrated ability to develop and test code within cloud environments.
* Communication: Strong written and verbal communication skills, with the ability to influence others to take action.
**Preferred Qualifications:**
* Analytic Methodologies: Experience applying analytic methodologies such as Machine Learning, Optimization, Simulation, and Generative and Agentic AI to real\-world problems.
* Continuous Learning: A commitment to lifelong learning, keeping up to date with the latest technology trends, and a willingness to teach others while learning new techniques.
* Data Handling \&amp; Cloud: Experience with large datasets and developing in cloud computing platforms such as GCP or Azure.
* DevOps Familiarity: Familiarity with DevOps environments, including tools like Git and CI/CD practices.
 Immigration Sponsorship is not available for this role. For more information regarding who is eligible for hire at P\&amp;G along with other work authorization FAQ’s, please click HERE.
 Procter \&amp; Gamble participates in e\-verify as required by law.
 Qualified individuals will not be disadvantaged based on being unemployed.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**Job Schedule**
 Full time
**Job Number**
 R000135859
**Job Segmentation**
 Entry Level
**Starting Pay / Salary Range**
 $85,000\.00 \- $115,000\.00 / year</t>
        </is>
      </c>
    </row>
    <row r="12">
      <c r="A12" t="inlineStr">
        <is>
          <t>li-4378186437</t>
        </is>
      </c>
      <c r="B12" t="inlineStr">
        <is>
          <t>Data Scientist</t>
        </is>
      </c>
      <c r="C12" t="inlineStr">
        <is>
          <t>Next Ventures</t>
        </is>
      </c>
      <c r="D12" t="inlineStr">
        <is>
          <t>linkedin</t>
        </is>
      </c>
      <c r="E12">
        <f>HYPERLINK("https://www.linkedin.com/jobs/view/4378186437", "https://www.linkedin.com/jobs/view/4378186437")</f>
        <v/>
      </c>
      <c r="F12" t="inlineStr"/>
      <c r="G12" t="inlineStr"/>
      <c r="H12" t="inlineStr"/>
      <c r="I12" t="inlineStr">
        <is>
          <t>I am partnered with a company who have built a technology platform that provides the end to end orchestration of data, systems and applications to manage connected spaces as an integrated technology platform.
 They are looking for a Data Scientist to join their Platform Team and lead the development of advanced analytics and predictive modeling in the sports and entertainment venue space. As an early hire on this team, it will allow you to design and implement machine learning models that will use real time data and make an impact from Day One.
**Responsibilities** 
* Develop predictive models for fan behaviour including attendance prediction, purchasing patterns, and personalization using advanced ML techniques
* Build real\-time scoring engines for pricing and targeted marketing
* Implement feature engineering pipelines
* Design frameworks, including A/B testing and casual inference
* Lead statistical analysis and create reports
**Qualifications** 
* Masters or PhD in a STEM related field
* 3\+ years experience in building and deploying Machine Learning models into a production environment
* Experience in using Real Time Data
* Experience with Azure and Snowflake
* Knowledge of MLOps (MLflow and Kubeflow)
* Tools: PyTorch, PySpark, Tensorflow, Time Series</t>
        </is>
      </c>
    </row>
    <row r="13">
      <c r="A13" t="inlineStr">
        <is>
          <t>li-4380364216</t>
        </is>
      </c>
      <c r="B13" t="inlineStr">
        <is>
          <t>Data Scientist | Remote Work</t>
        </is>
      </c>
      <c r="C13" t="inlineStr">
        <is>
          <t>Mercor</t>
        </is>
      </c>
      <c r="D13" t="inlineStr">
        <is>
          <t>linkedin</t>
        </is>
      </c>
      <c r="E13">
        <f>HYPERLINK("https://www.linkedin.com/jobs/view/4380364216", "https://www.linkedin.com/jobs/view/4380364216")</f>
        <v/>
      </c>
      <c r="F13" t="inlineStr"/>
      <c r="G13" t="inlineStr"/>
      <c r="H13" t="inlineStr"/>
      <c r="I13" t="inlineStr">
        <is>
          <t>**About The Job**
**Mercor** 
 connects elite creative and technical talent with leading AI research labs. Headquartered in San Francisco, our investors include
 **Benchmark** 
 ,
 **General Catalyst** 
 ,
 **Peter Thiel** 
 ,
 **Adam D'Angelo** 
 ,
 **Larry Summers** 
 , and
 **Jack Dorsey** 
 .
**Position:** 
 Data Scientist IV
**Type:** 
**Onsite**
**Compensation:** 
**$105–$125/hour**
**Location:** 
**NYC**
**Role Responsibilities**
* Execute, debug, and optimize distributed compute workflows for metric computation, analysis, and modeling across large datasets.
* Apply knowledge of statistics, machine learning, programming, data modeling, and advanced mathematics to recognize patterns and identify opportunities.
* Design, develop, and evaluate predictive models and advanced algorithms for optimal value extraction from biosensor data.
* Generate and test hypotheses, analyzing and interpreting results of product experiments.
* Collaborate with engineers to translate prototypes into new products, services, and features, providing guidelines for large\-scale implementation.
* Leverage data visualization to guide future R\&amp;D directions.
**Qualifications**
**Must\-Have**
* Experience with hardware sensors and data analysis of real\-world data.
* Experience with signal processing for time domain signals and/or medical imaging systems.
* Experience presenting findings from statistical and machine learning methods to diverse audiences.
* Experience working with large datasets.
* 3\+ years of experience in data extraction, manipulation, and visualization using Python, R, MATLAB, or SQL.
* Proficiency in data structures and algorithms.
* Experience with scientific computing and analysis packages such as NumPy, SciPy, Pandas, Scikit\-learn, dplyr, caret.
* Experience with data visualization libraries such as Matplotlib, Pyplot, seaborn, ggplot2\.
**Preferred**
* Master's or PhD in computer science, statistics, neuroscience, biomedical engineering, or other relevant field.
**Application Process (Takes 20–30 mins to complete)**
* Upload resume
* AI interview based on your resume
* Submit form
**Resources \&amp; Support**
* For details about the interview process and platform information, please check: https://talent.docs.mercor.com/welcome/welcome
* For any help or support, reach out to: support@mercor.com
*PS: Our team reviews applications daily. Please complete your AI interview and application steps to be considered for this opportunity.*
 ,</t>
        </is>
      </c>
    </row>
    <row r="14">
      <c r="A14" t="inlineStr">
        <is>
          <t>li-4362344432</t>
        </is>
      </c>
      <c r="B14" t="inlineStr">
        <is>
          <t>Data Scientist (Agentic AI)</t>
        </is>
      </c>
      <c r="C14" t="inlineStr">
        <is>
          <t>Bioscope AI</t>
        </is>
      </c>
      <c r="D14" t="inlineStr">
        <is>
          <t>linkedin</t>
        </is>
      </c>
      <c r="E14">
        <f>HYPERLINK("https://www.linkedin.com/jobs/view/4362344432", "https://www.linkedin.com/jobs/view/4362344432")</f>
        <v/>
      </c>
      <c r="F14" t="inlineStr"/>
      <c r="G14" t="inlineStr">
        <is>
          <t>Boston, MA</t>
        </is>
      </c>
      <c r="H14" t="inlineStr"/>
      <c r="I14" t="inlineStr">
        <is>
          <t>**About The Role**
 We're looking for a Data Scientist to build intelligent AI agents and retrieval systems that power our clinical platform. You'll design multi\-step reasoning systems, agent architectures, and the underlying knowledge infrastructure that enables AI to autonomously navigate complex clinical workflows.
**What You'll Do**
* Design and build AI agents capable of multi\-step clinical reasoning and tool use
* Develop multi\-agent systems that coordinate specialized AI components for complex analysis
* Build intelligent retrieval and RAG systems that ground agent actions in relevant patient data
* Create agent orchestration frameworks that handle diverse clinical workflows
* Implement document understanding pipelines for structured extraction from clinical documents
* Optimize agent performance, reliability, and cost efficiency
**Qualifications**
**Required**
* Strong foundation in deep learning frameworks (PyTorch) and LLM architectures
* Experience building LLM\-powered agents or multi\-step reasoning systems
* Familiarity with agent frameworks and tool\-use patterns
* Experience with retrieval systems, embeddings, and vector databases
* Proficiency in Python and modern ML development tools
* Ability to read and implement research papers
* Excellent communication skills
**Preferred**
* Master's degree in Computer Science, Machine Learning, or related quantitative field (PhD preferred)
* Publications in ML/AI/NLP venues (NeurIPS, ICML, ICLR, ACL, EMNLP)
* Experience with multi\-agent coordination or orchestration systems
* Background in healthcare data or clinical workflows
* Experience with reinforcement learning for agent optimization (PPO, etc.)
* Familiarity with document processing and information extraction</t>
        </is>
      </c>
    </row>
    <row r="15">
      <c r="A15" t="inlineStr">
        <is>
          <t>li-4380309730</t>
        </is>
      </c>
      <c r="B15" t="inlineStr">
        <is>
          <t>Data Scientist</t>
        </is>
      </c>
      <c r="C15" t="inlineStr">
        <is>
          <t>Wiraa</t>
        </is>
      </c>
      <c r="D15" t="inlineStr">
        <is>
          <t>linkedin</t>
        </is>
      </c>
      <c r="E15">
        <f>HYPERLINK("https://www.linkedin.com/jobs/view/4380309730", "https://www.linkedin.com/jobs/view/4380309730")</f>
        <v/>
      </c>
      <c r="F15">
        <f>HYPERLINK("https://www.wiraa.com/job-description/us4A9A5E7B3E46DE2D08703E17A06A3DFC?source=Linkedin&amp;urlHash=qbQh", "https://www.wiraa.com/job-description/us4A9A5E7B3E46DE2D08703E17A06A3DFC?source=Linkedin&amp;urlHash=qbQh")</f>
        <v/>
      </c>
      <c r="G15" t="inlineStr"/>
      <c r="H15" t="inlineStr"/>
      <c r="I15" t="inlineStr">
        <is>
          <t>**About The Company**
 SoFi is a leading personal finance company dedicated to helping individuals achieve their financial goals through innovative products and services. With a focus on technology\-driven solutions, SoFi offers a comprehensive suite of lending, investment, and banking services designed to provide accessible and transparent financial options. The company's mission is to empower members to reach financial independence and build wealth through a combination of cutting\-edge data analytics, customer\-centric approaches, and a commitment to financial literacy and inclusion.
**About The Role**
 We are seeking a highly skilled and experienced Credit Risk Manager/Staff Data Scientist to join our Loss Forecasting and Risk Analytics Team within SoFi’s Credit division. In this pivotal role, you will be responsible for developing and refining loss forecast models across various lending products, including Personal Loans, Student Loan Refinances, and Private Student Loans. Your expertise will contribute to the performance analysis of these products, utilizing empirical measurements and advanced machine learning techniques to forecast losses accurately. You will collaborate closely with cross\-functional teams such as Business Units, Finance, Accounting, Credit, and Independent Risk Management to ensure that loss projections are aligned with strategic business objectives and risk appetite.
 The ideal candidate will possess extensive experience in data analytics, statistical modeling, and machine learning, with proficiency in Python, SQL, and other analytical tools. Strong problem\-solving abilities, excellent communication skills, and a deep understanding of consumer lending are essential for success in this role. Your insights will help shape risk strategies, optimize loss prevention measures, and support proactive planning for economic fluctuations, ultimately contributing to SoFi’s growth and stability.
**Qualifications**
* 7\+ years of relevant experience in data analysis, risk modeling, or related fields.
* Master’s or PhD degree in Statistics, Data Science, Economics, or a related discipline.
* Proven expertise in developing loss forecasting models and projections for consumer lending products.
* Strong proficiency in Python, SQL, and data visualization tools such as Tableau.
* Experience in credit loss forecasting and risk management strategies.
* Knowledge of macroeconomic data integration and stress testing frameworks.
* Excellent communication and presentation skills, with the ability to convey complex analysis to diverse audiences.
* Business acumen within the consumer lending industry, including loans or credit cards.
* Demonstrated ability to analyze large datasets and derive actionable insights.
**Responsibilities**
* Develop accurate loss projections for SoFi’s lending products, including Personal Loans, Student Loan Refinances, and Private Student Loans.
* Conduct statistical analysis to extract strategic insights from data, informing decision\-making related to loss prevention and profitability.
* Build and enhance stress testing frameworks utilizing macroeconomic data to prepare for economic downturns.
* Improve forecasting accuracy and operational productivity through continuous model refinement and process optimization.
* Document methodologies and ensure robust controls over forecasting procedures.
* Explore external credit data sources to identify market and industry trends impacting loss forecasts.
* Collaborate with Business Units, Operations, Product, Capital Markets, Finance, and Risk teams to communicate loss expectations and trends effectively.
* Contribute to a dynamic team environment by bringing innovative ideas, data sources, and analytical capabilities to solve complex risk challenges.
**Benefits**
* Competitive base salary within the range of $153,600 to $264,000, commensurate with experience and location.
* Annual bonus eligibility and potential long\-term incentives.
* Comprehensive benefits package including health, dental, and vision insurance.
* Retirement savings plans and other financial wellness programs.
* Opportunities for professional development and career growth within a rapidly expanding company.
* Collaborative and innovative work environment with talented industry leaders.
 Equal Opportunity
 SoFi is an equal employment opportunity employer. We are committed to fostering an inclusive environment where all employees and applicants are treated with respect and fairness. We do not discriminate based on race, color, religion, sex, gender identity, gender expression, national origin, age, disability, medical condition, marital status, sexual orientation, genetic information, military or veteran status, or any other protected characteristic under applicable law. We welcome candidates from diverse backgrounds and are dedicated to providing equal opportunities for all.</t>
        </is>
      </c>
    </row>
    <row r="16">
      <c r="A16" t="inlineStr">
        <is>
          <t>li-4371053798</t>
        </is>
      </c>
      <c r="B16" t="inlineStr">
        <is>
          <t>Data Scientist</t>
        </is>
      </c>
      <c r="C16" t="inlineStr">
        <is>
          <t>Motorola Solutions</t>
        </is>
      </c>
      <c r="D16" t="inlineStr">
        <is>
          <t>linkedin</t>
        </is>
      </c>
      <c r="E16">
        <f>HYPERLINK("https://www.linkedin.com/jobs/view/4371053798", "https://www.linkedin.com/jobs/view/4371053798")</f>
        <v/>
      </c>
      <c r="F16" t="inlineStr"/>
      <c r="G16" t="inlineStr">
        <is>
          <t>Schaumburg, IL</t>
        </is>
      </c>
      <c r="H16" t="inlineStr"/>
      <c r="I16" t="inlineStr">
        <is>
          <t>**Company Overview**
 At Motorola Solutions, we believe that everything starts with our people. We’re a global close\-knit community, united by the relentless pursuit to help keep people safer everywhere. Our critical communications, video security and command center technologies support public safety agencies and enterprises alike, enabling the coordination that’s critical for safer communities, safer schools, safer hospitals and safer businesses. Connect with a career that matters, and help us build a safer future.
**Department Overview**
 At Motorola Solutions, we create technologies our customers refer to as their lifeline. Our technology platforms in communications, software, video, and services help our customers work safely and more efficiently. Whether it’s helping firefighters see through smoke, enabling police officers to see around street corners, or reliably keeping the lights on in homes and businesses worldwide, our work supports those who put their lives on the line to keep us safe. Bring your passion, potential, and talents to Motorola Solutions, and help us usher in a new era in public safety and security.
**Job Description**
 We are seeking a highly skilled and motivated Data Scientist to join our team. The ideal candidate will be responsible for leveraging large datasets to uncover actionable insights, drive business strategy, and solve complex problems. This role requires a strong background in statistical analysis, machine learning, and data visualization, with a keen ability to translate data into compelling narratives for both technical and non\-technical audiences.
**Key Responsibilities**
* Data Analysis \&amp; Insight Generation: Collect, clean, and analyze complex datasets from various sources to identify trends, patterns, and anomalies. Develop and apply statistical models and algorithms to generate actionable insights that inform business decisions.
* Model Development: Design, build, and deploy predictive models and machine learning algorithms to solve business challenges, such as forecasting, customer segmentation, and fraud detection.
* Data Visualization \&amp; Reporting: Create clear, compelling visualizations and reports to communicate findings and recommendations. Present complex data in an understandable format to stakeholders at all levels of the organization.
* Cross\-functional Collaboration: Partner with engineering, product management, and business teams to understand their needs, define key metrics, and support data\-driven decision\-making.
* Problem\-Solving: Proactively identify opportunities to use data to improve processes, products, and services. Troubleshoot and optimize existing models and data pipelines.
**Preferred Qualification As And Skills**
* Bachelor’s or Master’s degree in a quantitative field such as Computer Science, Statistics, Mathematics, or a related discipline.
* Proven experience as a Data Scientist or in a similar role.
* Experience with data visualization tools (e.g., Tableau, Power BI, Matplotlib).
* Solid understanding of statistical analysis, machine learning techniques, and experimental design.
* Excellent communication and presentation skills, with the ability to explain complex analytical concepts to diverse audiences.
 Target Base Salary Range: $85,000\-$95,000
 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
 Basic Requirements
* Bachelor’s or Master’s degree in a quantitative field such as Computer Science, Statistics, Mathematics, or a related discipline.
* 1\-2 years of Data Scientist experience
* Legal authorization to work in the U.S. indefinitely is required. Employer work permit sponsorship is not available for this position.
 Travel Requirements
 Under 10%
 Relocation Provided
 None
 Position Type
 Experienced
 Referral Payment Plan
 No
**Our U.S. Benefits Include**
* Incentive Bonus Plans
* Medical, Dental, Vision benefits
* 401K with Company Match
* 10 Paid Holidays
* Generous Paid Time Off Packages
* Employee Stock Purchase Plan
* Paid Parental \&amp; Family Leave
* and more!
***EEO Statement***
 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
 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
 We’re committed to providing an inclusive and accessible recruiting experience for candidates with disabilities, or other physical or mental health conditions. To request an accommodation, please complete this Reasonable Accommodations Form so we can assist you.</t>
        </is>
      </c>
    </row>
    <row r="17">
      <c r="A17" t="inlineStr">
        <is>
          <t>li-4370944691</t>
        </is>
      </c>
      <c r="B17" t="inlineStr">
        <is>
          <t>Data Scientist, Applied Analytics</t>
        </is>
      </c>
      <c r="C17" t="inlineStr">
        <is>
          <t>Prodege, LLC</t>
        </is>
      </c>
      <c r="D17" t="inlineStr">
        <is>
          <t>linkedin</t>
        </is>
      </c>
      <c r="E17">
        <f>HYPERLINK("https://www.linkedin.com/jobs/view/4370944691", "https://www.linkedin.com/jobs/view/4370944691")</f>
        <v/>
      </c>
      <c r="F17">
        <f>HYPERLINK("https://prodege.wd108.myworkdayjobs.com/Prodege_Careers/job/Remote-USA/Data-Scientist\u002d\u002dApplied-Analytics_R-100059?source=LinkedIn&amp;urlHash=avIE", "https://prodege.wd108.myworkdayjobs.com/Prodege_Careers/job/Remote-USA/Data-Scientist\u002d\u002dApplied-Analytics_R-100059?source=LinkedIn&amp;urlHash=avIE")</f>
        <v/>
      </c>
      <c r="G17" t="inlineStr">
        <is>
          <t>California, United States</t>
        </is>
      </c>
      <c r="H17" t="inlineStr"/>
      <c r="I17" t="inlineStr">
        <is>
          <t>**Job Description**
****Strategic Imperative:****
 The
 **Data Scientist, Applied Analytics** 
 is responsible for driving insights to drive decision\-making across the business through rigorous analysis, experimentation, and business\-focused data science. This role applies statistical methods, behavioral analysis, and data visualization to understand user behavior, optimize lifecycle marketing, evaluate product and monetization strategies, and inform how offers, incentives, and experiences are designed. Key interactions will occur with business and product stakeholders, informing business prioritization decisions.
 This position is centered on hands\-on analytics, experimentation, and business impact. While the role may involve building analytical or predictive models as a means for key analysis, this role is not focused on live production models or ML Ops.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 We are seeking candidates who reside in the continental US. Work Visa sponsorship is available for qualified candidates. \*\*\*
**Primary Objectives**
* Data Analysis \&amp; Insights Development: Drive data\-informed progress across priority business areas by delivering rigorous analysis, actionable insights, and close partnership on optimization initiatives.
* User Intelligence, Segmentation \&amp; Marketing Enablement: Develop and operationalize user\-level insights, segmentation frameworks, and behavioral analysis that enable smarter targeting, personalization, and lifecycle engagement across growth and marketing programs.
* Experimentation, Learning \&amp; Strategic Insight: Enable confident decision\-making through statistically sound experimentation, structured insight generation, and systematic documentation of learnings to inform business planning, long\-term strategy, and continuous improvement.
****Qualifications** 
 \-** 
*To perform this job successfully, an individual must be able to perform each job duty satisfactorily. The requirements listed below are representative of the knowledge, skill, and/or ability required. Reasonable accommodations may be made to enable individuals with disabilities to perform the essential functions.*
****Detailed Job Duties:****
 (
 *typical monthly, weekly, daily tasks which support the primary objectives* 
 )
* Analytical Insights \&amp; Decision Support:
+ Aid executive decision making by answering key questions about user behavior.
+ Enable marketing decisions by conducting rigorous analyses of user acquisition, activation, and lifecycle performance to identify drivers and opportunities.
+ Translate complex datasets into clear, actionable insights that inform product, marketing, and revenue strategy.
+ Partner with cross\-functional stakeholders to evaluate initiatives, diagnose performance issues, identify optimization opportunities, and build optimization frameworks.
+ Communicate findings through compelling narratives and visualizations that support confident, data\-driven decisions.
+ Document learnings and provide a clear understanding of underlying business dynamics.
+ Prototype and discover early stage ML models as appropriate to support advancement of key business areas.
* Experimentation \&amp; Measurement:
+ Design, analyze, and interpret A/B tests and controlled experiments to evaluate product features, marketing programs, incentives, and monetization strategies.
+ Establish best practices for experimental design, statistical validity, and result interpretation to ensure reliable decision\-making.
+ Measure incremental impact, causal effects, and business outcomes across lifecycle stages including acquisition, activation, retention, and re\-engagement.
+ Partner with Product, Growth, and Marketing teams to define hypotheses, success metrics, and post\-test actions.
+ Document experimental results and key learnings in a centralized knowledge base to promote reuse, transparency, and continuous improvement.
* Data Semantics \&amp; Feature Enablement
+ Collaborate with BI team by informing data requirements for the semantic layer.
+ Expose behavioral learnings to Data Scientists \&amp; ML team to inform feature development.
****What does SUCCESS look like?****
 Success in this role is demonstrated by consistently translating data into clear, actionable decisions that improve product performance, lifecycle marketing effectiveness, and monetization outcomes. This is reflected in well\-designed experiments and frameworks that drive confident business choices, analytical insights that meaningfully influence strategy, and strong partnerships with Analytics Engineering and Machine Learning through precise data definitions and feature guidance. Over time, success is evident in a growing body of documented learnings, trusted metrics, and a measurable impact on how the organization tests, learns, and optimizes.
****The MUST Haves:****
 (
 *ex: job cannot be done without these skills, education, experience, certifications, licenses* 
 )
* Bachelor’s or Master’s degree in Statistics, Economics, Data Science, Mathematics, or a related quantitative field.
* Three or more (3\+) years experience in applied analytics roles.
* Strong foundation in statistical analysis and experimental design, including hypothesis testing and causal reasoning.
* Understanding of frequentist and Bayesian statistical inference (e.g., PyMC) and demonstrated experience with A/B testing and experimentation frameworks.
* Experience leading the analysis and optimization of lifecycle marketing performance across the user journey.
* Fluency in SQL and ability to work with large, event\-level datasets in data warehouse environments (e.g., Snowflake, BigQuery, Redshift).
* Proficiency in Python/R (pandas, matplotlib/seaborn, tidyverse, or similar).
* Ability to develop effective data visualizations that clearly communicate insights to business stakeholders.
* Strong communication skills with the ability to translate complex analysis into clear, actionable business insights.
* High attention to data quality, metric definitions, and analytical rigor.
****The Nice to Haves:****
 (
 *preferred additional skills, education, experience, certifications, licenses* 
 )
* Experience in loyalty programs or performance marketing or market research.
* Advanced Python skills and familiarity with common ML packages.
* Experience building interactive dashboards in modern BI platforms.
* Experience with site and product analytics tools (e.g. Amplitude).
**Pay Transparency**
 The anticipated base salary range for this position is $150,000 to $180,000\. The final salary offered to a successful candidate will be dependent on several factors that may include, but are not limited to; the type and length of experience within the job, type and length of experience within the industry, the type and length of knowledge and skills for the position, education, training, etc. Prodege is a multi\-state employer and final compensation within this range could be impacted by work location. Please note that the compensation details listed in US role postings reflect the base salary only, and do not include bonus, equity, or benefits.
**Prodege Benefits**
 Prodege offers a comprehensive benefits package to US Full\-time employees including medical, dental, vision, STD, LTD and basic life insurance. Employees receive flexible PTO, as well as paid sick leave prorated based on hire date. US Employees have eight paid holidays throughout the calendar year. Employees receive an option to purchase shares of Company stock commensurate with their position, which vests over four years.
**Equal Employment Opportunity Statement**
 At Prodege, we are committed to creating a diverse and inclusive environment. We are proud to be an
**Equal Opportunity Employer** 
 and do not discriminate on the basis of race, color, religion, sex, sexual orientation, gender identity or expression, national origin, age, disability, veteran status, or any other characteristic protected by law. We encourage individuals of all backgrounds to apply.
**FCIHO**
 Employers will consider for employment qualified applicants with criminal histories in a manner consistent with the requirements of
 **FCIHO.**</t>
        </is>
      </c>
    </row>
    <row r="18">
      <c r="A18" t="inlineStr">
        <is>
          <t>li-4370947654</t>
        </is>
      </c>
      <c r="B18" t="inlineStr">
        <is>
          <t>Data Scientist</t>
        </is>
      </c>
      <c r="C18" t="inlineStr">
        <is>
          <t>Prodege, LLC</t>
        </is>
      </c>
      <c r="D18" t="inlineStr">
        <is>
          <t>linkedin</t>
        </is>
      </c>
      <c r="E18">
        <f>HYPERLINK("https://www.linkedin.com/jobs/view/4370947654", "https://www.linkedin.com/jobs/view/4370947654")</f>
        <v/>
      </c>
      <c r="F18">
        <f>HYPERLINK("https://prodege.wd108.myworkdayjobs.com/Prodege_Careers/job/Remote-USA/Data-Scientist_R-100060?source=LinkedIn&amp;urlHash=Zayt", "https://prodege.wd108.myworkdayjobs.com/Prodege_Careers/job/Remote-USA/Data-Scientist_R-100060?source=LinkedIn&amp;urlHash=Zayt")</f>
        <v/>
      </c>
      <c r="G18" t="inlineStr">
        <is>
          <t>California, United States</t>
        </is>
      </c>
      <c r="H18" t="inlineStr"/>
      <c r="I18" t="inlineStr">
        <is>
          <t>**Job Description**
****Strategic Imperative:****
 The
 **Data Scientist** 
 role with a focus on Predictive Modeling, is responsible for developing, evaluating, and refining analytical and machine learning models that predict user behavior and optimize business outcomes across our suite of products. This role focuses on modeling, feature development, and offline evaluation to support performance marketing, insights and other strategic initiatives.
 The position applies statistical and machine learning techniques to large\-scale behavioral and transactional data to improve ranking, recommendation and yield optimization. While this role partners closely with Engineering and ML Engineering teams, it does not own production deployment, infrastructure, or MLOps.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 We are seeking candidates who reside in the continental US. Work Visa sponsorship is available for qualified candidates. \*\*\*
**Primary Objectives**
* Improve Yield Through Predictive Modeling: Drive yield optimization through the ideation and development of machine learning models for recommendations, ranking and yield optimization use cases
* Organizational Data Science Advancement: Expand the application of machine learning across business functions through identification of opportunities and modeling, analysis, and offline evaluation.
* Data Design: Leading feature engineering and defining key concepts to be formalized within the feature store.
****Qualifications** 
 \-** 
*To perform this job successfully, an individual must be able to perform each job duty satisfactorily. The requirements listed below are representative of the knowledge, skill, and/or ability required. Reasonable accommodations may be made to enable individuals with disabilities to perform the essential functions.*
****Detailed Job Duties:** 
 (
 *typical monthly, weekly, daily tasks which support the primary objectives* 
 )**
* Business Translation \&amp; Modeling Framework Design:
+ Partner with Product and other business stakeholders to frame business problems into well\-defined modeling objectives and hypotheses.
+ Select appropriate modeling techniques (e.g., classification, regression, deep learning, reinforcement learning) based on use case and data characteristics.
+ Define success metrics and evaluation criteria that align model performance with business impact.
+ Document modeling assumptions, tradeoffs, and intended use to ensure clarity, transparency, and alignment across teams
* Data Analysis \&amp; Feature Development
+ Perform analysis on large\-scale behavioral and transactional datasets to identify patterns, drivers, and potential predictive signal
+ Engineer features from user behavior, lifecycle activity, offer attributes, and revenue data to support modeling objectives
+ Collaborate with ML team to ensure features properly registered within feature store
* Model Development \&amp; ML Collaboration:
+ Leverage appropriate modeling frameworks and packages to build high performing predictive models
+ Perform model tuning, validation, and comparison using appropriate metrics, cross\-validation, and offline testing frameworks
+ Interpret model outputs to assess business relevance, identify strengths and limitations, and validate against observed behavior
+ Leverage appropriate frequentist and Bayesian approaches to measure model performance and define strategies for balancing exploration and exploitation
+ Document modeling approaches, performance results, and learnings in model cards to support reuse, iteration, and long\-term knowledge building
+ Enable ML team to deploy models; collaborate on retraining and maintenance plans
****What does SUCCESS look like?****
 Success in this role is demonstrated by the delivery of predictive models that materially improve yield management and optimizes engagement and revenue. Over time, success is reflected in models that are trusted by stakeholders, features that consistently capture meaningful behavioral signals, and clear evidence that model\-driven decisions outperform prior approaches. Strong collaboration with Analytics Engineering and Machine Learning partners, thorough documentation of methods and learnings, and measurable business impact are hallmarks of high performance in this role.
****The MUST Haves:****
 (
 *ex: job cannot be done without these skills, education, experience, certifications, licenses* 
 )
* Bachelor’s or Master’s degree in Computer Science, Data Science, Statistics, Mathematics, or a related quantitative field
* Three or more (3\+) years experience performing deep data analysis and training machine learning models
* Strong foundation in machine learning and statistical modeling (classification, regression, ranking, optimization)
* Experience with ranking, recommendation systems, and personalization models
* Fluency in Python and common ML libraries (scikit\-learn, XGBoost/LightGBM, PyTorch, or TensorFlow)
* Fluency in SQL and ability to work with large, event\-level datasets in data warehouse environments (e.g., Snowflake, BigQuery, Redshift)
* Experience with feature engineering, model evaluation, and performance diagnostics
* Strong analytical reasoning and ability to translate business questions into modeling approaches
* Clear communication skills, particularly in explaining model results and tradeoffs to non\-technical stakeholders
* Understanding of ML Ops concepts and the ability to collaborate effectively with ML Engineering and ML Ops teams
* Excellent attention to detail
* Proficiency in critical thinking and problem solving.
****The Nice to Haves:** 
 (
 *preferred additional skills, education, experience, certifications, licenses* 
 )**
* Hands\-on experience managing ML deployments and designing feature stores and registries
* Experience with AI/ML frameworks such as LangChain, LLMs, and HuggingFace
* Worked with distributed data processing frameworks (Spark, Ray, Flink, Trino).
* Experience with ML experiment tracking (e.g., ML Flow)
* Experience in loyalty programs or performance marketing or market research
* Experience with contextual multi armed bandit algorithms or reinforcement learning
* Preference modeling methods used in Conjoint/MaxDiff
* Understanding of Bayesian statistics inference (e.g., PyMC)
**Pay Transparency**
 The anticipated base salary range for this position is $150,000 to $180,000\. The final salary offered to a successful candidate will be dependent on several factors that may include, but are not limited to; the type and length of experience within the job, type and length of experience within the industry, the type and length of knowledge and skills for the position, education, training, etc. Prodege is a multi\-state employer and final compensation within this range could be impacted by work location. Please note that the compensation details listed in US role postings reflect the base salary only, and do not include bonus, equity, or benefits.
**Prodege Benefits**
 Prodege offers a comprehensive benefits package to US Full\-time employees including medical, dental, vision, STD, LTD and basic life insurance. Employees receive flexible PTO, as well as paid sick leave prorated based on hire date. US Employees have eight paid holidays throughout the calendar year. Employees receive an option to purchase shares of Company stock commensurate with their position, which vests over four years.
**Equal Employment Opportunity Statement**
 At Prodege, we are committed to creating a diverse and inclusive environment. We are proud to be an
**Equal Opportunity Employer** 
 and do not discriminate on the basis of race, color, religion, sex, sexual orientation, gender identity or expression, national origin, age, disability, veteran status, or any other characteristic protected by law. We encourage individuals of all backgrounds to apply.
**FCIHO**
 Employers will consider for employment qualified applicants with criminal histories in a manner consistent with the requirements of
 **FCIHO.**</t>
        </is>
      </c>
    </row>
    <row r="19">
      <c r="A19" t="inlineStr">
        <is>
          <t>li-4379404208</t>
        </is>
      </c>
      <c r="B19" t="inlineStr">
        <is>
          <t>Investment Data Product Owner &amp; Data Scientist (Private Equity)</t>
        </is>
      </c>
      <c r="C19" t="inlineStr">
        <is>
          <t>MFM Search LLC</t>
        </is>
      </c>
      <c r="D19" t="inlineStr">
        <is>
          <t>linkedin</t>
        </is>
      </c>
      <c r="E19">
        <f>HYPERLINK("https://www.linkedin.com/jobs/view/4379404208", "https://www.linkedin.com/jobs/view/4379404208")</f>
        <v/>
      </c>
      <c r="F19" t="inlineStr"/>
      <c r="G19" t="inlineStr"/>
      <c r="H19" t="inlineStr"/>
      <c r="I19" t="inlineStr">
        <is>
          <t>My client is a $3 trillion global pension fund currently expanding their presence in New York, NY.
 This role is part of the private equity portfolio monitoring team and is pivotal in ensuring robust asset oversight, effective risk management, and the continuous improvement of investment and relationship management processes. This person oversees the monitoring and evaluation of investment assets, ensuring compliance, timely reporting, and effective coordination across teams.
**Key Responsibilities:** 
* Responsible for the delivery of accurate data and investment insights used for PE (Private Equity) investment decision making
* Responsible for collating all PE data and reporting requirements from business stakeholders across the PE teams
* Ensure the completeness and accuracy of business requirements, data models, source\-to\-target mappings, and data quality control definitions
* Design data platform components to meet business requirements, encompassing Extract, Transform, Load (ETL) pipelines, metadata management, and data quality functionalities
* Ensure that industry best practices for testing to perform comprehensive unit testing of developed components have been established
* Responsible for ensuring any data exceptions and data quality issues are investigated
* Work with the global private equity team on various ad hoc reports
**Key Requirements:** 
* BSc in Computer Science (data analysis), Applied Math or Finance
* 5\-10 years’ experience as a data product owner within an asset owner / investment management organization within their data operations capability
* Proficiency in Python, rest APIs and SQL, data visualization
* Proficiency in ETL (Extract, Transform, Load) processes and tools
* Certification in Python, Power BI
* Knowledge of private equity / GP /LP data
* Good understanding of data management functions and usage of investment data in various forms
* Knowledge of financial data providers/source qualities. Experience navigating market data platforms for data sampling and review
* Ability to guide teams through complex financial data structures
* Proficient in using tools and methodologies to ensure data consistency, accuracy, and security, aligning with Data Governance best practices.</t>
        </is>
      </c>
    </row>
    <row r="20">
      <c r="A20" t="inlineStr">
        <is>
          <t>li-4370948601</t>
        </is>
      </c>
      <c r="B20" t="inlineStr">
        <is>
          <t>Data Scientist</t>
        </is>
      </c>
      <c r="C20" t="inlineStr">
        <is>
          <t>Prodege, LLC</t>
        </is>
      </c>
      <c r="D20" t="inlineStr">
        <is>
          <t>linkedin</t>
        </is>
      </c>
      <c r="E20">
        <f>HYPERLINK("https://www.linkedin.com/jobs/view/4370948601", "https://www.linkedin.com/jobs/view/4370948601")</f>
        <v/>
      </c>
      <c r="F20">
        <f>HYPERLINK("https://prodege.wd108.myworkdayjobs.com/Prodege_Careers/job/Remote-USA/Data-Scientist_R-100060?source=LinkedIn&amp;urlHash=Zayt", "https://prodege.wd108.myworkdayjobs.com/Prodege_Careers/job/Remote-USA/Data-Scientist_R-100060?source=LinkedIn&amp;urlHash=Zayt")</f>
        <v/>
      </c>
      <c r="G20" t="inlineStr"/>
      <c r="H20" t="inlineStr"/>
      <c r="I20" t="inlineStr">
        <is>
          <t>**Job Description**
****Strategic Imperative:****
 The
 **Data Scientist** 
 role with a focus on Predictive Modeling, is responsible for developing, evaluating, and refining analytical and machine learning models that predict user behavior and optimize business outcomes across our suite of products. This role focuses on modeling, feature development, and offline evaluation to support performance marketing, insights and other strategic initiatives.
 The position applies statistical and machine learning techniques to large\-scale behavioral and transactional data to improve ranking, recommendation and yield optimization. While this role partners closely with Engineering and ML Engineering teams, it does not own production deployment, infrastructure, or MLOps.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 We are seeking candidates who reside in the continental US. Work Visa sponsorship is available for qualified candidates. \*\*\*
**Primary Objectives**
* Improve Yield Through Predictive Modeling: Drive yield optimization through the ideation and development of machine learning models for recommendations, ranking and yield optimization use cases
* Organizational Data Science Advancement: Expand the application of machine learning across business functions through identification of opportunities and modeling, analysis, and offline evaluation.
* Data Design: Leading feature engineering and defining key concepts to be formalized within the feature store.
****Qualifications** 
 \-** 
*To perform this job successfully, an individual must be able to perform each job duty satisfactorily. The requirements listed below are representative of the knowledge, skill, and/or ability required. Reasonable accommodations may be made to enable individuals with disabilities to perform the essential functions.*
****Detailed Job Duties:** 
 (
 *typical monthly, weekly, daily tasks which support the primary objectives* 
 )**
* Business Translation \&amp; Modeling Framework Design:
+ Partner with Product and other business stakeholders to frame business problems into well\-defined modeling objectives and hypotheses.
+ Select appropriate modeling techniques (e.g., classification, regression, deep learning, reinforcement learning) based on use case and data characteristics.
+ Define success metrics and evaluation criteria that align model performance with business impact.
+ Document modeling assumptions, tradeoffs, and intended use to ensure clarity, transparency, and alignment across teams
* Data Analysis \&amp; Feature Development
+ Perform analysis on large\-scale behavioral and transactional datasets to identify patterns, drivers, and potential predictive signal
+ Engineer features from user behavior, lifecycle activity, offer attributes, and revenue data to support modeling objectives
+ Collaborate with ML team to ensure features properly registered within feature store
* Model Development \&amp; ML Collaboration:
+ Leverage appropriate modeling frameworks and packages to build high performing predictive models
+ Perform model tuning, validation, and comparison using appropriate metrics, cross\-validation, and offline testing frameworks
+ Interpret model outputs to assess business relevance, identify strengths and limitations, and validate against observed behavior
+ Leverage appropriate frequentist and Bayesian approaches to measure model performance and define strategies for balancing exploration and exploitation
+ Document modeling approaches, performance results, and learnings in model cards to support reuse, iteration, and long\-term knowledge building
+ Enable ML team to deploy models; collaborate on retraining and maintenance plans
****What does SUCCESS look like?****
 Success in this role is demonstrated by the delivery of predictive models that materially improve yield management and optimizes engagement and revenue. Over time, success is reflected in models that are trusted by stakeholders, features that consistently capture meaningful behavioral signals, and clear evidence that model\-driven decisions outperform prior approaches. Strong collaboration with Analytics Engineering and Machine Learning partners, thorough documentation of methods and learnings, and measurable business impact are hallmarks of high performance in this role.
****The MUST Haves:****
 (
 *ex: job cannot be done without these skills, education, experience, certifications, licenses* 
 )
* Bachelor’s or Master’s degree in Computer Science, Data Science, Statistics, Mathematics, or a related quantitative field
* Three or more (3\+) years experience performing deep data analysis and training machine learning models
* Strong foundation in machine learning and statistical modeling (classification, regression, ranking, optimization)
* Experience with ranking, recommendation systems, and personalization models
* Fluency in Python and common ML libraries (scikit\-learn, XGBoost/LightGBM, PyTorch, or TensorFlow)
* Fluency in SQL and ability to work with large, event\-level datasets in data warehouse environments (e.g., Snowflake, BigQuery, Redshift)
* Experience with feature engineering, model evaluation, and performance diagnostics
* Strong analytical reasoning and ability to translate business questions into modeling approaches
* Clear communication skills, particularly in explaining model results and tradeoffs to non\-technical stakeholders
* Understanding of ML Ops concepts and the ability to collaborate effectively with ML Engineering and ML Ops teams
* Excellent attention to detail
* Proficiency in critical thinking and problem solving.
****The Nice to Haves:** 
 (
 *preferred additional skills, education, experience, certifications, licenses* 
 )**
* Hands\-on experience managing ML deployments and designing feature stores and registries
* Experience with AI/ML frameworks such as LangChain, LLMs, and HuggingFace
* Worked with distributed data processing frameworks (Spark, Ray, Flink, Trino).
* Experience with ML experiment tracking (e.g., ML Flow)
* Experience in loyalty programs or performance marketing or market research
* Experience with contextual multi armed bandit algorithms or reinforcement learning
* Preference modeling methods used in Conjoint/MaxDiff
* Understanding of Bayesian statistics inference (e.g., PyMC)
**Pay Transparency**
 The anticipated base salary range for this position is $150,000 to $180,000\. The final salary offered to a successful candidate will be dependent on several factors that may include, but are not limited to; the type and length of experience within the job, type and length of experience within the industry, the type and length of knowledge and skills for the position, education, training, etc. Prodege is a multi\-state employer and final compensation within this range could be impacted by work location. Please note that the compensation details listed in US role postings reflect the base salary only, and do not include bonus, equity, or benefits.
**Prodege Benefits**
 Prodege offers a comprehensive benefits package to US Full\-time employees including medical, dental, vision, STD, LTD and basic life insurance. Employees receive flexible PTO, as well as paid sick leave prorated based on hire date. US Employees have eight paid holidays throughout the calendar year. Employees receive an option to purchase shares of Company stock commensurate with their position, which vests over four years.
**Equal Employment Opportunity Statement**
 At Prodege, we are committed to creating a diverse and inclusive environment. We are proud to be an
**Equal Opportunity Employer** 
 and do not discriminate on the basis of race, color, religion, sex, sexual orientation, gender identity or expression, national origin, age, disability, veteran status, or any other characteristic protected by law. We encourage individuals of all backgrounds to apply.
**FCIHO**
 Employers will consider for employment qualified applicants with criminal histories in a manner consistent with the requirements of
 **FCIHO.**</t>
        </is>
      </c>
    </row>
    <row r="21">
      <c r="A21" t="inlineStr">
        <is>
          <t>li-4380142879</t>
        </is>
      </c>
      <c r="B21" t="inlineStr">
        <is>
          <t>Data Scientist - Outsourcing</t>
        </is>
      </c>
      <c r="C21" t="inlineStr">
        <is>
          <t>WTW</t>
        </is>
      </c>
      <c r="D21" t="inlineStr">
        <is>
          <t>linkedin</t>
        </is>
      </c>
      <c r="E21">
        <f>HYPERLINK("https://www.linkedin.com/jobs/view/4380142879", "https://www.linkedin.com/jobs/view/4380142879")</f>
        <v/>
      </c>
      <c r="F21" t="inlineStr"/>
      <c r="G21" t="inlineStr">
        <is>
          <t>Charlotte, NC</t>
        </is>
      </c>
      <c r="H21" t="inlineStr"/>
      <c r="I21" t="inlineStr">
        <is>
          <t>**Description**
**Overview**
 We are seeking a skilled and intellectually curious Data Scientist with practical experience applying statistical, analytical, and machine learning methods to solve real‑world problems. This role requires strong technical foundations in applied statistics, predictive modeling, and data science workflows, along with the ability to translate complex findings into insights that drive business and operational decision‑making. Ideal candidates will have experience working with modern analytics tools and cloud platforms and may include recently matriculated Bachelor’s or Master’s degree candidates with meaningful hands‑on project, internship, or applied academic experience.
 Note: Employment\-based non\-immigrant visa sponsorship and/or assistance is not offered for this specific job opportunity.
**The Role**
**Key Responsibilities**
* Apply advanced descriptive and inferential statistical methods to explore data, evaluate hypotheses, and produce actionable insights.
* Build, optimize, and interpret regression models (linear, logistic), and classification models commonly used in data science, including tree‑based and ensemble methods.
* Develop robust data pipelines and analytic workflows using R or Python, including data ingestion, cleaning, feature engineering, and model deployment support.
* Construct high‑quality data visualizations, dashboards, and analytic stories that clearly communicate trends, relationships, and operational insights to diverse audiences.
* Write and optimize SQL queries for data extraction, transformation, and validation across relational data environments.
* Implement analytics solutions within cloud environments, such as Azure services, Azure Foundry, Blob Storage, and SharePoint, to support scalable data storage, processing, and reporting.
* Build and maintain analytical assets and reusable code to streamline recurring analyses and enhance data science capability.
* Partner with product, operational, and technology teams as an informed contributor in Agile development environments, applying concepts such as MVP thinking, user stories, iterative feedback cycles, and release planning.
* Engage with operational stakeholders—including client delivery, service center operations, and benefits administration teams—to provide data‑driven perspectives that support performance improvement, quality management, and client outcomes.
* Communicate modeling approaches, assumptions, risks, and results in a clear and credible manner to both technical and non‑technical audiences.
**Qualifications**
**The Requirements**
**Required Qualifications** 
* Bachelor’s or Master’s degree in Statistics, Data Science, Mathematics, or a related quantitative field.
* Demonstrated hands‑on experience with:
+ Applied statistics and exploratory data analysis
+ Regression modeling (linear and logistic)
+ Classification models and model evaluation techniques
+ R and/or Python, including key data science libraries
+ SQL, including intermediate query development
+ Data visualization tools or libraries (e.g., Power BI, Tableau, ggplot2\)
* Working familiarity with cloud analytics environments, file storage systems, and enterprise data access methods.
* Experience preparing and analyzing structured and unstructured datasets, with strong data‑wrangling capabilities.
* Ability to diagnose model performance issues, such as class imbalance, overfitting, feature interactions, and data quality constraints.
**Preferred Qualifications**
* Exposure to operations‑heavy environments such as benefits administration, service center operations, or outsourcing workflows.
* Understanding of operational and service metrics, including AHT, FCR, SLAs, CSAT, and related KPIs.
* Experience participating in Agile product development processes.
* Familiarity with visualization and BI tools used to deliver insights at scale.
**Key Attributes For Success**
* Strong analytical curiosity and a passion for solving complex data problems.
* Ability to work independently on technical tasks while contributing effectively to cross‑functional teams.
* Excellent communication skills, especially when translating statistical findings into practical business insights.
* A disciplined, detail‑oriented approach to data quality and model integrity.
* Comfort working in environments that blend analytics, operations, cloud technology, and client‑facing collaboration.
 This position will remain posted for a minimum of three business days from the date posted or until sufficient/appropriate candidate slate has been identified.
**Compensation And Benefits**
 Base salary range and benefits information for this position are being included in accordance with requirements of various state/local pay transparency legislation. Please note that base salaries may vary for different individuals in the same role based on several factors, including but not limited to location of the role, individual competencies, education/professional certifications, qualifications/experience, performance in the role and potential for revenue generation.
**Company Benefits**
 WTW provides a competitive benefit package which includes the following (eligibility requirements apply):
* Health and Welfare Benefits: Medical (including prescription coverage), Dental, Vision, Health Savings Account, Commuter Account, Health Care and Dependent Care Flexible Spending Accounts, Group Accident, Group Critical Illness, Life Insurance, AD\&amp;D, Group Legal, Identify Theft Protection, Wellbeing Program and Work/Life Resources (including Employee Assistance Program)
* Leave Benefits: Paid Holidays, Annual Paid Time Off (includes paid state/local paid leave where required), Short\-Term Disability, Long\-Term Disability, Other Leaves (e.g., Bereavement, FMLA, ADA, Jury Duty, Military Leave, and Parental and Adoption Leave), Paid Time Off (Washington State only)
* Retirement Benefits: Contributory Pension Plan and Savings Plan (401k).
 Pursuant to the San Francisco Fair Chance Ordinance and Los Angeles County Fair Chance Ordinance for Employers, we will consider for employment qualified applicants with arrest and conviction records.
 At WTW, we trust you to know your work and the people, tools and environment you need to be successful. The majority of our colleagues work in a ”hybrid” style, with a mix of remote, in\-person and in\-office interactions dependent on the needs of the team, role and clients. Our flexibility is rooted in trust and “hybrid” is not a one\-size\-fits\-all solution.
 We understand flexibility is key to supporting an inclusive and diverse workforce and so we encourage requests for all types of flexible working as well as location\-based arrangements. Please speak to your recruiter to discuss more.
 EOE, including disability/vets</t>
        </is>
      </c>
    </row>
    <row r="22">
      <c r="A22" t="inlineStr">
        <is>
          <t>li-4380347368</t>
        </is>
      </c>
      <c r="B22" t="inlineStr">
        <is>
          <t>Data Scientist [Multiple Positions Available]</t>
        </is>
      </c>
      <c r="C22" t="inlineStr">
        <is>
          <t>JPMorganChase</t>
        </is>
      </c>
      <c r="D22" t="inlineStr">
        <is>
          <t>linkedin</t>
        </is>
      </c>
      <c r="E22">
        <f>HYPERLINK("https://www.linkedin.com/jobs/view/4380347368", "https://www.linkedin.com/jobs/view/4380347368")</f>
        <v/>
      </c>
      <c r="F22">
        <f>HYPERLINK("https://JPMorganChase.contacthr.com/151250977&amp;urlHash=Oai1", "https://JPMorganChase.contacthr.com/151250977&amp;urlHash=Oai1")</f>
        <v/>
      </c>
      <c r="G22" t="inlineStr">
        <is>
          <t>Houston, TX</t>
        </is>
      </c>
      <c r="H22" t="inlineStr"/>
      <c r="I22" t="inlineStr">
        <is>
          <t>**Job Description**
 Duties: Identify and analyze cross\-line\-of\-business involving customer interaction with various financial products and services including checking account and credit card, checking account and loan, for a holistic view of the customer. Develop insights, methods or tools using various analytic methods. Handle large amounts of data from multiple and disparate sources, to ensure efficiency and accuracy. Perform financial analysis using key performance indicators (KPIs) to evaluate and enhance business decisions. Analyze and categorize descriptions of checking account transactions for enhanced financial insights. Analyze third\-party bureau data such as Experian to determine small business clients' credit relationships with other financial institutions to understand overall credit risk. Utilize advanced data analytics to monitor and evaluate customer transactions, inflows and outflows including small business revenue and expenses, facilitating the early detection of potential credit risks. Implement anomaly detection techniques to identify small businesses at risk of closure or attrition, enhancing proactive customer retention strategies.
**Qualifications**
 Minimum education and experience required: Master's degree in Analytics, Data Science, Data Analytics, or related field of study plus 2 years of experience in the job offered or as Data Scientist, Business Analyst, or related occupation.
 Skills Required: This position requires two (2\) years of experience with the following: Data manipulation, data structuring, data design flow and query optimization using SQL; Performing tasks automation, data design flow and statistical analysis using Python v3\.8 for advanced data manipulation and visualization; Creating visualizations and analyzing business intelligence in Tableau; Performing data handling and query optimization with Snowflake; Running financial analysis such as ROI (Return on Investment) or NPV (Net Present Value) to find value of a financial product; Performing Big data analysis of account transaction text descriptions; Using multivariate regression, logistic regression, decision trees, and cohort analysis for Predictive modeling and Anomaly detection.
 Job Location: 8181 Communications Pkwy, Plano, TX 75024\.
 Full\-Time.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t>
        </is>
      </c>
    </row>
    <row r="23">
      <c r="A23" t="inlineStr">
        <is>
          <t>li-4370616079</t>
        </is>
      </c>
      <c r="B23" t="inlineStr">
        <is>
          <t>Staff Product Data Scientist, Operation Center</t>
        </is>
      </c>
      <c r="C23" t="inlineStr">
        <is>
          <t>Waymo</t>
        </is>
      </c>
      <c r="D23" t="inlineStr">
        <is>
          <t>linkedin</t>
        </is>
      </c>
      <c r="E23">
        <f>HYPERLINK("https://www.linkedin.com/jobs/view/4370616079", "https://www.linkedin.com/jobs/view/4370616079")</f>
        <v/>
      </c>
      <c r="F23" t="inlineStr"/>
      <c r="G23" t="inlineStr">
        <is>
          <t>Mountain View, CA</t>
        </is>
      </c>
      <c r="H23" t="inlineStr"/>
      <c r="I23"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Waymo's Product Data Science team works cross\-functionally with Engineering, Product and Operations to help the company make the most informed decisions using data. Our team collaborates on high\-impact projects across the company — from driving quality and operational efficiency to market analysis and rider satisfaction scores — we help to safely and efficiently scale the Waymo Driver. We are data\-driven, curious, open\-minded, and adapt quickly to new information.
*This role follows a hybrid work schedule and you will report to the Manager of Product Data Science.*
**You Will**
* Develop and deploy statistical models to determine optimal staffing levels, ensuring rapid response times to AV and rider inquiries while upholding Waymo's safety standards
* Collaborate with Engineering to design and implement optimization models for request prioritization and queuing, driving cutting\-edge scalability for operations
* Conduct deep\-dive data analysis and trend evaluation to identify and execute on opportunities to improve Operations Center efficiency and customer experience
* Partner with Product and Operation to define metrics, measurement framework, and be a promoter of experimentation
* Build and maintain robust data foundations and reporting infrastructure
**You Have**
* Coding skills (Python and SQL),
* Experience with Modeling and Optimization
* At least 8 years of industry experience
* Strong Communication and Stakeholder \&amp; Management skills
**We Prefer**
* Experience with Experimentation
* Previous experience with Call Centers and queuing theory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$230,000—$292,000 USD</t>
        </is>
      </c>
    </row>
    <row r="24">
      <c r="A24" t="inlineStr">
        <is>
          <t>li-4379288449</t>
        </is>
      </c>
      <c r="B24" t="inlineStr">
        <is>
          <t>Applied Scientist</t>
        </is>
      </c>
      <c r="C24" t="inlineStr">
        <is>
          <t>Microsoft</t>
        </is>
      </c>
      <c r="D24" t="inlineStr">
        <is>
          <t>linkedin</t>
        </is>
      </c>
      <c r="E24">
        <f>HYPERLINK("https://www.linkedin.com/jobs/view/4379288449", "https://www.linkedin.com/jobs/view/4379288449")</f>
        <v/>
      </c>
      <c r="F24" t="inlineStr"/>
      <c r="G24" t="inlineStr">
        <is>
          <t>Redmond, WA</t>
        </is>
      </c>
      <c r="H24" t="inlineStr"/>
      <c r="I24" t="inlineStr">
        <is>
          <t>**Overview**
 With continued growth in digital data and the desire to leverage data to address problems that touch all aspects of our lives, Microsoft’s AI Platform is growing to meet these challenges! The AI Platform is hiring experienced engineers to join agile and diverse engineering teams in MAI.
 As an Applied Scientist in MAI, you would be responsible for data analysis, training and building models and shipping to production high quality experiences improving Bing products. This opportunity will allow you to accelerate your career growth, develop deep business acumen, hone your selling skills, and become adept at deal structuring.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You will gain a basic understanding of a broad area of research and applicable research techniques. You’ll also develop a basic knowledge of industry trends and share your knowledge with immediate team members.
* You will apply strategies provided by senior team members. Following guidance from team leaders you’ll also research relevant tools and technologies being used in the community.
* You will reinforce a positive environment by learning and adopting best practices. And you will maintain or develop ties with an external network of peers and identify prospective talent for Microsoft research pipelines when asked.
* You will assist with documentation for senior team members, as needed. You’ll also learn and follow ethics and privacy policies while executing research processes or collecting information.
**Qualifications**
**Required Qualifications:**
* Bachelor's Degree in Statistics, Econometrics, Computer Science, Electrical or Computer Engineering, or related field AND 2\+ years related experience (e.g., statistics, predictive analytics, research)
+ OR Master's Degree in Statistics, Econometrics, Computer Science, Electrical or Computer Engineering, or related field AND 1\+ year(s) related experience (e.g., statistics, predictive analytics, research)
+ OR Doctorate in Statistics, Econometrics, Computer Science, Electrical or Computer Engineering, or related field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\#MicrosoftAI
 Applied Sciences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5">
      <c r="A25" t="inlineStr">
        <is>
          <t>li-4379428189</t>
        </is>
      </c>
      <c r="B25" t="inlineStr">
        <is>
          <t>Data Scientist</t>
        </is>
      </c>
      <c r="C25" t="inlineStr">
        <is>
          <t>Smart IT Frame LLC</t>
        </is>
      </c>
      <c r="D25" t="inlineStr">
        <is>
          <t>linkedin</t>
        </is>
      </c>
      <c r="E25">
        <f>HYPERLINK("https://www.linkedin.com/jobs/view/4379428189", "https://www.linkedin.com/jobs/view/4379428189")</f>
        <v/>
      </c>
      <c r="F25" t="inlineStr"/>
      <c r="G25" t="inlineStr">
        <is>
          <t>Reston, VA</t>
        </is>
      </c>
      <c r="H25" t="inlineStr"/>
      <c r="I25" t="inlineStr">
        <is>
          <t>**Data Scientist** 
**Reston, VA** 
**Onsite** 
**Face to Face Interview** 
**Fulltime**</t>
        </is>
      </c>
    </row>
    <row r="26">
      <c r="A26" t="inlineStr">
        <is>
          <t>li-4370615121</t>
        </is>
      </c>
      <c r="B26" t="inlineStr">
        <is>
          <t>Staff Product Data Scientist, Operation Center</t>
        </is>
      </c>
      <c r="C26" t="inlineStr">
        <is>
          <t>Waymo</t>
        </is>
      </c>
      <c r="D26" t="inlineStr">
        <is>
          <t>linkedin</t>
        </is>
      </c>
      <c r="E26">
        <f>HYPERLINK("https://www.linkedin.com/jobs/view/4370615121", "https://www.linkedin.com/jobs/view/4370615121")</f>
        <v/>
      </c>
      <c r="F26">
        <f>HYPERLINK("https://careers.withwaymo.com/jobs?gh_jid=7597108&amp;gh_src=e2a2625d1us&amp;urlHash=vgMQ", "https://careers.withwaymo.com/jobs?gh_jid=7597108&amp;gh_src=e2a2625d1us&amp;urlHash=vgMQ")</f>
        <v/>
      </c>
      <c r="G26" t="inlineStr">
        <is>
          <t>San Francisco, CA</t>
        </is>
      </c>
      <c r="H26" t="inlineStr"/>
      <c r="I26"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Waymo's Product Data Science team works cross\-functionally with Engineering, Product and Operations to help the company make the most informed decisions using data. Our team collaborates on high\-impact projects across the company — from driving quality and operational efficiency to market analysis and rider satisfaction scores — we help to safely and efficiently scale the Waymo Driver. We are data\-driven, curious, open\-minded, and adapt quickly to new information.
*This role follows a hybrid work schedule and you will report to the Manager of Product Data Science.*
**You Will**
* Develop and deploy statistical models to determine optimal staffing levels, ensuring rapid response times to AV and rider inquiries while upholding Waymo's safety standards
* Collaborate with Engineering to design and implement optimization models for request prioritization and queuing, driving cutting\-edge scalability for operations
* Conduct deep\-dive data analysis and trend evaluation to identify and execute on opportunities to improve Operations Center efficiency and customer experience
* Partner with Product and Operation to define metrics, measurement framework, and be a promoter of experimentation
* Build and maintain robust data foundations and reporting infrastructure
**You Have**
* Coding skills (Python and SQL),
* Experience with Modeling and Optimization
* At least 8 years of industry experience
* Strong Communication and Stakeholder \&amp; Management skills
**We Prefer**
* Experience with Experimentation
* Previous experience with Call Centers and queuing theory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$230,000—$292,000 USD</t>
        </is>
      </c>
    </row>
    <row r="27">
      <c r="A27" t="inlineStr">
        <is>
          <t>li-4350682464</t>
        </is>
      </c>
      <c r="B27" t="inlineStr">
        <is>
          <t>Data Scientist</t>
        </is>
      </c>
      <c r="C27" t="inlineStr">
        <is>
          <t>ANSER</t>
        </is>
      </c>
      <c r="D27" t="inlineStr">
        <is>
          <t>linkedin</t>
        </is>
      </c>
      <c r="E27">
        <f>HYPERLINK("https://www.linkedin.com/jobs/view/4350682464", "https://www.linkedin.com/jobs/view/4350682464")</f>
        <v/>
      </c>
      <c r="F27" t="inlineStr"/>
      <c r="G27" t="inlineStr">
        <is>
          <t>Reston, VA</t>
        </is>
      </c>
      <c r="H27" t="inlineStr"/>
      <c r="I27" t="inlineStr">
        <is>
          <t>**Company Overview**
 ANSER enhances national and homeland security by strengthening public institutions. We provide thought leadership for complex issues through independent analysis, and we deliver practical, useful solutions. ANSER values collaboration, integrity, and initiative and we are client focused in all that we do. Because we were established for the purpose of public service and not for profit, we measure our success in the impact of our service.
**Position Summary**
 ANSER is seeking a Data Scientist to advance analytic efficiency and predictive capabilities across the Object\-Based Intelligence (OBI) enterprise. You will leverage data science, machine learning, and statistical techniques to analyze, model, and visualize complex multi\-INT datasets, delivering actionable insights that support OBI analytic production and decision\-making.
**Day\-to\-Day Responsibilities**
* Design, develop, and evaluate advanced algorithmic intelligence, data science, and AI techniques to support Object\-Based Intelligence (OBI) through all\-source analytic tradecraft, assessments, production, and dissemination.
* Propose and apply advanced statistical, mathematical, and experimental methodologies to identify alternatives, formulate models, and develop innovative analytic techniques.
* Research, prototype, and evaluate technologies that augment or automate all\-source analytic processes using computer models and advanced analytics.
* Leverage novel technologies (e.g., large language models, NLP, machine learning) to automate and enhance ontologies, entity recognition, extraction, and summarization in accordance with analytic tradecraft standards.
* Develop, refine, and optimize semantic data retrieval and reasoning across knowledge graphs using query languages and protocols (e.g., SPARQL, GraphQL, SHACL, SQL).
* Evaluate data science, AI, and analytic methods for bias, risk, limitations, and potential distortion of analytic conclusions, and support responsible AI practices.
* Execute Test, Evaluation, Verification, and Validation (TEVV) protocols to assess system performance, robustness, fairness, and tradecraft compliance in all\-source analysis contexts.
* Develop, track, analyze, and interpret qualitative and quantitative performance metrics to identify trends, gaps, and opportunities for system improvement.
* Collaborate with stakeholders to implement data\-driven decision\-making processes and best practices for system development, testing, deployment, and continuous improvement.
* Develop and refine methodologies for evaluating analytic systems, including validation, reasoning completeness, coverage, consistency, and fairness.
* Use data engineering, mining, exploratory, predictive, statistical, and scientific techniques to correlate data and produce graphical, written, visual, and verbal analytic products.
* Write and maintain Python or R scripts, use SQL, manage and merge disparate data sources, and develop scalable workflows for large, spatial, and multi\-INT datasets.
* Create and operate in distributed analytic environments, scaling algorithms to handle datasets exceeding system memory constraints.
* Work with ambiguous and complex information by deconstructing key questions, exploiting APIs and spatial data, suggesting methodologies, and developing data schemas.
* Provide consultation, governance guidance, documentation review, audit findings, and version\-controlled code contributions to advance OBI standards, knowledge modeling, and DIA analytic capabilities.
**Required Qualifications**
* TS/SCI with CI Poly clearance
* Bachelor’s degree in in Data Science, Computer Science, Statistics, Mathematics, or related technical field.
* Eight or more years of experience in data science, analytics, or machine learning in support of intelligence or defense missions.
* Proficiency in Python, R, and SQL, and experience with data visualization tools such as Power BI or Tableau.
* Demonstrated understanding of Object Based Intelligence frameworks.
* Demonstrated experience with predictive modeling, data mining, statistical analysis, and ML algorithms.
* Familiarity with knowledge graphs, semantic data modeling, and query languages (e.g., SPARQL, GraphQL).
* Experience developing, implementing, and evaluating AI/ML models for analytic efficiency and tradecraft compliance.
* Experience with large data multi\-INT analytics, machine learning (ML), and automated predictive analytics
* Skilled in data visualization and use of graphical applications, including Microsoft Office (Power BI) and Tableau; major data science languages, such as R and Python; managing and merging of disparate data sources, preferably through R, Python, or SQL; statistical analysis; and data mining algorithms.
**Preferred Qualifications**
* Experience supporting DIA, IC, or DoD analytic modernization or OBI initiatives.
* Knowledge of TEVV methodologies, bias detection, and fairness analysis for AI systems.
* Experience with distributed data processing, cloud\-based analytics, or large\-scale machine learning architectures.
* Knowledge of DoD 8570/8140 compliance and responsible AI policy frameworks.
* Working with in support of Defense Intelligence All\-source Analytic Enterprise (DIAAE) OBI efforts, the Defense Intelligence Enterprise Knowledge Model (DIEKM), and Defense Intelligence Core Ontology (DICO).
* Developing OBI governance and tradecraft to assist DIA and other DIAAE organizations conducting OBI.
 In compliance with the Americans with Disabilities Act (ADA), if you have a disability and would like to request an accommodation in order to apply for a position with ANSER, please call 703\-416\-2000 or e\-mail Recruiting@anser.org
 ANSER is proud to be an Equal Opportunity Employer. We seek individuals from a broad variety of backgrounds with varying levels of experience who have a desire to do meaningful work. We recruit, employ, train, compensate, and promote regardless of race, color, gender, religion, national origin, ancestry, disability, age, veteran status, sexual orientation, or any other characteristic protected by law.</t>
        </is>
      </c>
    </row>
    <row r="28">
      <c r="A28" t="inlineStr">
        <is>
          <t>li-4380329595</t>
        </is>
      </c>
      <c r="B28" t="inlineStr">
        <is>
          <t>Data Scientist II</t>
        </is>
      </c>
      <c r="C28" t="inlineStr">
        <is>
          <t>Microsoft</t>
        </is>
      </c>
      <c r="D28" t="inlineStr">
        <is>
          <t>linkedin</t>
        </is>
      </c>
      <c r="E28">
        <f>HYPERLINK("https://www.linkedin.com/jobs/view/4380329595", "https://www.linkedin.com/jobs/view/4380329595")</f>
        <v/>
      </c>
      <c r="F28">
        <f>HYPERLINK("https://apply.careers.microsoft.com/careers/job/1970393556756283?utm_source=linkedin&amp;domain=microsoft.com&amp;src=LinkedIn&amp;urlHash=z1aK", "https://apply.careers.microsoft.com/careers/job/1970393556756283?utm_source=linkedin&amp;domain=microsoft.com&amp;src=LinkedIn&amp;urlHash=z1aK")</f>
        <v/>
      </c>
      <c r="G28" t="inlineStr">
        <is>
          <t>Redmond, WA</t>
        </is>
      </c>
      <c r="H28" t="inlineStr"/>
      <c r="I28" t="inlineStr">
        <is>
          <t>**Overview**
 Microsoft’s Cloud business is expanding, and the Cloud Supply Chain (CSCP) organization is responsible for enabling the hardware infrastructure underlying this growth including AI! CSCP’s vision is to empower customers to achieve more by delivering Cloud and AI capabilities at scale. Our mission is to deliver the world's computer with an industry\-leading supply chain. The CSCP organization is responsible for traditional supply chain functions such as plan, source, make, deliver, but also manages supportability (spares), sustainability, and decommissioning of datacenter assets worldwide. We deliver the core infrastructure and foundational technologies for Microsoft's over 200 online businesses including Bing, MSN, Office 365, Xbox Live, OneDrive and the Microsoft Azure platform for external customers. Our infrastructure is supported by more than 300 datacenters around the world that enable services for more than 1 billion customers in over 90 countries. We are looking for a
 **Data Scientist II** 
 to join our team!
 Microsoft Cloud Planning (MCP) is the central planning function within CSCP focused on forecasting, demand planning, and supply planning for all Microsoft Cloud services and associated hardware, directly impacting the success of Microsoft's cloud business.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**Business Impact**
* Understands customer goals, project requirements, and how data structures support business strategy.
* Supports project scoping, risk assessment, and planning while learning to identify opportunities for ML impact.
* Contributes insights from analyses that inform decisions and align with customer and organizational objectives.
* Applies a customer‑focused mindset when evaluating work, ensuring clarity in expectations, timelines, and value delivered.
**Coding \&amp; Debugging**
* Writes clear, maintainable code for features or models.
* Contributes to testing, optimization, and debugging.
* Helps document production‑ready code.
**Customer \&amp; Partner Orientation**
* Applies customer‑focused thinking to data science work.
* Manages expectations on progress and timelines.
* Supports interpretation and communication of results.
**Data Preparation and Understanding**
* Assists with data collection, exploration, and quality checks.
* Cleans, transforms, and organizes data using appropriate tools.
* Follows privacy and ethics policies while identifying data issues.
**Evaluating for Insight \&amp; Impact**
* Understands how model outputs relate to business goals.
* Helps test and evaluate models using real and test data.
* Reviews analysis choices and incorporates feedback.
**Modeling \&amp; Statistical Analysis**
* Learns and applies core modeling techniques.
* Supports research, prototyping, and productization of ML/AI methods.
**Qualifications**
* Doctorate in Data Science, Mathematics, Statistics, Econometrics, Economics, Operations Research, Computer Science, or related field OR Master's Degree in Data Science, Mathematics, Statistics, Econometrics, Economics, Operations Research, Computer Science, or related field AND 1\+ year(s) data\-science experience (e.g., managing structured and unstructured data, applying statistical techniques and reporting results) or consulting experience OR Bachelor's Degree in Data Science, Mathematics, Statistics, Econometrics, Economics, Operations Research, Computer Science, or related field AND 2\+ years data\-science experience (e.g., managing structured and unstructured data, applying statistical techniques and reporting results)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 Doctorate in Data Science, Mathematics, Statistics, Econometrics, Economics, Operations Research, Computer Science, or related field AND 1\+ year(s) data\-science experience (e.g., managing structured and unstructured data, applying statistical techniques and reporting results) OR Master's Degree in Data Science, Mathematics, Statistics, Econometrics, Economics, Operations Research, Computer Science, or related field AND 3\+ years data\-science experience (e.g., managing structured and unstructured data, applying statistical techniques and reporting results) OR Bachelor's Degree in Data Science, Mathematics, Statistics, Econometrics, Economics, Operations Research, Computer Science, or related field AND 5\+ years data\-science experience (e.g., managing structured and unstructured data, applying statistical techniques and reporting results) OR equivalent experience.
* 4\+ years of coding experience with Python OR R (Python Preferred)– (1,000 or more lines of code)
* Experience with large\-scale parallel computing, PySpark and SparkR (or similar) strongly preferred.
* Prior experience using git (or similar) as a shared code repository for large projects preferred.
* Experience with Azure or similar cloud solutions preferred.
* Experience with forecasting, optimization, generative AI, or agentic AI strongly preferred.
* Strong background in statistical methods, data analysis and machine learning preferred
 \#CSCP \#CSCPJobs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Data Science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9">
      <c r="A29" t="inlineStr">
        <is>
          <t>li-4380309589</t>
        </is>
      </c>
      <c r="B29" t="inlineStr">
        <is>
          <t>Senior Research Data Scientist</t>
        </is>
      </c>
      <c r="C29" t="inlineStr">
        <is>
          <t>Boston Children's Hospital</t>
        </is>
      </c>
      <c r="D29" t="inlineStr">
        <is>
          <t>linkedin</t>
        </is>
      </c>
      <c r="E29">
        <f>HYPERLINK("https://www.linkedin.com/jobs/view/4380309589", "https://www.linkedin.com/jobs/view/4380309589")</f>
        <v/>
      </c>
      <c r="F29" t="inlineStr"/>
      <c r="G29" t="inlineStr">
        <is>
          <t>Boston, MA</t>
        </is>
      </c>
      <c r="H29" t="inlineStr"/>
      <c r="I29" t="inlineStr">
        <is>
          <t>**Position Summary**
 The Cell Discovery Network (CDN) at Boston Children’s Hospital is seeking a Research Data Scientist to lead the development of a framework for modeling and reprogramming rare disease\-relevant cell types. This new initiative, inspired by recent progress in human organoid systems, iPSC\-based modeling, and single\-cell technologies, aims to unlock therapeutic strategies for neglected pediatric diseases by computationally guiding the discovery and modeling of disease\-critical cell states.
 This position offers the opportunity to integrate cutting\-edge computational methods (e.g., generative models, foundation models, optimal transport) with a deep understanding of human developmental biology and stem cell differentiation.
**Key Responsibilities**
* Curate and analyze public and in\-house datasets (including organoid and iPSC\-derived models).
* Identify rare or disease\-associated cell types from large\-scale single\-cell and organoid datasets.
* Determine where similar phenotypes have been observed across developmental systems or model organisms.
* Build and apply machine learning and AI models (e.g., generative or trajectory\-based models, foundation models) to identify and compare rare cell states.
* Model cellular trajectories and propose reprogramming strategies to reach desired cell phenotypes from accessible starting points (e.g., iPSCs).
* Prioritize therapeutic strategies for disease modeling and compound screening.
**Education**
 Minimum Qualifications
* Master's Degree in biology, bioinformatics, computer science or related study is required.
**Experience** 
 :
* 2 years of experience in computational biology, bioinformatics, machine learning, systems biology, or a related field is required.
* Minimum of two years of position\-specific experience might potentially include experience acquired through MSc or Ph.D. studies.
 The posted pay range is Boston Children’s reasonable and good\-faith expectation for this pay at the time of posting.
 Any base pay offer provided depends on skills, experience, education, certifications, and a variety of other job\-related factors. Base pay is one part of a comprehensive benefits package that includes flexible schedules, affordable health, vision and dental insurance, child care and student loan subsidies, generous levels of time off, 403(b) Retirement Savings plan, Pension, Tuition and certain License and Certification Reimbursement, cell phone plan discounts and discounted rates on T\-passes. Experience the benefits of passion and teamwork.</t>
        </is>
      </c>
    </row>
    <row r="30">
      <c r="A30" t="inlineStr">
        <is>
          <t>li-4318672016</t>
        </is>
      </c>
      <c r="B30" t="inlineStr">
        <is>
          <t>Senior Data Scientist</t>
        </is>
      </c>
      <c r="C30" t="inlineStr">
        <is>
          <t>Garner Health</t>
        </is>
      </c>
      <c r="D30" t="inlineStr">
        <is>
          <t>linkedin</t>
        </is>
      </c>
      <c r="E30">
        <f>HYPERLINK("https://www.linkedin.com/jobs/view/4318672016", "https://www.linkedin.com/jobs/view/4318672016")</f>
        <v/>
      </c>
      <c r="F30" t="inlineStr"/>
      <c r="G30" t="inlineStr">
        <is>
          <t>New York, NY</t>
        </is>
      </c>
      <c r="H30" t="inlineStr"/>
      <c r="I30"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effectively, and physicians are rewarded for delivering exceptional care rather than performing more procedures.
 Garner is one of the fastest\-growing healthcare technology companies in the country. Our products are trusted by the most sophisticated employers and providers in the industry, and we are building a team of talented, mission\-driven individuals who are motivated to make a meaningful impact on healthcare at scale.
**About the role:**
 We are seeking an exceptional Senior Data Scientist to work on the core systems that power our product, including but not limited to provider recommendation and population health algorithms, A/B testing for engagement and healthcare outcomes, and product analytics. You'll play a pivotal role in shaping how we use data to steer members to better healthcare outcomes, partnering with Product Managers and Engineers to deliver high performing systems at scale. Garner's member app guides members through their healthcare journey to ensure they receive high quality care while ensuring provider affordability and availability.
**Where you will work:**
 This role will be based in our New York City office. You must be willing to work in the office 3 days per week on Tuesday, Wednesday and Thursday.
**What you will do:**
* Build data\-driven algorithms that power Garner's recommendation engine
* Deliver systems that proactively identify high\-risk members and enable timely, customized care navigation interventions
* Own the KPIs and metrics that we use to measure the success of our member activation efforts, engagement tactics, and doctor recommendations
* Develop a strong understanding of the healthcare economy
**The ideal candidate has:**
* 3\+ years of experience using Python and SQL to build production, data\-driven algorithms
* Familiarity with optimization algorithms and applied machine learning techniques, including recommendation systems and gradient\-boosted models (e.g., XGBoost)
* Strong ability to match the right tools and techniques to real\-world problems.
* Strong communication skills and the ability to synthesize complex information for both business and technical stakeholders
* A desire to be a part of a high\-performing, mission\-driven team that operates with intense urgency, a strong sense of individual accountability, and a commitment to authentic feedback
**Technologies we use:**
* Python, SQL, AWS, Snowflake, pandas, XGBoost
 This is a unique opportunity to join a fast\-growing company in a transformative role, helping shape the future of healthcare.
**Please note: we are unable to sponsor or take over sponsorship of an employment visa at this time.**
**Compensation Transparency:**
 The target salary range for this position is $200,000 \- $240,000\.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with company match, flexible spending accounts, Teladoc Health and more.
**Fraud and Security Notice:**
 Please be aware of recent job scam attempts. Our recruiters use getgarner.com and garnerhealth.com email domains exclusively. If you have been contacted by someone claiming to be a Garner recruiter or a hiring manager from a different domain about a potential job, please report it to law enforcement here and to candidateprotection@garnerhealth.com.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t>
        </is>
      </c>
    </row>
    <row r="31">
      <c r="A31" t="inlineStr">
        <is>
          <t>li-4379177925</t>
        </is>
      </c>
      <c r="B31" t="inlineStr">
        <is>
          <t>Data Engineer/Data Scientist onsite in Nashville</t>
        </is>
      </c>
      <c r="C31" t="inlineStr">
        <is>
          <t>Capgemini</t>
        </is>
      </c>
      <c r="D31" t="inlineStr">
        <is>
          <t>linkedin</t>
        </is>
      </c>
      <c r="E31">
        <f>HYPERLINK("https://www.linkedin.com/jobs/view/4379177925", "https://www.linkedin.com/jobs/view/4379177925")</f>
        <v/>
      </c>
      <c r="F31" t="inlineStr"/>
      <c r="G31" t="inlineStr">
        <is>
          <t>North Carolina, United States</t>
        </is>
      </c>
      <c r="H31" t="inlineStr"/>
      <c r="I31" t="inlineStr">
        <is>
          <t>**Thanks for your interest, please apply only after reading 1 to 4\. You must work 100% in office in Nashville not remote from North Carolina, relocate at your own expense.** 
1. **You must starts April 13th 2026 at the 6 weeks training session, not able to start after**
2. **You must have graduated 2025 and before not graduating in 2026\.**
3. **You must have 1 year\+ minimum post graduate experience in AWS or Azure or Databricks or Google Cloud (internship experience not included)**
4.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1\+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32">
      <c r="A32" t="inlineStr">
        <is>
          <t>li-4361247361</t>
        </is>
      </c>
      <c r="B32" t="inlineStr">
        <is>
          <t>Data Scientist</t>
        </is>
      </c>
      <c r="C32" t="inlineStr">
        <is>
          <t>ECS</t>
        </is>
      </c>
      <c r="D32" t="inlineStr">
        <is>
          <t>linkedin</t>
        </is>
      </c>
      <c r="E32">
        <f>HYPERLINK("https://www.linkedin.com/jobs/view/4361247361", "https://www.linkedin.com/jobs/view/4361247361")</f>
        <v/>
      </c>
      <c r="F32">
        <f>HYPERLINK("https://myjobs.adp.com/ecsfederal/cx/job-details?reqId=5001173024706&amp;rb=LINKEDIN&amp;urlHash=_hlV", "https://myjobs.adp.com/ecsfederal/cx/job-details?reqId=5001173024706&amp;rb=LINKEDIN&amp;urlHash=_hlV")</f>
        <v/>
      </c>
      <c r="G32" t="inlineStr"/>
      <c r="H32" t="inlineStr"/>
      <c r="I32" t="inlineStr">
        <is>
          <t>**Job Description**
 ECS is seeking a
 ***Data Scientist***
 to work
 ***remotely***
 .
 **Please Note:** 
**This position is contingent upon contract award.**
 This Data Scientist role is full\-time supporting the Department of Veterans Affairs (VA), Office of Information Technology (OIT) Veteran Experience Services Eligibility and Enrollment (VESEE) Product Line. This role supports modernization of Eligibility and Enrollment to build a seamless experience for Veterans, their families, and caregivers and contributes to improving VA employee and Veteran lives and working towards a larger mission. The position will involve identifying methods to create valuable insights from existing data, and preparing and making data\-driven recommendations for business automation and other insights.
**Tasks For This Role Include**
* Data mining, statistical and graph\-based algorithms via technologies like R, Python, and PowerBI
* Identifying opportunities to leverage AI and emerging technologies
* Support efforts to improve the policies, procedures, and tools the agency has at its disposal to improve data quality
* Reviewing application and enterprise data models (conceptual, logical, physical) to identify data quality problems
* Writing code to ensure the performance and reliability of data extraction and processing
* Configuring test and training data sets for use by team members
* Collaborating with stakeholders to understand business requirements and translate them into data science solutions
*Salary Range: $90,000 \- $100,000*
**General Description Of Benefits**
 Required Skills
* Bachelor’s degree required
* 5\+ years experience
* Experience in design, analysis, and implementation of large\-scale, complex data architectures
* Good analytical skills with a focus on critical thinking, problem\-solving, numeric reasoning, and creativity
* Quantitative analysis including experience with SQL or statistical/mathematical software (e.g., R, SAS, Stata)
* Strong Python skills
* Knowledgeable in a breadth of statistical computer languages to manipulate data and draw insights from large data sets
* Knowledge of Data Management and Data Architecture concepts, Data Warehousing and Big Data tools, Data Analytics and applicable knowledge of Data Science concepts and tools
* Experience with data standardization and data governance processes
* Experience in analyzing data to draw business\-relevant conclusions, and ability to communicate them with data visualization techniques and tools
* Demonstrated strong communication and presentation skills (particularly to non\-technical audiences)
* Good team player, able to manage multiple assignments, and adapt to changing client needs
* Ability to work in a dynamic, collaborative, results\-driven environment
* Ability to obtain a Public Trust clearance
 Desired Skills
* Experience working with VA or other Federal agencies
* Experience in Federal Healthcare consulting
* Experience working with business improvement initiatives preferred
* Strong written and verbal communication skills including technical writing skills
*ECS is an equal opportunity employer and does not discriminate or allow discrimination on the basis any characteristic protected by law. All qualified applicants will receive consideration for employment without regard to disability, status as a protected veteran or any other status protected by applicable federal, state, or local jurisdiction law.*
 ECS is a leading mid\-sized provider of technology services to the United States Federal Government. We are focused on people, values and purpose. Every day, our 3300\+ employees focus on providing their technical talent to support the Federal Agencies and Departments of the US Government to serve, protect and defend the American People.</t>
        </is>
      </c>
    </row>
    <row r="33">
      <c r="A33" t="inlineStr">
        <is>
          <t>li-4378190342</t>
        </is>
      </c>
      <c r="B33" t="inlineStr">
        <is>
          <t>Transportation Data Scientist (Jr level)</t>
        </is>
      </c>
      <c r="C33" t="inlineStr">
        <is>
          <t>Leidos</t>
        </is>
      </c>
      <c r="D33" t="inlineStr">
        <is>
          <t>linkedin</t>
        </is>
      </c>
      <c r="E33">
        <f>HYPERLINK("https://www.linkedin.com/jobs/view/4378190342", "https://www.linkedin.com/jobs/view/4378190342")</f>
        <v/>
      </c>
      <c r="F33">
        <f>HYPERLINK("https://careers.leidos.com/jobs/17123897-junior-transportation-data-scientist?tm_job=R-00171849&amp;tm_event=view&amp;tm_company=2502&amp;bid=56&amp;urlHash=9A9P", "https://careers.leidos.com/jobs/17123897-junior-transportation-data-scientist?tm_job=R-00171849&amp;tm_event=view&amp;tm_company=2502&amp;bid=56&amp;urlHash=9A9P")</f>
        <v/>
      </c>
      <c r="G33" t="inlineStr">
        <is>
          <t>McLean, VA</t>
        </is>
      </c>
      <c r="H33" t="inlineStr"/>
      <c r="I33" t="inlineStr">
        <is>
          <t>**Description**
 Leidos is seeking a talented
 **Junior Transportation Data Scientist** 
 at the
 **junior level** 
 (
 *professional experience in the transportation space is required)* 
 to support FHWA\-funded projects at the intersection of AI, data science, and transportation. This role will involve assisting in the development and deployment of AI/ML models for applications such as vehicle load classification using weigh\-in\-motion (WIM) data and imagery, crash prediction in traffic management centers (TMCs), and creating data ecosystems for trustworthy AI. The ideal candidate will have foundational experience in AI model development, data integration, and stakeholder engagement, with a passion for exploring opportunities to apply AI in state\-level transportation initiatives. This position offers the chance to contribute to innovation in a dynamic, federally supported research environment.
**Location:** 
 This role requires full\-time
 **on\-site** 
 work at the customer site in
 **McLean, VA.**
 Learn about STOL here
 **: https://highways.dot.gov/turner\-fairbank\-highway\-research\-center/labs/STOL**
**Candidates MUST**
**All applicants must be legally authorized to work in the United States with proof of legal status and be eligible for a Public Trust Clearance, which includes three (3\) consecutive years in the United States within the last five (5\) years.**
**Primary Responsibilities**
* Assist in conducting data and literature reviews, including targeted searches for AI methods, datasets, and technologies relevant to freight analytics, traffic safety, and operations (e.g., sensor fusion, computer vision, and multimodal AI).
* Prepare and integrate datasets for AI use cases, including cleaning, normalizing, enriching, and fusing multi\-source data (e.g., traffic logs, imagery, weather, and permitting records) while addressing quality issues like inconsistency, sparsity, and bias.
* Contribute to the design, development, and deployment of AI/ML models for transportation applications, including classifying oversized/overweight (OS/OW) vehicles using WIM data and imagery, crash prediction in TMCs, and generating synthetic data for model training.
* Evaluate AI model performance under diverse conditions, such as varying data quality levels, and provide recommendations for improving model robustness, scalability, and trustworthiness in real\-world transportation environments.
* Support stakeholder outreach and engagement, including organizing peer exchanges, workshops, and technical briefings with state DOTs, MPOs, enforcement agencies, and vendors to gather insights on AI applications in WIM systems, permitting integration, and crash prediction.
* Assist in identifying and pursuing new opportunities with state DOTs for AI initiatives, including contributions to developing roadmaps, proposals, and implementation strategies for AI in ITS, such as anomaly detection, traffic optimization, and safety analytics.
* Collaborate with cross\-functional teams to ensure project alignment with FHWA goals, including risk management, quality assurance, and compliance with federal standards.
* Contribute to monthly progress reporting, risk mitigation, and iterative model refinement based on federal feedback.
**Required Qualifications**
* Bachelor’s degree in computer science, Data Science, Artificial Intelligence, Electrical Engineering, Transportation Engineering, or a related field; Master's preferred.
* Must have a minimum of one (1\)\+ years of PROFESSIONAL experience in the transportation space, data science, and AI/ML, with demonstrated familiarity in machine learning frameworks (e.g., TensorFlow, PyTorch, Scikit\-learn), data processing tools (e.g., Pandas, NumPy), and AI techniques (e.g., deep learning, generative AI like GANs, computer vision).
* MUST have experience with transportation\-specific data sources (e.g., HSIS, SHRP2, NGSIM) and standards (e.g., SAE J2735 for V2X).
* Strong experience in data preparation and integration, including ETL processes, handling multimodal data (e.g., imagery, sensor data, time\-series), and addressing data quality challenges in real\-world applications.
* Strong analytical skills with familiarity in model evaluation metrics (e.g., AUC, accuracy, scalability) and testing AI systems under varied conditions.
* Excellent communication and collaboration skills, with experience in stakeholder engagement, technical reporting, and presenting complex AI concepts to non\-technical audiences.\\ Ability to work in a fast\-paced, research\-oriented environment with travel up to 20% for stakeholder meetings and site visits.
* Ability to obtain and maintain a Public Trust clearance (which includes three years of immediate residency in the US).
* All applicants must be legally authorized to work in the United States without company sponsorship.
**Preferred Qualifications**
* Prior experience working with state DOTs or federal transportation agencies (e.g., FHWA, USDOT) on AI initiatives, including developing AI roadmaps, implementations, or evaluations in ITS.
* Experience in synthetic data generation, generative AI (e.g., LLMs), or physics\-informed ML for transportation applications.
* Knowledge of federal AI governance, risk management, and equity considerations in transportation.
* Project management experience, including leading AI tasks in multi\-agency initiatives or contributing to communities of practice (CoPs).
* Publications or presentations in AI/transportation conferences (e.g., TRB, ITS America).
* Anticipated salary range for this role is $75,000\-$100,000, depending on experience.
 At Leidos, we don’t want someone who "fits the mold"—we want someone who melts it down and builds something better. This is a role for the restless, the over\-caffeinated, the ones who ask, “what’s next?” before the dust settles on “what’s now.”
 If you’re already scheming step 20 while everyone else is still debating step 2… good. You’ll fit right in.
**Original Posting**
 December 9, 2025
 For U.S. Positions: While subject to change based on business needs, Leidos reasonably anticipates that this job requisition will remain open for at least 3 days with an anticipated close date of no earlier than 3 days after the original posting date as listed above.
**Pay Range**
 Pay Range $57,850\.00 \- $104,575\.00
 The Leidos pay range for this job level is a general guideline onlyand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**About Leidos**
 Leidos is an industry and technology leader serving government and commercial customers with smarter, more efficient digital and mission innovations. Headquartered in Reston, Virginia, with 47,000 global employees, Leidos reported annual revenues of approximately $16\.7 billion for the fiscal year ended January 3, 2025\. For more information, visit www.Leidos.com.
**Pay And Benefits**
 Pay and benefits are fundamental to any career decision. That's why we craft compensation packages that reflect the importance of the work we do for our customers. Employment benefits include competitive compensation, Health and Wellness programs, Income Protection, Paid Leave and Retirement. More details are available at www.leidos.com/careers/pay\-benefits.
**Securing Your Data**
 Beware of fake employment opportunities using Leidos’ name. Leidos will never ask you to provide payment\-related information during any part of the employment application process (i.e., ask you for money), nor will Leidos ever advance money as part of the hiring process (i.e., send you a check or money order before doing any work). Further, Leidos will only communicate with you through emails that are generated by the Leidos.com automated system – never from free commercial services (e.g., Gmail, Yahoo, Hotmail) or via WhatsApp, Telegram, etc. If you received an email purporting to be from Leidos that asks for payment\-related information or any other personal information (e.g., about you or your previous employer), and you are concerned about its legitimacy, please make us aware immediately by emailing us at LeidosCareersFraud@leidos.com.
 If you believe you are the victim of a scam, contact your local law enforcement and report the incident to the U.S. Federal Trade Commission.
**Commitment to Non\-Discrimination**
 All qualified applicants will receive consideration for employment without regard to sex, race, ethnicity, age, national origin, citizenship, religion, physical or mental disability, medical condition, genetic information, pregnancy, family structure, marital status, ancestry, domestic partner status, sexual orientation, gender identity or expression, veteran or military status, or any other basis prohibited by law. Leidos will also consider for employment qualified applicants with criminal histories consistent with relevant laws.</t>
        </is>
      </c>
    </row>
    <row r="34">
      <c r="A34" t="inlineStr">
        <is>
          <t>li-4379401001</t>
        </is>
      </c>
      <c r="B34" t="inlineStr">
        <is>
          <t>Data Engineer/Data Scientist onsite in Nashville</t>
        </is>
      </c>
      <c r="C34" t="inlineStr">
        <is>
          <t>Capgemini</t>
        </is>
      </c>
      <c r="D34" t="inlineStr">
        <is>
          <t>linkedin</t>
        </is>
      </c>
      <c r="E34">
        <f>HYPERLINK("https://www.linkedin.com/jobs/view/4379401001", "https://www.linkedin.com/jobs/view/4379401001")</f>
        <v/>
      </c>
      <c r="F34" t="inlineStr"/>
      <c r="G34" t="inlineStr">
        <is>
          <t>Texas, United States</t>
        </is>
      </c>
      <c r="H34" t="inlineStr"/>
      <c r="I34" t="inlineStr">
        <is>
          <t>**Thanks for your interest, please apply only after reading 1 to 4\. You must work 100% in office in Nashville not remote from North Carolina, relocate at your own expense.** 
**You must starts April 13th 2026 at the 6 weeks training session, not able to start after** 
**You must have graduated 2025 and before not graduating in 2026\.** 
**You must have 1 year\+ minimum post graduate experience in AWS or Azure or Databricks or Google Cloud (internship experience not included)**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Design, build, and maintain ETL/ELT pipelines using Databricks (PySpark, Delta Lake).
 Optimize pipelines for performance, cost efficiency, and scalability within GCP.
 Develop batch and streaming data processes using Spark Streaming, and related technologies.
 Cloud Architecture \&amp; Platform Engineering
 Implement data solutions leveraging GCP services such as BigQuery, Cloud Storage, Dataflow, Cloud Composer, and Vertex AI integrations.
 Apply best practices for cloud security, IAM configuration, monitoring, and cost management.
 Data Modeling \&amp; Quality
 Build and maintain data models, including dimensional modeling and data vault structures.
 Implement data quality frameworks, validation rules, and automated testing.
 Manage data versioning, governance, and lineage using tools such as Unity Catalog or GCP Data Catalog.
 Collaboration \&amp; Stakeholder Engagement
 Partner with cross‑functional teams to gather requirements and translate them into technical designs.
 Provide technical guidance and influence engineering best practices across the team.
 Contribute to documentation, architectural diagrams, and knowledge sharing.
**Required Qualifications** 
 1\+ years of experience as a Data Engineer or similar role.
 Strong hands\-on experience with Databricks, including:
 PySpark/Spark
 Delta Lake
 Databricks workflows/jobs
 Proficiency with GCP:
 BigQuery
 Cloud Storage
 Dataflow or Dataproc
 Strong coding skills in Python and SQL.
 Solid understanding of distributed systems, data warehousing, and data architecture principles.
 Experience with CI/CD tools (GitHub, GitLab, Azure DevOps, or similar).
 Preferred Qualifications
 Databricks or GCP certifications (e.g., Data Engineer, Architect).
 Experience with Terraform or other Infrastructure\-as\-Code tools.
 Knowledge of ML workflows or MLOps frameworks.
 Familiarity with data governance tools (Unity Catalog, Great Expectations, dbt, etc.).
 Soft Skills
 Excellent problem\-solving and analytical abilities.
 Strong communication skills and the ability to work effectively with technical and non\-technical teams.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Paid time off based on employee grade (A\-F), defined by policy: Vacation: 12\-25 days, depending on grade, Company paid holidays, Personal Days, Sick Leave
 Medical, dental, and vision coverage (or provincial healthcare coordination in Canada)
 Retirement savings plans (e.g., 401(k) in the U.S., RRSP in Canada)
 Life and disability insurance
 Employee assistance programs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35">
      <c r="A35" t="inlineStr">
        <is>
          <t>li-4379193439</t>
        </is>
      </c>
      <c r="B35" t="inlineStr">
        <is>
          <t>Data Engineer/Data Scientist onsite in Nashville</t>
        </is>
      </c>
      <c r="C35" t="inlineStr">
        <is>
          <t>Capgemini</t>
        </is>
      </c>
      <c r="D35" t="inlineStr">
        <is>
          <t>linkedin</t>
        </is>
      </c>
      <c r="E35">
        <f>HYPERLINK("https://www.linkedin.com/jobs/view/4379193439", "https://www.linkedin.com/jobs/view/4379193439")</f>
        <v/>
      </c>
      <c r="F35" t="inlineStr"/>
      <c r="G35" t="inlineStr">
        <is>
          <t>Illinois, United States</t>
        </is>
      </c>
      <c r="H35" t="inlineStr"/>
      <c r="I35" t="inlineStr">
        <is>
          <t>**Thanks for your interest, please apply only after reading 1 to 4\. You must work 100% in office in Nashville not remote from Chicago, relocate at your own expense.** 
**You must starts April 13th 2026 at the 6 weeks training session, not able to start after** 
**You must have graduated 2025 and before not graduating in 2026\.** 
**You must have 1 year\+ minimum post graduate experience in AWS or Azure or Databricks or Google Cloud (internship experience not included)**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Design, build, and maintain ETL/ELT pipelines using Databricks (PySpark, Delta Lake).
 Optimize pipelines for performance, cost efficiency, and scalability within GCP.
 Develop batch and streaming data processes using Spark Streaming, and related technologies.
 Cloud Architecture \&amp; Platform Engineering
 Implement data solutions leveraging GCP services such as BigQuery, Cloud Storage, Dataflow, Cloud Composer, and Vertex AI integrations.
 Apply best practices for cloud security, IAM configuration, monitoring, and cost management.
 Data Modeling \&amp; Quality
 Build and maintain data models, including dimensional modeling and data vault structures.
 Implement data quality frameworks, validation rules, and automated testing.
 Manage data versioning, governance, and lineage using tools such as Unity Catalog or GCP Data Catalog.
 Collaboration \&amp; Stakeholder Engagement
 Partner with cross‑functional teams to gather requirements and translate them into technical designs.
 Provide technical guidance and influence engineering best practices across the team.
 Contribute to documentation, architectural diagrams, and knowledge sharing.
**Required Qualifications** 
 1\+ years of experience as a Data Engineer or similar role.
 Strong hands\-on experience with Databricks, including:
 PySpark/Spark
 Delta Lake
 Databricks workflows/jobs
 Proficiency with GCP:
 BigQuery
 Cloud Storage
 Dataflow or Dataproc
 Strong coding skills in Python and SQL.
 Solid understanding of distributed systems, data warehousing, and data architecture principles.
 Experience with CI/CD tools (GitHub, GitLab, Azure DevOps, or similar).
 Preferred Qualifications
 Databricks or GCP certifications (e.g., Data Engineer, Architect).
 Experience with Terraform or other Infrastructure\-as\-Code tools.
 Knowledge of ML workflows or MLOps frameworks.
 Familiarity with data governance tools (Unity Catalog, Great Expectations, dbt, etc.).
 Soft Skills
 Excellent problem\-solving and analytical abilities.
 Strong communication skills and the ability to work effectively with technical and non\-technical teams.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Paid time off based on employee grade (A\-F), defined by policy: Vacation: 12\-25 days, depending on grade, Company paid holidays, Personal Days, Sick Leave
 Medical, dental, and vision coverage (or provincial healthcare coordination in Canada)
 Retirement savings plans (e.g., 401(k) in the U.S., RRSP in Canada)
 Life and disability insurance
 Employee assistance programs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36">
      <c r="A36" t="inlineStr">
        <is>
          <t>li-4380323307</t>
        </is>
      </c>
      <c r="B36" t="inlineStr">
        <is>
          <t>Applied Scientist, SPX AI Lab</t>
        </is>
      </c>
      <c r="C36" t="inlineStr">
        <is>
          <t>Amazon</t>
        </is>
      </c>
      <c r="D36" t="inlineStr">
        <is>
          <t>linkedin</t>
        </is>
      </c>
      <c r="E36">
        <f>HYPERLINK("https://www.linkedin.com/jobs/view/4380323307", "https://www.linkedin.com/jobs/view/4380323307")</f>
        <v/>
      </c>
      <c r="F36">
        <f>HYPERLINK("https://www.amazon.jobs/jobs/3193573/applied-scientist-spx-ai-lab?cmpid=SPLICX0248M&amp;utm_source=linkedin.com&amp;utm_campaign=cxro&amp;utm_medium=social_media&amp;utm_content=job_posting&amp;ss=paid&amp;urlHash=Vn-q", "https://www.amazon.jobs/jobs/3193573/applied-scientist-spx-ai-lab?cmpid=SPLICX0248M&amp;utm_source=linkedin.com&amp;utm_campaign=cxro&amp;utm_medium=social_media&amp;utm_content=job_posting&amp;ss=paid&amp;urlHash=Vn-q")</f>
        <v/>
      </c>
      <c r="G36" t="inlineStr">
        <is>
          <t>Seattle, WA</t>
        </is>
      </c>
      <c r="H36" t="inlineStr"/>
      <c r="I36" t="inlineStr">
        <is>
          <t>**Description**
 Amazon Seller Assistant is our flagship GenAI\-first, multi\-agent system that reimagines seller experience. Our vision is to provide each seller with a proactive, autonomous, agentic assistant that understands their business and helps them navigate the complexities of selling by anticipating their needs, surfacing insights, resolving issues, taking actions on their behalf, and helping them grow. Amazon Seller Assistant helps millions of sellers on Amazon serve billions of customers worldwide.
 We are seeking a world\-class Applied Scientist to help define and build the next generation of Amazon Seller Assistant. You will partner with top\-tier scientists and engineers to launch production\-grade agentic capabilities at Amazon's scale — owning your problem space end\-to\-end, from a crisp customer insight to a shipped product that millions of sellers rely on.
 Key job responsibilities
* Use state\-of\-the\-art Machine Learning and Generative AI techniques to create the next generation of the tools that empower Amazon's Selling Partners to succeed.
* Design, develop and deploy highly innovative models to interact with Sellers and delight them with solutions.
* Work closely with teams of scientists and software engineers to drive real\-time model implementations and deliver novel and highly impactful features.
* Establish scalable, efficient, automated processes for large scale data analyses, model benchmarking, model validation and model implementation.
* Research and implement novel machine learning and statistical approaches.
* Participate in strategic initiatives to employ the most recent advances in ML in a fast\-paced, experimental environment.
**About The Team**
 Amazon Seller Assistant team operates at the very frontier of agentic AI and agentic commerce — not as a research group, but as a team shipping production\-grade, multi\-agent systems used by millions of sellers worldwide. We move with the urgency of a startup and the resources of the world's most customer\-obsessed company, transforming the latest breakthroughs in science and engineering into capabilities that sellers rely on every day.
**Basic Qualifications**
* PhD, or Master's degree and 4\+ years of CS, CE, ML or related field experience
* 3\+ years of building machine learning models or developing algorithms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in patents or publications at top\-tier peer\-reviewed conferences or journals
* Experience in investigating, designing, prototyping, and delivering new and innovative system solutions
* Demonstrated experience leveraging generative AI tools to enhance workflow efficiency and productivity, with the ability to craft effective prompts and critically evaluate AI\-generated outputs in a professional setting
* Experience identifying opportunities to integrate AI solutions into products and services to drive business value.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\- 142,800\.00 \- 193,200\.00 USD annually
**Company** 
 \- Amazon.com Services LLC
 Job ID: A3193573</t>
        </is>
      </c>
    </row>
    <row r="37">
      <c r="A37" t="inlineStr">
        <is>
          <t>li-4370529996</t>
        </is>
      </c>
      <c r="B37" t="inlineStr">
        <is>
          <t>Applied Scientist II, Industrial Robotics Group</t>
        </is>
      </c>
      <c r="C37" t="inlineStr">
        <is>
          <t>Amazon</t>
        </is>
      </c>
      <c r="D37" t="inlineStr">
        <is>
          <t>linkedin</t>
        </is>
      </c>
      <c r="E37">
        <f>HYPERLINK("https://www.linkedin.com/jobs/view/4370529996", "https://www.linkedin.com/jobs/view/4370529996")</f>
        <v/>
      </c>
      <c r="F37" t="inlineStr"/>
      <c r="G37" t="inlineStr">
        <is>
          <t>Massachusetts, United States</t>
        </is>
      </c>
      <c r="H37" t="inlineStr"/>
      <c r="I37" t="inlineStr">
        <is>
          <t>**Description**
 Amazon Industrial Robotics Group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At Amazon Industrial Robotics Group, we leverage advanced robotics, machine learning, and artificial intelligence to solve complex operational challenges at an unprecedented scale. Our fleet of robots operates across hundreds of facilities worldwide, working in sophisticated coordination to fulfill our mission of customer excellence.
 We are pioneering the development of dexterous manipulation system that:
* Enables unprecedented generalization across diverse tasks
* Enables contact\-rich manipulation in different environments
* Seamlessly integrates low\-level skills and high\-level behaviors
* Leverage mechanical intelligence, multi\-modal sensor feedback and advanced control techniques.
 The ideal candidate will contribute to research that bridges the gap between theoretical advancement and practical implementation in robotics. You will be part of a team that's revolutionizing how robots learn, adapt, and interact with their environment.
 Join us in building the next generation of intelligent robotics systems that will transform the future of automation and human\-robot collaboration.
 Key job responsibilities
* Design and implement methods for dexterous manipulation
* Design and implement methods for use of dexterous end effectors with force and tactile sensing
* Develop a hierarchical system that combines low\-level control with high\-level planning
* Utilize state\-of\-the\-art manipulation models and optimal control techniques
**Basic Qualifications**
* PhD, or Master's degree and 4\+ years of CS, CE, ML or related field experience
* Experience with state\-of\-the\-art in robotic manipulation models
* Experience with data generation in simulation and real world
* Experience in developing techniques that utilize multi\-modal sensor data from the arm and hands
**Preferred Qualifications**
* PhD in Robotics, with focus on dexterous manipulation
* Experience in motion primitives, vision\-language\-action models, and model predictive control
* Experience with robotics frameworks for fast prototyping (Matlab, ROS,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\- 142,800\.00 \- 193,200\.00 USD annually
**Company** 
 \- Amazon.com Services LLC
 Job ID: A3173326</t>
        </is>
      </c>
    </row>
    <row r="38">
      <c r="A38" t="inlineStr">
        <is>
          <t>li-4380322181</t>
        </is>
      </c>
      <c r="B38" t="inlineStr">
        <is>
          <t>Principal Data Scientist</t>
        </is>
      </c>
      <c r="C38" t="inlineStr">
        <is>
          <t>Microsoft AI</t>
        </is>
      </c>
      <c r="D38" t="inlineStr">
        <is>
          <t>linkedin</t>
        </is>
      </c>
      <c r="E38">
        <f>HYPERLINK("https://www.linkedin.com/jobs/view/4380322181", "https://www.linkedin.com/jobs/view/4380322181")</f>
        <v/>
      </c>
      <c r="F38" t="inlineStr"/>
      <c r="G38" t="inlineStr">
        <is>
          <t>Mountain View, CA</t>
        </is>
      </c>
      <c r="H38" t="inlineStr"/>
      <c r="I38" t="inlineStr">
        <is>
          <t>**Overview**
 We are inviting you to join the Microsoft Advertising Data Science Team. Microsoft Advertising platform is the single stop shop for all monetization needs for Publishers and Advertisers globally. Our team manages the marketplace, which includes monitoring business metrics, defining metrics, building analytical \&amp; experimentation frameworks, and enabling leadership to make data driven decisions. The team works across Engineering, Product and Business to address complex data science problems across users, advertisers, and publishers.
 We are looking for high\-energy, creative modeling geeks who are willing to work in a dynamic environment to solve real life day to day problems, leveraging data science techniques. You will enjoy and be successful in this role if you are curious and willing to challenge the status quo and come up with data driven solutions to ambiguous problems.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Measurement: Define, invent, and deliver metrics which accurately measure user and business value across various products and marketplace components.
* Experimental Design: Think critically about sampling and experimental design across User and Demand dimensions.
* Product Iteration: Interpret the results of analyses, validate approaches, and learn to monitor, analyze, and iterate to continuously improve.
* Cooperation: Partner effectively with program management, engineers, and other areas of the business across our Consumer online business
* Influence: engage with stakeholders to produce clear, compelling, and actionable insights and data\-science driven workflows that influence product and service improvements.
* Make independent decisions for the team and handle difficult tradeoffs
* Translate strategy into plans that are clear and measurable, with progress shared out monthly to stakeholders.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 OR Master's Degree in Data Science, Mathematics, Statistics, Econometrics, Economics, Operations Research, Computer Science, or related field AND 7\+ years data\-science experience (e.g., managing structured and unstructured data, applying statistical techniques and reporting results)
+ OR Bachelor's Degree in Data Science, Mathematics, Statistics, Econometrics, Economics, Operations Research, Computer Science, or related field AND 10\+ years data science experience (e.g., managing structured and unstructured data, applying statistical techniques and reporting results)
+ OR equivalent experience.
**Preferred Qualifications**
* 5\+ years of experience in at least one of programming languages like Python/R/MATLAB/C\#/Java/C\+\+.
* Organizational, analytical, data science skills.
* Problem solver: ability to solve problems that the world has not solved before.
* Interpersonal skills: cross\-group and cross\-culture collaboration.
* Experience with real world system building and data collection, including design, coding and evaluation.
* Excellent communication to be able to communicate insights to senior leaders.
* Experience with driving large collaboration across multiple teams.
* Demonstrated experience in applying statistics, experimentation and metrics to generate clear actionable insights.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\#MicrosoftAI \#MAI \#DataScience \#DataScientist \#MicrosoftAds \#Experimentation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9">
      <c r="A39" t="inlineStr">
        <is>
          <t>li-4378881275</t>
        </is>
      </c>
      <c r="B39" t="inlineStr">
        <is>
          <t>DATA SCIENTIST</t>
        </is>
      </c>
      <c r="C39" t="inlineStr">
        <is>
          <t>Jobs via Dice</t>
        </is>
      </c>
      <c r="D39" t="inlineStr">
        <is>
          <t>linkedin</t>
        </is>
      </c>
      <c r="E39">
        <f>HYPERLINK("https://www.linkedin.com/jobs/view/4378881275", "https://www.linkedin.com/jobs/view/4378881275")</f>
        <v/>
      </c>
      <c r="F39">
        <f>HYPERLINK("https://click.appcast.io/t/f0ruKesS2SJyh_qk7cRir7FU7tyP_iMmqYWFYJDbxtk=&amp;urlHash=LmJv", "https://click.appcast.io/t/f0ruKesS2SJyh_qk7cRir7FU7tyP_iMmqYWFYJDbxtk=&amp;urlHash=LmJv")</f>
        <v/>
      </c>
      <c r="G39" t="inlineStr">
        <is>
          <t>Sunnyvale, CA</t>
        </is>
      </c>
      <c r="H39" t="inlineStr"/>
      <c r="I39" t="inlineStr">
        <is>
          <t>Dice is the leading career destination for tech experts at every stage of their careers. Our client, SRI Tech Solutions, is seeking the following. Apply via Dice today!
 We are seeking a skilled senior
 **Data Scientist** 
 to join our dynamic team. In this role, you will be instrumental in analyzing large datasets, developing predictive models, and deploying machine learning solutions. The ideal candidate will leverage expertise in Python to drive data\-driven decision\-making and contribute to organizational success.
**Key Responsibilities**
* Conduct in\-depth exploratory data analysis to extract actionable insights and support strategic initiatives.
* Design, build, and validate machine learning models to address business challenges.
* Utilize Python for data processing, statistical analysis, and model development.
* Manage the end\-to\-end lifecycle of machine learning models, including deployment, monitoring, and maintenance using MLOps practices.
* Collaborate with cross\-functional teams to define project requirements and deliver robust data science solutions.
**Qualifications And Skills**
* Strong grasp of Data Science/Machine Learning concepts and methodologies with solid statistical knowledge.
* Proficiency in Python and its data science libraries (e.g., Pandas, NumPy, Scikit\-learn).
* Hands\-on experience with data analysis and statistical model development techniques.
* Experience in building Predictive Modelling, Unsupervised Modelling, Time Series Forecasting models.
* Knowledge in Bayesian Modelling will be an added advantage
* MLOps skills to deploy and maintain machine learning models.
* Strong problem\-solving skills and ability to communicate complex findings to both technical and non\-technical audiences.</t>
        </is>
      </c>
    </row>
    <row r="40">
      <c r="A40" t="inlineStr">
        <is>
          <t>li-4380326188</t>
        </is>
      </c>
      <c r="B40" t="inlineStr">
        <is>
          <t>Principal Applied Scientist</t>
        </is>
      </c>
      <c r="C40" t="inlineStr">
        <is>
          <t>Microsoft AI</t>
        </is>
      </c>
      <c r="D40" t="inlineStr">
        <is>
          <t>linkedin</t>
        </is>
      </c>
      <c r="E40">
        <f>HYPERLINK("https://www.linkedin.com/jobs/view/4380326188", "https://www.linkedin.com/jobs/view/4380326188")</f>
        <v/>
      </c>
      <c r="F40">
        <f>HYPERLINK("https://apply.careers.microsoft.com/careers/job/1970393556643393?utm_source=mai_linkedin&amp;domain=microsoft.com&amp;source=LinkedIn&amp;urlHash=Sfe8", "https://apply.careers.microsoft.com/careers/job/1970393556643393?utm_source=mai_linkedin&amp;domain=microsoft.com&amp;source=LinkedIn&amp;urlHash=Sfe8")</f>
        <v/>
      </c>
      <c r="G40" t="inlineStr">
        <is>
          <t>New York, NY</t>
        </is>
      </c>
      <c r="H40" t="inlineStr"/>
      <c r="I40" t="inlineStr">
        <is>
          <t>**Overview**
 Join the Signals Modeling team, part of Microsoft AI Ads Engineering, to shape the future of advanced AI at web scale.
 In this role, the
 **Principal Applied Scientist** 
 will design and implement state\-of\-the\-art machine learning models and algorithms that power key systems within Microsoft Ads, Copilot, and beyond. The work will directly impact millions of users and advertisers by delivering scalable solutions that enhance ad relevance and optimize user and advertiser experiences.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Develop and deploy cutting\-edge machine learning models, including transformers, generative AI, and reinforcement learning, to optimize user interactions and ad relevance across Microsoft Ads and Copilot.
* Design scalable algorithms for online and offline systems, delivering innovative solutions for ads selection, ad generation and ad relevance.
* Drive experimentation through A/B testing and offline validation to evaluate model performance and refine user behavior predictions.
* Build robust data pipelines and frameworks for handling large\-scale, high\-dimensional datasets to support advanced AI applications.
* Stay at the forefront of AI research, incorporating the latest advancements to drive innovation and impact across Microsoft platforms.
**Qualifications**
**Required Qualifications:**
* Bachelor's Degree in Statistics, Econometrics, Computer Science, Electrical or Computer Engineering, or related field AND 6\+ years related experience (e.g., statistics, predictive analytics, research)
+ OR Master's Degree in Statistics, Econometrics, Computer Science, Electrical or Computer Engineering, or related field AND 4\+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**Preferred Qualifications**
* Master's Degree in Statistics, Econometrics, Computer Science, Electrical or Computer Engineering, or related field AND 9\+ years related experience (e.g., statistics, predictive analytics, research)
+ OR Doctorate in Statistics, Econometrics, Computer Science, Electrical or Computer Engineering, or related field AND 6\+ years related experience (e.g., statistics, predictive analytics, research)
+ OR equivalent experience.
* Proven experience in programming and data analysis skills.
* Proven expertise in the areas of Generative AI, deep learning, Reinforcement learning, transformers or LLM.
* 6\+ years of experience in developing and deploying large\-scale machine learning models.
 \#MicrosoftAI
 Applied Sciences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1">
      <c r="A41" t="inlineStr">
        <is>
          <t>li-4380313324</t>
        </is>
      </c>
      <c r="B41" t="inlineStr">
        <is>
          <t>Principal Data Scientist</t>
        </is>
      </c>
      <c r="C41" t="inlineStr">
        <is>
          <t>Microsoft AI</t>
        </is>
      </c>
      <c r="D41" t="inlineStr">
        <is>
          <t>linkedin</t>
        </is>
      </c>
      <c r="E41">
        <f>HYPERLINK("https://www.linkedin.com/jobs/view/4380313324", "https://www.linkedin.com/jobs/view/4380313324")</f>
        <v/>
      </c>
      <c r="F41" t="inlineStr"/>
      <c r="G41" t="inlineStr">
        <is>
          <t>Redmond, WA</t>
        </is>
      </c>
      <c r="H41" t="inlineStr"/>
      <c r="I41" t="inlineStr">
        <is>
          <t>**Overview**
 The Bing organization is looking for a Principal Data and Applied Scientist for its online metric team. The team is pushing the boundaries of online A/B experimentation capabilities and impact measurement methods, as well as informs our understanding for how users engage with search engines and integrated AI experiences and then translates the insights into actionable metrics. These metrics provide direction to the Bing and MAI organization and help engineers make the right ship decisions for their thousands of A/B experiments.
 Bing.com reaches about a billion people worldwide, and we have a large opportunity to grow further. At Bing, we celebrate our data driven culture: changes only ship when their impact is understood and positive. This role is at the center of what defines our decision\-making processes and is an excellent opportunity to make a multiplicative impact across the org.
 As a data and applied scientist in this team, you will have the chance to work on and deliver metrics that drive the direction of major Bing initiatives. You will have the chance to be involved in the analysis and decision making for 1000s of online controlled A/B experiments. Come join us!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Drive innovation in large\-scale online A/B experimentation for AI\-powered web search, designing, building, and monitoring success metrics that directly measure user satisfaction, trust, and long\-term retention across Bing experiences.
* Serve as a technical visionary and thought leader in online experimentation, shaping the future of product learning through research\-driven, AI\-enabled approaches that support trustworthy, agile, and evidence\-based decision\-making at global scale.
* Provide senior technical leadership and deep industry perspective, guiding cross\-functional partners in the adoption of advanced experimentation platforms, causal inference techniques, and modern data science methodologies to deliver high\-impact, scientifically rigorous experimentation programs.
* Build and scale advanced experimentation expertise across teams, spanning specialized tools, statistical methods, and ML\-driven evaluation frameworks, to drive measurable business outcomes and extend the reach and impact of Search’s end\-to\-end experimentation ecosystem.
**Qualifications**
**Required Qualifications:**
* Doctorate in Data Science, Mathematics, Statistics, Econometrics, Economics, Operations Research, Computer Science, or related field AND 5\+ years data\-science experience (e.g., managing structured and unstructured data, applying statistical techniques and reporting results)
+ OR Master's Degree in Data Science, Mathematics, Statistics, Econometrics, Economics, Operations Research, Computer Science, or related field AND 7\+ years data\-science experience (e.g., managing structured and unstructured data, applying statistical techniques and reporting results)
+ OR Bachelor's Degree in Data Science, Mathematics, Statistics, Econometrics, Economics, Operations Research, Computer Science, or related field AND 10\+ years data science experience (e.g., managing structured and unstructured data, applying statistical techniques and reporting results)
+ OR equivalent experience.
**Additional Or Preferred Qualifications**
* Doctorate in Data Science, Mathematics, Statistics, Econometrics, Economics, Operations Research, Computer Science, or related field AND 8\+ years data\-science experience (e.g., managing structured and unstructured data, applying statistical techniques and reporting results)
+ OR Master's Degree in Data Science, Mathematics, Statistics, Econometrics, Economics, Operations Research, Computer Science, or related field AND 10\+ years data\-science experience (e.g., managing structured and unstructured data, applying statistical techniques and reporting results)
+ OR Bachelor's Degree in Data Science, Mathematics, Statistics, Econometrics, Economics, Operations Research, Computer Science, or related field AND 12\+ years data\-science experience (e.g., managing structured and unstructured data, applying statistical techniques and reporting results)
+ OR equivalent experience.
+ Experience with SQL\-like query languages
+ Hands on experience in design \&amp; problem\-solving skills with one or more programming languages, such as Python, Java, C\# or C\+\+
+ Ability to work independently, influence others, and solid communication and collaboration skills.
* Familiarity with search engines, dealing with online instrumentation.
* Experience with large datasets and interest in consumer online search behaviors.
* Experience with building machine learning models on large scale data.
 At Microsoft, our mission is to empower every person and organization on the planet to achieve more. We foster a culture of inclusion, growth, and innovation, built on values of respect, integrity, and accountability. If you're passionate about driving meaningful impact, solving complex problems, and contributing to a growing organization, we would love to hear from you.
 \#MicrosoftAI \#Search \#MAI \#nextplay \#searchjobs
 Data Science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2">
      <c r="A42" t="inlineStr">
        <is>
          <t>li-4375231102</t>
        </is>
      </c>
      <c r="B42" t="inlineStr">
        <is>
          <t>Senior Data Scientist</t>
        </is>
      </c>
      <c r="C42" t="inlineStr">
        <is>
          <t>Jobs via eFinancialCareers</t>
        </is>
      </c>
      <c r="D42" t="inlineStr">
        <is>
          <t>linkedin</t>
        </is>
      </c>
      <c r="E42">
        <f>HYPERLINK("https://www.linkedin.com/jobs/view/4375231102", "https://www.linkedin.com/jobs/view/4375231102")</f>
        <v/>
      </c>
      <c r="F42" t="inlineStr"/>
      <c r="G42" t="inlineStr">
        <is>
          <t>New York, NY</t>
        </is>
      </c>
      <c r="H42" t="inlineStr"/>
      <c r="I42" t="inlineStr">
        <is>
          <t>**Job Summary**
 As a Senior Data Scientist, you will leverage cutting\-edge technologies and methodologies to deliver data\-driven insights and solutions for complex customer needs. You will work on end\-to\-end solutions, including building Proof of Concepts (POCs), professional services, and integrating third\-party technologies with client systems. This role is pivotal to ensuring the successful implementation of data science\-driven products and capabilities, with a key focus on AI, machine learning, and Natural Language Processing (NLP). You will collaborate closely with cross\-functional teams, delivering innovative solutions to customers in highly dynamic, data\-intensive environments.
**Role \&amp; Responsibilities**
* Lead and execute complex customer engagements, utilizing specialized expertise in AI, Machine Learning, and NLP, including building POCs, integrations, and deployments with customer workflows.
* Apply a combination of technical, product, and data science expertise to co\-create solutions that address specific customer needs, including ideation, clarification, technical design, and documentation.
* Lead detailed customer presentations for complex technical propositions, focusing on explaining advanced data science concepts and AI/ML solutions in an accessible way.
* Manage relationships with internal and external stakeholders, ensuring that project and customer\-specific technical requirements are captured, refined, and translated into actionable solutions.
* Oversee and contribute to the development of Proof of Concepts, ensuring integration with customer workflows and systems.
* Lead the technical design and implementation of AI and machine learning solutions that integrate with existing client infrastructure.
* Drive the adoption of advanced data science and AI technologies to deliver high\-value solutions.
* Develop and present strategies for scaling AI solutions, utilizing cloud platforms (Azure, AWS, GCP) for production\-ready deployments.
* Lead and mentor junior team members, fostering a collaborative environment for continuous learning and technical growth.
**Qualifications and Experience Required**
* 10\+ years of experiencein data science or a related field, with a focus on AI, machine learning, and NLP, preferably in a senior technical or leadership role.
* Bachelor's or Master's degreein Computer Science, Engineering, Data Science, or related field. A Ph.D. in a relevant field is a plus.
* Expertise in Natural Language Processing (NLP)with a deep understanding of the latest NLP stack, including transformer\-based architectures such as BERT, GPT, T5, and newer models like GPT\-4, PaLM, and other state\-of\-the\-art large language models (LLMs) that are driving the evolution of NLP applications.
* Extensive experiencewith advanced machine learning and deep learning frameworks such as TensorFlow 2\.x, PyTorch, Hugging Face, and JAX for NLP and other advanced AI tasks.
* Deep knowledge of cloud services (AWS, GCP, Azure)and their use in data science workflows, particularly for deploying machine learning models at scale.
* Expertise in Python, with advanced knowledge of modern data science and machine learning libraries such as Pandas, NumPy, SciPy, scikit\-learn, spaCy, as well as cutting\-edge NLP frameworks like Hugging Face Transformers, Datasets, and NLTKfor efficient model training, fine\-tuning, and data preprocessing.
* Strong programming skills in Python, R, and SQL, with advanced proficiency in handling large\-scale data using distributed data systemslike Apache Spark, cloud\-native NoSQL databasessuch as MongoDB, Cassandra, and DynamoDB, as well as search engines like Elasticsearchand vector databasesfor semantic search (e.g., Pinecone, Weaviate).
* Hands\-on experiencewith data ingestion, data wrangling, and data pipeline orchestration using tools like Apache Kafka, Apache Spark, Airflow, and distributed computing frameworks like Daskand Ray.
* Experience with advanced data science methodologies, including ensemble learning, deep reinforcement learning, transfer learning, and deploying large pre\-trained modelsfor real\-time inference and production.
* Ability to design, prototype, and deploy NLP modelsfor a range of applications, from information retrieval to sentiment analysis, chatbots, and question answering systems.
* Demonstrated success in delivering solutions in complex, fast\-paced environments with a focus on customer satisfaction and technical excellence.
* Strong communication skills, with the ability to explain complex technical concepts to both technical and non\-technical stakeholders.
* Proven experience in customer\-facing rolesis highly valued, particularly in the enterprise tech or financial sectors.
* Familiarity with AI\-powered product developmentin industries such as finance, healthcare, or e\-commerce.
* Experience with data visualization toolslike Tableau, Power BI, or Plotlyto present data science findings effectively.
* Knowledge of regulatory requirements in finance, including experience working with financial data feeds and APIs.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You will be part of a collaborative and creative culture where we encourage new ideas and are committed to sustainability across our global business. You will experience the critical role we have in helping to re\-engineer the financial ecosystem to support and drive sustainable economic growth. Together, we are aiming to achieve this growth by accelerating the just transition to net zero, enabling growth of the green economy and creating inclusive economic opportunity.
 LSEG offers a range of tailored benefits and support, including healthcare, retirement planning, paid volunteering days and wellbeing initiatives.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Please take a moment to read this privacy notice carefully, as it describes what personal information London Stock Exchange Group (LSEG) (we) may hold about you, what it's used for, and how it's obtained, your rights and how to contact us as a data subject .
 If you are submitting as a Recruitment Agency Partner, it is essential and your responsibility to ensure that candidates applying to LSEG are aware of this privacy notice.</t>
        </is>
      </c>
    </row>
    <row r="43">
      <c r="A43" t="inlineStr">
        <is>
          <t>li-4310435145</t>
        </is>
      </c>
      <c r="B43" t="inlineStr">
        <is>
          <t>Senior Exploitation Specialist/Data Scientist (NGA St. Louis) - Expression of Interest</t>
        </is>
      </c>
      <c r="C43" t="inlineStr">
        <is>
          <t>Woolpert</t>
        </is>
      </c>
      <c r="D43" t="inlineStr">
        <is>
          <t>linkedin</t>
        </is>
      </c>
      <c r="E43">
        <f>HYPERLINK("https://www.linkedin.com/jobs/view/4310435145", "https://www.linkedin.com/jobs/view/4310435145")</f>
        <v/>
      </c>
      <c r="F43">
        <f>HYPERLINK("https://job-boards.greenhouse.io/woolpert/jobs/4028214009?gh_src=gybt3izf9us&amp;urlHash=pLYv", "https://job-boards.greenhouse.io/woolpert/jobs/4028214009?gh_src=gybt3izf9us&amp;urlHash=pLYv")</f>
        <v/>
      </c>
      <c r="G43" t="inlineStr">
        <is>
          <t>St Louis, MO</t>
        </is>
      </c>
      <c r="H43" t="inlineStr"/>
      <c r="I43" t="inlineStr">
        <is>
          <t>**We seek to move the world forward through innovative thinking.**
 Woolpert is an award\-winning, global leader in architecture, engineering, and geospatial services. We blend design excellence with cutting\-edge technology to deliver exceptional client value. Our team is passionate about their work and committed to building the next generation of industry leaders, and as a certified Great Place to Work®, Woolpert embraces progress and innovation to create limitless opportunities for career growth.
**Overview**
***Please note that while there is no immediate vacancy for this role, we are always open to expressions of interest and will keep your details on file for future opportunities.***
 Seeking a new career challenge? Then Woolpert is seeking you! Woolpert is hiring highly skilled Data Scientists to join our team, working on site at National Geospatial\-Intelligence Agency (NGA) East in Springfield, Virginia, NGA West in St. Louis, MO, and NGA CENTCOM in Tampa, FL.
 The NGA Senior Exploitation Specialist/Data Scientist is responsible for creating processes around large data sets to identify analytical discoveries and provide them through visualizations that are easily integrated into daily operations. The Data Scientist will operate at a senior level and in an independent environment, providing data science analyses to the client’s intelligence missions.
 This position offers the opportunity to work in a mission\-focused environment where your contributions will directly impact the effectiveness and efficiency of GEOINT operations within the National Geospatial\-Intelligence Agency. If you are passionate about data science, GEOINT analysis, and the intelligence community, and have the necessary experience and clearance, we encourage you to apply.
 We are unable to provide visa sponsorship for this position. Applicants must already possess work authorization in the country the job is located.
**Responsibilities**
 As an NGA Senior Exploitation Specialist/Data Scientist at Woolpert, you will be tasked with:
* Leading projects using advanced mathematical, statistical, and scientific techniques and principles
* Analyzing complex mission and operational problems, creating insights from data to maximize effectiveness and efficiency
* Supporting data analytics, data cleansing, and analyst workflow efficiencies
* Improving and supporting Extract, Transform, and Load (ETL) capabilities
* Applying statistical and analytic methods to solve intelligence problems and support mission requirements
* Building lightweight analytic tools to visualize results that can be applied to intelligence operations
* Designing methods and mechanisms to track, report, and monitor mission data objects and datasets, enabling operators to maintain custody of those objects for various orders of battle
**Qualifications**
 Minimum Requirements:
* U.S. citizenship
* Active Top Secret / Sensitive Compartmented Information (TS/SCI) clearance
+ Willingness to undergo a pre\-employment background check and drug screening
* A background with intelligence experience:
+ Must have a background where you have provided analysis and/or data science to an intelligence mission
+ Must be able to operate at a senior level and in an independent environment \- you will be some of the only data science support these offices receive directly
* Data science experience:
+ Must be proficient in creating processes around large data sets to identify analytical discoveries
+ Must be able to provide these discoveries through visualizations that can be easily integrated into daily operations
+ Must be proficient in Python to build analytic tools, support and enhance ETL processes, and for data cleaning, preparation, visualization, and statistical analysis
+ Must be able to apply structured processes to enrich or manage data
* Must be able to effectively communicate verbally and written with clarity and accuracy
**Preferred Qualifications** 
* Bachelor’s degree in Data Science, Computer Science, or a related field; degree counts toward total years of experience
* GEOINT data and analysis experience
+ Experience applying GEOINT standards and performing QA/QC
* Experience working on site at NGA, preferably in a complex organizational environment
* Ability to work closely with customers, identifying and providing necessary training and support
* Strong analytical and problem\-solving skills with the ability to identify performance improvements, optimize data workflows, and develop solutions
* Up to date on the latest industry trends and emerging best practices in GIS and GEOINT data analysis, management, governance, quality, and stewardship
**Unique Benefits**
 Certified as a Great Place to Work®, Woolpert is one of the fastest growing architecture, engineering, and geospatial (AEG) companies in the world. With over 60 offices and countless projects around the globe, Woolpert makes a real difference at home and abroad. In addition to offering competitive pay, we provide employees with a robust set of unique benefits, including:
* Diverse experiences: Work on meaningful projects that improve quality of life around the world.
* Freedom to work program: Set your own schedule and location (as appropriate).
* Principal program: Earn the opportunity to become an owner of the firm.
* Flexible vacation
* Career development: Explore a wide range of learning and growth opportunities within and across industries.
* Health, life, vision, and dental insurance: Cover all your medical bases.
* Paid sick time, fitness reimbursement, pet insurance, identity protection, technology stipend, employee assistance program, and more: Choose the benefits that work best for you.
 Workplace Type: Onsite
 Salary Range: USD $91,100\.00 \- USD $151,800\.00 /Yr.
**Find out more about what Woolpert has to offer here: http://woolpert.com/about\-us/**
**Woolpert is an equal\-opportunity employer.** 
 Woolpert is committed to the full inclusion of all individuals. We recruit, train, compensate, and promote regardless of race, religion, color, national origin, sex, disability, age, veteran status, and other protected status as required by applicable law. You may view more about EEO on our website: Equal\-Employment\-Opportunity\-The\-Law.pdf and EEO is the Law Poster Supplement.
 Applicants who require an accommodation throughout the application and interview process should request this in advance by contacting askhr@woolpert.com.
 If you need to reschedule or cancel your interview, please reach out to your recruiter by contacting recruiting@woolpert.com.
***To all agencies:***
*Please, no phone calls or emails to any employee of Woolpert or any of our subsidiaries about this requisition. All resumes submitted by search firms/employment agencies to any employee at Woolpert via email, the internet, or in any form and/or method will be deemed the sole property of Woolpert, unless such search firms/employment agencies were engaged by Woolpert's Talent Acquisition Team for this requisition and a valid agreement is in place. In the event a candidate who was submitted outside of Woolpert's applicant process is hired, no fee or payment of any kind will be paid.*</t>
        </is>
      </c>
    </row>
    <row r="44">
      <c r="A44" t="inlineStr">
        <is>
          <t>li-4378885041</t>
        </is>
      </c>
      <c r="B44" t="inlineStr">
        <is>
          <t>Data Scientist - R Programming Consultant</t>
        </is>
      </c>
      <c r="C44" t="inlineStr">
        <is>
          <t>Jobs via Dice</t>
        </is>
      </c>
      <c r="D44" t="inlineStr">
        <is>
          <t>linkedin</t>
        </is>
      </c>
      <c r="E44">
        <f>HYPERLINK("https://www.linkedin.com/jobs/view/4378885041", "https://www.linkedin.com/jobs/view/4378885041")</f>
        <v/>
      </c>
      <c r="F44" t="inlineStr"/>
      <c r="G44" t="inlineStr"/>
      <c r="H44" t="inlineStr"/>
      <c r="I44" t="inlineStr">
        <is>
          <t>Dice is the leading career destination for tech experts at every stage of their careers. Our client, Conflux Systems Inc, is seeking the following. Apply via Dice today!
**Job Title: Data Scientist**
**Job Location \- Remote** 
**Schedule: Eastern time hours 9 a.m. 5 p.m. EST, M\-F** 
**P
 ay Rate:$80\.00/Hr on W2** 
**Duration:10 Months**
 The R programming consultant will have a significant impact in shaping our business function by supporting adoption of the R programming language. This role will primarily be responsible for migration of SAS and VBASIC legacy programs to the R programming language, inclusive of specifications development, coding, and validation. This role will also support training and mentoring of experienced SAS users as they migrate to the R environment.
**Responsibilities**
 Work closely with a cross\-functional team within biostatistics, data management, and analytics to transition applications written in SAS or VBASIC to R.
 Conduct code review and technical assessment of legacy programs and suitability for migration to R.
 Recode applications in SAS to R; Select appropriate R packages, functions, and algorithms to migrate legacy SAS programs to the R environment.
 Develop and maintain documentation associated with migration activities including programming specifications, validations plans, test cases, and reports.
 Support training and mentoring of experienced SAS users as they migrate to the R environment. Your expertise: A master s degree in mathematics, statistics, or computer science is preferred. Other candidates with degrees in a quantitative field and advanced undergraduate or graduate\-level statistical coursework will be considered.
 A minimum of 8 years in a statistical programming capacity, preferably within the medical device or biopharmaceutical industry. Candidates must have experience programming in SAS and R directed towards analysis of clinical trial data and in supporting ETL pipelines from clinical data management to biostatistics.
 Ideal candidates will have experience supporting transition of statistical analysis programs from SAS to R.
 Strong programming experience within SAS, R, and SQL is required. Experience with Python, VBASIC, and a dashboard language such as PowerBI, Qlik, or Tableau is a plus.
 Experience with modern database platforms, such as SnowFlake and Delta DataLake, is desired.
 Excellent written and verbal communication skills, interpersonal skills, problem solving and critical thinking skills. This role will report to the Senior Director of Clinical Data Management and Data Engineering within Medical Affairs.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2026-03-03T16:58:16Z</dcterms:created>
  <dcterms:modified xsi:type="dcterms:W3CDTF">2026-03-03T16:58:16Z</dcterms:modified>
</cp:coreProperties>
</file>