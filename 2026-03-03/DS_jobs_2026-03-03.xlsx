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in-7edd363fc79b61cb</t>
        </is>
      </c>
      <c r="B2" t="inlineStr">
        <is>
          <t>Sr. Applied Scientist, Amazon Ads</t>
        </is>
      </c>
      <c r="C2" t="inlineStr">
        <is>
          <t>Amazon.com</t>
        </is>
      </c>
      <c r="D2" t="inlineStr">
        <is>
          <t>indeed</t>
        </is>
      </c>
      <c r="E2" t="inlineStr"/>
      <c r="F2" t="inlineStr"/>
      <c r="G2" t="inlineStr">
        <is>
          <t>New York,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in-7312e73eb8801f21</t>
        </is>
      </c>
      <c r="B3" t="inlineStr">
        <is>
          <t>Sr. Applied Scientist, Amazon Ads</t>
        </is>
      </c>
      <c r="C3" t="inlineStr">
        <is>
          <t>Amazon.com</t>
        </is>
      </c>
      <c r="D3" t="inlineStr">
        <is>
          <t>indeed</t>
        </is>
      </c>
      <c r="E3" t="inlineStr"/>
      <c r="F3" t="inlineStr"/>
      <c r="G3" t="inlineStr">
        <is>
          <t>Brooklyn, NY,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in-10f92128022aa500</t>
        </is>
      </c>
      <c r="B4" t="inlineStr">
        <is>
          <t>Sr. Applied Scientist, Amazon Ads</t>
        </is>
      </c>
      <c r="C4" t="inlineStr">
        <is>
          <t>Amazon.com</t>
        </is>
      </c>
      <c r="D4" t="inlineStr">
        <is>
          <t>indeed</t>
        </is>
      </c>
      <c r="E4" t="inlineStr"/>
      <c r="F4" t="inlineStr"/>
      <c r="G4" t="inlineStr">
        <is>
          <t>Santa Monica, CA,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in-449a4268d54afab3</t>
        </is>
      </c>
      <c r="B5" t="inlineStr">
        <is>
          <t>Sr. Applied Scientist, Amazon Ads</t>
        </is>
      </c>
      <c r="C5" t="inlineStr">
        <is>
          <t>Amazon.com</t>
        </is>
      </c>
      <c r="D5" t="inlineStr">
        <is>
          <t>indeed</t>
        </is>
      </c>
      <c r="E5" t="inlineStr"/>
      <c r="F5" t="inlineStr"/>
      <c r="G5" t="inlineStr">
        <is>
          <t>Palo Alto, CA,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in-13ab10e2c2d47892</t>
        </is>
      </c>
      <c r="B6" t="inlineStr">
        <is>
          <t>Sr. Applied Scientist, Amazon Ads</t>
        </is>
      </c>
      <c r="C6" t="inlineStr">
        <is>
          <t>Amazon.com</t>
        </is>
      </c>
      <c r="D6" t="inlineStr">
        <is>
          <t>indeed</t>
        </is>
      </c>
      <c r="E6" t="inlineStr"/>
      <c r="F6" t="inlineStr"/>
      <c r="G6" t="inlineStr">
        <is>
          <t>Tukwila, WA,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in-aaa6e7b6a12975af</t>
        </is>
      </c>
      <c r="B7" t="inlineStr">
        <is>
          <t>Sr. Applied Scientist, Amazon Ads</t>
        </is>
      </c>
      <c r="C7" t="inlineStr">
        <is>
          <t>Amazon.com</t>
        </is>
      </c>
      <c r="D7" t="inlineStr">
        <is>
          <t>indeed</t>
        </is>
      </c>
      <c r="E7" t="inlineStr"/>
      <c r="F7" t="inlineStr"/>
      <c r="G7" t="inlineStr">
        <is>
          <t>Corvallis, OR,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in-2191f9140db1826b</t>
        </is>
      </c>
      <c r="B8" t="inlineStr">
        <is>
          <t>Sr. Applied Scientist, Amazon Ads</t>
        </is>
      </c>
      <c r="C8" t="inlineStr">
        <is>
          <t>Amazon.com</t>
        </is>
      </c>
      <c r="D8" t="inlineStr">
        <is>
          <t>indeed</t>
        </is>
      </c>
      <c r="E8" t="inlineStr"/>
      <c r="F8" t="inlineStr"/>
      <c r="G8" t="inlineStr">
        <is>
          <t>Seattle, WA,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in-0d9fda81a1eda978</t>
        </is>
      </c>
      <c r="B9" t="inlineStr">
        <is>
          <t>Sr. Applied Scientist, Amazon Ads</t>
        </is>
      </c>
      <c r="C9" t="inlineStr">
        <is>
          <t>Amazon.com</t>
        </is>
      </c>
      <c r="D9" t="inlineStr">
        <is>
          <t>indeed</t>
        </is>
      </c>
      <c r="E9" t="inlineStr"/>
      <c r="F9" t="inlineStr"/>
      <c r="G9" t="inlineStr">
        <is>
          <t>Boulder, CO,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in-d7912e78b5f014c3</t>
        </is>
      </c>
      <c r="B10" t="inlineStr">
        <is>
          <t>Sr. Applied Scientist, Amazon Ads</t>
        </is>
      </c>
      <c r="C10" t="inlineStr">
        <is>
          <t>Amazon.com</t>
        </is>
      </c>
      <c r="D10" t="inlineStr">
        <is>
          <t>indeed</t>
        </is>
      </c>
      <c r="E10" t="inlineStr"/>
      <c r="F10" t="inlineStr"/>
      <c r="G10" t="inlineStr">
        <is>
          <t>Sunnyvale,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in-b0fe9acdcac88caa</t>
        </is>
      </c>
      <c r="B11" t="inlineStr">
        <is>
          <t>Sr. Applied Scientist, Amazon Ads</t>
        </is>
      </c>
      <c r="C11" t="inlineStr">
        <is>
          <t>Amazon.com</t>
        </is>
      </c>
      <c r="D11" t="inlineStr">
        <is>
          <t>indeed</t>
        </is>
      </c>
      <c r="E11" t="inlineStr"/>
      <c r="F11" t="inlineStr"/>
      <c r="G11" t="inlineStr">
        <is>
          <t>Boston, MA,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in-5f7701a182ccc85d</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1"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in-fcbf11f1387bb3ca</t>
        </is>
      </c>
      <c r="B13" t="inlineStr">
        <is>
          <t>Applied Scientist II, Prime Video - Personalization and Discovery Science, Personalization and Discovery Science</t>
        </is>
      </c>
      <c r="C13" t="inlineStr">
        <is>
          <t>Amazon.com</t>
        </is>
      </c>
      <c r="D13" t="inlineStr">
        <is>
          <t>indeed</t>
        </is>
      </c>
      <c r="E13" t="inlineStr"/>
      <c r="F13" t="inlineStr"/>
      <c r="G13" t="inlineStr">
        <is>
          <t>Sunnyvale, CA,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in-62555f5c2dd9e762</t>
        </is>
      </c>
      <c r="B14" t="inlineStr">
        <is>
          <t>Applied Scientist II, Prime Video - Personalization and Discovery Science, Personalization and Discovery Science</t>
        </is>
      </c>
      <c r="C14" t="inlineStr">
        <is>
          <t>Amazon.com</t>
        </is>
      </c>
      <c r="D14" t="inlineStr">
        <is>
          <t>indeed</t>
        </is>
      </c>
      <c r="E14" t="inlineStr"/>
      <c r="F14" t="inlineStr"/>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in-93b7cb2f24de2ff0</t>
        </is>
      </c>
      <c r="B15" t="inlineStr">
        <is>
          <t>Applied Scientist II, Prime Video - Personalization and Discovery Science</t>
        </is>
      </c>
      <c r="C15" t="inlineStr">
        <is>
          <t>Amazon.com</t>
        </is>
      </c>
      <c r="D15" t="inlineStr">
        <is>
          <t>indeed</t>
        </is>
      </c>
      <c r="E15" t="inlineStr"/>
      <c r="F15" t="inlineStr"/>
      <c r="G15" t="inlineStr">
        <is>
          <t>Seattle, WA, US</t>
        </is>
      </c>
      <c r="H15" s="1"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in-05da49f34dec8b7c</t>
        </is>
      </c>
      <c r="B16" t="inlineStr">
        <is>
          <t>Sr. Applied Scientist, Prime Video - Personalization and Discovery Science</t>
        </is>
      </c>
      <c r="C16" t="inlineStr">
        <is>
          <t>Amazon.com</t>
        </is>
      </c>
      <c r="D16" t="inlineStr">
        <is>
          <t>indeed</t>
        </is>
      </c>
      <c r="E16" t="inlineStr"/>
      <c r="F16" t="inlineStr"/>
      <c r="G16" t="inlineStr">
        <is>
          <t>Sunnyvale, CA,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in-2435fbd64eb98968</t>
        </is>
      </c>
      <c r="B17" t="inlineStr">
        <is>
          <t>Applied Scientist II, Prime Video - Personalization and Discovery Science</t>
        </is>
      </c>
      <c r="C17" t="inlineStr">
        <is>
          <t>Amazon.com</t>
        </is>
      </c>
      <c r="D17" t="inlineStr">
        <is>
          <t>indeed</t>
        </is>
      </c>
      <c r="E17" t="inlineStr"/>
      <c r="F17" t="inlineStr"/>
      <c r="G17" t="inlineStr">
        <is>
          <t>New York, NY,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in-43e323f1bcd00105</t>
        </is>
      </c>
      <c r="B18" t="inlineStr">
        <is>
          <t>Sr. Applied Scientist, Prime Video - Personalization and Discovery Science</t>
        </is>
      </c>
      <c r="C18" t="inlineStr">
        <is>
          <t>Amazon.com</t>
        </is>
      </c>
      <c r="D18" t="inlineStr">
        <is>
          <t>indeed</t>
        </is>
      </c>
      <c r="E18" t="inlineStr"/>
      <c r="F18" t="inlineStr"/>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in-b6e657b2d421d8b2</t>
        </is>
      </c>
      <c r="B19" t="inlineStr">
        <is>
          <t>Sr. Applied Scientist, Prime Video - Personalization and Discovery Science</t>
        </is>
      </c>
      <c r="C19" t="inlineStr">
        <is>
          <t>Amazon.com</t>
        </is>
      </c>
      <c r="D19" t="inlineStr">
        <is>
          <t>indeed</t>
        </is>
      </c>
      <c r="E19" t="inlineStr"/>
      <c r="F19" t="inlineStr"/>
      <c r="G19" t="inlineStr">
        <is>
          <t>Seattle, WA,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in-dcaa52c7ebf5f9b2</t>
        </is>
      </c>
      <c r="B20" t="inlineStr">
        <is>
          <t>Applied Scientist II,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in-dcf858668ab5698a</t>
        </is>
      </c>
      <c r="B21" t="inlineStr">
        <is>
          <t>Data Scientist, AWS Infrastructure Services Science</t>
        </is>
      </c>
      <c r="C21" t="inlineStr">
        <is>
          <t>Amazon.com</t>
        </is>
      </c>
      <c r="D21" t="inlineStr">
        <is>
          <t>indeed</t>
        </is>
      </c>
      <c r="E21" t="inlineStr"/>
      <c r="F21" t="inlineStr"/>
      <c r="G21" t="inlineStr">
        <is>
          <t>Seattle, WA, US</t>
        </is>
      </c>
      <c r="H21" s="1" t="n">
        <v>46065</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2">
      <c r="A22" t="inlineStr">
        <is>
          <t>in-7a925d759b3c0796</t>
        </is>
      </c>
      <c r="B22" t="inlineStr">
        <is>
          <t>Data Scientist, AWS Infrastructure Services Science</t>
        </is>
      </c>
      <c r="C22" t="inlineStr">
        <is>
          <t>Amazon.com</t>
        </is>
      </c>
      <c r="D22" t="inlineStr">
        <is>
          <t>indeed</t>
        </is>
      </c>
      <c r="E22" t="inlineStr"/>
      <c r="F22" t="inlineStr"/>
      <c r="G22" t="inlineStr">
        <is>
          <t>Herndon, VA, US</t>
        </is>
      </c>
      <c r="H22" s="1" t="n">
        <v>46065</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3">
      <c r="A23" t="inlineStr">
        <is>
          <t>in-6beaf2e8a5f23c71</t>
        </is>
      </c>
      <c r="B23" t="inlineStr">
        <is>
          <t>Data Scientist, Rapid &amp; Rural Logistics (R2L)</t>
        </is>
      </c>
      <c r="C23" t="inlineStr">
        <is>
          <t>Amazon.com</t>
        </is>
      </c>
      <c r="D23" t="inlineStr">
        <is>
          <t>indeed</t>
        </is>
      </c>
      <c r="E23" t="inlineStr"/>
      <c r="F23" t="inlineStr"/>
      <c r="G23" t="inlineStr">
        <is>
          <t>Bellevue, WA, US</t>
        </is>
      </c>
      <c r="H23" s="1" t="n">
        <v>46056</v>
      </c>
      <c r="I23"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4">
      <c r="A24" t="inlineStr">
        <is>
          <t>in-5bf202d512fde73a</t>
        </is>
      </c>
      <c r="B24" t="inlineStr">
        <is>
          <t>Data Scientist, Rapid &amp; Rural Logistics (R2L)</t>
        </is>
      </c>
      <c r="C24" t="inlineStr">
        <is>
          <t>Amazon.com</t>
        </is>
      </c>
      <c r="D24" t="inlineStr">
        <is>
          <t>indeed</t>
        </is>
      </c>
      <c r="E24" t="inlineStr"/>
      <c r="F24" t="inlineStr"/>
      <c r="G24" t="inlineStr">
        <is>
          <t>New York, NY, US</t>
        </is>
      </c>
      <c r="H24" s="1" t="n">
        <v>46056</v>
      </c>
      <c r="I24"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5">
      <c r="A25" t="inlineStr">
        <is>
          <t>in-d64c7149195607e9</t>
        </is>
      </c>
      <c r="B25" t="inlineStr">
        <is>
          <t>Entry Level Data Scientist - Collections Analytics</t>
        </is>
      </c>
      <c r="C25" t="inlineStr">
        <is>
          <t>Sequium Asset Solutions</t>
        </is>
      </c>
      <c r="D25" t="inlineStr">
        <is>
          <t>indeed</t>
        </is>
      </c>
      <c r="E25" t="inlineStr"/>
      <c r="F25" t="inlineStr"/>
      <c r="G25" t="inlineStr">
        <is>
          <t>Atlanta, GA, US</t>
        </is>
      </c>
      <c r="H25" s="1" t="n">
        <v>46083</v>
      </c>
      <c r="I25" t="inlineStr">
        <is>
          <t>Job title: Entry Level Data Scientist \- Collections Analytics
Location: Atlanta, GA or Remote
Employment type: Full\-time
Reports to: VP Strategic Initiatives
**About us**
Sequium Asset Solutions is the industry's most progressive and advanced debt collection servicer. Our mission is to provide uncompromising operational excellence by setting the highest standards in service and reliability through the application of our five core values: Leadership, Training, Talent Acquisition, Rewards and Technology. At Sequium, **Tomorrow is Today.**
We have an outstanding opportunity for an accomplished data scientist to join one of the most exciting and fastest growing companies in the industry. In this role you will report directly to the Vice President of Strategic Initiatives and support analytics and modeling projects across account segmentation, contact strategy optimization, and early\-warning
detection. You will work with cross\-functional teams (operations, compliance, IT) to turn data into actionable insights, build repeatable analytics, and productionize models. Our company has made huge investments in data science and generated an agentic AI. We are attempting to fully automate all decisioning processes to give us the highest statistical result and incremental value for all performance matrices.
The successful applicant must possess a high level of intelligence, motivation and enthusiasm in creating breakthrough value enhancements. This is a critical position within the organization for someone who is creative, self\-starting and who wants to be in control of their own destiny.
**Key responsibilities**
* Must have significant knowledge using enterprise AI software (Claude, Cursor and Python) with the ability to direct and prompt this software in order to create significant breakthroughs to enhance automated and real\-time strategies.
* Build, validate, and maintain predictive models (e.g., credit/payment propensity, churn/risk, contact response) using Python/R and standard ML libraries.
* Clean, explore, and feature\-engineer large\-structured datasets from multiple sources (payments, contact history, credit bureau, CRM).
* Run A/B tests and propensity\-matched experiments to evaluate contact strategies and messaging, measure lift and report results.
* Create dashboards, visualizations, and regular reports for operations and leadership (KPIs: recovery rates, promise\-to\-pay keep rates, contact conversion, roll rates).
* Assist in productionizing models: packaging, documentation, monitoring, and retraining schedules in collaboration with others.
* Implement and track model performance, fairness, and stability metrics; support model governance and compliance documentation.
* Support data pipelines and ETL tasks; partner with data engineering to ensure data quality and lineage.
* Translate business problems into analytical approaches; present findings and recommended actions to stakeholders.
* Stay current on best practices in supervised/unsupervised learning, causal inference, and responsible AI as applied to collections.
**Required qualifications**
* Bachelor’s degree (or equivalent) in Data Science, Statistics, Computer Science, Mathematics, Industrial Engineering, or related quantitative field; graduation within the last 2\-3 years.
* Solid SQL skills for data extraction and manipulation.
* Strong programming skills in Python.
* Understanding of basic ML algorithms (logistic regression, decision trees, ensemble methods, clustering) and evaluation metrics (precision/recall, confusion matrix, calibration).
* Experience with data visualization tools (Power BI, Tableau or equivalent) or ability to produce clear visual analyses in Python/R.
* Hands\-on experience with at least one machine learning project (class project, internship, capstone, or competition) with end\-to\-end work (data cleaning, modeling, evaluation).
* Strong analytical problem\-solving, attention to detail, and ability to communicate technical results to non\-technical stakeholders.
* Commitment to ethical data practices and regulatory compliance (willingness to learn collections/consumer protection rules).
**Preferred (nice\-to\-have)**
* Internship or part\-time experience in finance, collections, payments, credit risk, or customer analytics.
* Familiarity with time\-series or survival analysis and propensity scoring.
* Experience with model monitoring frameworks, cloud platforms (AWS, GCP, Azure).
* Knowledge of compliance/regulatory frameworks relevant to collections (e.g., FDCPA basics).
**Technical stack expectations**
* Data: SQL, relational databases
* Visualization: Power BI
* Languages: Python (R acceptable)
* ML: scikit\-learn, XGBoost/LightGBM, basic knowledge of neural nets optional
* Workflow: Git, Jupyter notebooks, basic command line
* Cloud/Infrastructure: AWS/GCP/Azure; containerization (Docker), Kubernetes experience preferred
**Success metrics (first 6–12 months)**
* Deliver at least one validated predictive model and support its production handoff
* Implement 2–3 dashboards or automated reports used by operations.
* Demonstrate measurable lift from an A/B test or strategy change driven by your analysis.
* Complete formal documentation for at least one model covering training data, features, performance, and monitoring plan.
**Behavioral competencies**
* Curious, proactive learner who seeks feedback and owns development.
* Team player who collaborates with ops, IT, and compliance.
* Communicates clearly, distills complex analyses into actionable recommendations.
* Comfortable working in a regulated, data\-sensitive environment.
**Application process**
Submit resume, transcript (unofficial acceptable), and a one\-page project summary showing relevant work.</t>
        </is>
      </c>
    </row>
    <row r="26">
      <c r="A26" t="inlineStr">
        <is>
          <t>in-cd7e108c9b2a8919</t>
        </is>
      </c>
      <c r="B26" t="inlineStr">
        <is>
          <t>Sr Data Scientist (FAST, AVOD)</t>
        </is>
      </c>
      <c r="C26" t="inlineStr">
        <is>
          <t>Sony Pictures Entertainment</t>
        </is>
      </c>
      <c r="D26" t="inlineStr">
        <is>
          <t>indeed</t>
        </is>
      </c>
      <c r="E26" t="inlineStr"/>
      <c r="F26" t="inlineStr"/>
      <c r="G26" t="inlineStr">
        <is>
          <t>Culver City, CA, US</t>
        </is>
      </c>
      <c r="H26" s="1" t="n">
        <v>46082</v>
      </c>
      <c r="I26" t="inlineStr">
        <is>
          <t>Sony Pictures Entertainment, a division of Sony Corporation, is a global creative entertainment company built on a foundation of technology, storytelling, and innovation. Sony Pictures Core is a streaming service that operates on BRAVIA TVs and PlayStation consoles. We are seeking a strategic and analytical **Senior Data Scientist** to own the advanced analytics and modeling to help shape the future of our DTC AVOD and FAST platforms\- ultimately influencing the vision, launch, and growth of Sony Pictures Core. This role is a part of the broader ISA team but is dedicated and embedded in the day to day of the Sony Pictures Core AVOD/FAST business. The ideal candidate has a strong blend of technical expertise, business acumen, and leadership skills.
Key Responsibilities
* Build predictive models, map customer journeys, and deliver data products that help launch, scale, and optimize Sony’s DTC streaming offering.
* Serve as thought leader developer of key DTC analytical models like customer lifetime value, attribution, churn, and AB testing
Own end\-to\-end model development, from scoping exploration feature engineering model development validation* deployment.
* Work closely with data engineering and product teams to operationalize models, ensuring scalability, reproducibility, and automated monitoring.
* Conduct deep\-dive analyses to uncover insights that inform content strategy, product experience, and growth plans for the service.
* Translate complex modeling results into clear, compelling narratives for leadership and cross\-functional teams.
* Work closely with product, marketing, and platform teams to identify opportunities for advanced analytics and modeling.
* Partner with Insights Strategy \&amp; Analytics dedicated Core team (BI, data engineering, and Strategic Analysts) and leadership to integrate modeling outputs into data products, dashboards, and business\-embedded tools that support decision\-making across the Sony Pictures Core ecosystem.
Qualifications
* 7\+ years of experience in data science, ideally in streaming, digital media, consumer apps, or subscription businesses.
* Proven track record developing predictive models, experimentation frameworks, and advanced analytics for DTC or digital platforms.
* Expert proficiency in Python and SQL.
* Hands\-on experience with experimentation platforms, uplift modeling, statistical testing, and causal inference.
* Strong skills in feature engineering, handling large\-scale behavioral data, and building ML pipelines.
* Experience with cloud\-based environments (AWS, GCP, Databricks) and MLOps practices
* Strong understanding of the TV and streaming landscape across linear, digital, AVOD, FAST, SVOD, and emerging platforms
* Strong communicator capable of presenting complex modeling outputs to non\-technical audiences.
* Ability to operate in ambiguity and help stakeholders articulate questions, opportunities, and hypotheses.
* Passion for streaming, entertainment, consumer behavior, and data\-driven storytelling.
* Highly collaborative, curious, and eager to partner across functions
The anticipated base salary for this position is $140K to $180K. This role may also qualify for annual incentive and/or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Sony Pictures Entertainment is an equal opportunity employer. We evaluate qualified applicants without regard to race, color, religion, sex, national origin, disability, veteran status, age, sexual orientation, gender identity, or other protected characteristics.
SPE will consider qualified applicants with arrest or conviction records in accordance with applicable law.
To request an accommodation for purposes of participating in the hiring process, you may contact us at SPE\_Accommodation\_Assistance@spe.sony.com.</t>
        </is>
      </c>
    </row>
    <row r="27">
      <c r="A27" t="inlineStr">
        <is>
          <t>in-8a144595c8d2938b</t>
        </is>
      </c>
      <c r="B27" t="inlineStr">
        <is>
          <t>Data Scientist II, ADSP Product Operations &amp; Analytics</t>
        </is>
      </c>
      <c r="C27" t="inlineStr">
        <is>
          <t>Amazon.com</t>
        </is>
      </c>
      <c r="D27" t="inlineStr">
        <is>
          <t>indeed</t>
        </is>
      </c>
      <c r="E27" t="inlineStr"/>
      <c r="F27" t="inlineStr"/>
      <c r="G27" t="inlineStr">
        <is>
          <t>New York, NY, US</t>
        </is>
      </c>
      <c r="H27" s="1" t="n">
        <v>46062</v>
      </c>
      <c r="I27"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28">
      <c r="A28" t="inlineStr">
        <is>
          <t>in-1c23a0e03c8de854</t>
        </is>
      </c>
      <c r="B28" t="inlineStr">
        <is>
          <t>Data Scientist II, ADSP Product Operations &amp; Analytics</t>
        </is>
      </c>
      <c r="C28" t="inlineStr">
        <is>
          <t>Amazon.com</t>
        </is>
      </c>
      <c r="D28" t="inlineStr">
        <is>
          <t>indeed</t>
        </is>
      </c>
      <c r="E28" t="inlineStr"/>
      <c r="F28" t="inlineStr"/>
      <c r="G28" t="inlineStr">
        <is>
          <t>Seattle, WA, US</t>
        </is>
      </c>
      <c r="H28" s="1" t="n">
        <v>46062</v>
      </c>
      <c r="I28"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29">
      <c r="A29" t="inlineStr">
        <is>
          <t>in-ffbd2265f0a23513</t>
        </is>
      </c>
      <c r="B29" t="inlineStr">
        <is>
          <t>Principal Applied Scientist, AWS Marketplace &amp; Partner Services</t>
        </is>
      </c>
      <c r="C29" t="inlineStr">
        <is>
          <t>Amazon Web Services</t>
        </is>
      </c>
      <c r="D29" t="inlineStr">
        <is>
          <t>indeed</t>
        </is>
      </c>
      <c r="E29" t="inlineStr"/>
      <c r="F29" t="inlineStr"/>
      <c r="G29" t="inlineStr">
        <is>
          <t>New York, NY, US</t>
        </is>
      </c>
      <c r="H29" s="1" t="n">
        <v>46056</v>
      </c>
      <c r="I29"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0">
      <c r="A30" t="inlineStr">
        <is>
          <t>in-30b06169072a54c3</t>
        </is>
      </c>
      <c r="B30" t="inlineStr">
        <is>
          <t>Principal Applied Scientist, AWS Marketplace &amp; Partner Services</t>
        </is>
      </c>
      <c r="C30" t="inlineStr">
        <is>
          <t>Amazon Web Services</t>
        </is>
      </c>
      <c r="D30" t="inlineStr">
        <is>
          <t>indeed</t>
        </is>
      </c>
      <c r="E30" t="inlineStr"/>
      <c r="F30" t="inlineStr"/>
      <c r="G30" t="inlineStr">
        <is>
          <t>San Diego, CA, US</t>
        </is>
      </c>
      <c r="H30" s="1" t="n">
        <v>46056</v>
      </c>
      <c r="I30"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1">
      <c r="A31" t="inlineStr">
        <is>
          <t>in-b29825ef53c1b23b</t>
        </is>
      </c>
      <c r="B31" t="inlineStr">
        <is>
          <t>Principal Applied Scientist, AWS Marketplace &amp; Partner Services</t>
        </is>
      </c>
      <c r="C31" t="inlineStr">
        <is>
          <t>Amazon Web Services</t>
        </is>
      </c>
      <c r="D31" t="inlineStr">
        <is>
          <t>indeed</t>
        </is>
      </c>
      <c r="E31" t="inlineStr"/>
      <c r="F31" t="inlineStr"/>
      <c r="G31" t="inlineStr">
        <is>
          <t>Seattle, WA, US</t>
        </is>
      </c>
      <c r="H31" s="1" t="n">
        <v>46056</v>
      </c>
      <c r="I3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2">
      <c r="A32" t="inlineStr">
        <is>
          <t>in-a61811627709cab4</t>
        </is>
      </c>
      <c r="B32" t="inlineStr">
        <is>
          <t>Principal Applied Scientist, AWS Marketplace &amp; Partner Services</t>
        </is>
      </c>
      <c r="C32" t="inlineStr">
        <is>
          <t>Amazon Web Services</t>
        </is>
      </c>
      <c r="D32" t="inlineStr">
        <is>
          <t>indeed</t>
        </is>
      </c>
      <c r="E32" t="inlineStr"/>
      <c r="F32" t="inlineStr"/>
      <c r="G32" t="inlineStr">
        <is>
          <t>Austin, TX, US</t>
        </is>
      </c>
      <c r="H32" s="1" t="n">
        <v>46056</v>
      </c>
      <c r="I3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3">
      <c r="A33" t="inlineStr">
        <is>
          <t>in-f7dbf5fb6fc6a80e</t>
        </is>
      </c>
      <c r="B33" t="inlineStr">
        <is>
          <t>Sr. Applied Scientist, AWS Healthcare-AI</t>
        </is>
      </c>
      <c r="C33" t="inlineStr">
        <is>
          <t>Amazon.com</t>
        </is>
      </c>
      <c r="D33" t="inlineStr">
        <is>
          <t>indeed</t>
        </is>
      </c>
      <c r="E33" t="inlineStr"/>
      <c r="F33" t="inlineStr"/>
      <c r="G33" t="inlineStr">
        <is>
          <t>Seattle, WA, US</t>
        </is>
      </c>
      <c r="H33" s="1" t="n">
        <v>46055</v>
      </c>
      <c r="I33"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4">
      <c r="A34" t="inlineStr">
        <is>
          <t>in-e8a49285a382166c</t>
        </is>
      </c>
      <c r="B34" t="inlineStr">
        <is>
          <t>Sr. Applied Scientist, AWS Healthcare-AI</t>
        </is>
      </c>
      <c r="C34" t="inlineStr">
        <is>
          <t>Amazon.com</t>
        </is>
      </c>
      <c r="D34" t="inlineStr">
        <is>
          <t>indeed</t>
        </is>
      </c>
      <c r="E34" t="inlineStr"/>
      <c r="F34" t="inlineStr"/>
      <c r="G34" t="inlineStr">
        <is>
          <t>Mountain View, CA, US</t>
        </is>
      </c>
      <c r="H34" s="1" t="n">
        <v>46055</v>
      </c>
      <c r="I34"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5">
      <c r="A35" t="inlineStr">
        <is>
          <t>in-d395e3f36097b32f</t>
        </is>
      </c>
      <c r="B35" t="inlineStr">
        <is>
          <t>Applied Scientist (Contract), Artificial General Intelligence</t>
        </is>
      </c>
      <c r="C35" t="inlineStr">
        <is>
          <t>Amazon.com</t>
        </is>
      </c>
      <c r="D35" t="inlineStr">
        <is>
          <t>indeed</t>
        </is>
      </c>
      <c r="E35" t="inlineStr"/>
      <c r="F35" t="inlineStr"/>
      <c r="G35" t="inlineStr">
        <is>
          <t>Bellevue, WA, US</t>
        </is>
      </c>
      <c r="H35" s="1" t="n">
        <v>46055</v>
      </c>
      <c r="I3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6">
      <c r="A36" t="inlineStr">
        <is>
          <t>in-25a9cb0d69a5473f</t>
        </is>
      </c>
      <c r="B36" t="inlineStr">
        <is>
          <t>Applied Scientist (Contract), Artificial General Intelligence</t>
        </is>
      </c>
      <c r="C36" t="inlineStr">
        <is>
          <t>Amazon.com</t>
        </is>
      </c>
      <c r="D36" t="inlineStr">
        <is>
          <t>indeed</t>
        </is>
      </c>
      <c r="E36" t="inlineStr"/>
      <c r="F36" t="inlineStr"/>
      <c r="G36" t="inlineStr">
        <is>
          <t>Boston, MA, US</t>
        </is>
      </c>
      <c r="H36" s="1" t="n">
        <v>46055</v>
      </c>
      <c r="I3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7">
      <c r="A37" t="inlineStr">
        <is>
          <t>in-5b7c257e903be09c</t>
        </is>
      </c>
      <c r="B37" t="inlineStr">
        <is>
          <t>Applied Scientist (Contract), Artificial General Intelligence</t>
        </is>
      </c>
      <c r="C37" t="inlineStr">
        <is>
          <t>Amazon.com</t>
        </is>
      </c>
      <c r="D37" t="inlineStr">
        <is>
          <t>indeed</t>
        </is>
      </c>
      <c r="E37" t="inlineStr"/>
      <c r="F37" t="inlineStr"/>
      <c r="G37" t="inlineStr">
        <is>
          <t>Bellevue, WA, US</t>
        </is>
      </c>
      <c r="H37" s="1" t="n">
        <v>46055</v>
      </c>
      <c r="I3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8">
      <c r="A38" t="inlineStr">
        <is>
          <t>in-46822940b4e2921d</t>
        </is>
      </c>
      <c r="B38" t="inlineStr">
        <is>
          <t>Applied Scientist (Contract), Artificial General Intelligence</t>
        </is>
      </c>
      <c r="C38" t="inlineStr">
        <is>
          <t>Amazon.com</t>
        </is>
      </c>
      <c r="D38" t="inlineStr">
        <is>
          <t>indeed</t>
        </is>
      </c>
      <c r="E38" t="inlineStr"/>
      <c r="F38" t="inlineStr"/>
      <c r="G38" t="inlineStr">
        <is>
          <t>Bellevue, WA, US</t>
        </is>
      </c>
      <c r="H38" s="1" t="n">
        <v>46055</v>
      </c>
      <c r="I3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9">
      <c r="A39" t="inlineStr">
        <is>
          <t>in-a1d72f4d6f3df938</t>
        </is>
      </c>
      <c r="B39" t="inlineStr">
        <is>
          <t>Applied Scientist (Contract), Artificial General Intelligence</t>
        </is>
      </c>
      <c r="C39" t="inlineStr">
        <is>
          <t>Amazon.com</t>
        </is>
      </c>
      <c r="D39" t="inlineStr">
        <is>
          <t>indeed</t>
        </is>
      </c>
      <c r="E39" t="inlineStr"/>
      <c r="F39" t="inlineStr"/>
      <c r="G39" t="inlineStr">
        <is>
          <t>Boston, MA, US</t>
        </is>
      </c>
      <c r="H39" s="1" t="n">
        <v>46055</v>
      </c>
      <c r="I3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0">
      <c r="A40" t="inlineStr">
        <is>
          <t>in-b4de5a93f517605c</t>
        </is>
      </c>
      <c r="B40" t="inlineStr">
        <is>
          <t>Applied Scientist (Contract), Artificial General Intelligence</t>
        </is>
      </c>
      <c r="C40" t="inlineStr">
        <is>
          <t>Amazon.com</t>
        </is>
      </c>
      <c r="D40" t="inlineStr">
        <is>
          <t>indeed</t>
        </is>
      </c>
      <c r="E40" t="inlineStr"/>
      <c r="F40" t="inlineStr"/>
      <c r="G40" t="inlineStr">
        <is>
          <t>Boston, MA, US</t>
        </is>
      </c>
      <c r="H40" s="1" t="n">
        <v>46055</v>
      </c>
      <c r="I4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1">
      <c r="A41" t="inlineStr">
        <is>
          <t>in-2908cfdb5e3ad33c</t>
        </is>
      </c>
      <c r="B41" t="inlineStr">
        <is>
          <t>Applied Scientist (Contract), Artificial General Intelligence</t>
        </is>
      </c>
      <c r="C41" t="inlineStr">
        <is>
          <t>Amazon.com</t>
        </is>
      </c>
      <c r="D41" t="inlineStr">
        <is>
          <t>indeed</t>
        </is>
      </c>
      <c r="E41" t="inlineStr"/>
      <c r="F41" t="inlineStr"/>
      <c r="G41" t="inlineStr">
        <is>
          <t>Bellevue, WA, US</t>
        </is>
      </c>
      <c r="H41" s="1" t="n">
        <v>46051</v>
      </c>
      <c r="I4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2">
      <c r="A42" t="inlineStr">
        <is>
          <t>in-15f40f2dd81b6bbb</t>
        </is>
      </c>
      <c r="B42" t="inlineStr">
        <is>
          <t>Applied Scientist (Contract), Artificial General Intelligence</t>
        </is>
      </c>
      <c r="C42" t="inlineStr">
        <is>
          <t>Amazon.com</t>
        </is>
      </c>
      <c r="D42" t="inlineStr">
        <is>
          <t>indeed</t>
        </is>
      </c>
      <c r="E42" t="inlineStr"/>
      <c r="F42" t="inlineStr"/>
      <c r="G42" t="inlineStr">
        <is>
          <t>Boston, MA, US</t>
        </is>
      </c>
      <c r="H42" s="1" t="n">
        <v>46051</v>
      </c>
      <c r="I4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3">
      <c r="A43" t="inlineStr">
        <is>
          <t>in-95561a92c0676662</t>
        </is>
      </c>
      <c r="B43" t="inlineStr">
        <is>
          <t>Sr. Applied Scientist - SLAM, Amazon Industrial Robotics</t>
        </is>
      </c>
      <c r="C43" t="inlineStr">
        <is>
          <t>Amazon.com</t>
        </is>
      </c>
      <c r="D43" t="inlineStr">
        <is>
          <t>indeed</t>
        </is>
      </c>
      <c r="E43" t="inlineStr"/>
      <c r="F43" t="inlineStr"/>
      <c r="G43" t="inlineStr">
        <is>
          <t>Reading, MA, US</t>
        </is>
      </c>
      <c r="H43" s="1" t="n">
        <v>46050</v>
      </c>
      <c r="I4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4">
      <c r="A44" t="inlineStr">
        <is>
          <t>in-3eecb88e399dccd3</t>
        </is>
      </c>
      <c r="B44" t="inlineStr">
        <is>
          <t>Sr. Applied Scientist - SLAM, Amazon Industrial Robotics</t>
        </is>
      </c>
      <c r="C44" t="inlineStr">
        <is>
          <t>Amazon.com</t>
        </is>
      </c>
      <c r="D44" t="inlineStr">
        <is>
          <t>indeed</t>
        </is>
      </c>
      <c r="E44" t="inlineStr"/>
      <c r="F44" t="inlineStr"/>
      <c r="G44" t="inlineStr">
        <is>
          <t>Reading, MA, US</t>
        </is>
      </c>
      <c r="H44" s="1" t="n">
        <v>46050</v>
      </c>
      <c r="I44"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5">
      <c r="A45" t="inlineStr">
        <is>
          <t>in-bc81381f2ddaf398</t>
        </is>
      </c>
      <c r="B45" t="inlineStr">
        <is>
          <t>Principal Applied Scientist, Sensing, Industrial Robotics Group</t>
        </is>
      </c>
      <c r="C45" t="inlineStr">
        <is>
          <t>Amazon.com</t>
        </is>
      </c>
      <c r="D45" t="inlineStr">
        <is>
          <t>indeed</t>
        </is>
      </c>
      <c r="E45" t="inlineStr"/>
      <c r="F45" t="inlineStr"/>
      <c r="G45" t="inlineStr">
        <is>
          <t>Reading, MA, US</t>
        </is>
      </c>
      <c r="H45" s="1" t="n">
        <v>46050</v>
      </c>
      <c r="I4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6">
      <c r="A46" t="inlineStr">
        <is>
          <t>in-84deac1a0893f7f8</t>
        </is>
      </c>
      <c r="B46" t="inlineStr">
        <is>
          <t>Principal Applied Scientist, Sensing, Industrial Robotics Group</t>
        </is>
      </c>
      <c r="C46" t="inlineStr">
        <is>
          <t>Amazon.com</t>
        </is>
      </c>
      <c r="D46" t="inlineStr">
        <is>
          <t>indeed</t>
        </is>
      </c>
      <c r="E46" t="inlineStr"/>
      <c r="F46" t="inlineStr"/>
      <c r="G46" t="inlineStr">
        <is>
          <t>Reading, MA, US</t>
        </is>
      </c>
      <c r="H46" s="1" t="n">
        <v>46050</v>
      </c>
      <c r="I46"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7">
      <c r="A47" t="inlineStr">
        <is>
          <t>in-f7f6a0f811cd6424</t>
        </is>
      </c>
      <c r="B47" t="inlineStr">
        <is>
          <t>Applied Scientist II, Prime Video Personalization and Discovery Science</t>
        </is>
      </c>
      <c r="C47" t="inlineStr">
        <is>
          <t>Amazon.com</t>
        </is>
      </c>
      <c r="D47" t="inlineStr">
        <is>
          <t>indeed</t>
        </is>
      </c>
      <c r="E47" t="inlineStr"/>
      <c r="F47" t="inlineStr"/>
      <c r="G47" t="inlineStr">
        <is>
          <t>New York, NY, US</t>
        </is>
      </c>
      <c r="H47" s="1" t="n">
        <v>46047</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8">
      <c r="A48" t="inlineStr">
        <is>
          <t>in-09892d33d99f17a2</t>
        </is>
      </c>
      <c r="B48" t="inlineStr">
        <is>
          <t>Applied Scientist II, Prime Video Personalization and Discovery Science</t>
        </is>
      </c>
      <c r="C48" t="inlineStr">
        <is>
          <t>Amazon.com</t>
        </is>
      </c>
      <c r="D48" t="inlineStr">
        <is>
          <t>indeed</t>
        </is>
      </c>
      <c r="E48" t="inlineStr"/>
      <c r="F48" t="inlineStr"/>
      <c r="G48" t="inlineStr">
        <is>
          <t>Seattle, WA, US</t>
        </is>
      </c>
      <c r="H48" s="1" t="n">
        <v>46047</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9">
      <c r="A49" t="inlineStr">
        <is>
          <t>in-3e15cae0469c1bd1</t>
        </is>
      </c>
      <c r="B49" t="inlineStr">
        <is>
          <t>Applied Scientist II, Prime Video Personalization and Discovery Science</t>
        </is>
      </c>
      <c r="C49" t="inlineStr">
        <is>
          <t>Amazon.com</t>
        </is>
      </c>
      <c r="D49" t="inlineStr">
        <is>
          <t>indeed</t>
        </is>
      </c>
      <c r="E49" t="inlineStr"/>
      <c r="F49" t="inlineStr"/>
      <c r="G49" t="inlineStr">
        <is>
          <t>Sunnyvale, CA, US</t>
        </is>
      </c>
      <c r="H49" s="1" t="n">
        <v>46047</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0">
      <c r="A50" t="inlineStr">
        <is>
          <t>in-7d8a84d0ab807a13</t>
        </is>
      </c>
      <c r="B50" t="inlineStr">
        <is>
          <t>Applied Scientist, Amazon Connect</t>
        </is>
      </c>
      <c r="C50" t="inlineStr">
        <is>
          <t>Amazon Web Services</t>
        </is>
      </c>
      <c r="D50" t="inlineStr">
        <is>
          <t>indeed</t>
        </is>
      </c>
      <c r="E50" t="inlineStr"/>
      <c r="F50" t="inlineStr"/>
      <c r="G50" t="inlineStr">
        <is>
          <t>New York, NY, US</t>
        </is>
      </c>
      <c r="H50" s="1" t="n">
        <v>46047</v>
      </c>
      <c r="I5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1">
      <c r="A51" t="inlineStr">
        <is>
          <t>in-a54cc9637e721273</t>
        </is>
      </c>
      <c r="B51" t="inlineStr">
        <is>
          <t>Applied Scientist, Amazon Connect</t>
        </is>
      </c>
      <c r="C51" t="inlineStr">
        <is>
          <t>Amazon Web Services</t>
        </is>
      </c>
      <c r="D51" t="inlineStr">
        <is>
          <t>indeed</t>
        </is>
      </c>
      <c r="E51" t="inlineStr"/>
      <c r="F51" t="inlineStr"/>
      <c r="G51" t="inlineStr">
        <is>
          <t>Seattle, WA, US</t>
        </is>
      </c>
      <c r="H51" s="1" t="n">
        <v>46047</v>
      </c>
      <c r="I5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2">
      <c r="A52" t="inlineStr">
        <is>
          <t>in-1df4d36974e653cf</t>
        </is>
      </c>
      <c r="B52" t="inlineStr">
        <is>
          <t>Applied Scientist, Safety ML</t>
        </is>
      </c>
      <c r="C52" t="inlineStr">
        <is>
          <t>Amazon.com</t>
        </is>
      </c>
      <c r="D52" t="inlineStr">
        <is>
          <t>indeed</t>
        </is>
      </c>
      <c r="E52" t="inlineStr"/>
      <c r="F52" t="inlineStr"/>
      <c r="G52" t="inlineStr">
        <is>
          <t>San Francisco, CA, US</t>
        </is>
      </c>
      <c r="H52" s="1" t="n">
        <v>46037</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3">
      <c r="A53" t="inlineStr">
        <is>
          <t>in-5159b1a456d8fc19</t>
        </is>
      </c>
      <c r="B53" t="inlineStr">
        <is>
          <t>Applied Scientist, Safety ML</t>
        </is>
      </c>
      <c r="C53" t="inlineStr">
        <is>
          <t>Amazon.com</t>
        </is>
      </c>
      <c r="D53" t="inlineStr">
        <is>
          <t>indeed</t>
        </is>
      </c>
      <c r="E53" t="inlineStr"/>
      <c r="F53" t="inlineStr"/>
      <c r="G53" t="inlineStr">
        <is>
          <t>Seattle, WA, US</t>
        </is>
      </c>
      <c r="H53" s="1" t="n">
        <v>46037</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4">
      <c r="A54" t="inlineStr">
        <is>
          <t>in-5c60c9d3a82ca6e7</t>
        </is>
      </c>
      <c r="B54" t="inlineStr">
        <is>
          <t>Principal Applied Scientist, Measurement, AdTech and Data Science, Ads Performance Measurement</t>
        </is>
      </c>
      <c r="C54" t="inlineStr">
        <is>
          <t>Amazon.com</t>
        </is>
      </c>
      <c r="D54" t="inlineStr">
        <is>
          <t>indeed</t>
        </is>
      </c>
      <c r="E54" t="inlineStr"/>
      <c r="F54" t="inlineStr"/>
      <c r="G54" t="inlineStr">
        <is>
          <t>Palo Alto, CA, US</t>
        </is>
      </c>
      <c r="H54" s="1" t="n">
        <v>46037</v>
      </c>
      <c r="I54"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5">
      <c r="A55" t="inlineStr">
        <is>
          <t>in-1479a5911a22498d</t>
        </is>
      </c>
      <c r="B55" t="inlineStr">
        <is>
          <t>Principal Applied Scientist, Measurement, AdTech and Data Science, Ads Performance Measurement</t>
        </is>
      </c>
      <c r="C55" t="inlineStr">
        <is>
          <t>Amazon.com</t>
        </is>
      </c>
      <c r="D55" t="inlineStr">
        <is>
          <t>indeed</t>
        </is>
      </c>
      <c r="E55" t="inlineStr"/>
      <c r="F55" t="inlineStr"/>
      <c r="G55" t="inlineStr">
        <is>
          <t>New York, NY, US</t>
        </is>
      </c>
      <c r="H55" s="1" t="n">
        <v>46037</v>
      </c>
      <c r="I55"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6">
      <c r="A56" t="inlineStr">
        <is>
          <t>in-379648bdb0625f32</t>
        </is>
      </c>
      <c r="B56" t="inlineStr">
        <is>
          <t>Principal Applied Scientist, Measurement, AdTech and Data Science, Ads Performance Measurement</t>
        </is>
      </c>
      <c r="C56" t="inlineStr">
        <is>
          <t>Amazon.com</t>
        </is>
      </c>
      <c r="D56" t="inlineStr">
        <is>
          <t>indeed</t>
        </is>
      </c>
      <c r="E56" t="inlineStr"/>
      <c r="F56" t="inlineStr"/>
      <c r="G56" t="inlineStr">
        <is>
          <t>Seattle, WA, US</t>
        </is>
      </c>
      <c r="H56" s="1" t="n">
        <v>46037</v>
      </c>
      <c r="I56"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7">
      <c r="A57" t="inlineStr">
        <is>
          <t>in-5abecb7ba5fa1d60</t>
        </is>
      </c>
      <c r="B57" t="inlineStr">
        <is>
          <t>Applied Scientist, LLM Code Agents, Kiro Science</t>
        </is>
      </c>
      <c r="C57" t="inlineStr">
        <is>
          <t>Amazon.com</t>
        </is>
      </c>
      <c r="D57" t="inlineStr">
        <is>
          <t>indeed</t>
        </is>
      </c>
      <c r="E57" t="inlineStr"/>
      <c r="F57" t="inlineStr"/>
      <c r="G57" t="inlineStr">
        <is>
          <t>Santa Clara, CA, US</t>
        </is>
      </c>
      <c r="H57" s="1" t="n">
        <v>46035</v>
      </c>
      <c r="I5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8">
      <c r="A58" t="inlineStr">
        <is>
          <t>in-61a4b0ced2d236d1</t>
        </is>
      </c>
      <c r="B58" t="inlineStr">
        <is>
          <t>Applied Scientist, LLM Code Agents, Kiro Science</t>
        </is>
      </c>
      <c r="C58" t="inlineStr">
        <is>
          <t>Amazon.com</t>
        </is>
      </c>
      <c r="D58" t="inlineStr">
        <is>
          <t>indeed</t>
        </is>
      </c>
      <c r="E58" t="inlineStr"/>
      <c r="F58" t="inlineStr"/>
      <c r="G58" t="inlineStr">
        <is>
          <t>Seattle, WA, US</t>
        </is>
      </c>
      <c r="H58" s="1" t="n">
        <v>46035</v>
      </c>
      <c r="I5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9">
      <c r="A59" t="inlineStr">
        <is>
          <t>in-338ca4325877546f</t>
        </is>
      </c>
      <c r="B59" t="inlineStr">
        <is>
          <t>Applied Scientist II, Prime Video Personalization and Discovery Science</t>
        </is>
      </c>
      <c r="C59" t="inlineStr">
        <is>
          <t>Amazon.com</t>
        </is>
      </c>
      <c r="D59" t="inlineStr">
        <is>
          <t>indeed</t>
        </is>
      </c>
      <c r="E59" t="inlineStr"/>
      <c r="F59" t="inlineStr"/>
      <c r="G59" t="inlineStr">
        <is>
          <t>Sunnyvale, CA, US</t>
        </is>
      </c>
      <c r="H59" s="1" t="n">
        <v>46034</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0">
      <c r="A60" t="inlineStr">
        <is>
          <t>in-a0fd5b95c6131da0</t>
        </is>
      </c>
      <c r="B60" t="inlineStr">
        <is>
          <t>Applied Scientist II, Prime Video Personalization and Discovery Science</t>
        </is>
      </c>
      <c r="C60" t="inlineStr">
        <is>
          <t>Amazon.com</t>
        </is>
      </c>
      <c r="D60" t="inlineStr">
        <is>
          <t>indeed</t>
        </is>
      </c>
      <c r="E60" t="inlineStr"/>
      <c r="F60" t="inlineStr"/>
      <c r="G60" t="inlineStr">
        <is>
          <t>Seattle, WA, US</t>
        </is>
      </c>
      <c r="H60" s="1" t="n">
        <v>46034</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1">
      <c r="A61" t="inlineStr">
        <is>
          <t>in-33b38f75b86541f3</t>
        </is>
      </c>
      <c r="B61" t="inlineStr">
        <is>
          <t>Applied Scientist, Alexa Smart Home</t>
        </is>
      </c>
      <c r="C61" t="inlineStr">
        <is>
          <t>Amazon.com</t>
        </is>
      </c>
      <c r="D61" t="inlineStr">
        <is>
          <t>indeed</t>
        </is>
      </c>
      <c r="E61" t="inlineStr"/>
      <c r="F61" t="inlineStr"/>
      <c r="G61" t="inlineStr">
        <is>
          <t>Sunnyvale, CA, US</t>
        </is>
      </c>
      <c r="H61" s="1" t="n">
        <v>46033</v>
      </c>
      <c r="I6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2">
      <c r="A62" t="inlineStr">
        <is>
          <t>in-f55c0ead33335d61</t>
        </is>
      </c>
      <c r="B62" t="inlineStr">
        <is>
          <t>Applied Scientist, Alexa Smart Home</t>
        </is>
      </c>
      <c r="C62" t="inlineStr">
        <is>
          <t>Amazon.com</t>
        </is>
      </c>
      <c r="D62" t="inlineStr">
        <is>
          <t>indeed</t>
        </is>
      </c>
      <c r="E62" t="inlineStr"/>
      <c r="F62" t="inlineStr"/>
      <c r="G62" t="inlineStr">
        <is>
          <t>Seattle, WA, US</t>
        </is>
      </c>
      <c r="H62" s="1" t="n">
        <v>46033</v>
      </c>
      <c r="I6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3">
      <c r="A63" t="inlineStr">
        <is>
          <t>in-3e1e2af19a14089d</t>
        </is>
      </c>
      <c r="B63" t="inlineStr">
        <is>
          <t>Applied Scientist, AWS Applied AI Solutions</t>
        </is>
      </c>
      <c r="C63" t="inlineStr">
        <is>
          <t>Amazon Web Services</t>
        </is>
      </c>
      <c r="D63" t="inlineStr">
        <is>
          <t>indeed</t>
        </is>
      </c>
      <c r="E63" t="inlineStr"/>
      <c r="F63" t="inlineStr"/>
      <c r="G63" t="inlineStr">
        <is>
          <t>Seattle, WA, US</t>
        </is>
      </c>
      <c r="H63" s="1" t="n">
        <v>46030</v>
      </c>
      <c r="I63"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4">
      <c r="A64" t="inlineStr">
        <is>
          <t>in-8faeff21ac84ddfc</t>
        </is>
      </c>
      <c r="B64" t="inlineStr">
        <is>
          <t>Applied Scientist, AWS Applied AI Solutions</t>
        </is>
      </c>
      <c r="C64" t="inlineStr">
        <is>
          <t>Amazon Web Services</t>
        </is>
      </c>
      <c r="D64" t="inlineStr">
        <is>
          <t>indeed</t>
        </is>
      </c>
      <c r="E64" t="inlineStr"/>
      <c r="F64" t="inlineStr"/>
      <c r="G64" t="inlineStr">
        <is>
          <t>New York, NY, US</t>
        </is>
      </c>
      <c r="H64" s="1" t="n">
        <v>46030</v>
      </c>
      <c r="I6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5">
      <c r="A65" t="inlineStr">
        <is>
          <t>in-3590bd20ab6433b6</t>
        </is>
      </c>
      <c r="B65" t="inlineStr">
        <is>
          <t>Senior Data Scientist, Amazon Global Logistics</t>
        </is>
      </c>
      <c r="C65" t="inlineStr">
        <is>
          <t>Amazon.com</t>
        </is>
      </c>
      <c r="D65" t="inlineStr">
        <is>
          <t>indeed</t>
        </is>
      </c>
      <c r="E65" t="inlineStr"/>
      <c r="F65" t="inlineStr"/>
      <c r="G65" t="inlineStr">
        <is>
          <t>Bellevue, WA, US</t>
        </is>
      </c>
      <c r="H65" s="1" t="n">
        <v>46029</v>
      </c>
      <c r="I65"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66">
      <c r="A66" t="inlineStr">
        <is>
          <t>in-2966f89e7b6b470e</t>
        </is>
      </c>
      <c r="B66" t="inlineStr">
        <is>
          <t>Senior Data Scientist, Amazon Global Logistics</t>
        </is>
      </c>
      <c r="C66" t="inlineStr">
        <is>
          <t>Amazon.com</t>
        </is>
      </c>
      <c r="D66" t="inlineStr">
        <is>
          <t>indeed</t>
        </is>
      </c>
      <c r="E66" t="inlineStr"/>
      <c r="F66" t="inlineStr"/>
      <c r="G66" t="inlineStr">
        <is>
          <t>Boston, MA, US</t>
        </is>
      </c>
      <c r="H66" s="1" t="n">
        <v>46029</v>
      </c>
      <c r="I66"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67">
      <c r="A67" t="inlineStr">
        <is>
          <t>in-4d2c785de67d3f52</t>
        </is>
      </c>
      <c r="B67" t="inlineStr">
        <is>
          <t>Applied Scientist II, Prime Video Personalization and Discovery Science</t>
        </is>
      </c>
      <c r="C67" t="inlineStr">
        <is>
          <t>Amazon.com</t>
        </is>
      </c>
      <c r="D67" t="inlineStr">
        <is>
          <t>indeed</t>
        </is>
      </c>
      <c r="E67" t="inlineStr"/>
      <c r="F67" t="inlineStr"/>
      <c r="G67" t="inlineStr">
        <is>
          <t>New York, NY, US</t>
        </is>
      </c>
      <c r="H67" s="1" t="n">
        <v>46028</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8">
      <c r="A68" t="inlineStr">
        <is>
          <t>in-fe6fcea1e122b678</t>
        </is>
      </c>
      <c r="B68" t="inlineStr">
        <is>
          <t>Applied Scientist II, Prime Video Personalization and Discovery Science</t>
        </is>
      </c>
      <c r="C68" t="inlineStr">
        <is>
          <t>Amazon.com</t>
        </is>
      </c>
      <c r="D68" t="inlineStr">
        <is>
          <t>indeed</t>
        </is>
      </c>
      <c r="E68" t="inlineStr"/>
      <c r="F68" t="inlineStr"/>
      <c r="G68" t="inlineStr">
        <is>
          <t>Seattle, WA, US</t>
        </is>
      </c>
      <c r="H68" s="1" t="n">
        <v>46028</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9">
      <c r="A69" t="inlineStr">
        <is>
          <t>in-e88cbbfbec73b26a</t>
        </is>
      </c>
      <c r="B69" t="inlineStr">
        <is>
          <t>Applied Scientist II, Prime Video Personalization and Discovery Science</t>
        </is>
      </c>
      <c r="C69" t="inlineStr">
        <is>
          <t>Amazon.com</t>
        </is>
      </c>
      <c r="D69" t="inlineStr">
        <is>
          <t>indeed</t>
        </is>
      </c>
      <c r="E69" t="inlineStr"/>
      <c r="F69" t="inlineStr"/>
      <c r="G69" t="inlineStr">
        <is>
          <t>Sunnyvale, CA, US</t>
        </is>
      </c>
      <c r="H69" s="1" t="n">
        <v>46028</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0">
      <c r="A70" t="inlineStr">
        <is>
          <t>in-fd322ca47597bee3</t>
        </is>
      </c>
      <c r="B70" t="inlineStr">
        <is>
          <t>Senior Applied Scientist, Distributed SQL</t>
        </is>
      </c>
      <c r="C70" t="inlineStr">
        <is>
          <t>Amazon Web Services</t>
        </is>
      </c>
      <c r="D70" t="inlineStr">
        <is>
          <t>indeed</t>
        </is>
      </c>
      <c r="E70" t="inlineStr"/>
      <c r="F70" t="inlineStr"/>
      <c r="G70" t="inlineStr">
        <is>
          <t>East Palo Alto, CA, US</t>
        </is>
      </c>
      <c r="H70" s="1" t="n">
        <v>46012</v>
      </c>
      <c r="I7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1">
      <c r="A71" t="inlineStr">
        <is>
          <t>in-0732bd55e31a0433</t>
        </is>
      </c>
      <c r="B71" t="inlineStr">
        <is>
          <t>Senior Applied Scientist, Distributed SQL</t>
        </is>
      </c>
      <c r="C71" t="inlineStr">
        <is>
          <t>Amazon Web Services</t>
        </is>
      </c>
      <c r="D71" t="inlineStr">
        <is>
          <t>indeed</t>
        </is>
      </c>
      <c r="E71" t="inlineStr"/>
      <c r="F71" t="inlineStr"/>
      <c r="G71" t="inlineStr">
        <is>
          <t>Seattle, WA, US</t>
        </is>
      </c>
      <c r="H71" s="1" t="n">
        <v>46012</v>
      </c>
      <c r="I7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2">
      <c r="A72" t="inlineStr">
        <is>
          <t>in-66463b314699f2c1</t>
        </is>
      </c>
      <c r="B72" t="inlineStr">
        <is>
          <t>Applied Scientist, Delivery Foundation Model</t>
        </is>
      </c>
      <c r="C72" t="inlineStr">
        <is>
          <t>Amazon.com</t>
        </is>
      </c>
      <c r="D72" t="inlineStr">
        <is>
          <t>indeed</t>
        </is>
      </c>
      <c r="E72" t="inlineStr"/>
      <c r="F72" t="inlineStr"/>
      <c r="G72" t="inlineStr">
        <is>
          <t>Bellevue, WA, US</t>
        </is>
      </c>
      <c r="H72" s="1" t="n">
        <v>46009</v>
      </c>
      <c r="I7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3">
      <c r="A73" t="inlineStr">
        <is>
          <t>in-823c56c297db6cb7</t>
        </is>
      </c>
      <c r="B73" t="inlineStr">
        <is>
          <t>Applied Scientist, Delivery Foundation Model</t>
        </is>
      </c>
      <c r="C73" t="inlineStr">
        <is>
          <t>Amazon.com</t>
        </is>
      </c>
      <c r="D73" t="inlineStr">
        <is>
          <t>indeed</t>
        </is>
      </c>
      <c r="E73" t="inlineStr"/>
      <c r="F73" t="inlineStr"/>
      <c r="G73" t="inlineStr">
        <is>
          <t>Santa Clara, CA, US</t>
        </is>
      </c>
      <c r="H73" s="1" t="n">
        <v>46009</v>
      </c>
      <c r="I7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4">
      <c r="A74" t="inlineStr">
        <is>
          <t>in-0891d8c37460dbdb</t>
        </is>
      </c>
      <c r="B74" t="inlineStr">
        <is>
          <t>Principal Applied Scientist, Kiro Science</t>
        </is>
      </c>
      <c r="C74" t="inlineStr">
        <is>
          <t>Amazon Web Services</t>
        </is>
      </c>
      <c r="D74" t="inlineStr">
        <is>
          <t>indeed</t>
        </is>
      </c>
      <c r="E74" t="inlineStr"/>
      <c r="F74" t="inlineStr"/>
      <c r="G74" t="inlineStr">
        <is>
          <t>New York, NY, US</t>
        </is>
      </c>
      <c r="H74" s="1" t="n">
        <v>45999</v>
      </c>
      <c r="I7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5">
      <c r="A75" t="inlineStr">
        <is>
          <t>in-f811ee41b9ed5c3b</t>
        </is>
      </c>
      <c r="B75" t="inlineStr">
        <is>
          <t>Principal Applied Scientist, Kiro Science</t>
        </is>
      </c>
      <c r="C75" t="inlineStr">
        <is>
          <t>Amazon Web Services</t>
        </is>
      </c>
      <c r="D75" t="inlineStr">
        <is>
          <t>indeed</t>
        </is>
      </c>
      <c r="E75" t="inlineStr"/>
      <c r="F75" t="inlineStr"/>
      <c r="G75" t="inlineStr">
        <is>
          <t>Santa Clara, CA, US</t>
        </is>
      </c>
      <c r="H75" s="1" t="n">
        <v>45999</v>
      </c>
      <c r="I7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6">
      <c r="A76" t="inlineStr">
        <is>
          <t>in-e5c3d6b9d5815041</t>
        </is>
      </c>
      <c r="B76" t="inlineStr">
        <is>
          <t>Principal Applied Scientist, Sponsored Products and Brands</t>
        </is>
      </c>
      <c r="C76" t="inlineStr">
        <is>
          <t>Amazon.com</t>
        </is>
      </c>
      <c r="D76" t="inlineStr">
        <is>
          <t>indeed</t>
        </is>
      </c>
      <c r="E76" t="inlineStr"/>
      <c r="F76" t="inlineStr"/>
      <c r="G76" t="inlineStr">
        <is>
          <t>New York, NY, US</t>
        </is>
      </c>
      <c r="H76" s="1" t="n">
        <v>45979</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in-1277c7cc4d6e5430</t>
        </is>
      </c>
      <c r="B77" t="inlineStr">
        <is>
          <t>Principal Applied Scientist, Sponsored Products and Brands</t>
        </is>
      </c>
      <c r="C77" t="inlineStr">
        <is>
          <t>Amazon.com</t>
        </is>
      </c>
      <c r="D77" t="inlineStr">
        <is>
          <t>indeed</t>
        </is>
      </c>
      <c r="E77" t="inlineStr"/>
      <c r="F77" t="inlineStr"/>
      <c r="G77" t="inlineStr">
        <is>
          <t>Seattle, WA, US</t>
        </is>
      </c>
      <c r="H77" s="1" t="n">
        <v>45979</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in-02d022341a093978</t>
        </is>
      </c>
      <c r="B78" t="inlineStr">
        <is>
          <t>Senior Applied Scientist, Sponsored Products and Brands</t>
        </is>
      </c>
      <c r="C78" t="inlineStr">
        <is>
          <t>Amazon.com</t>
        </is>
      </c>
      <c r="D78" t="inlineStr">
        <is>
          <t>indeed</t>
        </is>
      </c>
      <c r="E78" t="inlineStr"/>
      <c r="F78" t="inlineStr"/>
      <c r="G78" t="inlineStr">
        <is>
          <t>New York, NY, US</t>
        </is>
      </c>
      <c r="H78" s="1" t="n">
        <v>45979</v>
      </c>
      <c r="I7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9">
      <c r="A79" t="inlineStr">
        <is>
          <t>in-cfe6da9b3da9c98f</t>
        </is>
      </c>
      <c r="B79" t="inlineStr">
        <is>
          <t>Senior Applied Scientist, Sponsored Products and Brands</t>
        </is>
      </c>
      <c r="C79" t="inlineStr">
        <is>
          <t>Amazon.com</t>
        </is>
      </c>
      <c r="D79" t="inlineStr">
        <is>
          <t>indeed</t>
        </is>
      </c>
      <c r="E79" t="inlineStr"/>
      <c r="F79" t="inlineStr"/>
      <c r="G79" t="inlineStr">
        <is>
          <t>Seattle, WA, US</t>
        </is>
      </c>
      <c r="H79" s="1" t="n">
        <v>45979</v>
      </c>
      <c r="I7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0">
      <c r="A80" t="inlineStr">
        <is>
          <t>in-25fd9a95a64a19c1</t>
        </is>
      </c>
      <c r="B80" t="inlineStr">
        <is>
          <t>Sr. Applied Scientist, Sponsored Products</t>
        </is>
      </c>
      <c r="C80" t="inlineStr">
        <is>
          <t>Amazon.com</t>
        </is>
      </c>
      <c r="D80" t="inlineStr">
        <is>
          <t>indeed</t>
        </is>
      </c>
      <c r="E80" t="inlineStr"/>
      <c r="F80" t="inlineStr"/>
      <c r="G80" t="inlineStr">
        <is>
          <t>Seattle, WA, US</t>
        </is>
      </c>
      <c r="H80" s="1" t="n">
        <v>45976</v>
      </c>
      <c r="I8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1">
      <c r="A81" t="inlineStr">
        <is>
          <t>in-dd55c448e9af5c40</t>
        </is>
      </c>
      <c r="B81" t="inlineStr">
        <is>
          <t>Sr. Applied Scientist, Sponsored Products</t>
        </is>
      </c>
      <c r="C81" t="inlineStr">
        <is>
          <t>Amazon.com</t>
        </is>
      </c>
      <c r="D81" t="inlineStr">
        <is>
          <t>indeed</t>
        </is>
      </c>
      <c r="E81" t="inlineStr"/>
      <c r="F81" t="inlineStr"/>
      <c r="G81" t="inlineStr">
        <is>
          <t>New York, NY, US</t>
        </is>
      </c>
      <c r="H81" s="1" t="n">
        <v>45976</v>
      </c>
      <c r="I8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2">
      <c r="A82" t="inlineStr">
        <is>
          <t>in-5983783a5349f3bf</t>
        </is>
      </c>
      <c r="B82" t="inlineStr">
        <is>
          <t>Sr. Applied Scientist, Sponsored Products</t>
        </is>
      </c>
      <c r="C82" t="inlineStr">
        <is>
          <t>Amazon.com</t>
        </is>
      </c>
      <c r="D82" t="inlineStr">
        <is>
          <t>indeed</t>
        </is>
      </c>
      <c r="E82" t="inlineStr"/>
      <c r="F82" t="inlineStr"/>
      <c r="G82" t="inlineStr">
        <is>
          <t>Arlington, VA, US</t>
        </is>
      </c>
      <c r="H82" s="1" t="n">
        <v>45976</v>
      </c>
      <c r="I8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3">
      <c r="A83" t="inlineStr">
        <is>
          <t>in-4a06d454f9c7e3a2</t>
        </is>
      </c>
      <c r="B83" t="inlineStr">
        <is>
          <t>Applied Scientist, AWS Agentic AI</t>
        </is>
      </c>
      <c r="C83" t="inlineStr">
        <is>
          <t>Amazon Web Services</t>
        </is>
      </c>
      <c r="D83" t="inlineStr">
        <is>
          <t>indeed</t>
        </is>
      </c>
      <c r="E83" t="inlineStr"/>
      <c r="F83" t="inlineStr"/>
      <c r="G83" t="inlineStr">
        <is>
          <t>Seattle, WA, US</t>
        </is>
      </c>
      <c r="H83" s="1" t="n">
        <v>45962</v>
      </c>
      <c r="I8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in-caad6b21582c0ffa</t>
        </is>
      </c>
      <c r="B84" t="inlineStr">
        <is>
          <t>Applied Scientist, AWS Agentic AI</t>
        </is>
      </c>
      <c r="C84" t="inlineStr">
        <is>
          <t>Amazon Web Services</t>
        </is>
      </c>
      <c r="D84" t="inlineStr">
        <is>
          <t>indeed</t>
        </is>
      </c>
      <c r="E84" t="inlineStr"/>
      <c r="F84" t="inlineStr"/>
      <c r="G84" t="inlineStr">
        <is>
          <t>Santa Clara, CA, US</t>
        </is>
      </c>
      <c r="H84" s="1" t="n">
        <v>45962</v>
      </c>
      <c r="I8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in-9d708788d4bb5262</t>
        </is>
      </c>
      <c r="B85" t="inlineStr">
        <is>
          <t>Applied Scientist, AWS Agentic AI</t>
        </is>
      </c>
      <c r="C85" t="inlineStr">
        <is>
          <t>Amazon Web Services</t>
        </is>
      </c>
      <c r="D85" t="inlineStr">
        <is>
          <t>indeed</t>
        </is>
      </c>
      <c r="E85" t="inlineStr"/>
      <c r="F85" t="inlineStr"/>
      <c r="G85" t="inlineStr">
        <is>
          <t>New York, NY, US</t>
        </is>
      </c>
      <c r="H85" s="1" t="n">
        <v>45962</v>
      </c>
      <c r="I8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in-271dcc756f99a5a4</t>
        </is>
      </c>
      <c r="B86" t="inlineStr">
        <is>
          <t>Applied Scientist, Prime Video - Content Understanding, Localization &amp; Enrichment Team</t>
        </is>
      </c>
      <c r="C86" t="inlineStr">
        <is>
          <t>Amazon.com</t>
        </is>
      </c>
      <c r="D86" t="inlineStr">
        <is>
          <t>indeed</t>
        </is>
      </c>
      <c r="E86" t="inlineStr"/>
      <c r="F86" t="inlineStr"/>
      <c r="G86" t="inlineStr">
        <is>
          <t>Seattle, WA, US</t>
        </is>
      </c>
      <c r="H86" s="1" t="n">
        <v>45943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7">
      <c r="A87" t="inlineStr">
        <is>
          <t>in-647cff8195121796</t>
        </is>
      </c>
      <c r="B87" t="inlineStr">
        <is>
          <t>Applied Scientist, Prime Video - Content Understanding, Localization &amp; Enrichment Team</t>
        </is>
      </c>
      <c r="C87" t="inlineStr">
        <is>
          <t>Amazon.com</t>
        </is>
      </c>
      <c r="D87" t="inlineStr">
        <is>
          <t>indeed</t>
        </is>
      </c>
      <c r="E87" t="inlineStr"/>
      <c r="F87" t="inlineStr"/>
      <c r="G87" t="inlineStr">
        <is>
          <t>San Francisco, CA, US</t>
        </is>
      </c>
      <c r="H87" s="1" t="n">
        <v>45943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8">
      <c r="A88" t="inlineStr">
        <is>
          <t>in-f1f3372d2bdfa416</t>
        </is>
      </c>
      <c r="B88" t="inlineStr">
        <is>
          <t>Principal Applied Scientist, Advertiser Growth, Amazon Sponsored Products &amp; Brands</t>
        </is>
      </c>
      <c r="C88" t="inlineStr">
        <is>
          <t>Amazon.com</t>
        </is>
      </c>
      <c r="D88" t="inlineStr">
        <is>
          <t>indeed</t>
        </is>
      </c>
      <c r="E88" t="inlineStr"/>
      <c r="F88" t="inlineStr"/>
      <c r="G88" t="inlineStr">
        <is>
          <t>New York, NY, US</t>
        </is>
      </c>
      <c r="H88" s="1"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in-43806c3b7a617208</t>
        </is>
      </c>
      <c r="B89" t="inlineStr">
        <is>
          <t>Principal Applied Scientist, Advertiser Growth, Amazon Sponsored Products &amp; Brands</t>
        </is>
      </c>
      <c r="C89" t="inlineStr">
        <is>
          <t>Amazon.com</t>
        </is>
      </c>
      <c r="D89" t="inlineStr">
        <is>
          <t>indeed</t>
        </is>
      </c>
      <c r="E89" t="inlineStr"/>
      <c r="F89" t="inlineStr"/>
      <c r="G89" t="inlineStr">
        <is>
          <t>Seattle, WA, US</t>
        </is>
      </c>
      <c r="H89" s="1" t="n">
        <v>45942</v>
      </c>
      <c r="I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in-8b71f5523e8bcef3</t>
        </is>
      </c>
      <c r="B90" t="inlineStr">
        <is>
          <t>Principal Applied Scientist, Advertiser Growth, Amazon Sponsored Products &amp; Brands</t>
        </is>
      </c>
      <c r="C90" t="inlineStr">
        <is>
          <t>Amazon.com</t>
        </is>
      </c>
      <c r="D90" t="inlineStr">
        <is>
          <t>indeed</t>
        </is>
      </c>
      <c r="E90" t="inlineStr"/>
      <c r="F90" t="inlineStr"/>
      <c r="G90" t="inlineStr">
        <is>
          <t>Palo Alto, CA, US</t>
        </is>
      </c>
      <c r="H90" s="1" t="n">
        <v>45942</v>
      </c>
      <c r="I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in-995ce15b7aaa32de</t>
        </is>
      </c>
      <c r="B91" t="inlineStr">
        <is>
          <t>Applied Scientist, Workplace Health &amp; Safety</t>
        </is>
      </c>
      <c r="C91" t="inlineStr">
        <is>
          <t>Amazon.com</t>
        </is>
      </c>
      <c r="D91" t="inlineStr">
        <is>
          <t>indeed</t>
        </is>
      </c>
      <c r="E91" t="inlineStr"/>
      <c r="F91" t="inlineStr"/>
      <c r="G91" t="inlineStr">
        <is>
          <t>Nashville, TN, US</t>
        </is>
      </c>
      <c r="H91" s="1" t="n">
        <v>45917</v>
      </c>
      <c r="I9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in-ba8705014da90664</t>
        </is>
      </c>
      <c r="B92" t="inlineStr">
        <is>
          <t>Applied Scientist, Workplace Health &amp; Safety</t>
        </is>
      </c>
      <c r="C92" t="inlineStr">
        <is>
          <t>Amazon.com</t>
        </is>
      </c>
      <c r="D92" t="inlineStr">
        <is>
          <t>indeed</t>
        </is>
      </c>
      <c r="E92" t="inlineStr"/>
      <c r="F92" t="inlineStr"/>
      <c r="G92" t="inlineStr">
        <is>
          <t>Bellevue, WA, US</t>
        </is>
      </c>
      <c r="H92" s="1" t="n">
        <v>45917</v>
      </c>
      <c r="I9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in-496a85ac20b54b3c</t>
        </is>
      </c>
      <c r="B93" t="inlineStr">
        <is>
          <t>Sr. Applied Scientist, Prime Video - Personalization and Discovery Science</t>
        </is>
      </c>
      <c r="C93" t="inlineStr">
        <is>
          <t>Amazon.com</t>
        </is>
      </c>
      <c r="D93" t="inlineStr">
        <is>
          <t>indeed</t>
        </is>
      </c>
      <c r="E93" t="inlineStr"/>
      <c r="F93" t="inlineStr"/>
      <c r="G93" t="inlineStr">
        <is>
          <t>New York, NY, US</t>
        </is>
      </c>
      <c r="H93" s="1" t="n">
        <v>45896</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4">
      <c r="A94" t="inlineStr">
        <is>
          <t>in-da6e331f766c55ba</t>
        </is>
      </c>
      <c r="B94" t="inlineStr">
        <is>
          <t>Sr. Applied Scientist, Prime Video - Personalization and Discovery Science</t>
        </is>
      </c>
      <c r="C94" t="inlineStr">
        <is>
          <t>Amazon.com</t>
        </is>
      </c>
      <c r="D94" t="inlineStr">
        <is>
          <t>indeed</t>
        </is>
      </c>
      <c r="E94" t="inlineStr"/>
      <c r="F94" t="inlineStr"/>
      <c r="G94" t="inlineStr">
        <is>
          <t>Seattle, WA, US</t>
        </is>
      </c>
      <c r="H94" s="1" t="n">
        <v>45896</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5">
      <c r="A95" t="inlineStr">
        <is>
          <t>in-bb823a0be9d40a20</t>
        </is>
      </c>
      <c r="B95" t="inlineStr">
        <is>
          <t>Sr. Applied Scientist, Prime Video - Personalization and Discovery Science</t>
        </is>
      </c>
      <c r="C95" t="inlineStr">
        <is>
          <t>Amazon.com</t>
        </is>
      </c>
      <c r="D95" t="inlineStr">
        <is>
          <t>indeed</t>
        </is>
      </c>
      <c r="E95" t="inlineStr"/>
      <c r="F95" t="inlineStr"/>
      <c r="G95" t="inlineStr">
        <is>
          <t>Sunnyvale, CA, US</t>
        </is>
      </c>
      <c r="H95" s="1" t="n">
        <v>45896</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6">
      <c r="A96" t="inlineStr">
        <is>
          <t>in-67c53e092b456657</t>
        </is>
      </c>
      <c r="B96" t="inlineStr">
        <is>
          <t>Sr. Applied Scientist, Amazon Advertising</t>
        </is>
      </c>
      <c r="C96" t="inlineStr">
        <is>
          <t>Amazon.com</t>
        </is>
      </c>
      <c r="D96" t="inlineStr">
        <is>
          <t>indeed</t>
        </is>
      </c>
      <c r="E96" t="inlineStr"/>
      <c r="F96" t="inlineStr"/>
      <c r="G96" t="inlineStr">
        <is>
          <t>Los Angeles, CA, US</t>
        </is>
      </c>
      <c r="H96" s="1"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in-64ec9adedc9ba592</t>
        </is>
      </c>
      <c r="B97" t="inlineStr">
        <is>
          <t>Sr. Applied Scientist, Amazon Advertising</t>
        </is>
      </c>
      <c r="C97" t="inlineStr">
        <is>
          <t>Amazon.com</t>
        </is>
      </c>
      <c r="D97" t="inlineStr">
        <is>
          <t>indeed</t>
        </is>
      </c>
      <c r="E97" t="inlineStr"/>
      <c r="F97" t="inlineStr"/>
      <c r="G97" t="inlineStr">
        <is>
          <t>Austin, TX, US</t>
        </is>
      </c>
      <c r="H97" s="1"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in-746cc4114f4f93a3</t>
        </is>
      </c>
      <c r="B98" t="inlineStr">
        <is>
          <t>Sr. Applied Scientist, Amazon Advertising</t>
        </is>
      </c>
      <c r="C98" t="inlineStr">
        <is>
          <t>Amazon.com</t>
        </is>
      </c>
      <c r="D98" t="inlineStr">
        <is>
          <t>indeed</t>
        </is>
      </c>
      <c r="E98" t="inlineStr"/>
      <c r="F98" t="inlineStr"/>
      <c r="G98" t="inlineStr">
        <is>
          <t>Simi Valley, CA, US</t>
        </is>
      </c>
      <c r="H98" s="1"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in-5066872067e8cfd8</t>
        </is>
      </c>
      <c r="B99" t="inlineStr">
        <is>
          <t>Sr. Applied Scientist, Amazon Advertising</t>
        </is>
      </c>
      <c r="C99" t="inlineStr">
        <is>
          <t>Amazon.com</t>
        </is>
      </c>
      <c r="D99" t="inlineStr">
        <is>
          <t>indeed</t>
        </is>
      </c>
      <c r="E99" t="inlineStr"/>
      <c r="F99" t="inlineStr"/>
      <c r="G99" t="inlineStr">
        <is>
          <t>Arlington, VA, US</t>
        </is>
      </c>
      <c r="H99" s="1"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in-6c9294f5e357fe81</t>
        </is>
      </c>
      <c r="B100" t="inlineStr">
        <is>
          <t>Sr. Applied Scientist, Amazon Advertising</t>
        </is>
      </c>
      <c r="C100" t="inlineStr">
        <is>
          <t>Amazon.com</t>
        </is>
      </c>
      <c r="D100" t="inlineStr">
        <is>
          <t>indeed</t>
        </is>
      </c>
      <c r="E100" t="inlineStr"/>
      <c r="F100" t="inlineStr"/>
      <c r="G100" t="inlineStr">
        <is>
          <t>West Hollywood, CA,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in-a0d07f2ca55bd76d</t>
        </is>
      </c>
      <c r="B101" t="inlineStr">
        <is>
          <t>Sr. Applied Scientist, Amazon Advertising</t>
        </is>
      </c>
      <c r="C101" t="inlineStr">
        <is>
          <t>Amazon.com</t>
        </is>
      </c>
      <c r="D101" t="inlineStr">
        <is>
          <t>indeed</t>
        </is>
      </c>
      <c r="E101" t="inlineStr"/>
      <c r="F101" t="inlineStr"/>
      <c r="G101" t="inlineStr">
        <is>
          <t>Palo Alto, CA,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in-1eeaa76f6601dbc0</t>
        </is>
      </c>
      <c r="B102" t="inlineStr">
        <is>
          <t>Sr. Applied Scientist, Amazon Advertising</t>
        </is>
      </c>
      <c r="C102" t="inlineStr">
        <is>
          <t>Amazon.com</t>
        </is>
      </c>
      <c r="D102" t="inlineStr">
        <is>
          <t>indeed</t>
        </is>
      </c>
      <c r="E102" t="inlineStr"/>
      <c r="F102" t="inlineStr"/>
      <c r="G102" t="inlineStr">
        <is>
          <t>New York, NY,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in-d9c1512e0a535d3e</t>
        </is>
      </c>
      <c r="B103" t="inlineStr">
        <is>
          <t>Sr. Applied Scientist, Amazon Advertising</t>
        </is>
      </c>
      <c r="C103" t="inlineStr">
        <is>
          <t>Amazon.com</t>
        </is>
      </c>
      <c r="D103" t="inlineStr">
        <is>
          <t>indeed</t>
        </is>
      </c>
      <c r="E103" t="inlineStr"/>
      <c r="F103" t="inlineStr"/>
      <c r="G103" t="inlineStr">
        <is>
          <t>Seattle, WA,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in-87ae57076e2c8978</t>
        </is>
      </c>
      <c r="B104" t="inlineStr">
        <is>
          <t>Applied Scientist, Prime Video - Personalization and Discovery Science</t>
        </is>
      </c>
      <c r="C104" t="inlineStr">
        <is>
          <t>Amazon.com</t>
        </is>
      </c>
      <c r="D104" t="inlineStr">
        <is>
          <t>indeed</t>
        </is>
      </c>
      <c r="E104" t="inlineStr"/>
      <c r="F104" t="inlineStr"/>
      <c r="G104" t="inlineStr">
        <is>
          <t>Sunnyvale, CA, US</t>
        </is>
      </c>
      <c r="H104" s="1" t="n">
        <v>45845</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5">
      <c r="A105" t="inlineStr">
        <is>
          <t>in-d26e11dfc9a497b1</t>
        </is>
      </c>
      <c r="B105" t="inlineStr">
        <is>
          <t>Applied Scientist, Prime Video - Personalization and Discovery Science</t>
        </is>
      </c>
      <c r="C105" t="inlineStr">
        <is>
          <t>Amazon.com</t>
        </is>
      </c>
      <c r="D105" t="inlineStr">
        <is>
          <t>indeed</t>
        </is>
      </c>
      <c r="E105" t="inlineStr"/>
      <c r="F105" t="inlineStr"/>
      <c r="G105" t="inlineStr">
        <is>
          <t>Seattle, WA, US</t>
        </is>
      </c>
      <c r="H105" s="1" t="n">
        <v>45845</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6">
      <c r="A106" t="inlineStr">
        <is>
          <t>in-00c2d30de4398c51</t>
        </is>
      </c>
      <c r="B106" t="inlineStr">
        <is>
          <t>Applied Scientist, Prime Video - Personalization and Discovery Science</t>
        </is>
      </c>
      <c r="C106" t="inlineStr">
        <is>
          <t>Amazon.com</t>
        </is>
      </c>
      <c r="D106" t="inlineStr">
        <is>
          <t>indeed</t>
        </is>
      </c>
      <c r="E106" t="inlineStr"/>
      <c r="F106" t="inlineStr"/>
      <c r="G106" t="inlineStr">
        <is>
          <t>New York, NY, US</t>
        </is>
      </c>
      <c r="H106" s="1" t="n">
        <v>45845</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7">
      <c r="A107" t="inlineStr">
        <is>
          <t>in-2ceb0d9d767eeeb6</t>
        </is>
      </c>
      <c r="B107" t="inlineStr">
        <is>
          <t>Sr. Data Scientist, Amazon Leo Global Planning, Amazon Leo</t>
        </is>
      </c>
      <c r="C107" t="inlineStr">
        <is>
          <t>Amazon.com</t>
        </is>
      </c>
      <c r="D107" t="inlineStr">
        <is>
          <t>indeed</t>
        </is>
      </c>
      <c r="E107" t="inlineStr"/>
      <c r="F107" t="inlineStr"/>
      <c r="G107" t="inlineStr">
        <is>
          <t>Bellevue, WA, US</t>
        </is>
      </c>
      <c r="H107" s="1" t="n">
        <v>45830</v>
      </c>
      <c r="I10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08">
      <c r="A108" t="inlineStr">
        <is>
          <t>in-1e64a7a062e53fe9</t>
        </is>
      </c>
      <c r="B108" t="inlineStr">
        <is>
          <t>Sr. Data Scientist, Amazon Leo Global Planning, Amazon Leo</t>
        </is>
      </c>
      <c r="C108" t="inlineStr">
        <is>
          <t>Amazon.com</t>
        </is>
      </c>
      <c r="D108" t="inlineStr">
        <is>
          <t>indeed</t>
        </is>
      </c>
      <c r="E108" t="inlineStr"/>
      <c r="F108" t="inlineStr"/>
      <c r="G108" t="inlineStr">
        <is>
          <t>Redmond, WA, US</t>
        </is>
      </c>
      <c r="H108" s="1" t="n">
        <v>45830</v>
      </c>
      <c r="I10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09">
      <c r="A109" t="inlineStr">
        <is>
          <t>in-12d0d303088ed9a9</t>
        </is>
      </c>
      <c r="B109" t="inlineStr">
        <is>
          <t>Principal Applied Scientist, Delivery Foundation Model</t>
        </is>
      </c>
      <c r="C109" t="inlineStr">
        <is>
          <t>Amazon.com</t>
        </is>
      </c>
      <c r="D109" t="inlineStr">
        <is>
          <t>indeed</t>
        </is>
      </c>
      <c r="E109" t="inlineStr"/>
      <c r="F109" t="inlineStr"/>
      <c r="G109" t="inlineStr">
        <is>
          <t>New York, NY, US</t>
        </is>
      </c>
      <c r="H109" s="1"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0">
      <c r="A110" t="inlineStr">
        <is>
          <t>in-70ef6b25ef8b850b</t>
        </is>
      </c>
      <c r="B110" t="inlineStr">
        <is>
          <t>Principal Applied Scientist, Delivery Foundation Model</t>
        </is>
      </c>
      <c r="C110" t="inlineStr">
        <is>
          <t>Amazon.com</t>
        </is>
      </c>
      <c r="D110" t="inlineStr">
        <is>
          <t>indeed</t>
        </is>
      </c>
      <c r="E110" t="inlineStr"/>
      <c r="F110" t="inlineStr"/>
      <c r="G110" t="inlineStr">
        <is>
          <t>Bellevue, WA, US</t>
        </is>
      </c>
      <c r="H110" s="1"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1">
      <c r="A111" t="inlineStr">
        <is>
          <t>in-d130551b2dd66bca</t>
        </is>
      </c>
      <c r="B111" t="inlineStr">
        <is>
          <t>Principal Applied Scientist, Delivery Foundation Model</t>
        </is>
      </c>
      <c r="C111" t="inlineStr">
        <is>
          <t>Amazon.com</t>
        </is>
      </c>
      <c r="D111" t="inlineStr">
        <is>
          <t>indeed</t>
        </is>
      </c>
      <c r="E111" t="inlineStr"/>
      <c r="F111" t="inlineStr"/>
      <c r="G111" t="inlineStr">
        <is>
          <t>Austin, TX, US</t>
        </is>
      </c>
      <c r="H111" s="1"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2">
      <c r="A112" t="inlineStr">
        <is>
          <t>in-abfdb9e86ba30eb8</t>
        </is>
      </c>
      <c r="B112" t="inlineStr">
        <is>
          <t>Principal Applied Scientist, Delivery Foundation Model</t>
        </is>
      </c>
      <c r="C112" t="inlineStr">
        <is>
          <t>Amazon.com</t>
        </is>
      </c>
      <c r="D112" t="inlineStr">
        <is>
          <t>indeed</t>
        </is>
      </c>
      <c r="E112" t="inlineStr"/>
      <c r="F112" t="inlineStr"/>
      <c r="G112" t="inlineStr">
        <is>
          <t>Santa Clara, CA, US</t>
        </is>
      </c>
      <c r="H112" s="1" t="n">
        <v>45810</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3">
      <c r="A113" t="inlineStr">
        <is>
          <t>in-0d9ce62759152ab0</t>
        </is>
      </c>
      <c r="B113" t="inlineStr">
        <is>
          <t>Senior Applied Scientist, Delivery Foundation Model</t>
        </is>
      </c>
      <c r="C113" t="inlineStr">
        <is>
          <t>Amazon.com</t>
        </is>
      </c>
      <c r="D113" t="inlineStr">
        <is>
          <t>indeed</t>
        </is>
      </c>
      <c r="E113" t="inlineStr"/>
      <c r="F113" t="inlineStr"/>
      <c r="G113" t="inlineStr">
        <is>
          <t>Santa Clara, CA, US</t>
        </is>
      </c>
      <c r="H113" s="1"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in-24a0bdb9386971e0</t>
        </is>
      </c>
      <c r="B114" t="inlineStr">
        <is>
          <t>Senior Applied Scientist, Delivery Foundation Model</t>
        </is>
      </c>
      <c r="C114" t="inlineStr">
        <is>
          <t>Amazon.com</t>
        </is>
      </c>
      <c r="D114" t="inlineStr">
        <is>
          <t>indeed</t>
        </is>
      </c>
      <c r="E114" t="inlineStr"/>
      <c r="F114" t="inlineStr"/>
      <c r="G114" t="inlineStr">
        <is>
          <t>Bellevue, WA, US</t>
        </is>
      </c>
      <c r="H114" s="1" t="n">
        <v>45806</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in-4cd5fc2198b4d068</t>
        </is>
      </c>
      <c r="B115" t="inlineStr">
        <is>
          <t>Senior Applied Scientist, Delivery Foundation Model</t>
        </is>
      </c>
      <c r="C115" t="inlineStr">
        <is>
          <t>Amazon.com</t>
        </is>
      </c>
      <c r="D115" t="inlineStr">
        <is>
          <t>indeed</t>
        </is>
      </c>
      <c r="E115" t="inlineStr"/>
      <c r="F115" t="inlineStr"/>
      <c r="G115" t="inlineStr">
        <is>
          <t>New York, NY, US</t>
        </is>
      </c>
      <c r="H115" s="1" t="n">
        <v>45806</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in-01456651a16481e6</t>
        </is>
      </c>
      <c r="B116" t="inlineStr">
        <is>
          <t>Sr. Applied Scientist - Privacy, Privacy Engineering</t>
        </is>
      </c>
      <c r="C116" t="inlineStr">
        <is>
          <t>Amazon.com</t>
        </is>
      </c>
      <c r="D116" t="inlineStr">
        <is>
          <t>indeed</t>
        </is>
      </c>
      <c r="E116" t="inlineStr"/>
      <c r="F116" t="inlineStr"/>
      <c r="G116" t="inlineStr">
        <is>
          <t>Sunnyvale, CA, US</t>
        </is>
      </c>
      <c r="H116" s="1" t="n">
        <v>45787</v>
      </c>
      <c r="I11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in-dd6776139f86f8eb</t>
        </is>
      </c>
      <c r="B117" t="inlineStr">
        <is>
          <t>Sr. Applied Scientist - Privacy, Privacy Engineering</t>
        </is>
      </c>
      <c r="C117" t="inlineStr">
        <is>
          <t>Amazon.com</t>
        </is>
      </c>
      <c r="D117" t="inlineStr">
        <is>
          <t>indeed</t>
        </is>
      </c>
      <c r="E117" t="inlineStr"/>
      <c r="F117" t="inlineStr"/>
      <c r="G117" t="inlineStr">
        <is>
          <t>San Francisco, CA, US</t>
        </is>
      </c>
      <c r="H117" s="1" t="n">
        <v>45787</v>
      </c>
      <c r="I11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in-1cd7156b4cda59c1</t>
        </is>
      </c>
      <c r="B118" t="inlineStr">
        <is>
          <t>Sr. Applied Scientist - Privacy, Privacy Engineering</t>
        </is>
      </c>
      <c r="C118" t="inlineStr">
        <is>
          <t>Amazon.com</t>
        </is>
      </c>
      <c r="D118" t="inlineStr">
        <is>
          <t>indeed</t>
        </is>
      </c>
      <c r="E118" t="inlineStr"/>
      <c r="F118" t="inlineStr"/>
      <c r="G118" t="inlineStr">
        <is>
          <t>Santa Clara, CA, US</t>
        </is>
      </c>
      <c r="H118" s="1" t="n">
        <v>45787</v>
      </c>
      <c r="I11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in-78c1ac85760bc375</t>
        </is>
      </c>
      <c r="B119" t="inlineStr">
        <is>
          <t>Sr. Applied Scientist - Privacy, Privacy Engineering</t>
        </is>
      </c>
      <c r="C119" t="inlineStr">
        <is>
          <t>Amazon.com</t>
        </is>
      </c>
      <c r="D119" t="inlineStr">
        <is>
          <t>indeed</t>
        </is>
      </c>
      <c r="E119" t="inlineStr"/>
      <c r="F119" t="inlineStr"/>
      <c r="G119" t="inlineStr">
        <is>
          <t>Seattle, WA, US</t>
        </is>
      </c>
      <c r="H119" s="1" t="n">
        <v>45787</v>
      </c>
      <c r="I11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in-3a7d4d33c0d1e880</t>
        </is>
      </c>
      <c r="B120" t="inlineStr">
        <is>
          <t>Principal Applied Scientist, Delivery Foundation Model</t>
        </is>
      </c>
      <c r="C120" t="inlineStr">
        <is>
          <t>Amazon.com</t>
        </is>
      </c>
      <c r="D120" t="inlineStr">
        <is>
          <t>indeed</t>
        </is>
      </c>
      <c r="E120" t="inlineStr"/>
      <c r="F120" t="inlineStr"/>
      <c r="G120" t="inlineStr">
        <is>
          <t>New York, NY, US</t>
        </is>
      </c>
      <c r="H120" s="1" t="n">
        <v>45757</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1">
      <c r="A121" t="inlineStr">
        <is>
          <t>in-192d5b24cc2a06f0</t>
        </is>
      </c>
      <c r="B121" t="inlineStr">
        <is>
          <t>Principal Applied Scientist, Delivery Foundation Model</t>
        </is>
      </c>
      <c r="C121" t="inlineStr">
        <is>
          <t>Amazon.com</t>
        </is>
      </c>
      <c r="D121" t="inlineStr">
        <is>
          <t>indeed</t>
        </is>
      </c>
      <c r="E121" t="inlineStr"/>
      <c r="F121" t="inlineStr"/>
      <c r="G121" t="inlineStr">
        <is>
          <t>Santa Clara, CA, US</t>
        </is>
      </c>
      <c r="H121" s="1" t="n">
        <v>45757</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2">
      <c r="A122" t="inlineStr">
        <is>
          <t>in-0ac4ec83ff6368e6</t>
        </is>
      </c>
      <c r="B122" t="inlineStr">
        <is>
          <t>Principal Applied Scientist, Delivery Foundation Model</t>
        </is>
      </c>
      <c r="C122" t="inlineStr">
        <is>
          <t>Amazon.com</t>
        </is>
      </c>
      <c r="D122" t="inlineStr">
        <is>
          <t>indeed</t>
        </is>
      </c>
      <c r="E122" t="inlineStr"/>
      <c r="F122" t="inlineStr"/>
      <c r="G122" t="inlineStr">
        <is>
          <t>Bellevue, WA, US</t>
        </is>
      </c>
      <c r="H122" s="1" t="n">
        <v>45757</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3">
      <c r="A123" t="inlineStr">
        <is>
          <t>in-6d0cf03fccf9f1cb</t>
        </is>
      </c>
      <c r="B123" t="inlineStr">
        <is>
          <t>Data Scientist</t>
        </is>
      </c>
      <c r="C123" t="inlineStr">
        <is>
          <t>Skechers</t>
        </is>
      </c>
      <c r="D123" t="inlineStr">
        <is>
          <t>indeed</t>
        </is>
      </c>
      <c r="E123" t="inlineStr"/>
      <c r="F123" t="inlineStr"/>
      <c r="G123" t="inlineStr">
        <is>
          <t>Hermosa Beach, CA, US</t>
        </is>
      </c>
      <c r="H123" s="1" t="n">
        <v>46083</v>
      </c>
      <c r="I123" t="inlineStr">
        <is>
          <t>WHO WE ARE:  
Headquartered in Southern California, Skechers—the Comfort Technology Company®—has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 THE ROLE:  
The Data Scientist will join our Data and Analytics team, reporting to Sr. Director, BI and Reporting. This role will focus on building advanced analytics solutions utilizing data science, AI and ML solutions and technology, building the intelligence that powers our core data products. The Data Scientist will be a hybrid professional who combines deep statistical rigor with an engineering first mindset, with a mission to translate complex business challenges into an end\-to\-end machine learning solution that can thrive in production. They will build, test and document new or improved data science applications and machine learning techniques, develop innovative analytic reports, maintain best practices for change management and collaborate with business leads, data stewards and power users to creatively solve real\-life business problems utilizing large\-scale data supporting all areas of our business.
WHAT YOU’LL DO:
* End to end ML development: Evaluate, implement, and improve machine learning techniques to solve real world problems and aid business decision making.
* Contribute extensively to the full model development lifecycle, from ideation, analysis, model creation and operation.
* Leverage large language models (LLMs) and RAG (retrieval augmented generation) frameworks to enhance data product reach and automate internal workflows.
* Write production\-grade, clean, maintainable, and scalable code for running experiments and proofs\-of\-concept. Collaborate with Data Engineers to build robust data pipelines and deploy models.
* Monitor model drift and bias in production, ensuring our AI solutions remain ethical, accurate and high performing over time.
* Lead Experimental Design, A/B testing and causal inference projects to measure the direct impact of product changes and model performance.
* Translate model outputs into actionable business strategies for non\-technical leadership, utilizing storytelling as a vehicle to make analytics \&amp; insight deliverables accessible and memorable.
* Perform ad hoc analysis to uncover business insights and opportunities, exploring data to discover patterns, meaningful relationships, anomalies, and trends across different formats and platforms.
* Employ quick prototyping to gather feedback and adjust to user asks in an agile fashion.
* Follow best practices to build scalable enterprise BI and analytics solutions, ensuring data and reports are thoroughly tested before production release.
* Document objectives and solutions in summary as well as technical details.
* Collaborate with data and BI engineers, data product managers and business users to explore and create solutions for relevant business problems.
WHAT YOU’LL BRING:
* Proficiency with programming and data analysis using Python, Spark, and ML frameworks (NumPy, Pandas, Sci\-kit Learn, XGBoost, TensorFlow, PyTorch).
* Strong mathematical foundation in statistics, probability, optimization algorithms, linear algebra and AI technologies.
* Working knowledge of statistical and machine learning techniques including classification, regression, clustering, and multivariate methods.
* Expertise with relational data modeling and advanced SQL for data manipulation and performance optimization.
* Experience working in an Agile/SCRUM environment
* Strong problem\-solving, analytical, and communication skills (written, verbal, and interpersonal).
* Strong organizational skills, attention to detail, and ability to prioritize workload.
* Professional presence with ability to take initiative, be creative, curious, and collaborative in a flexible, team\-oriented environment.
* Ability to independently conduct in\-depth data analysis.
REQUIREMENTS:
* Bachelor's/Master's/Ph.D. in quantitative field (Computer Science, Statistics, Mathematics, Physics) or equivalent industry experience.
* 3\+ years in a professional data science role with proven track record of moving models from research to production.
Preferred:
* 5\+ years experience in professional data science role with advanced analytics applications.
* Strong communication and presentation skills – ability to articulate technical challenges and solutions to diverse audiences.
* Familiarity with retail, supply chain, digital \&amp; financial analysis, predictive analytics, and BI visualization toolsets.
* Experience with DSML Automation platforms and MLOps tools.
* Experience with Data Engineering/Cloud tools (Snowflake, BigQuery, AWS SageMaker), GenAI tools (Hugging Face, LangChain, LlamaIndex, OpenAI/Gemini APIs), and cloud\-based BI and Analytics technologies.
* Ability to work with minimal oversight while ensuring timely, accurate task completion.
The pay range for this role is $93,000 \- $130,000/yr USD.
**About Skechers**
Skechers, a global Fortune 500® company, develops and markets a diverse range of lifestyle and performance footwear, apparel, and accessories. Serving over 180 countries and territories, Skechers connects customers to products through department and specialty stores, e\-commerce and digital stores, and through our more than 5,300 Skechers retail locations.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row>
    <row r="124">
      <c r="A124" t="inlineStr">
        <is>
          <t>in-be30c0a7aa31c578</t>
        </is>
      </c>
      <c r="B124" t="inlineStr">
        <is>
          <t>Data Scientist, AWS Infrastructure Services Science</t>
        </is>
      </c>
      <c r="C124" t="inlineStr">
        <is>
          <t>Amazon.com</t>
        </is>
      </c>
      <c r="D124" t="inlineStr">
        <is>
          <t>indeed</t>
        </is>
      </c>
      <c r="E124" t="inlineStr"/>
      <c r="F124" t="inlineStr"/>
      <c r="G124" t="inlineStr">
        <is>
          <t>Herndon, VA, US</t>
        </is>
      </c>
      <c r="H124" s="1" t="n">
        <v>46065</v>
      </c>
      <c r="I1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25">
      <c r="A125" t="inlineStr">
        <is>
          <t>in-ba3ddf3ea969eff1</t>
        </is>
      </c>
      <c r="B125" t="inlineStr">
        <is>
          <t>Data Scientist, AWS Infrastructure Services Science</t>
        </is>
      </c>
      <c r="C125" t="inlineStr">
        <is>
          <t>Amazon.com</t>
        </is>
      </c>
      <c r="D125" t="inlineStr">
        <is>
          <t>indeed</t>
        </is>
      </c>
      <c r="E125" t="inlineStr"/>
      <c r="F125" t="inlineStr"/>
      <c r="G125" t="inlineStr">
        <is>
          <t>Seattle, WA, US</t>
        </is>
      </c>
      <c r="H125" s="1" t="n">
        <v>46065</v>
      </c>
      <c r="I12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26">
      <c r="A126" t="inlineStr">
        <is>
          <t>in-7a3737dcf8ab7067</t>
        </is>
      </c>
      <c r="B126" t="inlineStr">
        <is>
          <t>Data Scientist, Rapid &amp; Rural Logistics (R2L)</t>
        </is>
      </c>
      <c r="C126" t="inlineStr">
        <is>
          <t>Amazon.com</t>
        </is>
      </c>
      <c r="D126" t="inlineStr">
        <is>
          <t>indeed</t>
        </is>
      </c>
      <c r="E126" t="inlineStr"/>
      <c r="F126" t="inlineStr"/>
      <c r="G126" t="inlineStr">
        <is>
          <t>New York, NY, US</t>
        </is>
      </c>
      <c r="H126" s="1" t="n">
        <v>46056</v>
      </c>
      <c r="I126"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27">
      <c r="A127" t="inlineStr">
        <is>
          <t>in-46b6aa400b74a53c</t>
        </is>
      </c>
      <c r="B127" t="inlineStr">
        <is>
          <t>Data Scientist, Rapid &amp; Rural Logistics (R2L)</t>
        </is>
      </c>
      <c r="C127" t="inlineStr">
        <is>
          <t>Amazon.com</t>
        </is>
      </c>
      <c r="D127" t="inlineStr">
        <is>
          <t>indeed</t>
        </is>
      </c>
      <c r="E127" t="inlineStr"/>
      <c r="F127" t="inlineStr"/>
      <c r="G127" t="inlineStr">
        <is>
          <t>Bellevue, WA, US</t>
        </is>
      </c>
      <c r="H127" s="1" t="n">
        <v>46056</v>
      </c>
      <c r="I127"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28">
      <c r="A128" t="inlineStr">
        <is>
          <t>in-c669969488866bf1</t>
        </is>
      </c>
      <c r="B128" t="inlineStr">
        <is>
          <t>Business Model Data Scientist</t>
        </is>
      </c>
      <c r="C128" t="inlineStr">
        <is>
          <t>Intuit</t>
        </is>
      </c>
      <c r="D128" t="inlineStr">
        <is>
          <t>indeed</t>
        </is>
      </c>
      <c r="E128" t="inlineStr"/>
      <c r="F128" t="inlineStr"/>
      <c r="G128" t="inlineStr">
        <is>
          <t>Mountain View, CA, US</t>
        </is>
      </c>
      <c r="H128" s="1" t="n">
        <v>46083</v>
      </c>
      <c r="I128" t="inlineStr">
        <is>
          <t>**Category** Data **Location** Mountain View, California; San Diego, California **Job ID** 20052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
...Less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129">
      <c r="A129" t="inlineStr">
        <is>
          <t>in-f6d337badaaaa7fb</t>
        </is>
      </c>
      <c r="B129" t="inlineStr">
        <is>
          <t>Data Scientist</t>
        </is>
      </c>
      <c r="C129" t="inlineStr">
        <is>
          <t>Fund For Public Health In New York Inc</t>
        </is>
      </c>
      <c r="D129" t="inlineStr">
        <is>
          <t>indeed</t>
        </is>
      </c>
      <c r="E129" t="inlineStr"/>
      <c r="F129" t="inlineStr"/>
      <c r="G129" t="inlineStr">
        <is>
          <t>Queens, NY, US</t>
        </is>
      </c>
      <c r="H129" s="1" t="n">
        <v>46083</v>
      </c>
      <c r="I129" t="inlineStr">
        <is>
          <t>**Job Title:** Data Scientist
**Department:** Data Science and Research Unit
**Division:** Family and Child Health
**Bureau:** Office of School Health
**Location:** 30\-30 47th Avenue, Long Island City, NY 11101
**Reports to Title:** Research Scientist of Health Data
**Direct Reports Title(s):** Not applicable
**Schedule \&amp; Hours:** M\-F, 9am–5pm; 35 hours per week
**Workplace Flexibility Modality:** Hybrid, 3 days in office (including Wednesdays), 2 days remote
**Work Environment:** Office Environment, occasional travel for meetings within the NYC boroughs.
**Grant End Date:** 3/31/2028 (possibility for extension depending on availability of funding)
**Created Date:** 2/5/2026
**Revised Date:**  
**Salary:** $78,000\-$80,000 annually
**FLSA Classification:** Exempt
**Who We Are:**  
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**Our Culture:**  
We embrace a culture of learning, collaboration, innovation, and well\-being, where open communication drives our impact.
**About The Role:**  
The Office of School Health is seeking a Data Scientist that will play a key role in efforts to improve public health surveillance among New York City public school students, including by supporting efforts to enhance data linkage and integration. This person will work under the supervision of a Research Scientist and the guidance of the Senior Statistician/Surveillance Director of the Data Science and Research Unit in the Office of School Health. The Data Scientist will also work closely with unit members on efforts to identify and maintain a large set of risk indicators to optimize health risk identification among the student population. These analytic and technical efforts will directly support the development and expansion of data resources and inform an understanding of the delivery of services to school\-aged children necessary to evaluate student health and educational outcomes.
**About the Program:**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 their power and is given the opportunity to reach their full health and developmental potential. We encourage qualified applicants with demonstrated commitment to social justice, particularly racial, gender, and LGBTQ equity to apply.
**Responsibilities:**  
* Under technical supervision and in coordination with project management efforts, serve as a primary analyst for efforts to determine the impact of program access on health and educational outcomes for school\-aged children. Assisting in the design and implementation of surveillance projects, performing analysis, and reporting findings in manuscripts, official reports, and conference presentations.
* Contribute to data linkage efforts essential to maintaining and expanding the Student Population Health Registry, including by implementing data matching processes to support public health surveillance.
* Provide technical expertise to research design, data acquisition and management, and development of statistical/epidemiological modeling within a causal framework to characterize the impact of educational program access on children’s health.
* As needed, provide technical expertise in Data Science to OSH programs, including the development of causal and predictive models.
* As necessary, developing new approaches to utilize OSH’s integrated data system to characterize health risk among children. Extending these methods for use in program and policy evaluation. Contributing to the code base for the public health surveillance within OSH data systems.
* Other duties as assigned to support the overall goals and mission of the department/organization.
**Requirements:**  
* Master's degree in public health, epidemiology, statistics, data science, economics, or a related field preferred. Bachelor's degree required.
* Experience applying statistical and/or epidemiologic methods to administrative data, including educational and health outcome data, modeling and causal inference methods.
* Past research experience. Knowledge of research and evaluation methods.
* Experience with statistical programming software such as SAS, R, PYTHON, or STATA and other tools such as SQL.
* Specific training or project experience in evaluation, statistics, causal inference, educational measurement, or public health.
* Experience working on a technical team, with some project management experience. Strong analytical, organizational and communication skills.
* Curiosity and a desire to learn, excellent writing and speaking ability, and strong interpersonal communication skills.
Employment is contingent upon the successful completion of a background check
**Benefits:**  
* Public Service Loan Forgiveness (PSLF) eligible employer
* Generous Paid Time Off (PTO) policy
* Medical, dental, and life insurance with low or no employee contribution
* A retirement savings plan with generous employer contribution
* Flexible spending medical and commuter benefits plan
* Meaningful work at an organization striving to advance health equity and social justice
**Equal Employment Opportunity Statement:**  
FPHNY is an equal opportunity employer and prohibits discrimination and harassment of any kind. We provide equal employment opportunities to all employees and applicants without regard to race, color, religion, sex, national origin, age, disability, genetic information, marital status, veteran status, or any other legally protected status.
**At\-Will Employment Statement:**  
Employment with FPHNY is at\-will, meaning that either the employee or the company may terminate the employment relationship at any time, with or without cause, and with or without notice. This job description does not constitute a contract of employment.
**Residency Requirement:** You must live in the New York City Tri\-state area (NY, NJ, CT) to be considered for a position at FPHNY.</t>
        </is>
      </c>
    </row>
    <row r="130">
      <c r="A130" t="inlineStr">
        <is>
          <t>in-ff2d4bb649e620a3</t>
        </is>
      </c>
      <c r="B130" t="inlineStr">
        <is>
          <t>Biostatistician Data Scientist Informaticist</t>
        </is>
      </c>
      <c r="C130" t="inlineStr">
        <is>
          <t>GAP Solutions, Inc.</t>
        </is>
      </c>
      <c r="D130" t="inlineStr">
        <is>
          <t>indeed</t>
        </is>
      </c>
      <c r="E130" t="inlineStr"/>
      <c r="F130" t="inlineStr"/>
      <c r="G130" t="inlineStr">
        <is>
          <t>Bethesda, MD, US</t>
        </is>
      </c>
      <c r="H130" s="1" t="n">
        <v>46083</v>
      </c>
      <c r="I130" t="inlineStr">
        <is>
          <t>**Position Objective:** The Biostatistician Data Scientist Informaticist will provide support services to The National Institute on Minority Health and Health Disparities (NIMHD) within the National Institutes of Health (NIH).
**Duties and Responsibilities:**
* Address big data and data science policies, practices and analytic methodologies. Identify big data sources; conduct analyses of secondary data.
* Develop conceptual ideas (data systems, analytic publications) surrounding data science projects, such as the development of the artificial intelligence for minority health and health disparities.
* Contribute to interpretation of big data and identification of data patterns using Big data tools, such as Hadoop, Apache Spark, Apache Storm, Cassandra and RapidMiner.
* Identify potential issues in data lakes, algorithms, artificial intelligence/machine learning training, and repositories. Use statistical methods for analyzing complex data.
* Generate and optimize programs and scripts for the analysis of data; create programs and algorithms and develop computational infrastructure resources for organizing and parsing data from large and complex data.
* Serve as bioinformatics expert and coordinate with teams of biologists to conduct experimental queries and or perform portions of studies using complex procedures and techniques common to modern bioinformatics
* Coordinate building bioinformatics infrastructure to ensure easy and meaningful scientific analysis and interpretation of data
* Provide broad\-based programming and analytic support for a wide variety of bioinformatic and research projects
* Install, troubleshoot and run open\-source and commercial scientific software on platforms
* NIMHD provided a leadership role to secure NIH OD funding for and to develop a tool that provides the semantics of common data elements, which is a required basis for the successful adoption and expanded use of CDEs OMOP, FHIR and ULMS exists for clinical and clinical research purposes No such source exists for biomedical research SemNet provides an initial platform and will be the source for further development This resource will be housed on the NIH CDE Repository and enable the expansion and widespread adoption of CDEs for research
* Perform computational analysis of, and interpret results
* Provide reports based on analysis of scientific data
* Perform sequencing and alignment of raw data, and interpret new data using larger public access datasets
* Provide interpretive analyses of data derived from different experimental platforms to generate biological meaning
* Write custom programs and algorithms to support data analyses and discovery
* NIMHD was successful in securing ODSS Strides funding to secure a cloud computing space to address the looming issue of artificial intelligence machine learning algorithm bias The cloud will host federated data sets for investigators of diverse backgrounds to use for research and for the development of resources, tools and methodologies to mitigate AIML biases and to build community trust in cloud computing
* Collaborate with scientists to design, analyze, manage and interpret all types of data
* Design and execute computational experiments
* Work with staff on planning of experiments, and data analysis for internal and collaborative projects; use bioinformatics expertise to advise and help bench scientists on experimental design and trouble\-shooting
* Work with staff to develop specifications for new analysis; design, test and implement solutions
* Make recommendations to investigators about the correct computational tools for testing scientific hypotheses and reaching valid conclusions
* Attend scientific and programming meetings; take and compile comprehensive notes; organize and edit content of meeting reports
* Prepare scientific reports and progress reports; assemble data to prepare tables, graphs and slides; conduct scientific and program related information searches and report results
* Maintain proper and detailed documentation of the analysis performed and report results at extramural staff meetings
* Devise novel methods of statistical analysis for collected data
* Utilize and adapt existing bioinformatics techniques to check for trends and patterns in the data
* Write complex queries to multiple databases
* Perform data processing and data analysis with existing computational and statistical methods
* Assist in evaluating and interpreting results for validity and scientific meaning
* NIMHD is represented on trans\-NIH working groups that address all aspects of data science These groups, include CDE Task Force, CDE Coordination Touchpoint, Biomedical Information Science and Technology Initiative, Trans\-NIH Biomedical Informatics
* Coordinating Committee, N3C Domains addressing SDOH, DATA Sharing and Reuse, ODSS Working Group on AI, Ethics, and
* Transparency for People and Machines, BioMedical Informatics Coordinating Committee, and WHCC Data Harmonization
* NIMHD actively participates in trans\-NIH AIML initiatives to increase diversity and to address underrepresented populations in data science fields, including Bridg2AI; AIM\-AHEAD; SCH ODSS Cloud Computing in MSIs; and ODSS AI, Ethics, and Transparency for People and Machines
* NIMHD secured 10 Coursera slots for staff training in data science, common data elements, artificial intelligence machine learning and data analytics
* Create novel programs and algorithms that facilitate discovery of knowledge in investigating large and complex data
* Develop and optimize programs and scripts that facilitate organization, integration and data\-mining of large data sets; integrate these models into a framework of best practices
* Participate in the design of new protocols involving computational methods
* Work with staff on the development and maintenance of bioinformatics tools, scripts and pipe\-lines for data
* Participate in research design with investigators for determining best practices pertaining to the bioinformatics analysis in new and ongoing projects
* NIMHD has conducted several presentations across the US and International to raise awareness of marginalized populations and health disparities concerns in the fields of data science Presentations were made to staff and grantees to raise awareness of data science efforts across NIH and adoption of RAS Titles include: Data Science and Harmonization; Big Data for or Against Health Disparities; Bringing the Cloud and Ground Together Using Data Science to Serve Communities in Mitigating Health Disparities; and Intersection of Data Technology with Humanity: Plight of Health Disparities
* NIMHD has made a commitment to the Government\-University\-Industry Research Roundtable GUIRR and the National Academy of Sciences; and to the National Academy of Medicine\-AHRQ\-NIMHD collaboration Race\-Based Clinical Algorithms Project Both will foster diverse representation and address relevant issues to mitigate biases that may foster health disparities
* Research and review literature to retrieve targeted clinical or scientific information, including novel statistical methods, from publicly available resources
* Collaborate with staff to review current and historical procedures for the acquisition, quality control and management of data
* Analyze and evaluate data cleaning and harmonization needs in the using a variety of descriptive statistics and analytic methods
* Identify new tools and resources for reaching biologically meaningful conclusions
* Collaborate with experimentalists and computational biologists to develop new computational tools to answer research questions of interest
* NIMHD has played a leadership role in the development of Proj 5 covid common data elements, which became the foundation for all covid project CDEs
* NIMHD is represented on the NIH CDE Governance Committee, which is charged with endorsing CDEs for NIH that will be hosted in the NIH Common Data Elements Repository at NLM
* NIMHD provided a leadership role to secure NIH OD funding for and to develop a communication plan to foster the adoption of CDEs socialization of CDEs by R01 and other grant mechanism investigators
* Provide training in and technical support including product updates and version control for programs, algorithms, archives, and pipelines generated during the course of this work
* Instruct staff in computational analysis of data
* Provide ad hoc trainings and hands\-on workshops on the use of bioinformatics tools
* Provide training of students, new investigators, and other laboratory personnel in the use of techniques, procedures and equipment to complete the objectives of the laboratory
* Onboard and train staff involved in new clinical trials, including the import of a wide variety of legacy data set; provide rigorous quality control of these data NIMHD was successful in securing ODSS Fellow and ODSS Data Scholar to foster interdisciplinary careers that includes health disparity research.
* Work with an interdisciplinary team to apply computational data analysis approaches to make biological discoveries
* Collaborate with group members in experiments associated with data collection
* Interact with all levels of staff and communicate with outside collaborators in the US and abroad
* Work with staff, collaborate with outside researchers, and contribute to positive overall teamwork; teach Bioinformatics principles and
* methodologies
* Collaborate with biologists, statisticians and or other bioinformaticians in the design of models summarizing explaining experimental data
* NIMHD is represented on HHS data and data science workgroups, including the Interdepartmental Health Equity Collaborative for Data; and the Networking and Information Technology Research and Development Intelligent Robotics and Autonomous Systems **5**
* NIMHD assisted in the development of the NIH internal communication plan to socialize CDE
* Attend group meetings; present findings; author publications resulting from projects **1**
* Present analysis results at research conferences and meetings **3**
* Present new research data in group settings, at meetings or seminars **4**
* Present scientific and technical data at scientific conferences **2**
* Work products and documents related to collaborating with Senior Advisor for Data Science to address big data and data science policies, practices and analytic methodologies.
* Work products and documents related to identifying big data sources; conduct analyses of secondary data.
* Work products and documents related to developing conceptual ideas surrounding data science projects, such as the development of the artificial intelligence for minority health and health disparities.
* Work products and documents related to contributing to interpretation of big data and identification of data patterns using Big data tools.
* Work products and documents related to identifying potential issues in data lakes, algorithms, artificial intelligence/machine learning training, and repositories.
* Work products and documents related to using statistical methods for analyzing complex data.
* Meet with intramural and extramural scientist to present updates.
**Basic Qualifications:**
* PhD in Statistics, Biology, Community and Public Health, or Miscellaneous Social Sciences with 10\+ years of experience.
* Knowledge of Big Data Systems for Health.
* Skilled in AI, Hadoop, Rapid Miner, Cassandra, Apache Storm, Apache Spark, AI Bias Mitigation Tool.
* Skilled in STATA, Excel, SPSS, SAS, MS Word.
* Experience working with Clinical and/or translational research, working with large data sets, and Clinical Data Analysis.
* Experience with Data Quality Control, Data Harmonization, Machine Learning, and Data Transfer.
* Knowledge of minority health and health disparities and/or general health.
**Preferred Qualifications:**
* Strong communication skills, both oral and written.
* Detail\-oriented and possess strong organizational skills with the ability to prioritize multiple tasks and projects.
* This job description is not designed to cover or contain a comprehensive listing of activities, duties or responsibilities that are required by this position.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GAP Solutions provides reasonable accommodations to qualified individuals with disabilities. If you need an accommodation to apply for a job us at recruiting@gapsi.com.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Qualified applicants will receive consideration for employment without regard to race, color, religion, sex, national origin, disability, protected veteran status or other characteristics protected by law.</t>
        </is>
      </c>
    </row>
    <row r="131">
      <c r="A131" t="inlineStr">
        <is>
          <t>in-4483de1669b0a9c2</t>
        </is>
      </c>
      <c r="B131" t="inlineStr">
        <is>
          <t>Sr Applied Data Scientist - Search (NLP, Query Understanding, LLM's)</t>
        </is>
      </c>
      <c r="C131" t="inlineStr">
        <is>
          <t>Target</t>
        </is>
      </c>
      <c r="D131" t="inlineStr">
        <is>
          <t>indeed</t>
        </is>
      </c>
      <c r="E131" t="inlineStr"/>
      <c r="F131" t="inlineStr"/>
      <c r="G131" t="inlineStr">
        <is>
          <t>Sunnyvale, CA, US</t>
        </is>
      </c>
      <c r="H131" s="1" t="n">
        <v>46083</v>
      </c>
      <c r="I131" t="inlineStr">
        <is>
          <t>The pay range is $98,000\.00 \- $211,000\.00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SR DATA SCIENTIST – SEARCH (NLP, APPLIED ML)**
**About us:**
Working at Target means helping all families discover the joy of everyday life. We bring that vision to life through our values and culture. Learn more about Target here.
A role with Target Data Sciences means the chance to help develop and manage state of the art predictive algorithms that use data to automate and optimize decisions at scale. Whether you join our Data Sciences or Machine Learning teams, you’ll be challenged to harness Target’s impressive data breadth to build the algorithms that power solutions our partners in Marketing, Supply Chain, Demand Forecasting, Search and Personalization rely on.
Every Data Scientist on Target’s Data Sciences team can expect modeling and data science, software/product development of highly performant code for Model Performance to elevate Target’s culture and apply retail domain knowledge.
The Target Search and Browse Data Science team builds the core relevance engine and Data Science products that power Target’s digital experience. As a Sr Data Scientist on this team – you’ll work with business partners to provide solutions for business problems in a fast\-paced and global environment. You’ll have the opportunity to design quality, flexible and performant Data Science systems and services at scale. You’ll also architect Data Science solutions that capture, process and mine huge datasets in the retail industry. We’ll also promote innovative thinking as well as the opportunity to utilize cutting\-edge machine learning algorithms and NLP techniques to improve our Mobile and Web Search systems at Target!
As a Sr Data Scientist, you will influence by interacting within the Data Sciences team and with Product teams, perform within the scale and scope of your role by implementing solutions, and contribute to Data Sciences’ and Target’s culture by modeling the culture. Through your understanding of the foundations and working principles of machine learning algorithms, linear algebra, probability theory, statistics, and optimization theory, you will perform data exploration and analysis (look at distributions, find anomalies, create simple visualizations, etc.) and implement algorithmic solution given specifications, while adhering to best practices in model development. We will look to you to understand and actively follow foundational programming principles (best practices, know about unit tests, code organization, basics of CI/CD etc.) and create a well\-maintainable \&amp; tested codebase with relevant documentation.
Core responsibilities of this job are described within this job description. Job duties may change at any time due to business needs.
**About you:**
* PhD or MS in Computer Science, Information Technology, Applied Mathematics, Physics or relevant industry work experience in a quantitative field
* Exceptional coding/programming in Python or Java with advanced technical problem\-solving skills
* 3 plus year of experience implementing end to end ML models and algorithms into production
* Demonstrated experience implementing search indexing, ranking, information retrieval, query understanding or recommendation / recommender systems
* Experience deploying Machine Learning algorithms into production environments
* Experience with ML Ops (VetexAI, Bigquery, etc.) and various testing frameworks and containerization (Docker, Kubernetes, etc.)
* Experience querying large databases with SQL, HQL or some variations
* Excellent interpersonal and communication skills that can partner with a global teams
* Constant learner mentality that stays on the leading edge of search, query understanding, applied ML, LLM’s and NLP advancements
This position will operate as a Hybrid/Flex for Your Day work arrangement based on Target’s needs. A Hybrid/Flex for Your Day work arrangement means the team member’s core role will need to be performed both onsite at the Target HQ Sunnyvale or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Target will consider for employment qualified applicants with criminal histories in a manner consistent with the San Francisco and City of Los Angeles Fair Chance Ordinances.**Benefits Eligibility**
Please paste this url into your preferred browser to learn about benefits eligibility for this role: https://tgt.biz/BenefitsForYou\_D**Americans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03/29/2026</t>
        </is>
      </c>
    </row>
    <row r="132">
      <c r="A132" t="inlineStr">
        <is>
          <t>in-c89efb04a8d1b693</t>
        </is>
      </c>
      <c r="B132" t="inlineStr">
        <is>
          <t>Associate Data Scientist</t>
        </is>
      </c>
      <c r="C132" t="inlineStr">
        <is>
          <t>Freeman</t>
        </is>
      </c>
      <c r="D132" t="inlineStr">
        <is>
          <t>indeed</t>
        </is>
      </c>
      <c r="E132" t="inlineStr"/>
      <c r="F132" t="inlineStr"/>
      <c r="G132" t="inlineStr">
        <is>
          <t>Atlanta, GA, US</t>
        </is>
      </c>
      <c r="H132" s="1" t="n">
        <v>46083</v>
      </c>
      <c r="I132" t="inlineStr">
        <is>
          <t>**About Us**
------------
Freeman is a global leader in events, on a mission to redefine live for a new era. With a data\-driven approach and the industry’s largest network of experts, Freeman’s insights shape exhibitions, exhibits, and events that drive audiences to action. The integrated full\-service solutions leverage a 97\-year legacy in event management as well as new technologies to deliver moments that matter.
**Summary**
-----------
We are seeking a trained Associate Data Scientist with a strong foundation in mathematics and business acumen, ideally holding a Math/Statistics major with 3\+ years of relevant work experience in either Finance, Operations, Marketing or Data Analytics teams. This individual will leverage analytical, statistical, and machine learning techniques to drive data\-driven insights that can facilitate actionable decision\-making. The ideal candidate will have at least three years of experience in events / B2B business / retail / rental / tech / fintech categories, enabling them to understand unique business challenges and opportunities in these fast\-paced environments.  
This position will support our Technology Services team. It is eligible to work a hybrid schedule, generally requiring work in\-office 2\-3 days per week. The ideal candidate will be based out of any of the following locations:  
* Dallas, TX
* Atlanta, GA
**Essential Duties \&amp; Responsibilities**
----------------------------------------
* Data Collection and Preparation: Gather, clean, and preprocess large volumes of structured and unstructured data from diverse sources.
* Advanced Analytics: Apply statistical modeling, and predictive analytics to uncover trends, forecast demand, optimize pricing, and improve customer experience.
* Business Strategy Support: Translate complex analytical findings into actionable business insights and recommendations, supporting e\-com, marketing, operations, sales strategy and inventory planning.
* Collaboration: Work closely with cross\-functional teams, including sales, marketing, operations, finance, and data engineering, to create and implement well thought through, accurate and scalable solutions.
* Process Automation: Develop and deploy automated data pipelines and reporting tools to streamline analytics workflows and enhance decision speed.
* Communication: Present findings to both technical and non\-technical stakeholders using clear visualizations, reports, and dashboards.
* Continuous Learning: Stay abreast of the latest data science tools, technologies, and industry trends to maintain a competitive edge.
**Education \&amp; Experience**
---------------------------
* Bachelor’s degree in Mathematics (or related field) with an MBA preferred.
* 3\+ years of experience as a Data Scientist or similar role in the retail, restaurant, or event industry.
* Proficiency in Advanced Excel (Power Pivot, Power Query), Power BI, Python / R and SQL.
* Strong quantitative and problem\-solving skills, with the ability to interpret complex data and derive business value.
* Excellent verbal and written communication skills, with the ability to explain technical concepts to non\-technical audiences.
* Demonstrated ability to lead projects, collaborate with diverse teams, and drive initiatives that deliver measurable impact.
* Experience managing analytics projects from conception to implementation, with a focus on delivering business value.
**Travel Requirements**
-----------------------
Travel up to 25%**What We Offer**
-----------------
Freeman provides benefits that aim to empower our people and their families to thrive mentally, physically, and financially. These are a handful of the types of programs and benefits our full\-time people may be eligible for. There may be some variances in specific benefits across regions.
* Medical, Dental, Vision Insurance
* Tuition Reimbursement
* Paid Parental Leave
* Life, Accident and Disability
* Retirement with Company Match
* Paid Time Off
**Diversity Commitment**
------------------------
At Freeman, our commitment to diversity and inclusion is helping us to create not only a great place to work, but also an environment where our employees, our customers and our communities around the world can reach their goals and connect with each other. All qualified applicants will receive consideration for employment without regard to race, color, religion, gender, gender identity or expression, sexual orientation, national origin, genetics, disability, age, veteran status and other characteristics protected by federal, state or local laws.  
\#LI\-Hybrid</t>
        </is>
      </c>
    </row>
    <row r="133">
      <c r="A133" t="inlineStr">
        <is>
          <t>in-60be9db75a25be6c</t>
        </is>
      </c>
      <c r="B133" t="inlineStr">
        <is>
          <t>Lead Customer Success Data Scientist - Industry Analytics</t>
        </is>
      </c>
      <c r="C133" t="inlineStr">
        <is>
          <t>Cloud Software Group</t>
        </is>
      </c>
      <c r="D133" t="inlineStr">
        <is>
          <t>indeed</t>
        </is>
      </c>
      <c r="E133" t="inlineStr"/>
      <c r="F133" t="inlineStr"/>
      <c r="G133" t="inlineStr">
        <is>
          <t>Remote, US</t>
        </is>
      </c>
      <c r="H133" s="1" t="n">
        <v>46083</v>
      </c>
      <c r="I133" t="inlineStr">
        <is>
          <t>**About Spotfire**
Spotfire is a business unit of Cloud Software Group, one of the largest enterprise software companies in the world. Spotfire combines visualizations and advanced analytics to allow experts in their field to find industry\-specific solutions the human mind or computers can’t solve alone. Our more than 10,000 customers include:
* Majority of the top 10 Energy companies in the world
* Majority of the top 10 Life Sciences companies in the world
* 7 of the world’s top 10 Manufacturing companies
* Several other major companies in banking, retail, and airlines
We are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Customer Success team is a central part of the company strategy. The team focuses on customers, innovation, and the community of scientists, engineers, and data scientists. The team is responsible for guiding customers to successfully adopt and maximize value from their investment in Spotfire.
Operating across several sectors, our Customer Success Data Scientists have helped improve the drilling operations of several energy companies, increase yield at some of the biggest semiconductor companies and ensured on\-time deliveries of well known global logistics companies.
We are seeking a **Lead Customer Success Data Scientist** to join our team in the **North America region**. Texas, United States is preferred, and we will consider other areas in the United States except New York and California. This role is ideal for a candidate with proven expertise in **Manufacturing, Energy, or Life Sciences industry** and a strong passion for **Visual Data Science.**
In this role, you will be the driving force behind long\-term customer success for a portfolio of clients, responsible for achieving high adoption, retention, and satisfaction. You will serve as a trusted advisor to all customer stakeholders and act as the key liaison between the customer and internal Spotfire teams.
The successful candidate will leverage their hands\-on prowess and thought leadership to significantly grow our customers' analytical capabilities using Spotfire. A key part of the role involves developing analytical deliverables, employing methods from exploratory analytics to machine learning, statistical modeling, and AI.
Joining a highly collaborative team, you will deliver outcomes that enhance both product and account health. Furthermore, you will have exciting opportunities to represent Spotfire at industry events and contribute to our active customer and partner community.
**Responsibilities**
* **Technical Strategy** \- Use Spotfire and data science skills to collaborate with customers, translating their business objectives into actionable success plans. Develop a deep understanding of industry analytics use cases. Customer Success plans include onboarding, adoption, monitoring support, managing upgrades, enabling new features, and establishing a center of excellence.
* **Trusted Advisor**\- Aware of industry context and understanding customer needs through regular customer health assessments you can build consultative relationships and act as trusted advisor helping navigate challenges and building long\-term customer advocacy.
* Innovation \- Perform and guide R\&amp;D topics in the field of applied machine learning and AI. Translate customer business goals into technical objectives and help create custom solutions for industry use cases, providing guidance, and building prototypes. Projects include Large Language Models, digital twin, anomaly detection in time series, or mathematical modeling of manufacturing processes.
* **Cross\-functional Collaboration** \- Collaborate with sales, support, product management, and engineering to align strategy, improve customer outcomes, resolve escalations, find sales opportunities, and provide product roadmap input. This involves gathering detailed information, analysis, and investigation to address numerous, often undefined, problems and requests.
* **Education and Community** \- Actively engage with your customers in the Spotfire community to drive adoption and enablement. Contribute relevant industry and data science content. Represent the team as a speaker or instructor in industry events and external conferences.
* **Personal Development** \- Continue to develop expertise and monitor trends in industry analytics and visual data science tools and techniques.
* **Organizational Impact** \- works to achieve operational targets with major impact on the departmental results and work is performed with limited oversight.
* **Leadership and Talent Management**\- Some level of coaching and training of other employees within the job area will be involved.
**Qualifications**
* **6\-8\+ years of data science experience using software environments and programming languages**e.g. Spotfire, Tableau, Qlikview, SPSS, KNIME, Dataiku, Azure, AWS, Databricks, Snowflake, and for program languages Python, R. Experience with other software components for data preparation and integration e.g. Data Virtualization is a plus. Knowledge of SQL, .Net, Java, IronPython, Javascript, C\+\+ and knowledge of Generative AI is a plus.
* **6\-8\+ years of experience in advanced data analytics** and delivery of demonstrations, projects, engagements or deployed software applications. Problem\-solver with experience applying advanced analytics such as machine learning and optimization techniques to large, complex and disparate data sources.
* **6\-8\+ years of experience** in applying analytics to the sector specific data problems in key Industry such as Manufacturing, Energy, Transportation \&amp; Logistics, Financial Services, Telecommunications and Life Sciences. Able to formulate a real\-world problem into a mathematical equivalent, propose various solutions, compare and contrast them, deploy the solutions, validate the results and present the results to stakeholders.
* **Excellent communication and relationship\-building skills** are essential, including the ability to pro\-actively influence and cultivate long\-term relationships with internal and external stakeholders, such as customers' senior technical personnel. Must provide compelling software demonstrations and apply domain knowledge to analytical applications, communicating complex technical concepts to non\-technical audiences using storytelling.
* **Collaboration skills** \- strong ability to work effectively in an internal and customer team environment and to manage multiple projects to a good final outcome.
* **Master’s or higher degree in STEM** (Computer Science, Statistics, Data Science, Engineering, Science, or related analytical field of study) with graduate classes in statistics and data mining.
* **Language Skills**: Proficiency in English is required. As this role involves interaction with customers and partners in Latin America as well, fluency in either Spanish or Portuguese is a plus.
*Please note you must have full working rights for the United States. If on a work permit or visa, please make sure the details along with expiry date are included on your application*.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134">
      <c r="A134" t="inlineStr">
        <is>
          <t>in-0049ccbf70d9e75b</t>
        </is>
      </c>
      <c r="B134" t="inlineStr">
        <is>
          <t>ML Engineer / Data Scientist - Enterprise</t>
        </is>
      </c>
      <c r="C134" t="inlineStr"/>
      <c r="D134" t="inlineStr">
        <is>
          <t>indeed</t>
        </is>
      </c>
      <c r="E134" t="inlineStr"/>
      <c r="F134" t="inlineStr"/>
      <c r="G134" t="inlineStr">
        <is>
          <t>San Francisco, CA, US</t>
        </is>
      </c>
      <c r="H134" s="1" t="n">
        <v>46083</v>
      </c>
      <c r="I134" t="inlineStr">
        <is>
          <t>**ML Engineer \- Data Scientist (Enterprise)**
==============================================
### **Hilbert is building the ML systems that power demand intelligence for the world's largest consumer companies — recommendation engines, demand forecasting, customer lifecycle models, and activation systems that must work across wildly different retailers, data environments, and business contexts. This isn't single\-tenant model building; it's designing configurable, production\-grade ML systems that generalize across Fortune 500 enterprises and beloved consumer brands alike.**
We're looking for an ML Engineer who understands B2C business problems deeply, builds models and pipelines that work with real\-world data, and can sit across the table from enterprise customers — translating their business challenges into ML solutions and their results into strategic clarity. All with the ownership and urgency of a startup.
This is not a "receive a ticket, train a model, hand off a notebook" role. You'll own problems end\-to\-end — from framing through modeling through production deployment through impact — for our largest enterprise customers, where the stakes are high, the data is complex, and you are the person the customer trusts to explain what the models are doing and why it matters. If you understand why churn analysis matters differently for a grocery retailer versus a fashion marketplace, can build a recommendation system that works with sparse data and runs reliably in production, and can present a causal analysis to a room of VP\-level stakeholders and make it land, we want to meet you.
**Why Hilbert AI**
------------------
Hilbert is building the demand intelligence platform used by world\-class B2C leaders — including the world's largest retailer — to unlock compounding growth outcomes. We sit at the intersection of AI, data, and commercial activation for retail and e\-commerce.
We're scaling fast with top\-tier investors behind us. ML systems are the engine behind what we deliver to customers — which means every model you build, every pipeline you ship, every system you contribute to has direct, measurable impact on enterprise revenue. We're a small, talent\-dense, low\-ego team. We value ownership, speed, intellectual honesty, and shipping real impact.
**The Role**
------------
You'll work directly with the founding team and alongside engineering, product, and GTM to build and improve the ML systems at the heart of Hilbert — with a particular focus on our largest enterprise accounts. You'll be hands\-on every day — building models, designing pipelines, running experiments, interrogating data, and shipping to production. But you'll also be the technical face of Hilbert's ML capabilities to key customers: understanding their business context firsthand, shaping how we apply our systems to their problems, presenting results and recommendations, and building the trust that turns a vendor relationship into a strategic partnership.
B2C is our world. The problems we solve — demand prediction, customer lifecycle, personalization, activation — require someone who understands these domains and can translate business context into modeling and engineering decisions. The environment is high\-autonomy and high\-ambiguity. Data is often messy, incomplete, or limited. You thrive in exactly those conditions — and you can bring the customer along on the journey.
**Our Current Hurdles**
-----------------------
These are the kinds of problems you'll be working on from day one.
* **Multi\-tenant ML systems that actually generalize** — we serve enterprises with fundamentally different data shapes, catalog sizes, customer behaviors, and business constraints. The challenge is contributing to model architectures and pipelines that are configurable and adaptive across customers — not rebuilding bespoke systems for every account. You'll work on the abstractions that make this possible, informed by direct exposure to how different enterprises actually operate.
* **Extracting real signal from messy, limited data** — enterprise data is never clean and rarely complete. Cold\-start problems, sparse interaction histories, inconsistent taxonomies, missing features — this is the norm, not the exception. You'll need to make pragmatic modeling choices that produce real value when the data fights back — and explain those choices to customers who want to understand what's possible with their data.
* **Connecting model outputs to business actions** — a recommendation score or a demand forecast is worthless if it doesn't change what an operator actually does. The challenge is closing the loop between ML outputs and real commercial decisions — activation, merchandising, retention — in a way that's measurable and defensible. You'll be in the room when customers ask "so what do we do with this?" and the answer needs to be concrete.
* **Causal rigor in a world that wants quick answers** — enterprise customers want to know *why* something is happening, not just *what*. The challenge is applying causal inference in a way that's rigorous but practical — knowing when an A/B test is sufficient, when you need difference\-in\-differences or synthetic controls, and when the honest answer is "we can't know yet." You'll need to hold this line with customers who may be pushing for faster, simpler answers.
### **What you'll do:**
**Build**
* Build and deploy ML models and pipelines that power core product capabilities: **recommendation systems, search relevance, customer segmentation, demand forecasting, and activation optimization**
* Contribute to **configurable, multi\-tenant model architectures** that adapt across different customer contexts, data availability, and business requirements — not bespoke rebuilds for every use case
* Own your models through to production — working with engineering on **serving, monitoring, and reliability**, not just handing off prototypes
* Create meaningful models with the **data that's actually available** — not the data you wish you had. You extract signal from limited, noisy, or sparse datasets and reach for the right level of complexity
* Design and run rigorous **A/B tests** — including understanding when A/B testing is insufficient and causal inference methods are required
* Apply **causal reasoning** rigorously — you know the difference between correlation and causation, you surface true drivers, and you flag when others confuse the two
* **Think in systems.** You don't build isolated models — you understand how recommendation, segmentation, scoring, and activation interact with each other and design your work to fit within the broader system
* Move fast — prototype, validate, ship, iterate. You're comfortable with imperfect information and evolving requirements
**Partner with enterprise customers**
* Be the **technical ML counterpart** for our largest accounts — understanding their data, their business model, and their growth challenges firsthand
* **Present results, analyses, and recommendations** to senior customer stakeholders with clarity, conviction, and appropriate nuance — you're the person they trust on the data science
* **Translate customer context into modeling decisions** — what you learn in customer conversations directly informs how you build. You don't build in a vacuum; you build with deep knowledge of how the output will be used
* **Deliver analyses that drive customer decisions** — not decks that get filed away. You connect model outputs to business outcomes and present them in a way that changes behavior
* **Hold the line on rigor** — when customers want a simpler story than the data supports, you find a way to be honest and helpful at the same time. You build trust through intellectual integrity, not through telling people what they want to hear
* **Feed enterprise learnings back into the product** — patterns you see across customers, gaps in our systems, new opportunities for the platform. Your customer exposure makes the whole team smarter
**Who You Are**
---------------
We care about how you think about problems, how you connect models to business impact, how you operate when things are ambiguous, and how you show up with customers.
### **The profile:**
* **You're an ML engineer who ships to production.** You write clean, testable Python. You care about how your models are served, monitored, and maintained — not just how they perform offline. Your work doesn't end at a notebook; it ends when the system is running and delivering value.
* **You're a product\-minded ML engineer.** You understand that a model with great offline metrics is useless if it doesn't move the customer's business. You frame every modeling decision in terms of the outcome it enables — and you push back when a technically elegant approach doesn't serve the actual problem.
* **You're a trusted technical partner to senior stakeholders.** You've been in the room with VP\- or C\-level audiences and presented technical work in a way that earned trust and drove decisions. You're comfortable with hard questions, pushback, and the ambiguity of enterprise conversations. You don't oversell, you don't hide behind jargon, and you know how to make complexity accessible without dumbing it down.
* **You have strong B2C business knowledge.** You understand the problems consumer businesses actually face — customer acquisition vs. retention economics, lifecycle dynamics, basket composition, churn drivers, promotional cannibalization, channel attribution, demand elasticity. This knowledge informs how you frame problems and design models — and it makes you credible with customers who live in this world every day.
* **You're a systems thinker.** You understand how models, data flows, customer behavior, and business outcomes connect. You don't optimize one metric in a vacuum — you consider second\-order effects and how your work fits the bigger picture.
* **You've built recommendation, search, and/or customer\-based ML systems** — collaborative filtering, content\-based methods, ranking systems, segmentation, propensity modeling. You understand when each applies and why.
* **You know how to build for configurability.** You've worked on or contributed to model architectures and pipelines that flex across multiple customers, segments, or contexts — not rigid, single\-purpose implementations.
* **You create value from limited data.** You make pragmatic modeling choices when data is sparse, noisy, or cold\-start. You know when a simpler approach beats a complex one and aren't seduced by unnecessary sophistication.
* **You're rigorous about causality.** You understand causal inference methods — difference\-in\-differences, instrumental variables, propensity scoring, synthetic controls — and know when to apply them. You design A/B tests properly and understand their limitations.
* **You communicate with clarity and conviction.** You can present a causal analysis to a C\-suite audience and make it land. You can write a one\-pager that changes a decision. You explain your reasoning, not just your results. Communication is not a nice\-to\-have here — it's the job.
* **You take ownership.** You don't wait for someone to define the problem perfectly. You dig in, frame it, propose an approach, and ship it. If something breaks or underperforms — or if a customer isn't getting value — you treat it as your problem.
* **You thrive in ambiguity.** Problem definitions shift. Data availability surprises you. Customer priorities evolve. You're energized by figuring it out, not paralyzed by incomplete specs.
* **You move at startup speed.** You understand what it means to be available, responsive, and biased toward action in a fast\-moving, early\-stage environment.
### **Strong pluses:**
* Experience in **customer\-facing data science or ML roles** — solutions engineering, applied science, technical account management, or consulting where you owned the technical relationship
* Experience with **ML infrastructure** — feature stores, model serving, orchestration, monitoring, or retraining pipelines
* Experience with **experimentation platforms** and A/B testing infrastructure
* Deep exposure to **retail, e\-commerce, CPG, or marketplace** data environments and the business teams that operate in them
* Experience at **early\-stage startups or high\-growth companies** where you wore multiple hats
* Experience taking models from prototype to **production deployment** and owning them in production
* Background in **economics, econometrics, or quantitative social science** that informs your causal thinking
### **You might be:**
An ML engineer or data scientist at a B2C company who's been the go\-to person when leadership needs someone technical in the room with a customer. An applied scientist at a platform company who's tired of building for an internal team and wants to see the impact face\-to\-face. A data scientist in consulting or solutions who's ready to go deeper on the engineering side without losing the customer connection. Someone at a larger company who's frustrated by the wall between "the people who build" and "the people who talk to customers" and wants to be both. An early\-career ML engineer with disproportionate output and unusually strong communication skills who's ready for enterprise stakes. What matters: you understand the business, you build models that work with real data in real production environments, you think in systems, you can hold your own in a room full of executives, and you communicate impact — not just methodology.
**Location**
------------
San Francisco, US
**Compensation**
----------------
Competitive salary \+ equity. Compensation details and structure shared in next steps.
**The Hiring Journey**
----------------------
Short form Intro call Practical working session Team conversations Offer
Fast, human, no bureaucracy.</t>
        </is>
      </c>
    </row>
    <row r="135">
      <c r="A135" t="inlineStr">
        <is>
          <t>in-e95c3fd83e94fbd8</t>
        </is>
      </c>
      <c r="B135" t="inlineStr">
        <is>
          <t>Applied Scientist</t>
        </is>
      </c>
      <c r="C135" t="inlineStr">
        <is>
          <t>Uber</t>
        </is>
      </c>
      <c r="D135" t="inlineStr">
        <is>
          <t>indeed</t>
        </is>
      </c>
      <c r="E135" t="inlineStr"/>
      <c r="F135" t="inlineStr"/>
      <c r="G135" t="inlineStr">
        <is>
          <t>New York, NY, US</t>
        </is>
      </c>
      <c r="H135" s="1" t="n">
        <v>46083</v>
      </c>
      <c r="I135" t="inlineStr">
        <is>
          <t>**Employer:** Uber Technologies, Inc.
**Job Title:** Applied Scientist
**Job Location:** New York, New York
**Job Type:** Full Time
**Rate of Pay:** $155,000 to $186,000 per year
You will be eligible to participate in Uber's bonus program, and may be offered other types of comp. You will also be eligible for various benefits. More details can be found at the following link https://www.uber.com/careers/benefits .
**Duties:** Identify relationships and trends in data and build key algorithms behind real\-time pricing, driver movement, and driver preferences products. Maximize marketplace efficiency through influencing supply and demand in real time which involves developing fundamental understandings of Uber's driver behavior. Create pricing algorithms that incorporate both marketplace dynamics and supply preferences. Prepare data for processing by organizing information, checking for inaccuracies, and adjusting and weighting the raw data. Match the best supply to the most needed demand in an effective manner. Design and analyze experiments that provide insights to improve marketplace efficiency. Problem solve on high impact open questions and prototype cutting edge mechanisms to production and engage in large scale experimentation. Own and drive a large part of the driver movement and pricing data science roadmap in order to take Uber's products to the next level. Analyze and interpret statistical data to identify significant differences in relationships among sources of information. Work closely with various cross\-functional teams (marketing managers, engineers, product managers, operations, data scientists, and analysts) to help optimize Uber's marketing practices. Successfully apply rigorous scientific methods with proficiency in data science knowledge and technical capabilities. May telecommute.
Employer will accept a Ph.D. degree in Statistics, Operations Research, Mathematics, or related field.
Position requires:  
* Advertising tech (market response modeling, forecasting, attribution, targeting, and third\-party data integration);
* Big data (Hadoop, Hive, or Spark);
* Python;
* Working with massive data sets using SQL;
* Machine learning and causal inference techniques; and
* Connecting technical insights to strategic decisions.</t>
        </is>
      </c>
    </row>
    <row r="136">
      <c r="A136" t="inlineStr">
        <is>
          <t>in-0fc2221b1a91aa91</t>
        </is>
      </c>
      <c r="B136" t="inlineStr">
        <is>
          <t>Data Scientist</t>
        </is>
      </c>
      <c r="C136" t="inlineStr">
        <is>
          <t>Uber</t>
        </is>
      </c>
      <c r="D136" t="inlineStr">
        <is>
          <t>indeed</t>
        </is>
      </c>
      <c r="E136" t="inlineStr"/>
      <c r="F136" t="inlineStr"/>
      <c r="G136" t="inlineStr">
        <is>
          <t>New York, NY, US</t>
        </is>
      </c>
      <c r="H136" s="1" t="n">
        <v>46083</v>
      </c>
      <c r="I136" t="inlineStr">
        <is>
          <t>**Employer:** Uber Technologies, Inc.
**Job Title:** Data Scientist
**Job Location:** New York, New York
**Job Type:** Full Time
**Rate of Pay:** $155,000 to $189,000 per year
You will be eligible to participate in Uber's bonus program, and may be offered other types of comp. You will also be eligible for various benefits. More details can be found at the following link https://www.uber.com/careers/benefits .
Duties: Leverage data to perform intensive analysis across all areas of business to drive product development. Design experiments and analyze results to draw conclusions. Perform time\-series analyses, hypothesis testing, and causal analyses to statistically assess relative impact and extract trends. Build models to enhance understanding of user behavior and predict future performance of cohorts. Create dashboards and reports to regularly communicate results and monitor key metrics. Extract data from warehouse, back\-test the model, and compare the model performance and communicate the results. Develop end\-to\-end solutions to abstract business and engineering problems related to funnel optimization, user engagement, and user experience. May telecommute.
Employer will accept a Master's degree in Engineering (Any), Information Technology, Information Management, Information Systems, Mathematics, Statistics, or related field.
Position requires:
* R or Python;
* Database query languages: SQL;
* Experimentation techniques including simulation or A/B testing;
* Statistical analysis including descriptive statistics, correlation, regression, or confidence intervals;
* Developing relevant metrics;
* KPIs to measure performance by product teams;
* Quantitative modeling including machine learning models, time\-series forecasting, or causal impact analyses.</t>
        </is>
      </c>
    </row>
    <row r="137">
      <c r="A137" t="inlineStr">
        <is>
          <t>in-65e9be2b4dd9ae16</t>
        </is>
      </c>
      <c r="B137" t="inlineStr">
        <is>
          <t>Data Scientist</t>
        </is>
      </c>
      <c r="C137" t="inlineStr">
        <is>
          <t>The Hershey Company</t>
        </is>
      </c>
      <c r="D137" t="inlineStr">
        <is>
          <t>indeed</t>
        </is>
      </c>
      <c r="E137" t="inlineStr"/>
      <c r="F137" t="inlineStr"/>
      <c r="G137" t="inlineStr">
        <is>
          <t>Remote, US</t>
        </is>
      </c>
      <c r="H137" s="1" t="n">
        <v>46083</v>
      </c>
      <c r="I137" t="inlineStr">
        <is>
          <t>Job Location: Remote
**ROLE OVERVIEW:**
Delivers advanced people analytics and predictive insights to enable strategic, fair, and data‑driven workforce decisions.
**ACCOUNTABILITIES:**
* Develop advanced people analytics and predictive models to inform workforce planning, retention, and talent decisions.
* Deliver strategic workforce and talent insights by translating complex people data into actionable recommendations for HR leaders.
* Create executive‑ready insights and storytelling that clearly communicate workforce risks, opportunities, and tradeoffs.
* Ensure analytic rigor and continuous improvement through strong data science practices, documentation, and model refinement.
* Partner with analytics application developers to design and deliver advanced dashboards and analytics products that enable scalable, self‑service people insights.
* Stakeholder Interaction: Partners closely with HR COEs and leadership (e.g., Talent/Total Rewards/DEI/HRBPs) and cross\-functional stakeholders to define questions, interpret results, and drive action.
* Influence/Impact: Ability to influence leaders and decision makers with data through visualization and insights.
**QUALIFICATIONS**
* Strong proficiency in Posit, RConnect, RShiny, and GitLab for analytics application development and version control.
* Ability to present complex analytics concepts to non\-technical audiences.
* Executive‑ready data storytelling skills, including clear visualizations, narratives, and recommendations.
* Strong analytic rigor and judgment, including data validation, documentation, and continuous improvement of models and methods.
* Stakeholder advising.
* Ability to partner cross‑functionally with HR COEs, Legal/DEI, IS, and people analytics team members to deliver scalable insight solutions.
**Experience \&amp; Education**
* 5\+ years related experience
* Bachelors' degree required, Masters degree preferred
\#LI\-AM1  
\#LI\-Remote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138">
      <c r="A138" t="inlineStr">
        <is>
          <t>in-17c963c24e47a4df</t>
        </is>
      </c>
      <c r="B138" t="inlineStr">
        <is>
          <t>Senior Data Scientist, People Analytics</t>
        </is>
      </c>
      <c r="C138" t="inlineStr">
        <is>
          <t>Blue Origin</t>
        </is>
      </c>
      <c r="D138" t="inlineStr">
        <is>
          <t>indeed</t>
        </is>
      </c>
      <c r="E138" t="inlineStr"/>
      <c r="F138" t="inlineStr"/>
      <c r="G138" t="inlineStr">
        <is>
          <t>Seattle, WA, US</t>
        </is>
      </c>
      <c r="H138" s="1" t="n">
        <v>46083</v>
      </c>
      <c r="I138"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Blue Origin is assembling the team that will enable humanity's future in space. As a Sr. Data Scientist to lead HR People Analytics initiatives within our Human Resources technology team, you will serve as the subject matter expert, focusing on delivery of high\-impact solutions that enhance decision\-making processes and operational efficiency.
Key Responsibilities:* Partner with Human Resources and Enterprise Technology leadership to identify and prioritize data analytics opportunities.
* Drive the implementation of time\-bound data solutions aligned with project goals and stakeholder requirements.
* Apply expertise in data science, natural language processing, and Generative AI to deliver tangible solutions within our Technical Human Resources environment.
* Develop and deploy sophisticated data science models and algorithms to address specific business challenges.
* Break down complex scientific projects into manageable hypotheses and deliverable solutions.
* Collaborate across teams to ensure relevance and impact of your work.
* Provide expert guidance on Generative AI implementation best practices.
Required Qualifications:* 10\+ years of proven experience in data science, computer science and/or related technical field.
* Programming proficiency in Python, C/C\+\+, or other applicable languages
* 8\+ years of experience in a data science or data analytics role post\-master's degree.
* At least 7 years of direct experience developing and delivering data analytics solutions
* Demonstrated expertise in Generative AI/Natural Language Processing
* Technical master’s degree or equivalent experience
* Strong business acumen and technical vision
* Experience working in a consulting model, delivering solutions for clients/internal teams
* Ability to build trust and maintain positive professional relationships
* Strong experimental design and analytical modeling capabilities
* Ability to collaborate across multiple teams and locations
Preferred Qualifications:* Experience with end\-to\-end Generative AI solution development
* Demonstrated ability to work effectively with ambiguity and deliver results in complex environments
* Experience in aerospace or related technical industries
Compensation Range for:
WA applicants is $169,347\.00 \- $237,085\.80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39">
      <c r="A139" t="inlineStr">
        <is>
          <t>in-58901978957fc58c</t>
        </is>
      </c>
      <c r="B139" t="inlineStr">
        <is>
          <t>Data Scientist (TS/SCI)</t>
        </is>
      </c>
      <c r="C139" t="inlineStr">
        <is>
          <t>Xcellent Technology Solutions</t>
        </is>
      </c>
      <c r="D139" t="inlineStr">
        <is>
          <t>indeed</t>
        </is>
      </c>
      <c r="E139" t="inlineStr"/>
      <c r="F139" t="inlineStr"/>
      <c r="G139" t="inlineStr">
        <is>
          <t>St. Louis, MO, US</t>
        </is>
      </c>
      <c r="H139" s="1" t="n">
        <v>46083</v>
      </c>
      <c r="I139" t="inlineStr">
        <is>
          <t>***Data Scientist (National Geospatial\-Intelligence Agency)***  
Streamlining production workflows, building mission\-critical models, and precise extraction and analysis of geospatial data are essential to production and planning efficiency and can be the defining advantage for mission\-success for our troops abroad.  
As a Data Scientist, you will be joining XTS’s mission\-ready, efficient, and collaborative team supporting the National Geospatial\-Intelligence Agency (NGA). In this role, you will be transforming complex analytical models into enriching GEOINT datasets, collaborating with GEOINT analysts and branch leadership to aid in product development and decision\-making, and leverage your GEOINT specialty and programming proficiency for workflow automation.  
***Required Skills and Qualifications***  
To be considered for this role, the desired candidate must demonstrate:* Bachelor’s degree in a related field and 2 years of relevant experience OR an Associate’s degree in a related field and 3 years of relevant experience
	+ 5 years of relevant experience may be provided in lieu of degree
* Active TS/SCI clearance with willingness to sit for CI Polygraph
* Proficiency in Python and SQL for data extraction, transformation, and modeling
* Experience supporting GEOINT or intelligence analysis environments within NGA or DoD
	+ Understanding of GEOINT standards and analytical tradecraft fundamentals
	+ Familiarity with geospatial tools such as ArcGIS or similar platforms
* Experience automating workflows or building dashboards that support recurring analytic outputs
* Demonstrated ability to develop and refine analytic models that structure and quantify complex data attributes
	+ Ability to manage and structure datasets to improve accessibility and analytic clarity
* Strong communication skills to explain model logic and analytic outputs to analysts and stakeholders.
Share your talents and expertise in service of our national security and operations by applying today and send your resume directly to Alejandro Molina: alejandro.molina@xts\-inc.com  
***As a veteran\-owned company, XTS is unwaveringly committed to the success and well\-being of our employees, as much as our clients. As part of that commitment to fostering an environment where no one is left behind, XTS offers a generous, comprehensive benefits package and development opportunities. Our benefits include coveted healthcare coverage plans, along with dental and vision coverage, paid time off (PTO), and a 401K plan with employer matching. Developing our employees in a rapidly evolving world or emerging technologies remains a priority for XTS, therefore we are committed to providing employees with tools and opportunities to stay ahead. We are also proud to offer our GeoAI scholarship to help our employees further develop their skills and expertise. At XTS, we take pride in delivering elite workforces to the Intelligence Community, making a real\-world impact on critical missions. Join us and experience a company that invests in your success and professional growth.***  
CDbakvmQOX</t>
        </is>
      </c>
    </row>
    <row r="140">
      <c r="A140" t="inlineStr">
        <is>
          <t>in-32feefb400dc8ca6</t>
        </is>
      </c>
      <c r="B140" t="inlineStr">
        <is>
          <t>Data Scientist</t>
        </is>
      </c>
      <c r="C140" t="inlineStr">
        <is>
          <t>Prometheus Federal Services</t>
        </is>
      </c>
      <c r="D140" t="inlineStr">
        <is>
          <t>indeed</t>
        </is>
      </c>
      <c r="E140" t="inlineStr"/>
      <c r="F140" t="inlineStr"/>
      <c r="G140" t="inlineStr">
        <is>
          <t>Fairfax, VA, US</t>
        </is>
      </c>
      <c r="H140" s="1" t="n">
        <v>46083</v>
      </c>
      <c r="I140" t="inlineStr">
        <is>
          <t>**Position Summary**  
Prometheus Federal Services (PFS) is a trusted partner of federal health agencies. We are exploring the addition of an experienced Data Scientist to support clinical research across the Veterans Health Administration (VHA). This role transforms complex clinical and research data into actionable insights that drive patient outcomes, operational efficiency, and evidence\-based decision\-making. The Data Scientist ensures data quality, regulatory compliance, and statistical rigor while collaborating with researchers, clinicians, and regulatory stakeholders to support the success and integrity of clinical trials and research studies.  
**Essential Functions \&amp; Responsibilities**  
Statistical Metric Development \&amp; Oversight* Serve as a statistical lead across multiple biomedical research initiatives
* Design and oversee healthcare performance measures with clear clinical and operational impact
* Partner with clinicians, analysts, and data owners to ensure data integrity, validity, and alignment
* Define statistical significance thresholds to support evidence\-based decision\-making
Study Design \&amp; Biostatistical Consultant* Collaborate with principal investigators to design rigorous clinical and biomedical studies
* Develop and execute Statistical Analysis Plans (SAPs) aligned with regulatory and scientific standards
* Support study protocols with sample size calculations, randomization strategies, and power analyses
* Ensure compliance with ICH\-GCP, FDA, and EMA guidelines throughout the data lifecycle
Data Management \&amp; Analysis* Manage and analyze large, complex datasets spanning clinical, genomic, and laboratory domains
* Apply advanced statistical methods, including regression models, survival analysis, mixed\-effects, longitudinal, and Bayesian approaches
* Conduct simulations and novel modeling to address complex research questions
Benchmarking \&amp; Performance Evaluations* Leverage industry standards (CMS, NCQA, HEDIS, Joint Commission) to inform target setting
* Perform comparative and population health analyses across peer organizations
Biostatistical Analysis \&amp; Study Design* Apply biostatistical methods to analyze health data
* Design and execute analytics studies using statistical analysis techniques
* Evaluate causality, confounding factors, and data limitations in clinical datasets
* Provide methodological support for research, quality improvement, and program evaluation initiatives
Reporting \&amp; Visualization* Develop executive\-ready dashboards and visualizations using tools such as Power BI, Tableau, and Python
* Translate complex findings into clear, actionable insights for technical and non\-technical audiences
* Build reproducible, automated, and version\-controlled analytic workflows
Data Governance \&amp; Compliance* Ensure adherence to HIPAA, data privacy, and institutional governance standards
* Maintain comprehensive documentation to support transparency and reproducibility
Scientific Communication \&amp; Compliance* Author and contributor to manuscripts, technical reports, and conference presentations
* Clearly interpret statistical results for investigators with varying levels of quantitative expertise
Strategic \&amp; Ad Hoc Analytics* Deliver rapid\-cycle analyses supporting population health, patient safety, and strategic priorities
**Minimum Qualifications*** Master's degree in Biostatistics, Health Informatics, Data Science, or a related quantitative discipline
* Three (3\) \+ years of experience in healthcare analytics, with demonstrated proficiency in statistical modeling and data interpretation
* Deep familiarity with healthcare data types (e.g., claims, EMR, registries, surveys); VHA Corporate Data Warehouse (CDW) knowledge preferred
* Strong knowledge of biostatistical techniques, including hypothesis testing, mixed models, and longitudinal analysis
* Proficiency in Microsoft Excel, R, SAS, Python, SQL, and data visualization tools
* Ability to communicate with both clinical and technical teams, translating numbers into narratives
* Ability to work independently and in a multidisciplinary team
* Authorized to work in the U.S. indefinitely without sponsorship
* Ability to obtain a Public Trust
**Preferred Qualification*** Experience building semantic data models in Power BI and Analysis Services Tabular
* Experience utilizing RedCap in clinical data collection and management
* Proficiency with DAX (Data Analysis Expressions) to create custom measures, KPIs, and dynamic reporting
* Ability to translate business requirements into intuitive data structures and reusable logic
**Compensation \&amp; Benefits**
PFS offers a benefits package that may include health, dental, and vision coverage; flexible spending accounts; disability and life insurance; retirement plan; paid time off; and other programs to support employees and their families. Learn more about PFS Benefits.
PFS benefits, compensation, and bonuses are determined by various factors, including but not limited to location, the individual's particular combination of education, knowledge, skills, competencies, and experience, as well as contract and organizational requirements.
**Equal Employment Opportunity**
All qualified applicants will receive consideration for employment without regard to race, color, religion, sex, parental status, national origin, age, disability, genetic information, political affiliation, military service, or other status protected by law.
**Accommodations**
PFS is committed to providing equal employment opportunities to all applicants. If you require a reasonable accommodation during the application or interview process, please contact us at recruiting@pfs.us. Reasonable accommodations are available to ensure applicants with disabilities have equal access to the hiring process, in accordance with the Americans with Disabilities Act (ADA) and applicable laws.
**Workplace Health, Safety, and Compliance**
This position may be subject to client‑specific or government‑mandated vaccination, health, or safety requirements, which may change over time.
**Texting Privacy Policy and Information:**
* Message type: Informational; you will receive text messages regarding your application and potentially regarding interview scheduling.
* No mobile information will be shared with third parties/affiliates for marketing/promotional purposes.
* Message frequency will vary depending on the application process.
* Msg \&amp; data rates may apply.
* Opt out at any time by texting "stop".
ruyVaS7TuQ</t>
        </is>
      </c>
    </row>
    <row r="141">
      <c r="A141" t="inlineStr">
        <is>
          <t>in-540f72e9dcda8dc2</t>
        </is>
      </c>
      <c r="B141" t="inlineStr">
        <is>
          <t>Senior Data Scientist - AI Practice Team</t>
        </is>
      </c>
      <c r="C141" t="inlineStr">
        <is>
          <t>American Bureau of Shipping (ABS)</t>
        </is>
      </c>
      <c r="D141" t="inlineStr">
        <is>
          <t>indeed</t>
        </is>
      </c>
      <c r="E141" t="inlineStr"/>
      <c r="F141" t="inlineStr"/>
      <c r="G141" t="inlineStr">
        <is>
          <t>Houston, TX, US</t>
        </is>
      </c>
      <c r="H141" s="1" t="n">
        <v>46083</v>
      </c>
      <c r="I141" t="inlineStr">
        <is>
          <t>We are seeking an exceptional Senior Data Scientist to join us full\-time in our Artificial Intelligence (AI) Practice Team. In this role, you will lead the design and delivery of analytics and machine learning solutions across policy, data, and document\-centric AI engagements, working with complex real\-world datasets from industrial and asset\-intensive domains.
**Location:**
This position can be based in Houston, Texas; Knoxville, Tennessee; or Washington, DC.
**What You Will Do:**
* Lead the preparation, exploration, and analysis of client data (tabular, time\-series, and document\-based) to enable robust modeling, feature engineering, and insight generation.
* Design, implement, and validate machine learning models and analytics pipelines, including problem framing, model selection, evaluation, and iteration for real\-world performance.
* Drive advanced use of NLP and document understanding techniques to extract, transform, and enrich information from reports, PDFs, logs, and other unstructured sources.
* Build and maintain clear, impactful dashboards, reports, and visualizations (e.g., in Python, Power BI, or similar tools) to communicate findings to consultants and client stakeholders.
* Collaborate with consultants and domain experts to translate business problems into analytical solutions, articulate trade\-offs, and present recommendations to technical and non\-technical audiences.
* Ensure technical quality, reproducibility, and governance by establishing good practices for code, documentation, data management, and model tracking across projects.
* Mentor and support junior data scientists, providing guidance on methods, tooling, and best practices, and reviewing their work for quality and consistency.
**What You Will Need:**
Education and Experience
* Bachelor’s degree in a STEM discipline (e.g., Data Science, Computer Science, Engineering, Mathematics, Statistics) or related field; Master’s degree preferred or equivalent experience.
* 5\+ years of experience applying data science and machine learning in professional settings, including end\-to\-end delivery of analytics/ML solutions.
* Proven track record working with real\-world, messy datasets (including unstructured/document data) across the full lifecycle: data preparation, modeling, evaluation, and deployment handoff.
* Experience leading or owning significant workstreams within AI/ML or analytics projects, ideally in consulting, industrial, or asset\-intensive environments.
* Practical experience working with cloud\-based and modern data platforms (e.g., Azure, AWS, GCP, Databricks) and integrating with enterprise data sources and workflows.
Knowledge, Skills, and Abilities
* Deep proficiency in Python for data science (pandas, scikit\-learn, and related libraries) and strong SQL skills for working with relational and analytical data stores.
* Strong grounding in statistics, machine learning, and model evaluation, including supervised/unsupervised methods, feature engineering, and performance diagnostics.
* Hands\-on experience with NLP and document understanding (e.g., text preprocessing, embeddings, classification, information extraction, transformers/LLMs) applied to real datasets.
* Ability to design and implement robust, maintainable analytics and ML pipelines, using notebooks and production\-ready code with Git\-based version control.
* Familiarity with modern data and ML tooling (e.g., Databricks, MLflow, Docker, CI/CD for data/ML) and good practices for experiment tracking and reproducibility.
* Proficiency with BI/visualization tools (e.g., Power BI, Tableau) and data storytelling skills to communicate complex analytical results to non\-technical stakeholders.
* Excellent communication and stakeholder engagement skills, with the ability to frame analytical approaches, explain trade\-offs, and align solutions with business objectives.
* Proven ability to work across multiple projects, manage priorities, and operate in a fast\-moving, consulting\-style environment, while mentoring junior team members.
* Nice to have: exposure to industrial, maritime, or asset\-intensive domains, or prior experience in AI consulting or client\-facing roles.
**Reporting Relationships:**
This role reports to the Project Manager and does not include direct reports.
**Salary Range:**
$100,000 \- $150,000 USD
Starting salary is based on multiple factors including skillset and experience.</t>
        </is>
      </c>
    </row>
    <row r="142">
      <c r="A142" t="inlineStr">
        <is>
          <t>in-b7471044ef9bac4a</t>
        </is>
      </c>
      <c r="B142" t="inlineStr">
        <is>
          <t>Junior Data Scientist - AI Practice Team</t>
        </is>
      </c>
      <c r="C142" t="inlineStr">
        <is>
          <t>American Bureau of Shipping (ABS)</t>
        </is>
      </c>
      <c r="D142" t="inlineStr">
        <is>
          <t>indeed</t>
        </is>
      </c>
      <c r="E142" t="inlineStr"/>
      <c r="F142" t="inlineStr"/>
      <c r="G142" t="inlineStr">
        <is>
          <t>Houston, TX, US</t>
        </is>
      </c>
      <c r="H142" s="1" t="n">
        <v>46083</v>
      </c>
      <c r="I142" t="inlineStr">
        <is>
          <t>ABS is seeking an exceptional Junior Data Scientist to join us full\-time on our Artificial Intelligence (AI) Practice Team. In this role, you will support AI consulting engagements focused on policy, data, and document\-centric solutions by preparing, analyzing, and modeling client data as part of a multidisciplinary delivery team.
**Location:**
This position can be based in Houston, Texas; Knoxville, Tennessee; or Washington, DC.
**What You Will Do:**
* Support AI consulting engagements by cleaning, structuring, and analyzing client data (tabular, time\-series, and document\-based) to enable modeling and insight generation.
* Contribute to development, testing, and documentation of machine learning models, analytics pipelines, and proof\-of\-concept solutions under guidance from senior data scientists.
* Work with our document and data services to extract, transform, and enrich information from reports, PDFs, logs, and other unstructured sources using NLP and related techniques.
* Build and maintain basic dashboards, reports, and visualizations (e.g., in Python, Power BI, or similar tools) to communicate findings to consultants and client stakeholders.
* Collaborate with consultants and domain experts to translate business questions into analytical tasks, validate results, and refine approaches based on feedback.
* Help maintain clean, reproducible project assets (code, notebooks, datasets, documentation) using modern collaboration and version control tools.
**What You Will Need:**
Education and Experience
* Bachelor’s degree in a STEM discipline (e.g., Data Science, Computer Science, Engineering, Mathematics, Statistics) or related field, or equivalent practical experience.
* 2\+ years of combined experience through projects, internships, or professional roles applying data science/ML methods and tools.
* Practical experience applying core techniques in data preprocessing, modeling, and evaluation using Python, SQL, and common ML libraries.
* Exposure to AI/ML or analytics projects in academic, research, or professional environments, ideally with real\-world or messy datasets.
* Familiarity with cloud\-based and modern data platforms (e.g., Azure, AWS, GCP, Databricks) and BI tools is a plus but not mandatory.
Knowledge, Skills, and Abilities
* Strong foundation in data science/ML concepts and statistics, with hands\-on experience in Python (e.g., pandas, scikit\-learn) and working with SQL\-based data sources.
* Ability to clean, structure, and analyze real\-world datasets, including unstructured or semi\-structured data (e.g., documents, logs, text).
* Comfortable working with Jupyter notebooks and Git\-based workflows for reproducible and version\-controlled analysis.
* Clear, structured communication skills, including the ability to explain analytical work and findings to non\-technical stakeholders in a concise, business\-relevant way.
* Collaborative mindset and willingness to learn, taking feedback from senior team members and adapting quickly to new tools, methods, and domains.
* Organized, detail\-oriented working style, with the ability to manage tasks across multiple projects and meet deadlines reliably.
Nice to Have
* Experience applying ML/NLP to real datasets (e.g., classification, forecasting, document information extraction, OCR, LLMs, or search/retrieval systems).
* Any exposure to industrial, maritime, or asset\-intensive domains, or to consulting/client\-facing environments.
**Reporting Relationships:**
Thiis role reports to the Senior Data Scientist and does not include direct reports.
**Salary Range:**
$75,000 \- $100,000 USD
Starting salary is based on multiple factors including skillset and experience.</t>
        </is>
      </c>
    </row>
    <row r="143">
      <c r="A143" t="inlineStr">
        <is>
          <t>in-19399d696cf39aaa</t>
        </is>
      </c>
      <c r="B143" t="inlineStr">
        <is>
          <t>Data Scientist I</t>
        </is>
      </c>
      <c r="C143" t="inlineStr">
        <is>
          <t>Worldpay</t>
        </is>
      </c>
      <c r="D143" t="inlineStr">
        <is>
          <t>indeed</t>
        </is>
      </c>
      <c r="E143" t="inlineStr"/>
      <c r="F143" t="inlineStr"/>
      <c r="G143" t="inlineStr">
        <is>
          <t>Cincinnati, OH, US</t>
        </is>
      </c>
      <c r="H143" s="1" t="n">
        <v>46083</v>
      </c>
      <c r="I143" t="inlineStr">
        <is>
          <t>**Job Description**
**Are you ready to write your next chapter?**  
Make your mark at one of the biggest names in payments. We’re looking for a Data Scientist to join our ever evolving team and help us unleash the potential of every business.
### **What you’ll own as the Data Scientist**
* Analyze and extract insights from internal and external data.
* Employ machine learning and statistical modeling to create and enhance data\-driven products.
* Work with Big Data and transform complex datasets into more usable formats.
* Utilize a variety of data science tools and programming languages such as Python, R, and SQL.
* Work independently and collaborate with other groups to solve complex problems.
* Create and present analyses to internal and external partners and clients.
* Document models and write code to track and monitor models and product performance.
* Make pragmatic and business\-aware choices when trading off sophistication and accuracy versus implementation and performance costs.
* Participate in project planning sessions, analyze requirements, and provide design recommendations for complex analytical systems.
* Other related duties as assigned.
### **What you’ll bring**
* Degree in Data Science, Statistics, Decision Sciences, Applied Mathematics, Economics, Computer Science, or an equivalent combination of education, training, and work experience.
* Knowledge in machine learning, artificial intelligence, statistical modeling, data visualization, and data analysis.
* Proficient in data science tools and programming languages such as Python, R, and SQL.
* Experience or knowledge of cloud\-based technology.
* Ability to collaborate with others and solve complex problems.
* Outstanding verbal and written communication skills to technical and non\-technical audiences at all levels.
* Excellent analytical, decision\-making, problem\-solving, team, and time management skills.
* Positive outlook, strong work ethic, and responsiveness to internal and external clients and contacts.
**About the team**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\#LI\-JH1
Worldpay is dedicated to offering individuals rewarding career opportunities and competitive compensation. For this full\-time position, the good faith estimated annual salary range upon hire is $101,100\.00\-$152,550\.00\.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44">
      <c r="A144" t="inlineStr">
        <is>
          <t>in-f0f4c09223f03c35</t>
        </is>
      </c>
      <c r="B144" t="inlineStr">
        <is>
          <t>Data Scientist I</t>
        </is>
      </c>
      <c r="C144" t="inlineStr">
        <is>
          <t>Worldpay</t>
        </is>
      </c>
      <c r="D144" t="inlineStr">
        <is>
          <t>indeed</t>
        </is>
      </c>
      <c r="E144" t="inlineStr"/>
      <c r="F144" t="inlineStr"/>
      <c r="G144" t="inlineStr">
        <is>
          <t>Denver, CO, US</t>
        </is>
      </c>
      <c r="H144" s="1" t="n">
        <v>46083</v>
      </c>
      <c r="I144" t="inlineStr">
        <is>
          <t>**Job Description**
**Are you ready to write your next chapter?**  
Make your mark at one of the biggest names in payments. We’re looking for a Data Scientist to join our ever evolving team and help us unleash the potential of every business.
### **What you’ll own as the Data Scientist**
* Analyze and extract insights from internal and external data.
* Employ machine learning and statistical modeling to create and enhance data\-driven products.
* Work with Big Data and transform complex datasets into more usable formats.
* Utilize a variety of data science tools and programming languages such as Python, R, and SQL.
* Work independently and collaborate with other groups to solve complex problems.
* Create and present analyses to internal and external partners and clients.
* Document models and write code to track and monitor models and product performance.
* Make pragmatic and business\-aware choices when trading off sophistication and accuracy versus implementation and performance costs.
* Participate in project planning sessions, analyze requirements, and provide design recommendations for complex analytical systems.
* Other related duties as assigned.
### **What you’ll bring**
* Degree in Data Science, Statistics, Decision Sciences, Applied Mathematics, Economics, Computer Science, or an equivalent combination of education, training, and work experience.
* Knowledge in machine learning, artificial intelligence, statistical modeling, data visualization, and data analysis.
* Proficient in data science tools and programming languages such as Python, R, and SQL.
* Experience or knowledge of cloud\-based technology.
* Ability to collaborate with others and solve complex problems.
* Outstanding verbal and written communication skills to technical and non\-technical audiences at all levels.
* Excellent analytical, decision\-making, problem\-solving, team, and time management skills.
* Positive outlook, strong work ethic, and responsiveness to internal and external clients and contacts.
**About the team**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\#LI\-JH1
Worldpay is dedicated to offering individuals rewarding career opportunities and competitive compensation. For this full\-time position, the good faith estimated annual salary range upon hire is $101,100\.00\-$152,550\.00\.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145">
      <c r="A145" t="inlineStr">
        <is>
          <t>in-4a13685804eccbfd</t>
        </is>
      </c>
      <c r="B145" t="inlineStr">
        <is>
          <t>Geospatial Data Scientist (TS/SCI)</t>
        </is>
      </c>
      <c r="C145" t="inlineStr">
        <is>
          <t>Xcellent Technology Solutions</t>
        </is>
      </c>
      <c r="D145" t="inlineStr">
        <is>
          <t>indeed</t>
        </is>
      </c>
      <c r="E145" t="inlineStr"/>
      <c r="F145" t="inlineStr"/>
      <c r="G145" t="inlineStr">
        <is>
          <t>St. Louis, MO, US</t>
        </is>
      </c>
      <c r="H145" s="1" t="n">
        <v>46080</v>
      </c>
      <c r="I145" t="inlineStr">
        <is>
          <t>*Some problems don’t need more data, they need clarity. At the National Geospatial\-Intelligence Agency (NGA) Office of Eurasia, leadership is routinely asked to prioritize, assess risk, and allocate resources against complex and evolving challenges. The GEOINT data behind those decisions is rich but is not always structured to answer the question being asked. It may be binary in one place, tiered in another, legacy in a third. It may have been built for a different requirement at a different time.*  
This is an exciting opportunity to join us as a Geospatial Data Scientist to support NGA and bring structure, transparency, and defensibility to complex analytic problems! Looked upon your expertise to design, refine, and operationalize analytic models that bring consistency and transparency to mission analysis. From structing complex GEOINT attributes into measurable, defensible scoring frameworks, to replacing manual or legacy analytic processes with automated, repeatable workflows. You’ll work directly with analysts and branch leadership to ensure models reflect real mission needs and ensure transparency. Tradecraft integrity and methodological rigor in every product. If you’re passionate about bringing structure where there is inconsistency, and clarity where there are interpretations, join XTS today!  
**Requirements*** Current active Top Secret / SCI clearance with the ability to obtain CI poly.
* You have achieved a Master’s degree / Bachelor’s degree \+ 2 years / Associate’s degree \+ 3 years / 5\+ years of relevant experience
* You have gained strong proficiency in Python and SQL to support in extracting, transforming, and structuring large, complex datasets.
* Familiarity with ArcGIS or similar geospatial tools to assist in model integration effectively with existing analytic platforms.
* Experience automating workflows and building dashboards to ensure repeatability.
* Understanding of GEOINT standards and tradecraft to ensure analytic integrity and confidence in outputs.
* Experience building defensible analytic models in order to articulate how inputs become outputs and ensure the scoring logic can withstand scrutiny.
If you are motivated by applying technical expertise to real operational challenges, and building system systems that improve how decisions are made, please send your resume directly to Lanchi Lai at Lanchi.Lai@xts\-inc.com  
***At XTS, we believe in taking care of our employees as much as we take care of our clients. As a veteran\-owned company, we understand the importance of community, service, and fostering a culture where each team member can thrive. Our commitment to employee well\-being is reflected in the comprehensive benefits and growth opportunities we offer. We offer tailored health care plans that fit your lifestyle, along with dental and vision coverage, paid time off (PTO), and a 401K with employer matching to secure your financial future. As we push forward in the rapidly evolving field of AI, XTS is committed to providing employees with tools and opportunities to stay ahead. We are proud to offer our GeoAI scholarship to help our employees further develop their skills and expertise in this cutting\-edge field. We take pride in delivering elite workforces to the Intelligence Community, making a real\-world impact on critical missions. Join us and experience a company that invests in your success and professional growth.***  
G34GaB4hxD</t>
        </is>
      </c>
    </row>
    <row r="146">
      <c r="A146" t="inlineStr">
        <is>
          <t>in-ffc22f6aebcc5529</t>
        </is>
      </c>
      <c r="B146" t="inlineStr">
        <is>
          <t>Data Scientist, Products &amp; Applied Research</t>
        </is>
      </c>
      <c r="C146" t="inlineStr">
        <is>
          <t>Meta</t>
        </is>
      </c>
      <c r="D146" t="inlineStr">
        <is>
          <t>indeed</t>
        </is>
      </c>
      <c r="E146" t="inlineStr"/>
      <c r="F146" t="inlineStr"/>
      <c r="G146" t="inlineStr">
        <is>
          <t>Menlo Park, CA, US</t>
        </is>
      </c>
      <c r="H146" s="1" t="n">
        <v>46076</v>
      </c>
      <c r="I146"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7">
      <c r="A147" t="inlineStr">
        <is>
          <t>in-cc8b9b553dbf739f</t>
        </is>
      </c>
      <c r="B147" t="inlineStr">
        <is>
          <t>Data Scientist, Products &amp; Applied Research</t>
        </is>
      </c>
      <c r="C147" t="inlineStr">
        <is>
          <t>Meta</t>
        </is>
      </c>
      <c r="D147" t="inlineStr">
        <is>
          <t>indeed</t>
        </is>
      </c>
      <c r="E147" t="inlineStr"/>
      <c r="F147" t="inlineStr"/>
      <c r="G147" t="inlineStr">
        <is>
          <t>San Francisco, CA, US</t>
        </is>
      </c>
      <c r="H147" s="1" t="n">
        <v>46076</v>
      </c>
      <c r="I14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8">
      <c r="A148" t="inlineStr">
        <is>
          <t>in-38c37dc0355037d0</t>
        </is>
      </c>
      <c r="B148" t="inlineStr">
        <is>
          <t>Data Scientist - Law Enforcement Analytics &amp; Program</t>
        </is>
      </c>
      <c r="C148" t="inlineStr">
        <is>
          <t>Meta</t>
        </is>
      </c>
      <c r="D148" t="inlineStr">
        <is>
          <t>indeed</t>
        </is>
      </c>
      <c r="E148" t="inlineStr"/>
      <c r="F148" t="inlineStr"/>
      <c r="G148" t="inlineStr">
        <is>
          <t>Menlo Park, CA, US</t>
        </is>
      </c>
      <c r="H148" s="1" t="n">
        <v>46069</v>
      </c>
      <c r="I148"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 **Preferred Qualifications:**
* Master's Degree in an analytical field (e.g. Computer Science, Engineering, Mathematics, Statistics, or Data Science)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9">
      <c r="A149" t="inlineStr">
        <is>
          <t>in-e2c8516d28be9c57</t>
        </is>
      </c>
      <c r="B149" t="inlineStr">
        <is>
          <t>Data Scientist - Law Enforcement Analytics &amp; Program</t>
        </is>
      </c>
      <c r="C149" t="inlineStr">
        <is>
          <t>Meta</t>
        </is>
      </c>
      <c r="D149" t="inlineStr">
        <is>
          <t>indeed</t>
        </is>
      </c>
      <c r="E149" t="inlineStr"/>
      <c r="F149" t="inlineStr"/>
      <c r="G149" t="inlineStr">
        <is>
          <t>Austin, TX, US</t>
        </is>
      </c>
      <c r="H149" s="1" t="n">
        <v>46069</v>
      </c>
      <c r="I149"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 **Preferred Qualifications:**
* Master's Degree in an analytical field (e.g. Computer Science, Engineering, Mathematics, Statistics, or Data Science)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0">
      <c r="A150" t="inlineStr">
        <is>
          <t>in-92bdd3f2a0828b50</t>
        </is>
      </c>
      <c r="B150" t="inlineStr">
        <is>
          <t>Data Scientist - Law Enforcement Analytics &amp; Program</t>
        </is>
      </c>
      <c r="C150" t="inlineStr">
        <is>
          <t>Meta</t>
        </is>
      </c>
      <c r="D150" t="inlineStr">
        <is>
          <t>indeed</t>
        </is>
      </c>
      <c r="E150" t="inlineStr"/>
      <c r="F150" t="inlineStr"/>
      <c r="G150" t="inlineStr">
        <is>
          <t>Washington, DC, US</t>
        </is>
      </c>
      <c r="H150" s="1" t="n">
        <v>46069</v>
      </c>
      <c r="I150"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 **Preferred Qualifications:**
* Master's Degree in an analytical field (e.g. Computer Science, Engineering, Mathematics, Statistics, or Data Science)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1">
      <c r="A151" t="inlineStr">
        <is>
          <t>in-a2a9f13e53994d66</t>
        </is>
      </c>
      <c r="B151" t="inlineStr">
        <is>
          <t>Data Scientist - Law Enforcement Analytics &amp; Program</t>
        </is>
      </c>
      <c r="C151" t="inlineStr">
        <is>
          <t>Meta</t>
        </is>
      </c>
      <c r="D151" t="inlineStr">
        <is>
          <t>indeed</t>
        </is>
      </c>
      <c r="E151" t="inlineStr"/>
      <c r="F151" t="inlineStr"/>
      <c r="G151" t="inlineStr">
        <is>
          <t>New York, NY, US</t>
        </is>
      </c>
      <c r="H151" s="1" t="n">
        <v>46069</v>
      </c>
      <c r="I151"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 **Preferred Qualifications:**
* Master's Degree in an analytical field (e.g. Computer Science, Engineering, Mathematics, Statistics, or Data Science)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2">
      <c r="A152" t="inlineStr">
        <is>
          <t>in-fca4e55b34c40a0a</t>
        </is>
      </c>
      <c r="B152" t="inlineStr">
        <is>
          <t>Applied Scientist II, Prime Video Personalization and Discovery Science</t>
        </is>
      </c>
      <c r="C152" t="inlineStr">
        <is>
          <t>Amazon.com</t>
        </is>
      </c>
      <c r="D152" t="inlineStr">
        <is>
          <t>indeed</t>
        </is>
      </c>
      <c r="E152" t="inlineStr"/>
      <c r="F152" t="inlineStr"/>
      <c r="G152" t="inlineStr">
        <is>
          <t>Sunnyvale, CA, US</t>
        </is>
      </c>
      <c r="H152" s="1" t="n">
        <v>46047</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3">
      <c r="A153" t="inlineStr">
        <is>
          <t>in-734046b2703a1126</t>
        </is>
      </c>
      <c r="B153" t="inlineStr">
        <is>
          <t>Applied Scientist, Safety ML</t>
        </is>
      </c>
      <c r="C153" t="inlineStr">
        <is>
          <t>Amazon.com</t>
        </is>
      </c>
      <c r="D153" t="inlineStr">
        <is>
          <t>indeed</t>
        </is>
      </c>
      <c r="E153" t="inlineStr"/>
      <c r="F153" t="inlineStr"/>
      <c r="G153" t="inlineStr">
        <is>
          <t>San Francisco, CA, US</t>
        </is>
      </c>
      <c r="H153" s="1" t="n">
        <v>46037</v>
      </c>
      <c r="I1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54">
      <c r="A154" t="inlineStr">
        <is>
          <t>in-5af8597c7f9fb170</t>
        </is>
      </c>
      <c r="B154" t="inlineStr">
        <is>
          <t>Applied Scientist, Safety ML</t>
        </is>
      </c>
      <c r="C154" t="inlineStr">
        <is>
          <t>Amazon.com</t>
        </is>
      </c>
      <c r="D154" t="inlineStr">
        <is>
          <t>indeed</t>
        </is>
      </c>
      <c r="E154" t="inlineStr"/>
      <c r="F154" t="inlineStr"/>
      <c r="G154" t="inlineStr">
        <is>
          <t>Seattle, WA, US</t>
        </is>
      </c>
      <c r="H154" s="1" t="n">
        <v>46037</v>
      </c>
      <c r="I1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55">
      <c r="A155" t="inlineStr">
        <is>
          <t>in-780692841a7ae194</t>
        </is>
      </c>
      <c r="B155" t="inlineStr">
        <is>
          <t>Applied Scientist, LLM Code Agents, Kiro Science</t>
        </is>
      </c>
      <c r="C155" t="inlineStr">
        <is>
          <t>Amazon.com</t>
        </is>
      </c>
      <c r="D155" t="inlineStr">
        <is>
          <t>indeed</t>
        </is>
      </c>
      <c r="E155" t="inlineStr"/>
      <c r="F155" t="inlineStr"/>
      <c r="G155" t="inlineStr">
        <is>
          <t>Santa Clara, CA, US</t>
        </is>
      </c>
      <c r="H155" s="1" t="n">
        <v>46035</v>
      </c>
      <c r="I15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56">
      <c r="A156" t="inlineStr">
        <is>
          <t>in-15d302bb6c7addc6</t>
        </is>
      </c>
      <c r="B156" t="inlineStr">
        <is>
          <t>Applied Scientist, LLM Code Agents, Kiro Science</t>
        </is>
      </c>
      <c r="C156" t="inlineStr">
        <is>
          <t>Amazon.com</t>
        </is>
      </c>
      <c r="D156" t="inlineStr">
        <is>
          <t>indeed</t>
        </is>
      </c>
      <c r="E156" t="inlineStr"/>
      <c r="F156" t="inlineStr"/>
      <c r="G156" t="inlineStr">
        <is>
          <t>Seattle, WA, US</t>
        </is>
      </c>
      <c r="H156" s="1" t="n">
        <v>46035</v>
      </c>
      <c r="I15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57">
      <c r="A157" t="inlineStr">
        <is>
          <t>in-a92b36a524121253</t>
        </is>
      </c>
      <c r="B157" t="inlineStr">
        <is>
          <t>Applied Scientist II, Prime Video Personalization and Discovery Science</t>
        </is>
      </c>
      <c r="C157" t="inlineStr">
        <is>
          <t>Amazon.com</t>
        </is>
      </c>
      <c r="D157" t="inlineStr">
        <is>
          <t>indeed</t>
        </is>
      </c>
      <c r="E157" t="inlineStr"/>
      <c r="F157" t="inlineStr"/>
      <c r="G157" t="inlineStr">
        <is>
          <t>Sunnyvale, CA, US</t>
        </is>
      </c>
      <c r="H157" s="1" t="n">
        <v>46034</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8">
      <c r="A158" t="inlineStr">
        <is>
          <t>in-1fe3dfcf5a892139</t>
        </is>
      </c>
      <c r="B158" t="inlineStr">
        <is>
          <t>Applied Scientist II, Prime Video Personalization and Discovery Science</t>
        </is>
      </c>
      <c r="C158" t="inlineStr">
        <is>
          <t>Amazon.com</t>
        </is>
      </c>
      <c r="D158" t="inlineStr">
        <is>
          <t>indeed</t>
        </is>
      </c>
      <c r="E158" t="inlineStr"/>
      <c r="F158" t="inlineStr"/>
      <c r="G158" t="inlineStr">
        <is>
          <t>Seattle, WA, US</t>
        </is>
      </c>
      <c r="H158" s="1" t="n">
        <v>46034</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9">
      <c r="A159" t="inlineStr">
        <is>
          <t>in-c49148c1980124b8</t>
        </is>
      </c>
      <c r="B159" t="inlineStr">
        <is>
          <t>Applied Scientist, AWS Applied AI Solutions</t>
        </is>
      </c>
      <c r="C159" t="inlineStr">
        <is>
          <t>Amazon Web Services</t>
        </is>
      </c>
      <c r="D159" t="inlineStr">
        <is>
          <t>indeed</t>
        </is>
      </c>
      <c r="E159" t="inlineStr"/>
      <c r="F159" t="inlineStr"/>
      <c r="G159" t="inlineStr">
        <is>
          <t>New York, NY, US</t>
        </is>
      </c>
      <c r="H159" s="1" t="n">
        <v>46030</v>
      </c>
      <c r="I15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0">
      <c r="A160" t="inlineStr">
        <is>
          <t>in-32a9b28bc94262df</t>
        </is>
      </c>
      <c r="B160" t="inlineStr">
        <is>
          <t>Applied Scientist, AWS Applied AI Solutions</t>
        </is>
      </c>
      <c r="C160" t="inlineStr">
        <is>
          <t>Amazon Web Services</t>
        </is>
      </c>
      <c r="D160" t="inlineStr">
        <is>
          <t>indeed</t>
        </is>
      </c>
      <c r="E160" t="inlineStr"/>
      <c r="F160" t="inlineStr"/>
      <c r="G160" t="inlineStr">
        <is>
          <t>Seattle, WA, US</t>
        </is>
      </c>
      <c r="H160" s="1" t="n">
        <v>46030</v>
      </c>
      <c r="I16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1">
      <c r="A161" t="inlineStr">
        <is>
          <t>in-8fbd1cf0be75c290</t>
        </is>
      </c>
      <c r="B161" t="inlineStr">
        <is>
          <t>Principal Applied Scientist, Kiro Science</t>
        </is>
      </c>
      <c r="C161" t="inlineStr">
        <is>
          <t>Amazon Web Services</t>
        </is>
      </c>
      <c r="D161" t="inlineStr">
        <is>
          <t>indeed</t>
        </is>
      </c>
      <c r="E161" t="inlineStr"/>
      <c r="F161" t="inlineStr"/>
      <c r="G161" t="inlineStr">
        <is>
          <t>Santa Clara, CA, US</t>
        </is>
      </c>
      <c r="H161" s="1" t="n">
        <v>45999</v>
      </c>
      <c r="I16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2">
      <c r="A162" t="inlineStr">
        <is>
          <t>in-1d5d6ab722a25f1e</t>
        </is>
      </c>
      <c r="B162" t="inlineStr">
        <is>
          <t>Principal Applied Scientist, Kiro Science</t>
        </is>
      </c>
      <c r="C162" t="inlineStr">
        <is>
          <t>Amazon Web Services</t>
        </is>
      </c>
      <c r="D162" t="inlineStr">
        <is>
          <t>indeed</t>
        </is>
      </c>
      <c r="E162" t="inlineStr"/>
      <c r="F162" t="inlineStr"/>
      <c r="G162" t="inlineStr">
        <is>
          <t>New York, NY, US</t>
        </is>
      </c>
      <c r="H162" s="1" t="n">
        <v>45999</v>
      </c>
      <c r="I16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3">
      <c r="A163" t="inlineStr">
        <is>
          <t>in-36811dc1a4906952</t>
        </is>
      </c>
      <c r="B163" t="inlineStr">
        <is>
          <t>Sr. Applied Scientist, Amazon Ads</t>
        </is>
      </c>
      <c r="C163" t="inlineStr">
        <is>
          <t>Amazon.com</t>
        </is>
      </c>
      <c r="D163" t="inlineStr">
        <is>
          <t>indeed</t>
        </is>
      </c>
      <c r="E163" t="inlineStr"/>
      <c r="F163" t="inlineStr"/>
      <c r="G163" t="inlineStr">
        <is>
          <t>Boulder, CO, US</t>
        </is>
      </c>
      <c r="H163" s="1"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in-765783c14a54c825</t>
        </is>
      </c>
      <c r="B164" t="inlineStr">
        <is>
          <t>Sr. Applied Scientist, Amazon Ads</t>
        </is>
      </c>
      <c r="C164" t="inlineStr">
        <is>
          <t>Amazon.com</t>
        </is>
      </c>
      <c r="D164" t="inlineStr">
        <is>
          <t>indeed</t>
        </is>
      </c>
      <c r="E164" t="inlineStr"/>
      <c r="F164" t="inlineStr"/>
      <c r="G164" t="inlineStr">
        <is>
          <t>Sunnyvale, CA, US</t>
        </is>
      </c>
      <c r="H164" s="1"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in-430be0ca694cbd5a</t>
        </is>
      </c>
      <c r="B165" t="inlineStr">
        <is>
          <t>Sr. Applied Scientist, Amazon Ads</t>
        </is>
      </c>
      <c r="C165" t="inlineStr">
        <is>
          <t>Amazon.com</t>
        </is>
      </c>
      <c r="D165" t="inlineStr">
        <is>
          <t>indeed</t>
        </is>
      </c>
      <c r="E165" t="inlineStr"/>
      <c r="F165" t="inlineStr"/>
      <c r="G165" t="inlineStr">
        <is>
          <t>New York, NY, US</t>
        </is>
      </c>
      <c r="H165" s="1"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in-2caa5e7a323af15b</t>
        </is>
      </c>
      <c r="B166" t="inlineStr">
        <is>
          <t>Sr. Applied Scientist, Amazon Ads</t>
        </is>
      </c>
      <c r="C166" t="inlineStr">
        <is>
          <t>Amazon.com</t>
        </is>
      </c>
      <c r="D166" t="inlineStr">
        <is>
          <t>indeed</t>
        </is>
      </c>
      <c r="E166" t="inlineStr"/>
      <c r="F166" t="inlineStr"/>
      <c r="G166" t="inlineStr">
        <is>
          <t>Seattle, WA, US</t>
        </is>
      </c>
      <c r="H166" s="1"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in-60706b4fa261fdc1</t>
        </is>
      </c>
      <c r="B167" t="inlineStr">
        <is>
          <t>Sr. Applied Scientist, Amazon Ads</t>
        </is>
      </c>
      <c r="C167" t="inlineStr">
        <is>
          <t>Amazon.com</t>
        </is>
      </c>
      <c r="D167" t="inlineStr">
        <is>
          <t>indeed</t>
        </is>
      </c>
      <c r="E167" t="inlineStr"/>
      <c r="F167" t="inlineStr"/>
      <c r="G167" t="inlineStr">
        <is>
          <t>Brooklyn, NY, US</t>
        </is>
      </c>
      <c r="H167" s="1" t="n">
        <v>45998</v>
      </c>
      <c r="I1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8">
      <c r="A168" t="inlineStr">
        <is>
          <t>in-b9544710f83073d7</t>
        </is>
      </c>
      <c r="B168" t="inlineStr">
        <is>
          <t>Sr. Applied Scientist, Amazon Ads</t>
        </is>
      </c>
      <c r="C168" t="inlineStr">
        <is>
          <t>Amazon.com</t>
        </is>
      </c>
      <c r="D168" t="inlineStr">
        <is>
          <t>indeed</t>
        </is>
      </c>
      <c r="E168" t="inlineStr"/>
      <c r="F168" t="inlineStr"/>
      <c r="G168" t="inlineStr">
        <is>
          <t>Santa Monica, CA, US</t>
        </is>
      </c>
      <c r="H168" s="1"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in-401c51886a27049c</t>
        </is>
      </c>
      <c r="B169" t="inlineStr">
        <is>
          <t>Sr. Applied Scientist, Amazon Ads</t>
        </is>
      </c>
      <c r="C169" t="inlineStr">
        <is>
          <t>Amazon.com</t>
        </is>
      </c>
      <c r="D169" t="inlineStr">
        <is>
          <t>indeed</t>
        </is>
      </c>
      <c r="E169" t="inlineStr"/>
      <c r="F169" t="inlineStr"/>
      <c r="G169" t="inlineStr">
        <is>
          <t>Tukwila, WA, US</t>
        </is>
      </c>
      <c r="H169" s="1" t="n">
        <v>45998</v>
      </c>
      <c r="I1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0">
      <c r="A170" t="inlineStr">
        <is>
          <t>in-9fe0da6bb344ba16</t>
        </is>
      </c>
      <c r="B170" t="inlineStr">
        <is>
          <t>Sr. Applied Scientist, Amazon Ads</t>
        </is>
      </c>
      <c r="C170" t="inlineStr">
        <is>
          <t>Amazon.com</t>
        </is>
      </c>
      <c r="D170" t="inlineStr">
        <is>
          <t>indeed</t>
        </is>
      </c>
      <c r="E170" t="inlineStr"/>
      <c r="F170" t="inlineStr"/>
      <c r="G170" t="inlineStr">
        <is>
          <t>Palo Alto, CA, US</t>
        </is>
      </c>
      <c r="H170" s="1" t="n">
        <v>45998</v>
      </c>
      <c r="I1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1">
      <c r="A171" t="inlineStr">
        <is>
          <t>in-ee0203421229ce16</t>
        </is>
      </c>
      <c r="B171" t="inlineStr">
        <is>
          <t>Sr. Applied Scientist, Amazon Ads</t>
        </is>
      </c>
      <c r="C171" t="inlineStr">
        <is>
          <t>Amazon.com</t>
        </is>
      </c>
      <c r="D171" t="inlineStr">
        <is>
          <t>indeed</t>
        </is>
      </c>
      <c r="E171" t="inlineStr"/>
      <c r="F171" t="inlineStr"/>
      <c r="G171" t="inlineStr">
        <is>
          <t>Corvallis, OR, US</t>
        </is>
      </c>
      <c r="H171" s="1" t="n">
        <v>45998</v>
      </c>
      <c r="I1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2">
      <c r="A172" t="inlineStr">
        <is>
          <t>in-d6eb2f05d4c3a594</t>
        </is>
      </c>
      <c r="B172" t="inlineStr">
        <is>
          <t>Sr. Applied Scientist, Amazon Ads</t>
        </is>
      </c>
      <c r="C172" t="inlineStr">
        <is>
          <t>Amazon.com</t>
        </is>
      </c>
      <c r="D172" t="inlineStr">
        <is>
          <t>indeed</t>
        </is>
      </c>
      <c r="E172" t="inlineStr"/>
      <c r="F172" t="inlineStr"/>
      <c r="G172" t="inlineStr">
        <is>
          <t>Boston, MA, US</t>
        </is>
      </c>
      <c r="H172" s="1" t="n">
        <v>45998</v>
      </c>
      <c r="I1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3">
      <c r="A173" t="inlineStr">
        <is>
          <t>in-54bb97238ddfe3b5</t>
        </is>
      </c>
      <c r="B173" t="inlineStr">
        <is>
          <t>Principal Applied Scientist, Sponsored Products and Brands</t>
        </is>
      </c>
      <c r="C173" t="inlineStr">
        <is>
          <t>Amazon.com</t>
        </is>
      </c>
      <c r="D173" t="inlineStr">
        <is>
          <t>indeed</t>
        </is>
      </c>
      <c r="E173" t="inlineStr"/>
      <c r="F173" t="inlineStr"/>
      <c r="G173" t="inlineStr">
        <is>
          <t>New York, NY, US</t>
        </is>
      </c>
      <c r="H173" s="1" t="n">
        <v>45979</v>
      </c>
      <c r="I1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in-4aacdffdb261bf39</t>
        </is>
      </c>
      <c r="B174" t="inlineStr">
        <is>
          <t>Principal Applied Scientist, Sponsored Products and Brands</t>
        </is>
      </c>
      <c r="C174" t="inlineStr">
        <is>
          <t>Amazon.com</t>
        </is>
      </c>
      <c r="D174" t="inlineStr">
        <is>
          <t>indeed</t>
        </is>
      </c>
      <c r="E174" t="inlineStr"/>
      <c r="F174" t="inlineStr"/>
      <c r="G174" t="inlineStr">
        <is>
          <t>Seattle, WA, US</t>
        </is>
      </c>
      <c r="H174" s="1" t="n">
        <v>45979</v>
      </c>
      <c r="I1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in-4d62a6e866e08acf</t>
        </is>
      </c>
      <c r="B175" t="inlineStr">
        <is>
          <t>Senior Applied Scientist, Sponsored Products and Brands</t>
        </is>
      </c>
      <c r="C175" t="inlineStr">
        <is>
          <t>Amazon.com</t>
        </is>
      </c>
      <c r="D175" t="inlineStr">
        <is>
          <t>indeed</t>
        </is>
      </c>
      <c r="E175" t="inlineStr"/>
      <c r="F175" t="inlineStr"/>
      <c r="G175" t="inlineStr">
        <is>
          <t>New York, NY, US</t>
        </is>
      </c>
      <c r="H175" s="1" t="n">
        <v>45979</v>
      </c>
      <c r="I17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6">
      <c r="A176" t="inlineStr">
        <is>
          <t>in-f5c09d89c9fa4a9f</t>
        </is>
      </c>
      <c r="B176" t="inlineStr">
        <is>
          <t>Senior Applied Scientist, Sponsored Products and Brands</t>
        </is>
      </c>
      <c r="C176" t="inlineStr">
        <is>
          <t>Amazon.com</t>
        </is>
      </c>
      <c r="D176" t="inlineStr">
        <is>
          <t>indeed</t>
        </is>
      </c>
      <c r="E176" t="inlineStr"/>
      <c r="F176" t="inlineStr"/>
      <c r="G176" t="inlineStr">
        <is>
          <t>Seattle, WA, US</t>
        </is>
      </c>
      <c r="H176" s="1" t="n">
        <v>45979</v>
      </c>
      <c r="I17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7">
      <c r="A177" t="inlineStr">
        <is>
          <t>in-cf6d4bf8bda4df5c</t>
        </is>
      </c>
      <c r="B177" t="inlineStr">
        <is>
          <t>Sr. Applied Scientist, Sponsored Products</t>
        </is>
      </c>
      <c r="C177" t="inlineStr">
        <is>
          <t>Amazon.com</t>
        </is>
      </c>
      <c r="D177" t="inlineStr">
        <is>
          <t>indeed</t>
        </is>
      </c>
      <c r="E177" t="inlineStr"/>
      <c r="F177" t="inlineStr"/>
      <c r="G177" t="inlineStr">
        <is>
          <t>Arlington, VA, US</t>
        </is>
      </c>
      <c r="H177" s="1" t="n">
        <v>45976</v>
      </c>
      <c r="I17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78">
      <c r="A178" t="inlineStr">
        <is>
          <t>in-02791b738c59bbd4</t>
        </is>
      </c>
      <c r="B178" t="inlineStr">
        <is>
          <t>Sr. Applied Scientist, Sponsored Products</t>
        </is>
      </c>
      <c r="C178" t="inlineStr">
        <is>
          <t>Amazon.com</t>
        </is>
      </c>
      <c r="D178" t="inlineStr">
        <is>
          <t>indeed</t>
        </is>
      </c>
      <c r="E178" t="inlineStr"/>
      <c r="F178" t="inlineStr"/>
      <c r="G178" t="inlineStr">
        <is>
          <t>New York, NY, US</t>
        </is>
      </c>
      <c r="H178" s="1" t="n">
        <v>45976</v>
      </c>
      <c r="I17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79">
      <c r="A179" t="inlineStr">
        <is>
          <t>in-6f66268129b383bd</t>
        </is>
      </c>
      <c r="B179" t="inlineStr">
        <is>
          <t>Sr. Applied Scientist, Sponsored Products</t>
        </is>
      </c>
      <c r="C179" t="inlineStr">
        <is>
          <t>Amazon.com</t>
        </is>
      </c>
      <c r="D179" t="inlineStr">
        <is>
          <t>indeed</t>
        </is>
      </c>
      <c r="E179" t="inlineStr"/>
      <c r="F179" t="inlineStr"/>
      <c r="G179" t="inlineStr">
        <is>
          <t>Seattle, WA, US</t>
        </is>
      </c>
      <c r="H179" s="1" t="n">
        <v>45976</v>
      </c>
      <c r="I17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80">
      <c r="A180" t="inlineStr">
        <is>
          <t>in-f9bd08900a5b88e4</t>
        </is>
      </c>
      <c r="B180" t="inlineStr">
        <is>
          <t>Applied Scientist, AWS Agentic AI</t>
        </is>
      </c>
      <c r="C180" t="inlineStr">
        <is>
          <t>Amazon Web Services</t>
        </is>
      </c>
      <c r="D180" t="inlineStr">
        <is>
          <t>indeed</t>
        </is>
      </c>
      <c r="E180" t="inlineStr"/>
      <c r="F180" t="inlineStr"/>
      <c r="G180" t="inlineStr">
        <is>
          <t>Santa Clara, CA, US</t>
        </is>
      </c>
      <c r="H180" s="1" t="n">
        <v>45962</v>
      </c>
      <c r="I1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in-f5eb421a654ed045</t>
        </is>
      </c>
      <c r="B181" t="inlineStr">
        <is>
          <t>Applied Scientist, AWS Agentic AI</t>
        </is>
      </c>
      <c r="C181" t="inlineStr">
        <is>
          <t>Amazon Web Services</t>
        </is>
      </c>
      <c r="D181" t="inlineStr">
        <is>
          <t>indeed</t>
        </is>
      </c>
      <c r="E181" t="inlineStr"/>
      <c r="F181" t="inlineStr"/>
      <c r="G181" t="inlineStr">
        <is>
          <t>New York, NY, US</t>
        </is>
      </c>
      <c r="H181" s="1" t="n">
        <v>45962</v>
      </c>
      <c r="I1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in-d31420ea46cc6528</t>
        </is>
      </c>
      <c r="B182" t="inlineStr">
        <is>
          <t>Applied Scientist, AWS Agentic AI</t>
        </is>
      </c>
      <c r="C182" t="inlineStr">
        <is>
          <t>Amazon Web Services</t>
        </is>
      </c>
      <c r="D182" t="inlineStr">
        <is>
          <t>indeed</t>
        </is>
      </c>
      <c r="E182" t="inlineStr"/>
      <c r="F182" t="inlineStr"/>
      <c r="G182" t="inlineStr">
        <is>
          <t>Seattle, WA, US</t>
        </is>
      </c>
      <c r="H182" s="1" t="n">
        <v>45962</v>
      </c>
      <c r="I1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in-f6188a003c757612</t>
        </is>
      </c>
      <c r="B183" t="inlineStr">
        <is>
          <t>Principal Applied Scientist, Advertiser Growth, Amazon Sponsored Products &amp; Brands</t>
        </is>
      </c>
      <c r="C183" t="inlineStr">
        <is>
          <t>Amazon.com</t>
        </is>
      </c>
      <c r="D183" t="inlineStr">
        <is>
          <t>indeed</t>
        </is>
      </c>
      <c r="E183" t="inlineStr"/>
      <c r="F183" t="inlineStr"/>
      <c r="G183" t="inlineStr">
        <is>
          <t>Seattle, WA, US</t>
        </is>
      </c>
      <c r="H183" s="1" t="n">
        <v>45942</v>
      </c>
      <c r="I1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in-a3ed31b86ff953e8</t>
        </is>
      </c>
      <c r="B184" t="inlineStr">
        <is>
          <t>Principal Applied Scientist, Advertiser Growth, Amazon Sponsored Products &amp; Brands</t>
        </is>
      </c>
      <c r="C184" t="inlineStr">
        <is>
          <t>Amazon.com</t>
        </is>
      </c>
      <c r="D184" t="inlineStr">
        <is>
          <t>indeed</t>
        </is>
      </c>
      <c r="E184" t="inlineStr"/>
      <c r="F184" t="inlineStr"/>
      <c r="G184" t="inlineStr">
        <is>
          <t>Palo Alto, CA, US</t>
        </is>
      </c>
      <c r="H184" s="1" t="n">
        <v>45942</v>
      </c>
      <c r="I1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in-381a679101cba6ef</t>
        </is>
      </c>
      <c r="B185" t="inlineStr">
        <is>
          <t>Principal Applied Scientist, Advertiser Growth, Amazon Sponsored Products &amp; Brands</t>
        </is>
      </c>
      <c r="C185" t="inlineStr">
        <is>
          <t>Amazon.com</t>
        </is>
      </c>
      <c r="D185" t="inlineStr">
        <is>
          <t>indeed</t>
        </is>
      </c>
      <c r="E185" t="inlineStr"/>
      <c r="F185" t="inlineStr"/>
      <c r="G185" t="inlineStr">
        <is>
          <t>New York, NY, US</t>
        </is>
      </c>
      <c r="H185" s="1" t="n">
        <v>45942</v>
      </c>
      <c r="I1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in-f8d9fd388325a0f2</t>
        </is>
      </c>
      <c r="B186" t="inlineStr">
        <is>
          <t>Applied Scientist II, Prime Video - Personalization and Discovery Science, Personalization and Discovery Science</t>
        </is>
      </c>
      <c r="C186" t="inlineStr">
        <is>
          <t>Amazon.com</t>
        </is>
      </c>
      <c r="D186" t="inlineStr">
        <is>
          <t>indeed</t>
        </is>
      </c>
      <c r="E186" t="inlineStr"/>
      <c r="F186" t="inlineStr"/>
      <c r="G186" t="inlineStr">
        <is>
          <t>Seattle, WA, US</t>
        </is>
      </c>
      <c r="H186" s="1" t="n">
        <v>45930</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in-9c54bc87df023d7a</t>
        </is>
      </c>
      <c r="B187" t="inlineStr">
        <is>
          <t>Applied Scientist II, Prime Video - Personalization and Discovery Science, Personalization and Discovery Science</t>
        </is>
      </c>
      <c r="C187" t="inlineStr">
        <is>
          <t>Amazon.com</t>
        </is>
      </c>
      <c r="D187" t="inlineStr">
        <is>
          <t>indeed</t>
        </is>
      </c>
      <c r="E187" t="inlineStr"/>
      <c r="F187" t="inlineStr"/>
      <c r="G187" t="inlineStr">
        <is>
          <t>Sunnyvale, CA, US</t>
        </is>
      </c>
      <c r="H187" s="1" t="n">
        <v>45930</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in-a58ce4fad3b9012f</t>
        </is>
      </c>
      <c r="B188" t="inlineStr">
        <is>
          <t>Applied Scientist II, Prime Video - Personalization and Discovery Science, Personalization and Discovery Science</t>
        </is>
      </c>
      <c r="C188" t="inlineStr">
        <is>
          <t>Amazon.com</t>
        </is>
      </c>
      <c r="D188" t="inlineStr">
        <is>
          <t>indeed</t>
        </is>
      </c>
      <c r="E188" t="inlineStr"/>
      <c r="F188" t="inlineStr"/>
      <c r="G188" t="inlineStr">
        <is>
          <t>New York, NY, US</t>
        </is>
      </c>
      <c r="H188" s="1" t="n">
        <v>45930</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in-9f99944a17deff4b</t>
        </is>
      </c>
      <c r="B189" t="inlineStr">
        <is>
          <t>Applied Scientist, Workplace Health &amp; Safety</t>
        </is>
      </c>
      <c r="C189" t="inlineStr">
        <is>
          <t>Amazon.com</t>
        </is>
      </c>
      <c r="D189" t="inlineStr">
        <is>
          <t>indeed</t>
        </is>
      </c>
      <c r="E189" t="inlineStr"/>
      <c r="F189" t="inlineStr"/>
      <c r="G189" t="inlineStr">
        <is>
          <t>Nashville, TN, US</t>
        </is>
      </c>
      <c r="H189" s="1" t="n">
        <v>45917</v>
      </c>
      <c r="I18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in-ac938c9346558908</t>
        </is>
      </c>
      <c r="B190" t="inlineStr">
        <is>
          <t>Applied Scientist, Workplace Health &amp; Safety</t>
        </is>
      </c>
      <c r="C190" t="inlineStr">
        <is>
          <t>Amazon.com</t>
        </is>
      </c>
      <c r="D190" t="inlineStr">
        <is>
          <t>indeed</t>
        </is>
      </c>
      <c r="E190" t="inlineStr"/>
      <c r="F190" t="inlineStr"/>
      <c r="G190" t="inlineStr">
        <is>
          <t>Bellevue, WA, US</t>
        </is>
      </c>
      <c r="H190" s="1" t="n">
        <v>45917</v>
      </c>
      <c r="I19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in-94f34e9a8bd1380b</t>
        </is>
      </c>
      <c r="B191" t="inlineStr">
        <is>
          <t>Sr. Applied Scientist, Prime Video - Personalization and Discovery Science</t>
        </is>
      </c>
      <c r="C191" t="inlineStr">
        <is>
          <t>Amazon.com</t>
        </is>
      </c>
      <c r="D191" t="inlineStr">
        <is>
          <t>indeed</t>
        </is>
      </c>
      <c r="E191" t="inlineStr"/>
      <c r="F191" t="inlineStr"/>
      <c r="G191" t="inlineStr">
        <is>
          <t>Sunnyvale, CA, US</t>
        </is>
      </c>
      <c r="H191" s="1" t="n">
        <v>45896</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2">
      <c r="A192" t="inlineStr">
        <is>
          <t>in-cc64560da7b5d9ad</t>
        </is>
      </c>
      <c r="B192" t="inlineStr">
        <is>
          <t>Sr. Applied Scientist, Prime Video - Personalization and Discovery Science</t>
        </is>
      </c>
      <c r="C192" t="inlineStr">
        <is>
          <t>Amazon.com</t>
        </is>
      </c>
      <c r="D192" t="inlineStr">
        <is>
          <t>indeed</t>
        </is>
      </c>
      <c r="E192" t="inlineStr"/>
      <c r="F192" t="inlineStr"/>
      <c r="G192" t="inlineStr">
        <is>
          <t>New York, NY, US</t>
        </is>
      </c>
      <c r="H192" s="1" t="n">
        <v>45896</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3">
      <c r="A193" t="inlineStr">
        <is>
          <t>in-801483fa09ef8862</t>
        </is>
      </c>
      <c r="B193" t="inlineStr">
        <is>
          <t>Sr. Applied Scientist, Prime Video - Personalization and Discovery Science</t>
        </is>
      </c>
      <c r="C193" t="inlineStr">
        <is>
          <t>Amazon.com</t>
        </is>
      </c>
      <c r="D193" t="inlineStr">
        <is>
          <t>indeed</t>
        </is>
      </c>
      <c r="E193" t="inlineStr"/>
      <c r="F193" t="inlineStr"/>
      <c r="G193" t="inlineStr">
        <is>
          <t>Seattle, WA, US</t>
        </is>
      </c>
      <c r="H193" s="1" t="n">
        <v>45896</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4">
      <c r="A194" t="inlineStr">
        <is>
          <t>in-aa1cf3a43b03102f</t>
        </is>
      </c>
      <c r="B194" t="inlineStr">
        <is>
          <t>Applied Scientist II, Prime Video - Personalization and Discovery Science</t>
        </is>
      </c>
      <c r="C194" t="inlineStr">
        <is>
          <t>Amazon.com</t>
        </is>
      </c>
      <c r="D194" t="inlineStr">
        <is>
          <t>indeed</t>
        </is>
      </c>
      <c r="E194" t="inlineStr"/>
      <c r="F194" t="inlineStr"/>
      <c r="G194" t="inlineStr">
        <is>
          <t>New York, NY, US</t>
        </is>
      </c>
      <c r="H194" s="1"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in-461aeb4cb11bab93</t>
        </is>
      </c>
      <c r="B195" t="inlineStr">
        <is>
          <t>Applied Scientist II, Prime Video - Personalization and Discovery Science</t>
        </is>
      </c>
      <c r="C195" t="inlineStr">
        <is>
          <t>Amazon.com</t>
        </is>
      </c>
      <c r="D195" t="inlineStr">
        <is>
          <t>indeed</t>
        </is>
      </c>
      <c r="E195" t="inlineStr"/>
      <c r="F195" t="inlineStr"/>
      <c r="G195" t="inlineStr">
        <is>
          <t>Seattle, WA, US</t>
        </is>
      </c>
      <c r="H195" s="1"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in-a7a39d0e5439ad8e</t>
        </is>
      </c>
      <c r="B196" t="inlineStr">
        <is>
          <t>Sr. Applied Scientist, Prime Video - Personalization and Discovery Science</t>
        </is>
      </c>
      <c r="C196" t="inlineStr">
        <is>
          <t>Amazon.com</t>
        </is>
      </c>
      <c r="D196" t="inlineStr">
        <is>
          <t>indeed</t>
        </is>
      </c>
      <c r="E196" t="inlineStr"/>
      <c r="F196" t="inlineStr"/>
      <c r="G196" t="inlineStr">
        <is>
          <t>New York, NY, US</t>
        </is>
      </c>
      <c r="H196" s="1" t="n">
        <v>45881</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in-c358a56e70096d42</t>
        </is>
      </c>
      <c r="B197" t="inlineStr">
        <is>
          <t>Sr. Applied Scientist, Prime Video - Personalization and Discovery Science</t>
        </is>
      </c>
      <c r="C197" t="inlineStr">
        <is>
          <t>Amazon.com</t>
        </is>
      </c>
      <c r="D197" t="inlineStr">
        <is>
          <t>indeed</t>
        </is>
      </c>
      <c r="E197" t="inlineStr"/>
      <c r="F197" t="inlineStr"/>
      <c r="G197" t="inlineStr">
        <is>
          <t>Sunnyvale, CA, US</t>
        </is>
      </c>
      <c r="H197" s="1" t="n">
        <v>45881</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in-c6dabe669a3afc25</t>
        </is>
      </c>
      <c r="B198" t="inlineStr">
        <is>
          <t>Applied Scientist II, Prime Video - Personalization and Discovery Science</t>
        </is>
      </c>
      <c r="C198" t="inlineStr">
        <is>
          <t>Amazon.com</t>
        </is>
      </c>
      <c r="D198" t="inlineStr">
        <is>
          <t>indeed</t>
        </is>
      </c>
      <c r="E198" t="inlineStr"/>
      <c r="F198" t="inlineStr"/>
      <c r="G198" t="inlineStr">
        <is>
          <t>Sunnyvale, CA, US</t>
        </is>
      </c>
      <c r="H198" s="1" t="n">
        <v>45881</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in-1cea4ef3ce0a97bf</t>
        </is>
      </c>
      <c r="B199" t="inlineStr">
        <is>
          <t>Sr. Applied Scientist, Prime Video - Personalization and Discovery Science</t>
        </is>
      </c>
      <c r="C199" t="inlineStr">
        <is>
          <t>Amazon.com</t>
        </is>
      </c>
      <c r="D199" t="inlineStr">
        <is>
          <t>indeed</t>
        </is>
      </c>
      <c r="E199" t="inlineStr"/>
      <c r="F199" t="inlineStr"/>
      <c r="G199" t="inlineStr">
        <is>
          <t>Seattle, WA, US</t>
        </is>
      </c>
      <c r="H199" s="1" t="n">
        <v>45881</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in-f8d1a8661e43b8df</t>
        </is>
      </c>
      <c r="B200" t="inlineStr">
        <is>
          <t>Sr. Applied Scientist, Amazon Advertising</t>
        </is>
      </c>
      <c r="C200" t="inlineStr">
        <is>
          <t>Amazon.com</t>
        </is>
      </c>
      <c r="D200" t="inlineStr">
        <is>
          <t>indeed</t>
        </is>
      </c>
      <c r="E200" t="inlineStr"/>
      <c r="F200" t="inlineStr"/>
      <c r="G200" t="inlineStr">
        <is>
          <t>Los Angeles, CA, US</t>
        </is>
      </c>
      <c r="H200" s="1" t="n">
        <v>45851</v>
      </c>
      <c r="I2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in-822da30db1e80ab8</t>
        </is>
      </c>
      <c r="B201" t="inlineStr">
        <is>
          <t>Sr. Applied Scientist, Amazon Advertising</t>
        </is>
      </c>
      <c r="C201" t="inlineStr">
        <is>
          <t>Amazon.com</t>
        </is>
      </c>
      <c r="D201" t="inlineStr">
        <is>
          <t>indeed</t>
        </is>
      </c>
      <c r="E201" t="inlineStr"/>
      <c r="F201" t="inlineStr"/>
      <c r="G201" t="inlineStr">
        <is>
          <t>Palo Alto, CA, US</t>
        </is>
      </c>
      <c r="H201" s="1" t="n">
        <v>45851</v>
      </c>
      <c r="I2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in-8d41898190276dad</t>
        </is>
      </c>
      <c r="B202" t="inlineStr">
        <is>
          <t>Sr. Applied Scientist, Amazon Advertising</t>
        </is>
      </c>
      <c r="C202" t="inlineStr">
        <is>
          <t>Amazon.com</t>
        </is>
      </c>
      <c r="D202" t="inlineStr">
        <is>
          <t>indeed</t>
        </is>
      </c>
      <c r="E202" t="inlineStr"/>
      <c r="F202" t="inlineStr"/>
      <c r="G202" t="inlineStr">
        <is>
          <t>Austin, TX, US</t>
        </is>
      </c>
      <c r="H202" s="1" t="n">
        <v>45851</v>
      </c>
      <c r="I2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in-c7f1799a64226d3e</t>
        </is>
      </c>
      <c r="B203" t="inlineStr">
        <is>
          <t>Sr. Applied Scientist, Amazon Advertising</t>
        </is>
      </c>
      <c r="C203" t="inlineStr">
        <is>
          <t>Amazon.com</t>
        </is>
      </c>
      <c r="D203" t="inlineStr">
        <is>
          <t>indeed</t>
        </is>
      </c>
      <c r="E203" t="inlineStr"/>
      <c r="F203" t="inlineStr"/>
      <c r="G203" t="inlineStr">
        <is>
          <t>Simi Valley, CA, US</t>
        </is>
      </c>
      <c r="H203" s="1" t="n">
        <v>45851</v>
      </c>
      <c r="I2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in-b420c395353983e9</t>
        </is>
      </c>
      <c r="B204" t="inlineStr">
        <is>
          <t>Sr. Applied Scientist, Amazon Advertising</t>
        </is>
      </c>
      <c r="C204" t="inlineStr">
        <is>
          <t>Amazon.com</t>
        </is>
      </c>
      <c r="D204" t="inlineStr">
        <is>
          <t>indeed</t>
        </is>
      </c>
      <c r="E204" t="inlineStr"/>
      <c r="F204" t="inlineStr"/>
      <c r="G204" t="inlineStr">
        <is>
          <t>Seattle, WA, US</t>
        </is>
      </c>
      <c r="H204" s="1" t="n">
        <v>45851</v>
      </c>
      <c r="I2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in-a44f533722c0a29f</t>
        </is>
      </c>
      <c r="B205" t="inlineStr">
        <is>
          <t>Sr. Applied Scientist, Amazon Advertising</t>
        </is>
      </c>
      <c r="C205" t="inlineStr">
        <is>
          <t>Amazon.com</t>
        </is>
      </c>
      <c r="D205" t="inlineStr">
        <is>
          <t>indeed</t>
        </is>
      </c>
      <c r="E205" t="inlineStr"/>
      <c r="F205" t="inlineStr"/>
      <c r="G205" t="inlineStr">
        <is>
          <t>Arlington, VA, US</t>
        </is>
      </c>
      <c r="H205" s="1" t="n">
        <v>45851</v>
      </c>
      <c r="I2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in-2eda6732df6da819</t>
        </is>
      </c>
      <c r="B206" t="inlineStr">
        <is>
          <t>Sr. Applied Scientist, Amazon Advertising</t>
        </is>
      </c>
      <c r="C206" t="inlineStr">
        <is>
          <t>Amazon.com</t>
        </is>
      </c>
      <c r="D206" t="inlineStr">
        <is>
          <t>indeed</t>
        </is>
      </c>
      <c r="E206" t="inlineStr"/>
      <c r="F206" t="inlineStr"/>
      <c r="G206" t="inlineStr">
        <is>
          <t>West Hollywood, CA, US</t>
        </is>
      </c>
      <c r="H206" s="1" t="n">
        <v>45851</v>
      </c>
      <c r="I2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in-cc25b8c7777ed665</t>
        </is>
      </c>
      <c r="B207" t="inlineStr">
        <is>
          <t>Sr. Applied Scientist, Amazon Advertising</t>
        </is>
      </c>
      <c r="C207" t="inlineStr">
        <is>
          <t>Amazon.com</t>
        </is>
      </c>
      <c r="D207" t="inlineStr">
        <is>
          <t>indeed</t>
        </is>
      </c>
      <c r="E207" t="inlineStr"/>
      <c r="F207" t="inlineStr"/>
      <c r="G207" t="inlineStr">
        <is>
          <t>New York, NY, US</t>
        </is>
      </c>
      <c r="H207" s="1" t="n">
        <v>45851</v>
      </c>
      <c r="I2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in-c25df73764212a3b</t>
        </is>
      </c>
      <c r="B208" t="inlineStr">
        <is>
          <t>Senior Applied Scientist, Delivery Foundation Model</t>
        </is>
      </c>
      <c r="C208" t="inlineStr">
        <is>
          <t>Amazon.com</t>
        </is>
      </c>
      <c r="D208" t="inlineStr">
        <is>
          <t>indeed</t>
        </is>
      </c>
      <c r="E208" t="inlineStr"/>
      <c r="F208" t="inlineStr"/>
      <c r="G208" t="inlineStr">
        <is>
          <t>New York, NY, US</t>
        </is>
      </c>
      <c r="H208" s="1" t="n">
        <v>45806</v>
      </c>
      <c r="I2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in-24b2a9a695439dc6</t>
        </is>
      </c>
      <c r="B209" t="inlineStr">
        <is>
          <t>Senior Applied Scientist, Delivery Foundation Model</t>
        </is>
      </c>
      <c r="C209" t="inlineStr">
        <is>
          <t>Amazon.com</t>
        </is>
      </c>
      <c r="D209" t="inlineStr">
        <is>
          <t>indeed</t>
        </is>
      </c>
      <c r="E209" t="inlineStr"/>
      <c r="F209" t="inlineStr"/>
      <c r="G209" t="inlineStr">
        <is>
          <t>Santa Clara, CA, US</t>
        </is>
      </c>
      <c r="H209" s="1" t="n">
        <v>45806</v>
      </c>
      <c r="I2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in-7c9bf05ba13e91c2</t>
        </is>
      </c>
      <c r="B210" t="inlineStr">
        <is>
          <t>Senior Applied Scientist, Delivery Foundation Model</t>
        </is>
      </c>
      <c r="C210" t="inlineStr">
        <is>
          <t>Amazon.com</t>
        </is>
      </c>
      <c r="D210" t="inlineStr">
        <is>
          <t>indeed</t>
        </is>
      </c>
      <c r="E210" t="inlineStr"/>
      <c r="F210" t="inlineStr"/>
      <c r="G210" t="inlineStr">
        <is>
          <t>Bellevue, WA, US</t>
        </is>
      </c>
      <c r="H210" s="1" t="n">
        <v>45806</v>
      </c>
      <c r="I2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in-04705f347c29fe2b</t>
        </is>
      </c>
      <c r="B211" t="inlineStr">
        <is>
          <t>Sr. Applied Scientist - Privacy, Privacy Engineering</t>
        </is>
      </c>
      <c r="C211" t="inlineStr">
        <is>
          <t>Amazon.com</t>
        </is>
      </c>
      <c r="D211" t="inlineStr">
        <is>
          <t>indeed</t>
        </is>
      </c>
      <c r="E211" t="inlineStr"/>
      <c r="F211" t="inlineStr"/>
      <c r="G211" t="inlineStr">
        <is>
          <t>San Francisco, CA, US</t>
        </is>
      </c>
      <c r="H211" s="1" t="n">
        <v>45787</v>
      </c>
      <c r="I21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in-7fe07ab6ef652b83</t>
        </is>
      </c>
      <c r="B212" t="inlineStr">
        <is>
          <t>Sr. Applied Scientist - Privacy, Privacy Engineering</t>
        </is>
      </c>
      <c r="C212" t="inlineStr">
        <is>
          <t>Amazon.com</t>
        </is>
      </c>
      <c r="D212" t="inlineStr">
        <is>
          <t>indeed</t>
        </is>
      </c>
      <c r="E212" t="inlineStr"/>
      <c r="F212" t="inlineStr"/>
      <c r="G212" t="inlineStr">
        <is>
          <t>Santa Clara, CA, US</t>
        </is>
      </c>
      <c r="H212" s="1" t="n">
        <v>45787</v>
      </c>
      <c r="I21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in-a4ae5cfab8f1b7aa</t>
        </is>
      </c>
      <c r="B213" t="inlineStr">
        <is>
          <t>Sr. Applied Scientist - Privacy, Privacy Engineering</t>
        </is>
      </c>
      <c r="C213" t="inlineStr">
        <is>
          <t>Amazon.com</t>
        </is>
      </c>
      <c r="D213" t="inlineStr">
        <is>
          <t>indeed</t>
        </is>
      </c>
      <c r="E213" t="inlineStr"/>
      <c r="F213" t="inlineStr"/>
      <c r="G213" t="inlineStr">
        <is>
          <t>Sunnyvale, CA, US</t>
        </is>
      </c>
      <c r="H213" s="1" t="n">
        <v>45787</v>
      </c>
      <c r="I21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in-41691db74037615a</t>
        </is>
      </c>
      <c r="B214" t="inlineStr">
        <is>
          <t>Sr. Applied Scientist - Privacy, Privacy Engineering</t>
        </is>
      </c>
      <c r="C214" t="inlineStr">
        <is>
          <t>Amazon.com</t>
        </is>
      </c>
      <c r="D214" t="inlineStr">
        <is>
          <t>indeed</t>
        </is>
      </c>
      <c r="E214" t="inlineStr"/>
      <c r="F214" t="inlineStr"/>
      <c r="G214" t="inlineStr">
        <is>
          <t>Seattle, WA, US</t>
        </is>
      </c>
      <c r="H214" s="1" t="n">
        <v>45787</v>
      </c>
      <c r="I21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in-ac54dd033e99828b</t>
        </is>
      </c>
      <c r="B215" t="inlineStr">
        <is>
          <t>Applied Scientist, Alexa Smart Home</t>
        </is>
      </c>
      <c r="C215" t="inlineStr">
        <is>
          <t>Amazon.com</t>
        </is>
      </c>
      <c r="D215" t="inlineStr">
        <is>
          <t>indeed</t>
        </is>
      </c>
      <c r="E215" t="inlineStr"/>
      <c r="F215" t="inlineStr"/>
      <c r="G215" t="inlineStr">
        <is>
          <t>Seattle, WA, US</t>
        </is>
      </c>
      <c r="H215" s="1" t="n">
        <v>46033</v>
      </c>
      <c r="I21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6">
      <c r="A216" t="inlineStr">
        <is>
          <t>in-11532b05ad907895</t>
        </is>
      </c>
      <c r="B216" t="inlineStr">
        <is>
          <t>Applied Scientist, Alexa Smart Home</t>
        </is>
      </c>
      <c r="C216" t="inlineStr">
        <is>
          <t>Amazon.com</t>
        </is>
      </c>
      <c r="D216" t="inlineStr">
        <is>
          <t>indeed</t>
        </is>
      </c>
      <c r="E216" t="inlineStr"/>
      <c r="F216" t="inlineStr"/>
      <c r="G216" t="inlineStr">
        <is>
          <t>Sunnyvale, CA, US</t>
        </is>
      </c>
      <c r="H216" s="1" t="n">
        <v>46033</v>
      </c>
      <c r="I21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17">
      <c r="A217" t="inlineStr">
        <is>
          <t>in-3bf9ccdc05e326d6</t>
        </is>
      </c>
      <c r="B217" t="inlineStr">
        <is>
          <t>Data Scientist 1</t>
        </is>
      </c>
      <c r="C217" t="inlineStr">
        <is>
          <t>PayPal</t>
        </is>
      </c>
      <c r="D217" t="inlineStr">
        <is>
          <t>indeed</t>
        </is>
      </c>
      <c r="E217">
        <f>HYPERLINK("https://www.indeed.com/viewjob?jk=3bf9ccdc05e326d6", "https://www.indeed.com/viewjob?jk=3bf9ccdc05e326d6")</f>
        <v/>
      </c>
      <c r="F217">
        <f>HYPERLINK("https://paypal.eightfold.ai/careers/job/274918553001", "https://paypal.eightfold.ai/careers/job/274918553001")</f>
        <v/>
      </c>
      <c r="G217" t="inlineStr">
        <is>
          <t>San Jose, CA, US</t>
        </is>
      </c>
      <c r="H217" s="2" t="n">
        <v>46083</v>
      </c>
      <c r="I21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**Job Description:**
*PayPal, Inc. seeks* ***Data Scientist 1*** *in* ***San Jose, CA***
Job Duties: Research and develop analytical insights to inform data\-driven decisions and communicate ideas through storytelling. Analyze consumer portfolio performance and health by challenging the status quo and drive data backed decision making. Identify key metrics, conduct rigorous explorative data analysis, create executive facing reports and presentations. Synthesize large volumes of data with attention to granular details and present findings and recommendations to senior\-level stakeholders. Collaborate effectively with cross functional stakeholders from product, marketing, finance, data engineering and other analytics teams. Support multiple projects at the same time in a fast\-paced, results\-oriented environment. Partial telecommuting permitted from within a commutable distance.
Minimum Requirements: Master’s degree, or foreign equivalent, in Data Science, Data Analytics, or a closely related field plus two years of experience in the job offered or a related occupation.
Special Skill Requirements:
1\. Performing scalable analysis using R and Python \[2 years]
2\. Database query languages including SQL \[2 years]
3\. Statistical analysis, including descriptive statistics, correlation, regression, or confidence intervals \[2 years]
4\. Developing relevant metrics or KPIs to measure performance by product teams \[2 years]
5\. Debugging and monitoring for production services \[2 years]
6\. Experimentation techniques including A/B testing or simulation \[1\.5 years]
7\. Quantitative modeling, including machine learning models, time series forecasting or casual impact analyses \[1\.5 years]
8\. Data analysis or machine learning systems \[2 years]
 **Additional Responsibilities \&amp; Preferred Qualifications****:**
EOE, including disability/vets.
The base pay for this role will depend on where you work and the relevant experience and expertise you bring. The expected range of pay for this role by location is:
 **Primary Location \| Pay Range:**
San Jose, California \| Salary: $174,304\.00\- 243,500\.00 per annum. 40 hours per week; M\-F, 9:00 a.m. to 5:00 p.m.
Additional compensation for this role may include an annual performance bonus, equity, or other incentive compensation, as applicable.
Must be legally authorized to work in the U.S. without sponsorship.
**Subsidiary:**
PayPal**Travel Percent:**
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8">
      <c r="A218" t="inlineStr">
        <is>
          <t>in-df4532ded9ee817e</t>
        </is>
      </c>
      <c r="B218" t="inlineStr">
        <is>
          <t>Senior Data Scientist</t>
        </is>
      </c>
      <c r="C218" t="inlineStr">
        <is>
          <t>Luna Health</t>
        </is>
      </c>
      <c r="D218" t="inlineStr">
        <is>
          <t>indeed</t>
        </is>
      </c>
      <c r="E218">
        <f>HYPERLINK("https://www.indeed.com/viewjob?jk=df4532ded9ee817e", "https://www.indeed.com/viewjob?jk=df4532ded9ee817e")</f>
        <v/>
      </c>
      <c r="F218">
        <f>HYPERLINK("https://luna.bamboohr.com/careers/38?source=indeed&amp;src=indeed&amp;postedDate=2026-03-03", "https://luna.bamboohr.com/careers/38?source=indeed&amp;src=indeed&amp;postedDate=2026-03-03")</f>
        <v/>
      </c>
      <c r="G218" t="inlineStr">
        <is>
          <t>San Diego, CA, US</t>
        </is>
      </c>
      <c r="H218" s="2" t="n">
        <v>46083</v>
      </c>
      <c r="I218" t="inlineStr">
        <is>
          <t>Luna Health created Sleep\-Only Automation — automated insulin delivery that works while you sleep and disappears when you wake. We're a venture\-backed medical device startup that makes the world’s smallest insulin patch pump, solving the biggest problem in all of diabetes \- nighttime glucose control for Type 1 diabetes and Type 2 diabetes insulin users who manage their days well and have made a considered choice to stay on pens. They don't need saving. They need protection while they sleep.
Our founders have lived this problem — as people with diabetes and as parents of children with diabetes — and built some of the most recognized products in the space. Now we are building the answer to a question the industry left unanswered: what do pen users need at night that no one has built yet. Sleep\-Only Automation™ is it. Nights Protected. Days Yours™.
 **The Role**
We are seeking a highly motivated and experienced Senior Data Scientist to join our team, reporting to the Director of Data Science. You’ll serve as a technical lead and individual contributor.
This role’s primary focus is incorporating and understanding internally and externally generated data, presenting and communicating these findings to management and different departments, and creating feedback loops between data (ours and third\-party) and our products and processes. This includes device\-generated data, clinical data analysis, customer metrics, health economic outcomes, and visualization tools.
This role demands a creative tinkerer and a good storyteller who seeks to understand the “why” behind phenomena, balancing theoretical depth with practical application. We’re looking for someone who is intellectually curious, thrives in a fast\-paced startup environment, balances speed with rigor, and brings a strong ability to ask easy and hard questions, learn quickly, solve problems creatively, and manage competing priorities.
This is an on\-site preferred role, with preference for candidates living within a reasonable commuting distance of the Luna Health office in San Diego, CA.
**Responsibilities**
* Partner with cross\-functional teams to identify data\-centric problems and align solutions with scientific and operational objectives.
* Analyze and model internal and external datasets (e.g., clinical trials, product performance, operations, third\-party devices) to uncover actionable insights that can be fed back into products and processes.
* Create and manage visualization tools and dashboards to communicate complex insights clearly.
* Support the team in design and implementation of internal and external data products.
* Explore and experiment with novel computational methods, tinkering creatively and iteratively to solve complex problems while keeping practical needs in focus.
* Create models using Luna data, along with external data, to demonstrate health economic outcomes
* Provide subject matter expertise in data science, including statistics, modeling, simulation, and AI.
**What You Bring**
* 5\+ years in data science, computational biology, or related fields, with a proven track record of independently delivering innovative, high\-impact projects in modeling, analytics, and systems design.
* Expertise in data communication and storytelling, with the ability to uncover insights, visualize information, and create a compelling narrative from data. Experience managing tools that make data accessible and digestible for users across the business.
* Proficiency in Python (e.g., NumPy, SciPy, Pandas, Scikit\-learn) or R for modeling, simulation, analytics, and visualization, with a focus on clear analysis and communication.. Comfort with AI tool chains, both when and how to apply them.
* Hands\-on experience with clinical data analysis and field metrics.
* Proficiency with complex numerical methods as well as emerging machine learning technologies.
* Creative tinkerer with a passion for experimentation, unafraid to dive deep into problems and prototype novel solutions.
* Ability to balance quick\-and\-dirty experimentation with rigorous design and analysis.
* Advanced degree (MS or PhD) in data science, computational biology, applied mathematics, engineering, or a related field preferred; or equivalent experience demonstrating exceptional technical depth and problem\-solving ability. Candidates should show a strong aptitude for rigorous, analytical thinking and hands\-on innovation, regardless of formal education.
**Nice to Have**
* Experience in medical devices, regulated industries, healthcare, diabetes, or consumer health products
* Familiarity with FDA regulatory requirements and quality management systems
**What to expect**
The first step is to apply for this job on our website. Next, we will schedule a virtual interview with the hiring manager to introduce you to the company and the role. Finally, we will invite you on\-site to discuss your experience and meet the team.
We are in a hurry to find the right person, not in a hurry to hire, so we will take time getting to know you and making sure that you will be an excellent fit for the work that we are doing.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**Physical demands**
The physical demands described here represent those that an employee must meet to perform the essential functions of this job successfully. Reasonable accommodations may be made to enable individuals with disabilities to perform essential functions.
* Sit for extended periods of time at a keyboard and mouse
* Lift and move up to 25 lbs
* Work in a second\-story office up a flight of stairs
* Hearing and speaking will be required regularly
* Specific vision abilities including close and distance vision, depth perception, peripheral vision, and the ability to adjust focus
**To all staffing and recruiting agencies**
This posting is only for individuals seeking a job at Luna Health. Only authorized staffing and recruiting agencies may use this site or submit profiles, applications, or resumes on specific requisitions. Luna Health does not accept unsolicited resumes or applications from agencies. Please do not forward resumes to Luna Health. Luna Health is not responsible for any fees related to unsolicited resumes or applications.</t>
        </is>
      </c>
    </row>
    <row r="219">
      <c r="A219" t="inlineStr">
        <is>
          <t>in-c669969488866bf1</t>
        </is>
      </c>
      <c r="B219" t="inlineStr">
        <is>
          <t>Business Model Data Scientist</t>
        </is>
      </c>
      <c r="C219" t="inlineStr">
        <is>
          <t>Intuit</t>
        </is>
      </c>
      <c r="D219" t="inlineStr">
        <is>
          <t>indeed</t>
        </is>
      </c>
      <c r="E219">
        <f>HYPERLINK("https://www.indeed.com/viewjob?jk=c669969488866bf1", "https://www.indeed.com/viewjob?jk=c669969488866bf1")</f>
        <v/>
      </c>
      <c r="F219">
        <f>HYPERLINK("https://jobs.intuit.com/job/mountain-view/business-model-data-scientist/27595/92360311552", "https://jobs.intuit.com/job/mountain-view/business-model-data-scientist/27595/92360311552")</f>
        <v/>
      </c>
      <c r="G219" t="inlineStr">
        <is>
          <t>Mountain View, CA, US</t>
        </is>
      </c>
      <c r="H219" s="2" t="n">
        <v>46083</v>
      </c>
      <c r="I219" t="inlineStr">
        <is>
          <t>**Category** Data **Location** Mountain View, California; San Diego, California **Job ID** 20052
**Company 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
We are seeking an experienced Staff Data Scientist to join our Business Strategy Data Science Team. This role is focused on product lineup and pricing strategy of Intuit’s core TurboTax business as it relates to driving growth and monetization. This is a high\-impact role where your work will directly influence product, marketing, and business model strategies.
As a Staff Data Scientist, you will serve as a strategic thought partner to cross\-functional leaders, bringing deep analytical expertise and business acumen to bear on Intuit’s most critical growth questions. You’ll lead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**Responsibilities**
Causal Inference: Lead causal inference and econometric analyses to understand and influence key levers of business growth with a crisp understanding of incremental impact.  
Experimentation: Design, implement, and analyze experiments and quasi\-experiments to measure the impact of new initiatives in product and marketing.  
Define KPIs and Success Metrics: Establish key business indicators for projects, ensuring alignment with company objectives and clear measures of success.  
Communication: Translate complex technical findings into clear, actionable insights for senior leadership, including product, finance, and marketing executives.  
Mentorship: Mentor junior team members and help shape the team’s analytical rigor and methodology standards in causal inference and A/B testing.  
Leadership and Ownership: Demonstrate boundaryless leadership and extreme accountability \- proactively drives outcomes across teams and leads with influence, not authority.
...Less **Qualifications**
A Bachelor's degree in Statistics, Economics, Computer Science or a related quantitative field is required. Advanced degrees, particularly a Master's or PhD in economics or statistics, are highly desirable.  
At least 6 years of experience applying statistical / econometric and modeling skills in decision making without an advanced degree, 2 years of experience with an advanced degree.  
Demonstrated expertise in causal inference—including but not limited to advanced experimentation, synthetic controls, regression discontinuity, and instrumental variables—with a track record of rigorously solving problems with these methods.  
A demonstrated ability to navigate through ambiguity and deliver results that significantly impact the business.  
Excellent communication skills and the ability to work effectively with both technical and non\-technical colleagues.  
Proficiency in SQL and a statistical programming language such as Python and/or R.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Saved</t>
        </is>
      </c>
    </row>
    <row r="220">
      <c r="A220" t="inlineStr">
        <is>
          <t>in-f6d337badaaaa7fb</t>
        </is>
      </c>
      <c r="B220" t="inlineStr">
        <is>
          <t>Data Scientist</t>
        </is>
      </c>
      <c r="C220" t="inlineStr">
        <is>
          <t>Fund For Public Health In New York Inc</t>
        </is>
      </c>
      <c r="D220" t="inlineStr">
        <is>
          <t>indeed</t>
        </is>
      </c>
      <c r="E220">
        <f>HYPERLINK("https://www.indeed.com/viewjob?jk=f6d337badaaaa7fb", "https://www.indeed.com/viewjob?jk=f6d337badaaaa7fb")</f>
        <v/>
      </c>
      <c r="F220">
        <f>HYPERLINK("https://jobs.dayforcehcm.com/en-US/fphny/CANDIDATEPORTAL/jobs/3423", "https://jobs.dayforcehcm.com/en-US/fphny/CANDIDATEPORTAL/jobs/3423")</f>
        <v/>
      </c>
      <c r="G220" t="inlineStr">
        <is>
          <t>Queens, NY, US</t>
        </is>
      </c>
      <c r="H220" s="2" t="n">
        <v>46083</v>
      </c>
      <c r="I220" t="inlineStr">
        <is>
          <t>**Job Title:** Data Scientist
**Department:** Data Science and Research Unit
**Division:** Family and Child Health
**Bureau:** Office of School Health
**Location:** 30\-30 47th Avenue, Long Island City, NY 11101
**Reports to Title:** Research Scientist of Health Data
**Direct Reports Title(s):** Not applicable
**Schedule \&amp; Hours:** M\-F, 9am–5pm; 35 hours per week
**Workplace Flexibility Modality:** Hybrid, 3 days in office (including Wednesdays), 2 days remote
**Work Environment:** Office Environment, occasional travel for meetings within the NYC boroughs.
**Grant End Date:** 3/31/2028 (possibility for extension depending on availability of funding)
**Created Date:** 2/5/2026
**Revised Date:**  
**Salary:** $78,000\-$80,000 annually
**FLSA Classification:** Exempt
**Who We Are:**  
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**Our Culture:**  
We embrace a culture of learning, collaboration, innovation, and well\-being, where open communication drives our impact.
**About The Role:**  
The Office of School Health is seeking a Data Scientist that will play a key role in efforts to improve public health surveillance among New York City public school students, including by supporting efforts to enhance data linkage and integration. This person will work under the supervision of a Research Scientist and the guidance of the Senior Statistician/Surveillance Director of the Data Science and Research Unit in the Office of School Health. The Data Scientist will also work closely with unit members on efforts to identify and maintain a large set of risk indicators to optimize health risk identification among the student population. These analytic and technical efforts will directly support the development and expansion of data resources and inform an understanding of the delivery of services to school\-aged children necessary to evaluate student health and educational outcomes.
**About the Program:**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 their power and is given the opportunity to reach their full health and developmental potential. We encourage qualified applicants with demonstrated commitment to social justice, particularly racial, gender, and LGBTQ equity to apply.
**Responsibilities:**  
* Under technical supervision and in coordination with project management efforts, serve as a primary analyst for efforts to determine the impact of program access on health and educational outcomes for school\-aged children. Assisting in the design and implementation of surveillance projects, performing analysis, and reporting findings in manuscripts, official reports, and conference presentations.
* Contribute to data linkage efforts essential to maintaining and expanding the Student Population Health Registry, including by implementing data matching processes to support public health surveillance.
* Provide technical expertise to research design, data acquisition and management, and development of statistical/epidemiological modeling within a causal framework to characterize the impact of educational program access on children’s health.
* As needed, provide technical expertise in Data Science to OSH programs, including the development of causal and predictive models.
* As necessary, developing new approaches to utilize OSH’s integrated data system to characterize health risk among children. Extending these methods for use in program and policy evaluation. Contributing to the code base for the public health surveillance within OSH data systems.
* Other duties as assigned to support the overall goals and mission of the department/organization.
**Requirements:**  
* Master's degree in public health, epidemiology, statistics, data science, economics, or a related field preferred. Bachelor's degree required.
* Experience applying statistical and/or epidemiologic methods to administrative data, including educational and health outcome data, modeling and causal inference methods.
* Past research experience. Knowledge of research and evaluation methods.
* Experience with statistical programming software such as SAS, R, PYTHON, or STATA and other tools such as SQL.
* Specific training or project experience in evaluation, statistics, causal inference, educational measurement, or public health.
* Experience working on a technical team, with some project management experience. Strong analytical, organizational and communication skills.
* Curiosity and a desire to learn, excellent writing and speaking ability, and strong interpersonal communication skills.
Employment is contingent upon the successful completion of a background check
**Benefits:**  
* Public Service Loan Forgiveness (PSLF) eligible employer
* Generous Paid Time Off (PTO) policy
* Medical, dental, and life insurance with low or no employee contribution
* A retirement savings plan with generous employer contribution
* Flexible spending medical and commuter benefits plan
* Meaningful work at an organization striving to advance health equity and social justice
**Equal Employment Opportunity Statement:**  
FPHNY is an equal opportunity employer and prohibits discrimination and harassment of any kind. We provide equal employment opportunities to all employees and applicants without regard to race, color, religion, sex, national origin, age, disability, genetic information, marital status, veteran status, or any other legally protected status.
**At\-Will Employment Statement:**  
Employment with FPHNY is at\-will, meaning that either the employee or the company may terminate the employment relationship at any time, with or without cause, and with or without notice. This job description does not constitute a contract of employment.
**Residency Requirement:** You must live in the New York City Tri\-state area (NY, NJ, CT) to be considered for a position at FPHNY.</t>
        </is>
      </c>
    </row>
    <row r="221">
      <c r="A221" t="inlineStr">
        <is>
          <t>in-ff2d4bb649e620a3</t>
        </is>
      </c>
      <c r="B221" t="inlineStr">
        <is>
          <t>Biostatistician Data Scientist Informaticist</t>
        </is>
      </c>
      <c r="C221" t="inlineStr">
        <is>
          <t>GAP Solutions, Inc.</t>
        </is>
      </c>
      <c r="D221" t="inlineStr">
        <is>
          <t>indeed</t>
        </is>
      </c>
      <c r="E221">
        <f>HYPERLINK("https://www.indeed.com/viewjob?jk=ff2d4bb649e620a3", "https://www.indeed.com/viewjob?jk=ff2d4bb649e620a3")</f>
        <v/>
      </c>
      <c r="F221">
        <f>HYPERLINK("https://www.paycomonline.net/v4/ats/web.php/jobs/ViewJobDetails?job=293455&amp;clientkey=96F58D060DBB8E87FFE6A206A755DC72&amp;source=Indeed", "https://www.paycomonline.net/v4/ats/web.php/jobs/ViewJobDetails?job=293455&amp;clientkey=96F58D060DBB8E87FFE6A206A755DC72&amp;source=Indeed")</f>
        <v/>
      </c>
      <c r="G221" t="inlineStr">
        <is>
          <t>Bethesda, MD, US</t>
        </is>
      </c>
      <c r="H221" s="2" t="n">
        <v>46083</v>
      </c>
      <c r="I221" t="inlineStr">
        <is>
          <t>**Position Objective:** The Biostatistician Data Scientist Informaticist will provide support services to The National Institute on Minority Health and Health Disparities (NIMHD) within the National Institutes of Health (NIH).
**Duties and Responsibilities:**
* Address big data and data science policies, practices and analytic methodologies. Identify big data sources; conduct analyses of secondary data.
* Develop conceptual ideas (data systems, analytic publications) surrounding data science projects, such as the development of the artificial intelligence for minority health and health disparities.
* Contribute to interpretation of big data and identification of data patterns using Big data tools, such as Hadoop, Apache Spark, Apache Storm, Cassandra and RapidMiner.
* Identify potential issues in data lakes, algorithms, artificial intelligence/machine learning training, and repositories. Use statistical methods for analyzing complex data.
* Generate and optimize programs and scripts for the analysis of data; create programs and algorithms and develop computational infrastructure resources for organizing and parsing data from large and complex data.
* Serve as bioinformatics expert and coordinate with teams of biologists to conduct experimental queries and or perform portions of studies using complex procedures and techniques common to modern bioinformatics
* Coordinate building bioinformatics infrastructure to ensure easy and meaningful scientific analysis and interpretation of data
* Provide broad\-based programming and analytic support for a wide variety of bioinformatic and research projects
* Install, troubleshoot and run open\-source and commercial scientific software on platforms
* NIMHD provided a leadership role to secure NIH OD funding for and to develop a tool that provides the semantics of common data elements, which is a required basis for the successful adoption and expanded use of CDEs OMOP, FHIR and ULMS exists for clinical and clinical research purposes No such source exists for biomedical research SemNet provides an initial platform and will be the source for further development This resource will be housed on the NIH CDE Repository and enable the expansion and widespread adoption of CDEs for research
* Perform computational analysis of, and interpret results
* Provide reports based on analysis of scientific data
* Perform sequencing and alignment of raw data, and interpret new data using larger public access datasets
* Provide interpretive analyses of data derived from different experimental platforms to generate biological meaning
* Write custom programs and algorithms to support data analyses and discovery
* NIMHD was successful in securing ODSS Strides funding to secure a cloud computing space to address the looming issue of artificial intelligence machine learning algorithm bias The cloud will host federated data sets for investigators of diverse backgrounds to use for research and for the development of resources, tools and methodologies to mitigate AIML biases and to build community trust in cloud computing
* Collaborate with scientists to design, analyze, manage and interpret all types of data
* Design and execute computational experiments
* Work with staff on planning of experiments, and data analysis for internal and collaborative projects; use bioinformatics expertise to advise and help bench scientists on experimental design and trouble\-shooting
* Work with staff to develop specifications for new analysis; design, test and implement solutions
* Make recommendations to investigators about the correct computational tools for testing scientific hypotheses and reaching valid conclusions
* Attend scientific and programming meetings; take and compile comprehensive notes; organize and edit content of meeting reports
* Prepare scientific reports and progress reports; assemble data to prepare tables, graphs and slides; conduct scientific and program related information searches and report results
* Maintain proper and detailed documentation of the analysis performed and report results at extramural staff meetings
* Devise novel methods of statistical analysis for collected data
* Utilize and adapt existing bioinformatics techniques to check for trends and patterns in the data
* Write complex queries to multiple databases
* Perform data processing and data analysis with existing computational and statistical methods
* Assist in evaluating and interpreting results for validity and scientific meaning
* NIMHD is represented on trans\-NIH working groups that address all aspects of data science These groups, include CDE Task Force, CDE Coordination Touchpoint, Biomedical Information Science and Technology Initiative, Trans\-NIH Biomedical Informatics
* Coordinating Committee, N3C Domains addressing SDOH, DATA Sharing and Reuse, ODSS Working Group on AI, Ethics, and
* Transparency for People and Machines, BioMedical Informatics Coordinating Committee, and WHCC Data Harmonization
* NIMHD actively participates in trans\-NIH AIML initiatives to increase diversity and to address underrepresented populations in data science fields, including Bridg2AI; AIM\-AHEAD; SCH ODSS Cloud Computing in MSIs; and ODSS AI, Ethics, and Transparency for People and Machines
* NIMHD secured 10 Coursera slots for staff training in data science, common data elements, artificial intelligence machine learning and data analytics
* Create novel programs and algorithms that facilitate discovery of knowledge in investigating large and complex data
* Develop and optimize programs and scripts that facilitate organization, integration and data\-mining of large data sets; integrate these models into a framework of best practices
* Participate in the design of new protocols involving computational methods
* Work with staff on the development and maintenance of bioinformatics tools, scripts and pipe\-lines for data
* Participate in research design with investigators for determining best practices pertaining to the bioinformatics analysis in new and ongoing projects
* NIMHD has conducted several presentations across the US and International to raise awareness of marginalized populations and health disparities concerns in the fields of data science Presentations were made to staff and grantees to raise awareness of data science efforts across NIH and adoption of RAS Titles include: Data Science and Harmonization; Big Data for or Against Health Disparities; Bringing the Cloud and Ground Together Using Data Science to Serve Communities in Mitigating Health Disparities; and Intersection of Data Technology with Humanity: Plight of Health Disparities
* NIMHD has made a commitment to the Government\-University\-Industry Research Roundtable GUIRR and the National Academy of Sciences; and to the National Academy of Medicine\-AHRQ\-NIMHD collaboration Race\-Based Clinical Algorithms Project Both will foster diverse representation and address relevant issues to mitigate biases that may foster health disparities
* Research and review literature to retrieve targeted clinical or scientific information, including novel statistical methods, from publicly available resources
* Collaborate with staff to review current and historical procedures for the acquisition, quality control and management of data
* Analyze and evaluate data cleaning and harmonization needs in the using a variety of descriptive statistics and analytic methods
* Identify new tools and resources for reaching biologically meaningful conclusions
* Collaborate with experimentalists and computational biologists to develop new computational tools to answer research questions of interest
* NIMHD has played a leadership role in the development of Proj 5 covid common data elements, which became the foundation for all covid project CDEs
* NIMHD is represented on the NIH CDE Governance Committee, which is charged with endorsing CDEs for NIH that will be hosted in the NIH Common Data Elements Repository at NLM
* NIMHD provided a leadership role to secure NIH OD funding for and to develop a communication plan to foster the adoption of CDEs socialization of CDEs by R01 and other grant mechanism investigators
* Provide training in and technical support including product updates and version control for programs, algorithms, archives, and pipelines generated during the course of this work
* Instruct staff in computational analysis of data
* Provide ad hoc trainings and hands\-on workshops on the use of bioinformatics tools
* Provide training of students, new investigators, and other laboratory personnel in the use of techniques, procedures and equipment to complete the objectives of the laboratory
* Onboard and train staff involved in new clinical trials, including the import of a wide variety of legacy data set; provide rigorous quality control of these data NIMHD was successful in securing ODSS Fellow and ODSS Data Scholar to foster interdisciplinary careers that includes health disparity research.
* Work with an interdisciplinary team to apply computational data analysis approaches to make biological discoveries
* Collaborate with group members in experiments associated with data collection
* Interact with all levels of staff and communicate with outside collaborators in the US and abroad
* Work with staff, collaborate with outside researchers, and contribute to positive overall teamwork; teach Bioinformatics principles and
* methodologies
* Collaborate with biologists, statisticians and or other bioinformaticians in the design of models summarizing explaining experimental data
* NIMHD is represented on HHS data and data science workgroups, including the Interdepartmental Health Equity Collaborative for Data; and the Networking and Information Technology Research and Development Intelligent Robotics and Autonomous Systems **5**
* NIMHD assisted in the development of the NIH internal communication plan to socialize CDE
* Attend group meetings; present findings; author publications resulting from projects **1**
* Present analysis results at research conferences and meetings **3**
* Present new research data in group settings, at meetings or seminars **4**
* Present scientific and technical data at scientific conferences **2**
* Work products and documents related to collaborating with Senior Advisor for Data Science to address big data and data science policies, practices and analytic methodologies.
* Work products and documents related to identifying big data sources; conduct analyses of secondary data.
* Work products and documents related to developing conceptual ideas surrounding data science projects, such as the development of the artificial intelligence for minority health and health disparities.
* Work products and documents related to contributing to interpretation of big data and identification of data patterns using Big data tools.
* Work products and documents related to identifying potential issues in data lakes, algorithms, artificial intelligence/machine learning training, and repositories.
* Work products and documents related to using statistical methods for analyzing complex data.
* Meet with intramural and extramural scientist to present updates.
**Basic Qualifications:**
* PhD in Statistics, Biology, Community and Public Health, or Miscellaneous Social Sciences with 10\+ years of experience.
* Knowledge of Big Data Systems for Health.
* Skilled in AI, Hadoop, Rapid Miner, Cassandra, Apache Storm, Apache Spark, AI Bias Mitigation Tool.
* Skilled in STATA, Excel, SPSS, SAS, MS Word.
* Experience working with Clinical and/or translational research, working with large data sets, and Clinical Data Analysis.
* Experience with Data Quality Control, Data Harmonization, Machine Learning, and Data Transfer.
* Knowledge of minority health and health disparities and/or general health.
**Preferred Qualifications:**
* Strong communication skills, both oral and written.
* Detail\-oriented and possess strong organizational skills with the ability to prioritize multiple tasks and projects.
* This job description is not designed to cover or contain a comprehensive listing of activities, duties or responsibilities that are required by this position.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GAP Solutions provides reasonable accommodations to qualified individuals with disabilities. If you need an accommodation to apply for a job us at recruiting@gapsi.com. You will need to reference the requisition number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requisition number will not be returned.
Qualified applicants will receive consideration for employment without regard to race, color, religion, sex, national origin, disability, protected veteran status or other characteristics protected by law.</t>
        </is>
      </c>
    </row>
    <row r="222">
      <c r="A222" t="inlineStr">
        <is>
          <t>in-4483de1669b0a9c2</t>
        </is>
      </c>
      <c r="B222" t="inlineStr">
        <is>
          <t>Sr Applied Data Scientist - Search (NLP, Query Understanding, LLM's)</t>
        </is>
      </c>
      <c r="C222" t="inlineStr">
        <is>
          <t>Target</t>
        </is>
      </c>
      <c r="D222" t="inlineStr">
        <is>
          <t>indeed</t>
        </is>
      </c>
      <c r="E222">
        <f>HYPERLINK("https://www.indeed.com/viewjob?jk=4483de1669b0a9c2", "https://www.indeed.com/viewjob?jk=4483de1669b0a9c2")</f>
        <v/>
      </c>
      <c r="F222">
        <f>HYPERLINK("https://corporate.target.com/job/id/R0000405201", "https://corporate.target.com/job/id/R0000405201")</f>
        <v/>
      </c>
      <c r="G222" t="inlineStr">
        <is>
          <t>Sunnyvale, CA, US</t>
        </is>
      </c>
      <c r="H222" s="2" t="n">
        <v>46083</v>
      </c>
      <c r="I222" t="inlineStr">
        <is>
          <t>The pay range is $98,000\.00 \- $211,000\.00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SR DATA SCIENTIST – SEARCH (NLP, APPLIED ML)**
**About us:**
Working at Target means helping all families discover the joy of everyday life. We bring that vision to life through our values and culture. Learn more about Target here.
A role with Target Data Sciences means the chance to help develop and manage state of the art predictive algorithms that use data to automate and optimize decisions at scale. Whether you join our Data Sciences or Machine Learning teams, you’ll be challenged to harness Target’s impressive data breadth to build the algorithms that power solutions our partners in Marketing, Supply Chain, Demand Forecasting, Search and Personalization rely on.
Every Data Scientist on Target’s Data Sciences team can expect modeling and data science, software/product development of highly performant code for Model Performance to elevate Target’s culture and apply retail domain knowledge.
The Target Search and Browse Data Science team builds the core relevance engine and Data Science products that power Target’s digital experience. As a Sr Data Scientist on this team – you’ll work with business partners to provide solutions for business problems in a fast\-paced and global environment. You’ll have the opportunity to design quality, flexible and performant Data Science systems and services at scale. You’ll also architect Data Science solutions that capture, process and mine huge datasets in the retail industry. We’ll also promote innovative thinking as well as the opportunity to utilize cutting\-edge machine learning algorithms and NLP techniques to improve our Mobile and Web Search systems at Target!
As a Sr Data Scientist, you will influence by interacting within the Data Sciences team and with Product teams, perform within the scale and scope of your role by implementing solutions, and contribute to Data Sciences’ and Target’s culture by modeling the culture. Through your understanding of the foundations and working principles of machine learning algorithms, linear algebra, probability theory, statistics, and optimization theory, you will perform data exploration and analysis (look at distributions, find anomalies, create simple visualizations, etc.) and implement algorithmic solution given specifications, while adhering to best practices in model development. We will look to you to understand and actively follow foundational programming principles (best practices, know about unit tests, code organization, basics of CI/CD etc.) and create a well\-maintainable \&amp; tested codebase with relevant documentation.
Core responsibilities of this job are described within this job description. Job duties may change at any time due to business needs.
**About you:**
* PhD or MS in Computer Science, Information Technology, Applied Mathematics, Physics or relevant industry work experience in a quantitative field
* Exceptional coding/programming in Python or Java with advanced technical problem\-solving skills
* 3 plus year of experience implementing end to end ML models and algorithms into production
* Demonstrated experience implementing search indexing, ranking, information retrieval, query understanding or recommendation / recommender systems
* Experience deploying Machine Learning algorithms into production environments
* Experience with ML Ops (VetexAI, Bigquery, etc.) and various testing frameworks and containerization (Docker, Kubernetes, etc.)
* Experience querying large databases with SQL, HQL or some variations
* Excellent interpersonal and communication skills that can partner with a global teams
* Constant learner mentality that stays on the leading edge of search, query understanding, applied ML, LLM’s and NLP advancements
This position will operate as a Hybrid/Flex for Your Day work arrangement based on Target’s needs. A Hybrid/Flex for Your Day work arrangement means the team member’s core role will need to be performed both onsite at the Target HQ Sunnyvale or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Target will consider for employment qualified applicants with criminal histories in a manner consistent with the San Francisco and City of Los Angeles Fair Chance Ordinances.**Benefits Eligibility**
Please paste this url into your preferred browser to learn about benefits eligibility for this role: https://tgt.biz/BenefitsForYou\_D**Americans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
Application deadline is : 03/29/2026</t>
        </is>
      </c>
    </row>
    <row r="223">
      <c r="A223" t="inlineStr">
        <is>
          <t>in-c89efb04a8d1b693</t>
        </is>
      </c>
      <c r="B223" t="inlineStr">
        <is>
          <t>Associate Data Scientist</t>
        </is>
      </c>
      <c r="C223" t="inlineStr">
        <is>
          <t>Freeman</t>
        </is>
      </c>
      <c r="D223" t="inlineStr">
        <is>
          <t>indeed</t>
        </is>
      </c>
      <c r="E223">
        <f>HYPERLINK("https://www.indeed.com/viewjob?jk=c89efb04a8d1b693", "https://www.indeed.com/viewjob?jk=c89efb04a8d1b693")</f>
        <v/>
      </c>
      <c r="F223">
        <f>HYPERLINK("https://career8.successfactors.com/career?career_ns=job_listing&amp;company=freemanP1&amp;navBarLevel=JOB_SEARCH&amp;rcm_site_locale=es_MX&amp;career_job_req_id=93900&amp;selected_lang=en_US", "https://career8.successfactors.com/career?career_ns=job_listing&amp;company=freemanP1&amp;navBarLevel=JOB_SEARCH&amp;rcm_site_locale=es_MX&amp;career_job_req_id=93900&amp;selected_lang=en_US")</f>
        <v/>
      </c>
      <c r="G223" t="inlineStr">
        <is>
          <t>Atlanta, GA, US</t>
        </is>
      </c>
      <c r="H223" s="2" t="n">
        <v>46083</v>
      </c>
      <c r="I223" t="inlineStr">
        <is>
          <t>**About Us**
------------
Freeman is a global leader in events, on a mission to redefine live for a new era. With a data\-driven approach and the industry’s largest network of experts, Freeman’s insights shape exhibitions, exhibits, and events that drive audiences to action. The integrated full\-service solutions leverage a 97\-year legacy in event management as well as new technologies to deliver moments that matter.
**Summary**
-----------
We are seeking a trained Associate Data Scientist with a strong foundation in mathematics and business acumen, ideally holding a Math/Statistics major with 3\+ years of relevant work experience in either Finance, Operations, Marketing or Data Analytics teams. This individual will leverage analytical, statistical, and machine learning techniques to drive data\-driven insights that can facilitate actionable decision\-making. The ideal candidate will have at least three years of experience in events / B2B business / retail / rental / tech / fintech categories, enabling them to understand unique business challenges and opportunities in these fast\-paced environments.  
This position will support our Technology Services team. It is eligible to work a hybrid schedule, generally requiring work in\-office 2\-3 days per week. The ideal candidate will be based out of any of the following locations:  
* Dallas, TX
* Atlanta, GA
**Essential Duties \&amp; Responsibilities**
----------------------------------------
* Data Collection and Preparation: Gather, clean, and preprocess large volumes of structured and unstructured data from diverse sources.
* Advanced Analytics: Apply statistical modeling, and predictive analytics to uncover trends, forecast demand, optimize pricing, and improve customer experience.
* Business Strategy Support: Translate complex analytical findings into actionable business insights and recommendations, supporting e\-com, marketing, operations, sales strategy and inventory planning.
* Collaboration: Work closely with cross\-functional teams, including sales, marketing, operations, finance, and data engineering, to create and implement well thought through, accurate and scalable solutions.
* Process Automation: Develop and deploy automated data pipelines and reporting tools to streamline analytics workflows and enhance decision speed.
* Communication: Present findings to both technical and non\-technical stakeholders using clear visualizations, reports, and dashboards.
* Continuous Learning: Stay abreast of the latest data science tools, technologies, and industry trends to maintain a competitive edge.
**Education \&amp; Experience**
---------------------------
* Bachelor’s degree in Mathematics (or related field) with an MBA preferred.
* 3\+ years of experience as a Data Scientist or similar role in the retail, restaurant, or event industry.
* Proficiency in Advanced Excel (Power Pivot, Power Query), Power BI, Python / R and SQL.
* Strong quantitative and problem\-solving skills, with the ability to interpret complex data and derive business value.
* Excellent verbal and written communication skills, with the ability to explain technical concepts to non\-technical audiences.
* Demonstrated ability to lead projects, collaborate with diverse teams, and drive initiatives that deliver measurable impact.
* Experience managing analytics projects from conception to implementation, with a focus on delivering business value.
**Travel Requirements**
-----------------------
Travel up to 25%**What We Offer**
-----------------
Freeman provides benefits that aim to empower our people and their families to thrive mentally, physically, and financially. These are a handful of the types of programs and benefits our full\-time people may be eligible for. There may be some variances in specific benefits across regions.
* Medical, Dental, Vision Insurance
* Tuition Reimbursement
* Paid Parental Leave
* Life, Accident and Disability
* Retirement with Company Match
* Paid Time Off
**Diversity Commitment**
------------------------
At Freeman, our commitment to diversity and inclusion is helping us to create not only a great place to work, but also an environment where our employees, our customers and our communities around the world can reach their goals and connect with each other. All qualified applicants will receive consideration for employment without regard to race, color, religion, gender, gender identity or expression, sexual orientation, national origin, genetics, disability, age, veteran status and other characteristics protected by federal, state or local laws.  
\#LI\-Hybrid</t>
        </is>
      </c>
    </row>
    <row r="224">
      <c r="A224" t="inlineStr">
        <is>
          <t>in-60be9db75a25be6c</t>
        </is>
      </c>
      <c r="B224" t="inlineStr">
        <is>
          <t>Lead Customer Success Data Scientist - Industry Analytics</t>
        </is>
      </c>
      <c r="C224" t="inlineStr">
        <is>
          <t>Cloud Software Group</t>
        </is>
      </c>
      <c r="D224" t="inlineStr">
        <is>
          <t>indeed</t>
        </is>
      </c>
      <c r="E224">
        <f>HYPERLINK("https://www.indeed.com/viewjob?jk=60be9db75a25be6c", "https://www.indeed.com/viewjob?jk=60be9db75a25be6c")</f>
        <v/>
      </c>
      <c r="F224">
        <f>HYPERLINK("https://careers.cloud.com/jobs/lead-customer-success-data-scientist-industry-analytics-remote-texas-united-states?source=indeed", "https://careers.cloud.com/jobs/lead-customer-success-data-scientist-industry-analytics-remote-texas-united-states?source=indeed")</f>
        <v/>
      </c>
      <c r="G224" t="inlineStr">
        <is>
          <t>Remote, US</t>
        </is>
      </c>
      <c r="H224" s="2" t="n">
        <v>46083</v>
      </c>
      <c r="I224" t="inlineStr">
        <is>
          <t>**About Spotfire**
Spotfire is a business unit of Cloud Software Group, one of the largest enterprise software companies in the world. Spotfire combines visualizations and advanced analytics to allow experts in their field to find industry\-specific solutions the human mind or computers can’t solve alone. Our more than 10,000 customers include:
* Majority of the top 10 Energy companies in the world
* Majority of the top 10 Life Sciences companies in the world
* 7 of the world’s top 10 Manufacturing companies
* Several other major companies in banking, retail, and airlines
We are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Customer Success team is a central part of the company strategy. The team focuses on customers, innovation, and the community of scientists, engineers, and data scientists. The team is responsible for guiding customers to successfully adopt and maximize value from their investment in Spotfire.
Operating across several sectors, our Customer Success Data Scientists have helped improve the drilling operations of several energy companies, increase yield at some of the biggest semiconductor companies and ensured on\-time deliveries of well known global logistics companies.
We are seeking a **Lead Customer Success Data Scientist** to join our team in the **North America region**. Texas, United States is preferred, and we will consider other areas in the United States except New York and California. This role is ideal for a candidate with proven expertise in **Manufacturing, Energy, or Life Sciences industry** and a strong passion for **Visual Data Science.**
In this role, you will be the driving force behind long\-term customer success for a portfolio of clients, responsible for achieving high adoption, retention, and satisfaction. You will serve as a trusted advisor to all customer stakeholders and act as the key liaison between the customer and internal Spotfire teams.
The successful candidate will leverage their hands\-on prowess and thought leadership to significantly grow our customers' analytical capabilities using Spotfire. A key part of the role involves developing analytical deliverables, employing methods from exploratory analytics to machine learning, statistical modeling, and AI.
Joining a highly collaborative team, you will deliver outcomes that enhance both product and account health. Furthermore, you will have exciting opportunities to represent Spotfire at industry events and contribute to our active customer and partner community.
**Responsibilities**
* **Technical Strategy** \- Use Spotfire and data science skills to collaborate with customers, translating their business objectives into actionable success plans. Develop a deep understanding of industry analytics use cases. Customer Success plans include onboarding, adoption, monitoring support, managing upgrades, enabling new features, and establishing a center of excellence.
* **Trusted Advisor**\- Aware of industry context and understanding customer needs through regular customer health assessments you can build consultative relationships and act as trusted advisor helping navigate challenges and building long\-term customer advocacy.
* Innovation \- Perform and guide R\&amp;D topics in the field of applied machine learning and AI. Translate customer business goals into technical objectives and help create custom solutions for industry use cases, providing guidance, and building prototypes. Projects include Large Language Models, digital twin, anomaly detection in time series, or mathematical modeling of manufacturing processes.
* **Cross\-functional Collaboration** \- Collaborate with sales, support, product management, and engineering to align strategy, improve customer outcomes, resolve escalations, find sales opportunities, and provide product roadmap input. This involves gathering detailed information, analysis, and investigation to address numerous, often undefined, problems and requests.
* **Education and Community** \- Actively engage with your customers in the Spotfire community to drive adoption and enablement. Contribute relevant industry and data science content. Represent the team as a speaker or instructor in industry events and external conferences.
* **Personal Development** \- Continue to develop expertise and monitor trends in industry analytics and visual data science tools and techniques.
* **Organizational Impact** \- works to achieve operational targets with major impact on the departmental results and work is performed with limited oversight.
* **Leadership and Talent Management**\- Some level of coaching and training of other employees within the job area will be involved.
**Qualifications**
* **6\-8\+ years of data science experience using software environments and programming languages**e.g. Spotfire, Tableau, Qlikview, SPSS, KNIME, Dataiku, Azure, AWS, Databricks, Snowflake, and for program languages Python, R. Experience with other software components for data preparation and integration e.g. Data Virtualization is a plus. Knowledge of SQL, .Net, Java, IronPython, Javascript, C\+\+ and knowledge of Generative AI is a plus.
* **6\-8\+ years of experience in advanced data analytics** and delivery of demonstrations, projects, engagements or deployed software applications. Problem\-solver with experience applying advanced analytics such as machine learning and optimization techniques to large, complex and disparate data sources.
* **6\-8\+ years of experience** in applying analytics to the sector specific data problems in key Industry such as Manufacturing, Energy, Transportation \&amp; Logistics, Financial Services, Telecommunications and Life Sciences. Able to formulate a real\-world problem into a mathematical equivalent, propose various solutions, compare and contrast them, deploy the solutions, validate the results and present the results to stakeholders.
* **Excellent communication and relationship\-building skills** are essential, including the ability to pro\-actively influence and cultivate long\-term relationships with internal and external stakeholders, such as customers' senior technical personnel. Must provide compelling software demonstrations and apply domain knowledge to analytical applications, communicating complex technical concepts to non\-technical audiences using storytelling.
* **Collaboration skills** \- strong ability to work effectively in an internal and customer team environment and to manage multiple projects to a good final outcome.
* **Master’s or higher degree in STEM** (Computer Science, Statistics, Data Science, Engineering, Science, or related analytical field of study) with graduate classes in statistics and data mining.
* **Language Skills**: Proficiency in English is required. As this role involves interaction with customers and partners in Latin America as well, fluency in either Spanish or Portuguese is a plus.
*Please note you must have full working rights for the United States. If on a work permit or visa, please make sure the details along with expiry date are included on your application*.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225">
      <c r="A225" t="inlineStr">
        <is>
          <t>in-0049ccbf70d9e75b</t>
        </is>
      </c>
      <c r="B225" t="inlineStr">
        <is>
          <t>ML Engineer / Data Scientist - Enterprise</t>
        </is>
      </c>
      <c r="C225" t="inlineStr"/>
      <c r="D225" t="inlineStr">
        <is>
          <t>indeed</t>
        </is>
      </c>
      <c r="E225">
        <f>HYPERLINK("https://www.indeed.com/viewjob?jk=0049ccbf70d9e75b", "https://www.indeed.com/viewjob?jk=0049ccbf70d9e75b")</f>
        <v/>
      </c>
      <c r="F225">
        <f>HYPERLINK("https://jobs.ashbyhq.com/hilberts/0faf3a2f-ba9d-4eb9-87c9-11d8d44dd018?utm_source=KDOZD3JwN4", "https://jobs.ashbyhq.com/hilberts/0faf3a2f-ba9d-4eb9-87c9-11d8d44dd018?utm_source=KDOZD3JwN4")</f>
        <v/>
      </c>
      <c r="G225" t="inlineStr">
        <is>
          <t>San Francisco, CA, US</t>
        </is>
      </c>
      <c r="H225" s="2" t="n">
        <v>46083</v>
      </c>
      <c r="I225" t="inlineStr">
        <is>
          <t>**ML Engineer \- Data Scientist (Enterprise)**
==============================================
### **Hilbert is building the ML systems that power demand intelligence for the world's largest consumer companies — recommendation engines, demand forecasting, customer lifecycle models, and activation systems that must work across wildly different retailers, data environments, and business contexts. This isn't single\-tenant model building; it's designing configurable, production\-grade ML systems that generalize across Fortune 500 enterprises and beloved consumer brands alike.**
We're looking for an ML Engineer who understands B2C business problems deeply, builds models and pipelines that work with real\-world data, and can sit across the table from enterprise customers — translating their business challenges into ML solutions and their results into strategic clarity. All with the ownership and urgency of a startup.
This is not a "receive a ticket, train a model, hand off a notebook" role. You'll own problems end\-to\-end — from framing through modeling through production deployment through impact — for our largest enterprise customers, where the stakes are high, the data is complex, and you are the person the customer trusts to explain what the models are doing and why it matters. If you understand why churn analysis matters differently for a grocery retailer versus a fashion marketplace, can build a recommendation system that works with sparse data and runs reliably in production, and can present a causal analysis to a room of VP\-level stakeholders and make it land, we want to meet you.
**Why Hilbert AI**
------------------
Hilbert is building the demand intelligence platform used by world\-class B2C leaders — including the world's largest retailer — to unlock compounding growth outcomes. We sit at the intersection of AI, data, and commercial activation for retail and e\-commerce.
We're scaling fast with top\-tier investors behind us. ML systems are the engine behind what we deliver to customers — which means every model you build, every pipeline you ship, every system you contribute to has direct, measurable impact on enterprise revenue. We're a small, talent\-dense, low\-ego team. We value ownership, speed, intellectual honesty, and shipping real impact.
**The Role**
------------
You'll work directly with the founding team and alongside engineering, product, and GTM to build and improve the ML systems at the heart of Hilbert — with a particular focus on our largest enterprise accounts. You'll be hands\-on every day — building models, designing pipelines, running experiments, interrogating data, and shipping to production. But you'll also be the technical face of Hilbert's ML capabilities to key customers: understanding their business context firsthand, shaping how we apply our systems to their problems, presenting results and recommendations, and building the trust that turns a vendor relationship into a strategic partnership.
B2C is our world. The problems we solve — demand prediction, customer lifecycle, personalization, activation — require someone who understands these domains and can translate business context into modeling and engineering decisions. The environment is high\-autonomy and high\-ambiguity. Data is often messy, incomplete, or limited. You thrive in exactly those conditions — and you can bring the customer along on the journey.
**Our Current Hurdles**
-----------------------
These are the kinds of problems you'll be working on from day one.
* **Multi\-tenant ML systems that actually generalize** — we serve enterprises with fundamentally different data shapes, catalog sizes, customer behaviors, and business constraints. The challenge is contributing to model architectures and pipelines that are configurable and adaptive across customers — not rebuilding bespoke systems for every account. You'll work on the abstractions that make this possible, informed by direct exposure to how different enterprises actually operate.
* **Extracting real signal from messy, limited data** — enterprise data is never clean and rarely complete. Cold\-start problems, sparse interaction histories, inconsistent taxonomies, missing features — this is the norm, not the exception. You'll need to make pragmatic modeling choices that produce real value when the data fights back — and explain those choices to customers who want to understand what's possible with their data.
* **Connecting model outputs to business actions** — a recommendation score or a demand forecast is worthless if it doesn't change what an operator actually does. The challenge is closing the loop between ML outputs and real commercial decisions — activation, merchandising, retention — in a way that's measurable and defensible. You'll be in the room when customers ask "so what do we do with this?" and the answer needs to be concrete.
* **Causal rigor in a world that wants quick answers** — enterprise customers want to know *why* something is happening, not just *what*. The challenge is applying causal inference in a way that's rigorous but practical — knowing when an A/B test is sufficient, when you need difference\-in\-differences or synthetic controls, and when the honest answer is "we can't know yet." You'll need to hold this line with customers who may be pushing for faster, simpler answers.
### **What you'll do:**
**Build**
* Build and deploy ML models and pipelines that power core product capabilities: **recommendation systems, search relevance, customer segmentation, demand forecasting, and activation optimization**
* Contribute to **configurable, multi\-tenant model architectures** that adapt across different customer contexts, data availability, and business requirements — not bespoke rebuilds for every use case
* Own your models through to production — working with engineering on **serving, monitoring, and reliability**, not just handing off prototypes
* Create meaningful models with the **data that's actually available** — not the data you wish you had. You extract signal from limited, noisy, or sparse datasets and reach for the right level of complexity
* Design and run rigorous **A/B tests** — including understanding when A/B testing is insufficient and causal inference methods are required
* Apply **causal reasoning** rigorously — you know the difference between correlation and causation, you surface true drivers, and you flag when others confuse the two
* **Think in systems.** You don't build isolated models — you understand how recommendation, segmentation, scoring, and activation interact with each other and design your work to fit within the broader system
* Move fast — prototype, validate, ship, iterate. You're comfortable with imperfect information and evolving requirements
**Partner with enterprise customers**
* Be the **technical ML counterpart** for our largest accounts — understanding their data, their business model, and their growth challenges firsthand
* **Present results, analyses, and recommendations** to senior customer stakeholders with clarity, conviction, and appropriate nuance — you're the person they trust on the data science
* **Translate customer context into modeling decisions** — what you learn in customer conversations directly informs how you build. You don't build in a vacuum; you build with deep knowledge of how the output will be used
* **Deliver analyses that drive customer decisions** — not decks that get filed away. You connect model outputs to business outcomes and present them in a way that changes behavior
* **Hold the line on rigor** — when customers want a simpler story than the data supports, you find a way to be honest and helpful at the same time. You build trust through intellectual integrity, not through telling people what they want to hear
* **Feed enterprise learnings back into the product** — patterns you see across customers, gaps in our systems, new opportunities for the platform. Your customer exposure makes the whole team smarter
**Who You Are**
---------------
We care about how you think about problems, how you connect models to business impact, how you operate when things are ambiguous, and how you show up with customers.
### **The profile:**
* **You're an ML engineer who ships to production.** You write clean, testable Python. You care about how your models are served, monitored, and maintained — not just how they perform offline. Your work doesn't end at a notebook; it ends when the system is running and delivering value.
* **You're a product\-minded ML engineer.** You understand that a model with great offline metrics is useless if it doesn't move the customer's business. You frame every modeling decision in terms of the outcome it enables — and you push back when a technically elegant approach doesn't serve the actual problem.
* **You're a trusted technical partner to senior stakeholders.** You've been in the room with VP\- or C\-level audiences and presented technical work in a way that earned trust and drove decisions. You're comfortable with hard questions, pushback, and the ambiguity of enterprise conversations. You don't oversell, you don't hide behind jargon, and you know how to make complexity accessible without dumbing it down.
* **You have strong B2C business knowledge.** You understand the problems consumer businesses actually face — customer acquisition vs. retention economics, lifecycle dynamics, basket composition, churn drivers, promotional cannibalization, channel attribution, demand elasticity. This knowledge informs how you frame problems and design models — and it makes you credible with customers who live in this world every day.
* **You're a systems thinker.** You understand how models, data flows, customer behavior, and business outcomes connect. You don't optimize one metric in a vacuum — you consider second\-order effects and how your work fits the bigger picture.
* **You've built recommendation, search, and/or customer\-based ML systems** — collaborative filtering, content\-based methods, ranking systems, segmentation, propensity modeling. You understand when each applies and why.
* **You know how to build for configurability.** You've worked on or contributed to model architectures and pipelines that flex across multiple customers, segments, or contexts — not rigid, single\-purpose implementations.
* **You create value from limited data.** You make pragmatic modeling choices when data is sparse, noisy, or cold\-start. You know when a simpler approach beats a complex one and aren't seduced by unnecessary sophistication.
* **You're rigorous about causality.** You understand causal inference methods — difference\-in\-differences, instrumental variables, propensity scoring, synthetic controls — and know when to apply them. You design A/B tests properly and understand their limitations.
* **You communicate with clarity and conviction.** You can present a causal analysis to a C\-suite audience and make it land. You can write a one\-pager that changes a decision. You explain your reasoning, not just your results. Communication is not a nice\-to\-have here — it's the job.
* **You take ownership.** You don't wait for someone to define the problem perfectly. You dig in, frame it, propose an approach, and ship it. If something breaks or underperforms — or if a customer isn't getting value — you treat it as your problem.
* **You thrive in ambiguity.** Problem definitions shift. Data availability surprises you. Customer priorities evolve. You're energized by figuring it out, not paralyzed by incomplete specs.
* **You move at startup speed.** You understand what it means to be available, responsive, and biased toward action in a fast\-moving, early\-stage environment.
### **Strong pluses:**
* Experience in **customer\-facing data science or ML roles** — solutions engineering, applied science, technical account management, or consulting where you owned the technical relationship
* Experience with **ML infrastructure** — feature stores, model serving, orchestration, monitoring, or retraining pipelines
* Experience with **experimentation platforms** and A/B testing infrastructure
* Deep exposure to **retail, e\-commerce, CPG, or marketplace** data environments and the business teams that operate in them
* Experience at **early\-stage startups or high\-growth companies** where you wore multiple hats
* Experience taking models from prototype to **production deployment** and owning them in production
* Background in **economics, econometrics, or quantitative social science** that informs your causal thinking
### **You might be:**
An ML engineer or data scientist at a B2C company who's been the go\-to person when leadership needs someone technical in the room with a customer. An applied scientist at a platform company who's tired of building for an internal team and wants to see the impact face\-to\-face. A data scientist in consulting or solutions who's ready to go deeper on the engineering side without losing the customer connection. Someone at a larger company who's frustrated by the wall between "the people who build" and "the people who talk to customers" and wants to be both. An early\-career ML engineer with disproportionate output and unusually strong communication skills who's ready for enterprise stakes. What matters: you understand the business, you build models that work with real data in real production environments, you think in systems, you can hold your own in a room full of executives, and you communicate impact — not just methodology.
**Location**
------------
San Francisco, US
**Compensation**
----------------
Competitive salary \+ equity. Compensation details and structure shared in next steps.
**The Hiring Journey**
----------------------
Short form Intro call Practical working session Team conversations Offer
Fast, human, no bureaucracy.</t>
        </is>
      </c>
    </row>
    <row r="226">
      <c r="A226" t="inlineStr">
        <is>
          <t>in-e95c3fd83e94fbd8</t>
        </is>
      </c>
      <c r="B226" t="inlineStr">
        <is>
          <t>Applied Scientist</t>
        </is>
      </c>
      <c r="C226" t="inlineStr">
        <is>
          <t>Uber</t>
        </is>
      </c>
      <c r="D226" t="inlineStr">
        <is>
          <t>indeed</t>
        </is>
      </c>
      <c r="E226">
        <f>HYPERLINK("https://www.indeed.com/viewjob?jk=e95c3fd83e94fbd8", "https://www.indeed.com/viewjob?jk=e95c3fd83e94fbd8")</f>
        <v/>
      </c>
      <c r="F226">
        <f>HYPERLINK("https://tnl2.jometer.com/v2/job?jz=5wqzs6e6b343838df3e41b634459cadedead1KIAAKAAAAABQ&amp;iis=Job%20Board%20-%20Recruitment%20Marketing&amp;iisn=Indeed%20Organic", "https://tnl2.jometer.com/v2/job?jz=5wqzs6e6b343838df3e41b634459cadedead1KIAAKAAAAABQ&amp;iis=Job%20Board%20-%20Recruitment%20Marketing&amp;iisn=Indeed%20Organic")</f>
        <v/>
      </c>
      <c r="G226" t="inlineStr">
        <is>
          <t>New York, NY, US</t>
        </is>
      </c>
      <c r="H226" s="2" t="n">
        <v>46083</v>
      </c>
      <c r="I226" t="inlineStr">
        <is>
          <t>**Employer:** Uber Technologies, Inc.
**Job Title:** Applied Scientist
**Job Location:** New York, New York
**Job Type:** Full Time
**Rate of Pay:** $155,000 to $186,000 per year
You will be eligible to participate in Uber's bonus program, and may be offered other types of comp. You will also be eligible for various benefits. More details can be found at the following link https://www.uber.com/careers/benefits .
**Duties:** Identify relationships and trends in data and build key algorithms behind real\-time pricing, driver movement, and driver preferences products. Maximize marketplace efficiency through influencing supply and demand in real time which involves developing fundamental understandings of Uber's driver behavior. Create pricing algorithms that incorporate both marketplace dynamics and supply preferences. Prepare data for processing by organizing information, checking for inaccuracies, and adjusting and weighting the raw data. Match the best supply to the most needed demand in an effective manner. Design and analyze experiments that provide insights to improve marketplace efficiency. Problem solve on high impact open questions and prototype cutting edge mechanisms to production and engage in large scale experimentation. Own and drive a large part of the driver movement and pricing data science roadmap in order to take Uber's products to the next level. Analyze and interpret statistical data to identify significant differences in relationships among sources of information. Work closely with various cross\-functional teams (marketing managers, engineers, product managers, operations, data scientists, and analysts) to help optimize Uber's marketing practices. Successfully apply rigorous scientific methods with proficiency in data science knowledge and technical capabilities. May telecommute.
Employer will accept a Ph.D. degree in Statistics, Operations Research, Mathematics, or related field.
Position requires:  
* Advertising tech (market response modeling, forecasting, attribution, targeting, and third\-party data integration);
* Big data (Hadoop, Hive, or Spark);
* Python;
* Working with massive data sets using SQL;
* Machine learning and causal inference techniques; and
* Connecting technical insights to strategic decisions.</t>
        </is>
      </c>
    </row>
    <row r="227">
      <c r="A227" t="inlineStr">
        <is>
          <t>in-0fc2221b1a91aa91</t>
        </is>
      </c>
      <c r="B227" t="inlineStr">
        <is>
          <t>Data Scientist</t>
        </is>
      </c>
      <c r="C227" t="inlineStr">
        <is>
          <t>Uber</t>
        </is>
      </c>
      <c r="D227" t="inlineStr">
        <is>
          <t>indeed</t>
        </is>
      </c>
      <c r="E227">
        <f>HYPERLINK("https://www.indeed.com/viewjob?jk=0fc2221b1a91aa91", "https://www.indeed.com/viewjob?jk=0fc2221b1a91aa91")</f>
        <v/>
      </c>
      <c r="F227">
        <f>HYPERLINK("https://tnl2.jometer.com/v2/job?jz=5wqzs14473a453b01702872a8673c82e41c6fKIAAKAAAAABQ&amp;iis=Job%20Board%20-%20Recruitment%20Marketing&amp;iisn=Indeed%20Organic", "https://tnl2.jometer.com/v2/job?jz=5wqzs14473a453b01702872a8673c82e41c6fKIAAKAAAAABQ&amp;iis=Job%20Board%20-%20Recruitment%20Marketing&amp;iisn=Indeed%20Organic")</f>
        <v/>
      </c>
      <c r="G227" t="inlineStr">
        <is>
          <t>New York, NY, US</t>
        </is>
      </c>
      <c r="H227" s="2" t="n">
        <v>46083</v>
      </c>
      <c r="I227" t="inlineStr">
        <is>
          <t>**Employer:** Uber Technologies, Inc.
**Job Title:** Data Scientist
**Job Location:** New York, New York
**Job Type:** Full Time
**Rate of Pay:** $155,000 to $189,000 per year
You will be eligible to participate in Uber's bonus program, and may be offered other types of comp. You will also be eligible for various benefits. More details can be found at the following link https://www.uber.com/careers/benefits .
Duties: Leverage data to perform intensive analysis across all areas of business to drive product development. Design experiments and analyze results to draw conclusions. Perform time\-series analyses, hypothesis testing, and causal analyses to statistically assess relative impact and extract trends. Build models to enhance understanding of user behavior and predict future performance of cohorts. Create dashboards and reports to regularly communicate results and monitor key metrics. Extract data from warehouse, back\-test the model, and compare the model performance and communicate the results. Develop end\-to\-end solutions to abstract business and engineering problems related to funnel optimization, user engagement, and user experience. May telecommute.
Employer will accept a Master's degree in Engineering (Any), Information Technology, Information Management, Information Systems, Mathematics, Statistics, or related field.
Position requires:
* R or Python;
* Database query languages: SQL;
* Experimentation techniques including simulation or A/B testing;
* Statistical analysis including descriptive statistics, correlation, regression, or confidence intervals;
* Developing relevant metrics;
* KPIs to measure performance by product teams;
* Quantitative modeling including machine learning models, time\-series forecasting, or causal impact analyses.</t>
        </is>
      </c>
    </row>
    <row r="228">
      <c r="A228" t="inlineStr">
        <is>
          <t>in-65e9be2b4dd9ae16</t>
        </is>
      </c>
      <c r="B228" t="inlineStr">
        <is>
          <t>Data Scientist</t>
        </is>
      </c>
      <c r="C228" t="inlineStr">
        <is>
          <t>The Hershey Company</t>
        </is>
      </c>
      <c r="D228" t="inlineStr">
        <is>
          <t>indeed</t>
        </is>
      </c>
      <c r="E228">
        <f>HYPERLINK("https://www.indeed.com/viewjob?jk=65e9be2b4dd9ae16", "https://www.indeed.com/viewjob?jk=65e9be2b4dd9ae16")</f>
        <v/>
      </c>
      <c r="F228">
        <f>HYPERLINK("https://career4.successfactors.com/career?career%5fns=job%5flisting&amp;company=Hersheys&amp;navBarLevel=JOB%5fSEARCH&amp;rcm%5fsite%5flocale=en%5fUS&amp;career_job_req_id=127783", "https://career4.successfactors.com/career?career%5fns=job%5flisting&amp;company=Hersheys&amp;navBarLevel=JOB%5fSEARCH&amp;rcm%5fsite%5flocale=en%5fUS&amp;career_job_req_id=127783")</f>
        <v/>
      </c>
      <c r="G228" t="inlineStr">
        <is>
          <t>Remote, US</t>
        </is>
      </c>
      <c r="H228" s="2" t="n">
        <v>46083</v>
      </c>
      <c r="I228" t="inlineStr">
        <is>
          <t>Job Location: Remote
**ROLE OVERVIEW:**
Delivers advanced people analytics and predictive insights to enable strategic, fair, and data‑driven workforce decisions.
**ACCOUNTABILITIES:**
* Develop advanced people analytics and predictive models to inform workforce planning, retention, and talent decisions.
* Deliver strategic workforce and talent insights by translating complex people data into actionable recommendations for HR leaders.
* Create executive‑ready insights and storytelling that clearly communicate workforce risks, opportunities, and tradeoffs.
* Ensure analytic rigor and continuous improvement through strong data science practices, documentation, and model refinement.
* Partner with analytics application developers to design and deliver advanced dashboards and analytics products that enable scalable, self‑service people insights.
* Stakeholder Interaction: Partners closely with HR COEs and leadership (e.g., Talent/Total Rewards/DEI/HRBPs) and cross\-functional stakeholders to define questions, interpret results, and drive action.
* Influence/Impact: Ability to influence leaders and decision makers with data through visualization and insights.
**QUALIFICATIONS**
* Strong proficiency in Posit, RConnect, RShiny, and GitLab for analytics application development and version control.
* Ability to present complex analytics concepts to non\-technical audiences.
* Executive‑ready data storytelling skills, including clear visualizations, narratives, and recommendations.
* Strong analytic rigor and judgment, including data validation, documentation, and continuous improvement of models and methods.
* Stakeholder advising.
* Ability to partner cross‑functionally with HR COEs, Legal/DEI, IS, and people analytics team members to deliver scalable insight solutions.
**Experience \&amp; Education**
* 5\+ years related experience
* Bachelors' degree required, Masters degree preferred
\#LI\-AM1  
\#LI\-Remote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229">
      <c r="A229" t="inlineStr">
        <is>
          <t>in-17c963c24e47a4df</t>
        </is>
      </c>
      <c r="B229" t="inlineStr">
        <is>
          <t>Senior Data Scientist, People Analytics</t>
        </is>
      </c>
      <c r="C229" t="inlineStr">
        <is>
          <t>Blue Origin</t>
        </is>
      </c>
      <c r="D229" t="inlineStr">
        <is>
          <t>indeed</t>
        </is>
      </c>
      <c r="E229">
        <f>HYPERLINK("https://www.indeed.com/viewjob?jk=17c963c24e47a4df", "https://www.indeed.com/viewjob?jk=17c963c24e47a4df")</f>
        <v/>
      </c>
      <c r="F229">
        <f>HYPERLINK("https://blueorigin.wd5.myworkdayjobs.com/en-US/BlueOrigin/job/Greater-Seattle-Area/Senior-Data-Scientist--People-Analytics_R61178", "https://blueorigin.wd5.myworkdayjobs.com/en-US/BlueOrigin/job/Greater-Seattle-Area/Senior-Data-Scientist--People-Analytics_R61178")</f>
        <v/>
      </c>
      <c r="G229" t="inlineStr">
        <is>
          <t>Seattle, WA, US</t>
        </is>
      </c>
      <c r="H229" s="2" t="n">
        <v>46083</v>
      </c>
      <c r="I229"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Blue Origin is assembling the team that will enable humanity's future in space. As a Sr. Data Scientist to lead HR People Analytics initiatives within our Human Resources technology team, you will serve as the subject matter expert, focusing on delivery of high\-impact solutions that enhance decision\-making processes and operational efficiency.
Key Responsibilities:* Partner with Human Resources and Enterprise Technology leadership to identify and prioritize data analytics opportunities.
* Drive the implementation of time\-bound data solutions aligned with project goals and stakeholder requirements.
* Apply expertise in data science, natural language processing, and Generative AI to deliver tangible solutions within our Technical Human Resources environment.
* Develop and deploy sophisticated data science models and algorithms to address specific business challenges.
* Break down complex scientific projects into manageable hypotheses and deliverable solutions.
* Collaborate across teams to ensure relevance and impact of your work.
* Provide expert guidance on Generative AI implementation best practices.
Required Qualifications:* 10\+ years of proven experience in data science, computer science and/or related technical field.
* Programming proficiency in Python, C/C\+\+, or other applicable languages
* 8\+ years of experience in a data science or data analytics role post\-master's degree.
* At least 7 years of direct experience developing and delivering data analytics solutions
* Demonstrated expertise in Generative AI/Natural Language Processing
* Technical master’s degree or equivalent experience
* Strong business acumen and technical vision
* Experience working in a consulting model, delivering solutions for clients/internal teams
* Ability to build trust and maintain positive professional relationships
* Strong experimental design and analytical modeling capabilities
* Ability to collaborate across multiple teams and locations
Preferred Qualifications:* Experience with end\-to\-end Generative AI solution development
* Demonstrated ability to work effectively with ambiguity and deliver results in complex environments
* Experience in aerospace or related technical industries
Compensation Range for:
WA applicants is $169,347\.00 \- $237,085\.80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30">
      <c r="A230" t="inlineStr">
        <is>
          <t>in-58901978957fc58c</t>
        </is>
      </c>
      <c r="B230" t="inlineStr">
        <is>
          <t>Data Scientist (TS/SCI)</t>
        </is>
      </c>
      <c r="C230" t="inlineStr">
        <is>
          <t>Xcellent Technology Solutions</t>
        </is>
      </c>
      <c r="D230" t="inlineStr">
        <is>
          <t>indeed</t>
        </is>
      </c>
      <c r="E230">
        <f>HYPERLINK("https://www.indeed.com/viewjob?jk=58901978957fc58c", "https://www.indeed.com/viewjob?jk=58901978957fc58c")</f>
        <v/>
      </c>
      <c r="F230">
        <f>HYPERLINK("https://xtscareers.applytojob.com/apply/CDbakvmQOX/Data-Scientist-TSSCI?source=INDE&amp;~", "https://xtscareers.applytojob.com/apply/CDbakvmQOX/Data-Scientist-TSSCI?source=INDE&amp;~")</f>
        <v/>
      </c>
      <c r="G230" t="inlineStr">
        <is>
          <t>St. Louis, MO, US</t>
        </is>
      </c>
      <c r="H230" s="2" t="n">
        <v>46083</v>
      </c>
      <c r="I230" t="inlineStr">
        <is>
          <t>***Data Scientist (National Geospatial\-Intelligence Agency)***  
Streamlining production workflows, building mission\-critical models, and precise extraction and analysis of geospatial data are essential to production and planning efficiency and can be the defining advantage for mission\-success for our troops abroad.  
As a Data Scientist, you will be joining XTS’s mission\-ready, efficient, and collaborative team supporting the National Geospatial\-Intelligence Agency (NGA). In this role, you will be transforming complex analytical models into enriching GEOINT datasets, collaborating with GEOINT analysts and branch leadership to aid in product development and decision\-making, and leverage your GEOINT specialty and programming proficiency for workflow automation.  
***Required Skills and Qualifications***  
To be considered for this role, the desired candidate must demonstrate:* Bachelor’s degree in a related field and 2 years of relevant experience OR an Associate’s degree in a related field and 3 years of relevant experience
	+ 5 years of relevant experience may be provided in lieu of degree
* Active TS/SCI clearance with willingness to sit for CI Polygraph
* Proficiency in Python and SQL for data extraction, transformation, and modeling
* Experience supporting GEOINT or intelligence analysis environments within NGA or DoD
	+ Understanding of GEOINT standards and analytical tradecraft fundamentals
	+ Familiarity with geospatial tools such as ArcGIS or similar platforms
* Experience automating workflows or building dashboards that support recurring analytic outputs
* Demonstrated ability to develop and refine analytic models that structure and quantify complex data attributes
	+ Ability to manage and structure datasets to improve accessibility and analytic clarity
* Strong communication skills to explain model logic and analytic outputs to analysts and stakeholders.
Share your talents and expertise in service of our national security and operations by applying today and send your resume directly to Alejandro Molina: alejandro.molina@xts\-inc.com  
***As a veteran\-owned company, XTS is unwaveringly committed to the success and well\-being of our employees, as much as our clients. As part of that commitment to fostering an environment where no one is left behind, XTS offers a generous, comprehensive benefits package and development opportunities. Our benefits include coveted healthcare coverage plans, along with dental and vision coverage, paid time off (PTO), and a 401K plan with employer matching. Developing our employees in a rapidly evolving world or emerging technologies remains a priority for XTS, therefore we are committed to providing employees with tools and opportunities to stay ahead. We are also proud to offer our GeoAI scholarship to help our employees further develop their skills and expertise. At XTS, we take pride in delivering elite workforces to the Intelligence Community, making a real\-world impact on critical missions. Join us and experience a company that invests in your success and professional growth.***  
CDbakvmQOX</t>
        </is>
      </c>
    </row>
    <row r="231">
      <c r="A231" t="inlineStr">
        <is>
          <t>in-32feefb400dc8ca6</t>
        </is>
      </c>
      <c r="B231" t="inlineStr">
        <is>
          <t>Data Scientist</t>
        </is>
      </c>
      <c r="C231" t="inlineStr">
        <is>
          <t>Prometheus Federal Services</t>
        </is>
      </c>
      <c r="D231" t="inlineStr">
        <is>
          <t>indeed</t>
        </is>
      </c>
      <c r="E231">
        <f>HYPERLINK("https://www.indeed.com/viewjob?jk=32feefb400dc8ca6", "https://www.indeed.com/viewjob?jk=32feefb400dc8ca6")</f>
        <v/>
      </c>
      <c r="F231">
        <f>HYPERLINK("https://prometheusfederalservices.applytojob.com/apply/ruyVaS7TuQ/Data-Scientist?source=INDE&amp;~", "https://prometheusfederalservices.applytojob.com/apply/ruyVaS7TuQ/Data-Scientist?source=INDE&amp;~")</f>
        <v/>
      </c>
      <c r="G231" t="inlineStr">
        <is>
          <t>Fairfax, VA, US</t>
        </is>
      </c>
      <c r="H231" s="2" t="n">
        <v>46083</v>
      </c>
      <c r="I231" t="inlineStr">
        <is>
          <t>**Position Summary**  
Prometheus Federal Services (PFS) is a trusted partner of federal health agencies. We are exploring the addition of an experienced Data Scientist to support clinical research across the Veterans Health Administration (VHA). This role transforms complex clinical and research data into actionable insights that drive patient outcomes, operational efficiency, and evidence\-based decision\-making. The Data Scientist ensures data quality, regulatory compliance, and statistical rigor while collaborating with researchers, clinicians, and regulatory stakeholders to support the success and integrity of clinical trials and research studies.  
**Essential Functions \&amp; Responsibilities**  
Statistical Metric Development \&amp; Oversight* Serve as a statistical lead across multiple biomedical research initiatives
* Design and oversee healthcare performance measures with clear clinical and operational impact
* Partner with clinicians, analysts, and data owners to ensure data integrity, validity, and alignment
* Define statistical significance thresholds to support evidence\-based decision\-making
Study Design \&amp; Biostatistical Consultant* Collaborate with principal investigators to design rigorous clinical and biomedical studies
* Develop and execute Statistical Analysis Plans (SAPs) aligned with regulatory and scientific standards
* Support study protocols with sample size calculations, randomization strategies, and power analyses
* Ensure compliance with ICH\-GCP, FDA, and EMA guidelines throughout the data lifecycle
Data Management \&amp; Analysis* Manage and analyze large, complex datasets spanning clinical, genomic, and laboratory domains
* Apply advanced statistical methods, including regression models, survival analysis, mixed\-effects, longitudinal, and Bayesian approaches
* Conduct simulations and novel modeling to address complex research questions
Benchmarking \&amp; Performance Evaluations* Leverage industry standards (CMS, NCQA, HEDIS, Joint Commission) to inform target setting
* Perform comparative and population health analyses across peer organizations
Biostatistical Analysis \&amp; Study Design* Apply biostatistical methods to analyze health data
* Design and execute analytics studies using statistical analysis techniques
* Evaluate causality, confounding factors, and data limitations in clinical datasets
* Provide methodological support for research, quality improvement, and program evaluation initiatives
Reporting \&amp; Visualization* Develop executive\-ready dashboards and visualizations using tools such as Power BI, Tableau, and Python
* Translate complex findings into clear, actionable insights for technical and non\-technical audiences
* Build reproducible, automated, and version\-controlled analytic workflows
Data Governance \&amp; Compliance* Ensure adherence to HIPAA, data privacy, and institutional governance standards
* Maintain comprehensive documentation to support transparency and reproducibility
Scientific Communication \&amp; Compliance* Author and contributor to manuscripts, technical reports, and conference presentations
* Clearly interpret statistical results for investigators with varying levels of quantitative expertise
Strategic \&amp; Ad Hoc Analytics* Deliver rapid\-cycle analyses supporting population health, patient safety, and strategic priorities
**Minimum Qualifications*** Master's degree in Biostatistics, Health Informatics, Data Science, or a related quantitative discipline
* Three (3\) \+ years of experience in healthcare analytics, with demonstrated proficiency in statistical modeling and data interpretation
* Deep familiarity with healthcare data types (e.g., claims, EMR, registries, surveys); VHA Corporate Data Warehouse (CDW) knowledge preferred
* Strong knowledge of biostatistical techniques, including hypothesis testing, mixed models, and longitudinal analysis
* Proficiency in Microsoft Excel, R, SAS, Python, SQL, and data visualization tools
* Ability to communicate with both clinical and technical teams, translating numbers into narratives
* Ability to work independently and in a multidisciplinary team
* Authorized to work in the U.S. indefinitely without sponsorship
* Ability to obtain a Public Trust
**Preferred Qualification*** Experience building semantic data models in Power BI and Analysis Services Tabular
* Experience utilizing RedCap in clinical data collection and management
* Proficiency with DAX (Data Analysis Expressions) to create custom measures, KPIs, and dynamic reporting
* Ability to translate business requirements into intuitive data structures and reusable logic
**Compensation \&amp; Benefits**
PFS offers a benefits package that may include health, dental, and vision coverage; flexible spending accounts; disability and life insurance; retirement plan; paid time off; and other programs to support employees and their families. Learn more about PFS Benefits.
PFS benefits, compensation, and bonuses are determined by various factors, including but not limited to location, the individual's particular combination of education, knowledge, skills, competencies, and experience, as well as contract and organizational requirements.
**Equal Employment Opportunity**
All qualified applicants will receive consideration for employment without regard to race, color, religion, sex, parental status, national origin, age, disability, genetic information, political affiliation, military service, or other status protected by law.
**Accommodations**
PFS is committed to providing equal employment opportunities to all applicants. If you require a reasonable accommodation during the application or interview process, please contact us at recruiting@pfs.us. Reasonable accommodations are available to ensure applicants with disabilities have equal access to the hiring process, in accordance with the Americans with Disabilities Act (ADA) and applicable laws.
**Workplace Health, Safety, and Compliance**
This position may be subject to client‑specific or government‑mandated vaccination, health, or safety requirements, which may change over time.
**Texting Privacy Policy and Information:**
* Message type: Informational; you will receive text messages regarding your application and potentially regarding interview scheduling.
* No mobile information will be shared with third parties/affiliates for marketing/promotional purposes.
* Message frequency will vary depending on the application process.
* Msg \&amp; data rates may apply.
* Opt out at any time by texting "stop".
ruyVaS7TuQ</t>
        </is>
      </c>
    </row>
    <row r="232">
      <c r="A232" t="inlineStr">
        <is>
          <t>in-4a13685804eccbfd</t>
        </is>
      </c>
      <c r="B232" t="inlineStr">
        <is>
          <t>Geospatial Data Scientist (TS/SCI)</t>
        </is>
      </c>
      <c r="C232" t="inlineStr">
        <is>
          <t>Xcellent Technology Solutions</t>
        </is>
      </c>
      <c r="D232" t="inlineStr">
        <is>
          <t>indeed</t>
        </is>
      </c>
      <c r="E232">
        <f>HYPERLINK("https://www.indeed.com/viewjob?jk=4a13685804eccbfd", "https://www.indeed.com/viewjob?jk=4a13685804eccbfd")</f>
        <v/>
      </c>
      <c r="F232">
        <f>HYPERLINK("https://xtscareers.applytojob.com/apply/G34GaB4hxD/Geospatial-Data-Scientist-TSSCI?source=INDE&amp;~", "https://xtscareers.applytojob.com/apply/G34GaB4hxD/Geospatial-Data-Scientist-TSSCI?source=INDE&amp;~")</f>
        <v/>
      </c>
      <c r="G232" t="inlineStr">
        <is>
          <t>St. Louis, MO, US</t>
        </is>
      </c>
      <c r="H232" s="2" t="n">
        <v>46080</v>
      </c>
      <c r="I232" t="inlineStr">
        <is>
          <t>*Some problems don’t need more data, they need clarity. At the National Geospatial\-Intelligence Agency (NGA) Office of Eurasia, leadership is routinely asked to prioritize, assess risk, and allocate resources against complex and evolving challenges. The GEOINT data behind those decisions is rich but is not always structured to answer the question being asked. It may be binary in one place, tiered in another, legacy in a third. It may have been built for a different requirement at a different time.*  
This is an exciting opportunity to join us as a Geospatial Data Scientist to support NGA and bring structure, transparency, and defensibility to complex analytic problems! Looked upon your expertise to design, refine, and operationalize analytic models that bring consistency and transparency to mission analysis. From structing complex GEOINT attributes into measurable, defensible scoring frameworks, to replacing manual or legacy analytic processes with automated, repeatable workflows. You’ll work directly with analysts and branch leadership to ensure models reflect real mission needs and ensure transparency. Tradecraft integrity and methodological rigor in every product. If you’re passionate about bringing structure where there is inconsistency, and clarity where there are interpretations, join XTS today!  
**Requirements*** Current active Top Secret / SCI clearance with the ability to obtain CI poly.
* You have achieved a Master’s degree / Bachelor’s degree \+ 2 years / Associate’s degree \+ 3 years / 5\+ years of relevant experience
* You have gained strong proficiency in Python and SQL to support in extracting, transforming, and structuring large, complex datasets.
* Familiarity with ArcGIS or similar geospatial tools to assist in model integration effectively with existing analytic platforms.
* Experience automating workflows and building dashboards to ensure repeatability.
* Understanding of GEOINT standards and tradecraft to ensure analytic integrity and confidence in outputs.
* Experience building defensible analytic models in order to articulate how inputs become outputs and ensure the scoring logic can withstand scrutiny.
If you are motivated by applying technical expertise to real operational challenges, and building system systems that improve how decisions are made, please send your resume directly to Lanchi Lai at Lanchi.Lai@xts\-inc.com  
***At XTS, we believe in taking care of our employees as much as we take care of our clients. As a veteran\-owned company, we understand the importance of community, service, and fostering a culture where each team member can thrive. Our commitment to employee well\-being is reflected in the comprehensive benefits and growth opportunities we offer. We offer tailored health care plans that fit your lifestyle, along with dental and vision coverage, paid time off (PTO), and a 401K with employer matching to secure your financial future. As we push forward in the rapidly evolving field of AI, XTS is committed to providing employees with tools and opportunities to stay ahead. We are proud to offer our GeoAI scholarship to help our employees further develop their skills and expertise in this cutting\-edge field. We take pride in delivering elite workforces to the Intelligence Community, making a real\-world impact on critical missions. Join us and experience a company that invests in your success and professional growth.***  
G34GaB4hxD</t>
        </is>
      </c>
    </row>
    <row r="233">
      <c r="A233" t="inlineStr">
        <is>
          <t>in-ffc22f6aebcc5529</t>
        </is>
      </c>
      <c r="B233" t="inlineStr">
        <is>
          <t>Data Scientist, Products &amp; Applied Research</t>
        </is>
      </c>
      <c r="C233" t="inlineStr">
        <is>
          <t>Meta</t>
        </is>
      </c>
      <c r="D233" t="inlineStr">
        <is>
          <t>indeed</t>
        </is>
      </c>
      <c r="E233">
        <f>HYPERLINK("https://www.indeed.com/viewjob?jk=ffc22f6aebcc5529", "https://www.indeed.com/viewjob?jk=ffc22f6aebcc5529")</f>
        <v/>
      </c>
      <c r="F233">
        <f>HYPERLINK("https://jsv3.recruitics.com/redirect?rx_cid=3239&amp;rx_jobId=a1KDp00000CZMNsMAP_1001&amp;rx_url=https%3A%2F%2Fwww.metacareers.com%2Fjobs%2F2278790245981983%2F%3Frx_campaign%3Dindeed0%26rx_ch%3Dvp%26rx_group%3D187943%26rx_id%3Df5406056-172d-11f1-a90f-3b45cbbee150%26rx_job%3Da1KDp00000CZMNsMAP_1001%26rx_medium%3Dcpc%26rx_r%3Dnone%26rx_source%3Dindeed%26rx_ts%3D20260304T001203Z%26rx_vp%3Dcpc%26utm_campaign%3DJob%252Bboard%26utm_medium%3Djobs%26utm_source%3Dindeedorganic", "https://jsv3.recruitics.com/redirect?rx_cid=3239&amp;rx_jobId=a1KDp00000CZMNsMAP_1001&amp;rx_url=https%3A%2F%2Fwww.metacareers.com%2Fjobs%2F2278790245981983%2F%3Frx_campaign%3Dindeed0%26rx_ch%3Dvp%26rx_group%3D187943%26rx_id%3Df5406056-172d-11f1-a90f-3b45cbbee150%26rx_job%3Da1KDp00000CZMNsMAP_1001%26rx_medium%3Dcpc%26rx_r%3Dnone%26rx_source%3Dindeed%26rx_ts%3D20260304T001203Z%26rx_vp%3Dcpc%26utm_campaign%3DJob%252Bboard%26utm_medium%3Djobs%26utm_source%3Dindeedorganic")</f>
        <v/>
      </c>
      <c r="G233" t="inlineStr">
        <is>
          <t>Menlo Park, CA, US</t>
        </is>
      </c>
      <c r="H233" s="2" t="n">
        <v>46076</v>
      </c>
      <c r="I233"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4">
      <c r="A234" t="inlineStr">
        <is>
          <t>in-cc8b9b553dbf739f</t>
        </is>
      </c>
      <c r="B234" t="inlineStr">
        <is>
          <t>Data Scientist, Products &amp; Applied Research</t>
        </is>
      </c>
      <c r="C234" t="inlineStr">
        <is>
          <t>Meta</t>
        </is>
      </c>
      <c r="D234" t="inlineStr">
        <is>
          <t>indeed</t>
        </is>
      </c>
      <c r="E234">
        <f>HYPERLINK("https://www.indeed.com/viewjob?jk=cc8b9b553dbf739f", "https://www.indeed.com/viewjob?jk=cc8b9b553dbf739f")</f>
        <v/>
      </c>
      <c r="F234">
        <f>HYPERLINK("https://jsv3.recruitics.com/redirect?rx_cid=3239&amp;rx_jobId=a1KDp00000CZMNnMAP_1003&amp;rx_url=https%3A%2F%2Fwww.metacareers.com%2Fjobs%2F3296639157162089%2F%3Frx_campaign%3Dindeed0%26rx_ch%3Dvp%26rx_group%3D187943%26rx_id%3Dfa7a6be4-172d-11f1-a90f-657ea8b50f06%26rx_job%3Da1KDp00000CZMNnMAP_1003%26rx_medium%3Dcpc%26rx_r%3Dnone%26rx_source%3Dindeed%26rx_ts%3D20260304T001203Z%26rx_vp%3Dcpc%26utm_campaign%3DJob%252Bboard%26utm_medium%3Djobs%26utm_source%3Dindeedorganic", "https://jsv3.recruitics.com/redirect?rx_cid=3239&amp;rx_jobId=a1KDp00000CZMNnMAP_1003&amp;rx_url=https%3A%2F%2Fwww.metacareers.com%2Fjobs%2F3296639157162089%2F%3Frx_campaign%3Dindeed0%26rx_ch%3Dvp%26rx_group%3D187943%26rx_id%3Dfa7a6be4-172d-11f1-a90f-657ea8b50f06%26rx_job%3Da1KDp00000CZMNnMAP_1003%26rx_medium%3Dcpc%26rx_r%3Dnone%26rx_source%3Dindeed%26rx_ts%3D20260304T001203Z%26rx_vp%3Dcpc%26utm_campaign%3DJob%252Bboard%26utm_medium%3Djobs%26utm_source%3Dindeedorganic")</f>
        <v/>
      </c>
      <c r="G234" t="inlineStr">
        <is>
          <t>San Francisco, CA, US</t>
        </is>
      </c>
      <c r="H234" s="2" t="n">
        <v>46076</v>
      </c>
      <c r="I234"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 **Preferred Qualifications:**
* Master's or Ph.D. degree in a quantitative field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5">
      <c r="A235" t="inlineStr">
        <is>
          <t>in-38c37dc0355037d0</t>
        </is>
      </c>
      <c r="B235" t="inlineStr">
        <is>
          <t>Data Scientist - Law Enforcement Analytics &amp; Program</t>
        </is>
      </c>
      <c r="C235" t="inlineStr">
        <is>
          <t>Meta</t>
        </is>
      </c>
      <c r="D235" t="inlineStr">
        <is>
          <t>indeed</t>
        </is>
      </c>
      <c r="E235">
        <f>HYPERLINK("https://www.indeed.com/viewjob?jk=38c37dc0355037d0", "https://www.indeed.com/viewjob?jk=38c37dc0355037d0")</f>
        <v/>
      </c>
      <c r="F235">
        <f>HYPERLINK("https://jsv3.recruitics.com/redirect?rx_cid=3239&amp;rx_jobId=a1KDp00000CZM8YMAX_1001&amp;rx_url=https%3A%2F%2Fwww.metacareers.com%2Fjobs%2F1810437866597302%2F%3Frx_campaign%3Dindeed0%26rx_ch%3Dvp%26rx_group%3D187943%26rx_id%3Df80cc702-172d-11f1-a90f-7fb82c7e86ce%26rx_job%3Da1KDp00000CZM8YMAX_1001%26rx_medium%3Dcpc%26rx_r%3Dnone%26rx_source%3Dindeed%26rx_ts%3D20260304T001203Z%26rx_vp%3Dcpc%26utm_campaign%3DJob%252Bboard%26utm_medium%3Djobs%26utm_source%3Dindeedorganic", "https://jsv3.recruitics.com/redirect?rx_cid=3239&amp;rx_jobId=a1KDp00000CZM8YMAX_1001&amp;rx_url=https%3A%2F%2Fwww.metacareers.com%2Fjobs%2F1810437866597302%2F%3Frx_campaign%3Dindeed0%26rx_ch%3Dvp%26rx_group%3D187943%26rx_id%3Df80cc702-172d-11f1-a90f-7fb82c7e86ce%26rx_job%3Da1KDp00000CZM8YMAX_1001%26rx_medium%3Dcpc%26rx_r%3Dnone%26rx_source%3Dindeed%26rx_ts%3D20260304T001203Z%26rx_vp%3Dcpc%26utm_campaign%3DJob%252Bboard%26utm_medium%3Djobs%26utm_source%3Dindeedorganic")</f>
        <v/>
      </c>
      <c r="G235" t="inlineStr">
        <is>
          <t>Menlo Park, CA, US</t>
        </is>
      </c>
      <c r="H235" s="2" t="n">
        <v>46069</v>
      </c>
      <c r="I235"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 **Preferred Qualifications:**
* Master's Degree in an analytical field (e.g. Computer Science, Engineering, Mathematics, Statistics, or Data Science)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6">
      <c r="A236" t="inlineStr">
        <is>
          <t>in-e2c8516d28be9c57</t>
        </is>
      </c>
      <c r="B236" t="inlineStr">
        <is>
          <t>Data Scientist - Law Enforcement Analytics &amp; Program</t>
        </is>
      </c>
      <c r="C236" t="inlineStr">
        <is>
          <t>Meta</t>
        </is>
      </c>
      <c r="D236" t="inlineStr">
        <is>
          <t>indeed</t>
        </is>
      </c>
      <c r="E236">
        <f>HYPERLINK("https://www.indeed.com/viewjob?jk=e2c8516d28be9c57", "https://www.indeed.com/viewjob?jk=e2c8516d28be9c57")</f>
        <v/>
      </c>
      <c r="F236">
        <f>HYPERLINK("https://jsv3.recruitics.com/redirect?rx_cid=3239&amp;rx_jobId=a1KDp00000CZM8YMAX&amp;rx_url=https%3A%2F%2Fwww.metacareers.com%2Fjobs%2F1810437866597302%2F%3Frx_campaign%3Dindeed0%26rx_ch%3Dvp%26rx_group%3D187943%26rx_id%3Dfa2d0eb4-172d-11f1-a90f-53c6dc9c9ef7%26rx_job%3Da1KDp00000CZM8YMAX%26rx_medium%3Dcpc%26rx_r%3Dnone%26rx_source%3Dindeed%26rx_ts%3D20260304T001203Z%26rx_vp%3Dcpc%26utm_campaign%3DJob%252Bboard%26utm_medium%3Djobs%26utm_source%3Dindeedorganic", "https://jsv3.recruitics.com/redirect?rx_cid=3239&amp;rx_jobId=a1KDp00000CZM8YMAX&amp;rx_url=https%3A%2F%2Fwww.metacareers.com%2Fjobs%2F1810437866597302%2F%3Frx_campaign%3Dindeed0%26rx_ch%3Dvp%26rx_group%3D187943%26rx_id%3Dfa2d0eb4-172d-11f1-a90f-53c6dc9c9ef7%26rx_job%3Da1KDp00000CZM8YMAX%26rx_medium%3Dcpc%26rx_r%3Dnone%26rx_source%3Dindeed%26rx_ts%3D20260304T001203Z%26rx_vp%3Dcpc%26utm_campaign%3DJob%252Bboard%26utm_medium%3Djobs%26utm_source%3Dindeedorganic")</f>
        <v/>
      </c>
      <c r="G236" t="inlineStr">
        <is>
          <t>Austin, TX, US</t>
        </is>
      </c>
      <c r="H236" s="2" t="n">
        <v>46069</v>
      </c>
      <c r="I236"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 **Preferred Qualifications:**
* Master's Degree in an analytical field (e.g. Computer Science, Engineering, Mathematics, Statistics, or Data Science)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7">
      <c r="A237" t="inlineStr">
        <is>
          <t>in-92bdd3f2a0828b50</t>
        </is>
      </c>
      <c r="B237" t="inlineStr">
        <is>
          <t>Data Scientist - Law Enforcement Analytics &amp; Program</t>
        </is>
      </c>
      <c r="C237" t="inlineStr">
        <is>
          <t>Meta</t>
        </is>
      </c>
      <c r="D237" t="inlineStr">
        <is>
          <t>indeed</t>
        </is>
      </c>
      <c r="E237">
        <f>HYPERLINK("https://www.indeed.com/viewjob?jk=92bdd3f2a0828b50", "https://www.indeed.com/viewjob?jk=92bdd3f2a0828b50")</f>
        <v/>
      </c>
      <c r="F237">
        <f>HYPERLINK("https://jsv3.recruitics.com/redirect?rx_cid=3239&amp;rx_jobId=a1KDp00000CZM8YMAX_1002&amp;rx_url=https%3A%2F%2Fwww.metacareers.com%2Fjobs%2F1810437866597302%2F%3Frx_campaign%3Dindeed0%26rx_ch%3Dvp%26rx_group%3D187943%26rx_id%3Df7b88cee-172d-11f1-a90f-c5a9175c9f35%26rx_job%3Da1KDp00000CZM8YMAX_1002%26rx_medium%3Dcpc%26rx_r%3Dnone%26rx_source%3Dindeed%26rx_ts%3D20260304T001203Z%26rx_vp%3Dcpc%26utm_campaign%3DJob%252Bboard%26utm_medium%3Djobs%26utm_source%3Dindeedorganic", "https://jsv3.recruitics.com/redirect?rx_cid=3239&amp;rx_jobId=a1KDp00000CZM8YMAX_1002&amp;rx_url=https%3A%2F%2Fwww.metacareers.com%2Fjobs%2F1810437866597302%2F%3Frx_campaign%3Dindeed0%26rx_ch%3Dvp%26rx_group%3D187943%26rx_id%3Df7b88cee-172d-11f1-a90f-c5a9175c9f35%26rx_job%3Da1KDp00000CZM8YMAX_1002%26rx_medium%3Dcpc%26rx_r%3Dnone%26rx_source%3Dindeed%26rx_ts%3D20260304T001203Z%26rx_vp%3Dcpc%26utm_campaign%3DJob%252Bboard%26utm_medium%3Djobs%26utm_source%3Dindeedorganic")</f>
        <v/>
      </c>
      <c r="G237" t="inlineStr">
        <is>
          <t>Washington, DC, US</t>
        </is>
      </c>
      <c r="H237" s="2" t="n">
        <v>46069</v>
      </c>
      <c r="I237"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 **Preferred Qualifications:**
* Master's Degree in an analytical field (e.g. Computer Science, Engineering, Mathematics, Statistics, or Data Science)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38">
      <c r="A238" t="inlineStr">
        <is>
          <t>in-a2a9f13e53994d66</t>
        </is>
      </c>
      <c r="B238" t="inlineStr">
        <is>
          <t>Data Scientist - Law Enforcement Analytics &amp; Program</t>
        </is>
      </c>
      <c r="C238" t="inlineStr">
        <is>
          <t>Meta</t>
        </is>
      </c>
      <c r="D238" t="inlineStr">
        <is>
          <t>indeed</t>
        </is>
      </c>
      <c r="E238">
        <f>HYPERLINK("https://www.indeed.com/viewjob?jk=a2a9f13e53994d66", "https://www.indeed.com/viewjob?jk=a2a9f13e53994d66")</f>
        <v/>
      </c>
      <c r="F238">
        <f>HYPERLINK("https://jsv3.recruitics.com/redirect?rx_cid=3239&amp;rx_jobId=a1KDp00000CZM8YMAX_1003&amp;rx_url=https%3A%2F%2Fwww.metacareers.com%2Fjobs%2F1810437866597302%2F%3Frx_campaign%3Dindeed0%26rx_ch%3Dvp%26rx_group%3D187943%26rx_id%3Dfd2280fe-172d-11f1-a90f-b39cee201702%26rx_job%3Da1KDp00000CZM8YMAX_1003%26rx_medium%3Dcpc%26rx_r%3Dnone%26rx_source%3Dindeed%26rx_ts%3D20260304T001203Z%26rx_vp%3Dcpc%26utm_campaign%3DJob%252Bboard%26utm_medium%3Djobs%26utm_source%3Dindeedorganic", "https://jsv3.recruitics.com/redirect?rx_cid=3239&amp;rx_jobId=a1KDp00000CZM8YMAX_1003&amp;rx_url=https%3A%2F%2Fwww.metacareers.com%2Fjobs%2F1810437866597302%2F%3Frx_campaign%3Dindeed0%26rx_ch%3Dvp%26rx_group%3D187943%26rx_id%3Dfd2280fe-172d-11f1-a90f-b39cee201702%26rx_job%3Da1KDp00000CZM8YMAX_1003%26rx_medium%3Dcpc%26rx_r%3Dnone%26rx_source%3Dindeed%26rx_ts%3D20260304T001203Z%26rx_vp%3Dcpc%26utm_campaign%3DJob%252Bboard%26utm_medium%3Djobs%26utm_source%3Dindeedorganic")</f>
        <v/>
      </c>
      <c r="G238" t="inlineStr">
        <is>
          <t>New York, NY, US</t>
        </is>
      </c>
      <c r="H238" s="2" t="n">
        <v>46069</v>
      </c>
      <c r="I238"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 **Preferred Qualifications:**
* Master's Degree in an analytical field (e.g. Computer Science, Engineering, Mathematics, Statistics, or Data Science)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li-4379190321</t>
        </is>
      </c>
      <c r="B2" t="inlineStr">
        <is>
          <t>Data Engineer/Data Scientist</t>
        </is>
      </c>
      <c r="C2" t="inlineStr">
        <is>
          <t>Capgemini</t>
        </is>
      </c>
      <c r="D2" t="inlineStr">
        <is>
          <t>linkedin</t>
        </is>
      </c>
      <c r="E2" t="inlineStr"/>
      <c r="F2" t="inlineStr"/>
      <c r="G2" t="inlineStr">
        <is>
          <t>Nashville, TN</t>
        </is>
      </c>
      <c r="H2" t="inlineStr"/>
      <c r="I2" t="inlineStr">
        <is>
          <t>**Thanks for your interest, please apply only after reading 1 to 5\.** 
1. **You must work 100% in office in Nashville NO remote, relocate at your own expense**
2. **You must starts April 13th 2026 at the 6 weeks training session, not able to start after**
3. **You must have graduated 2025 and before not graduating in 2026\.**
4. **You must have 1 year\+ minimum post graduate experience in AWS or Azure or Databricks or Google Cloud (internship experience not included)**
5. **You must work full time, not a contractor and no C2C**
**About the Role** 
 We are seeking a skilled
 **Data Engineer** 
 with hands\-on experience in
 **Databricks**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 Design, build, and maintain
 **ETL/ELT pipelines** 
 using Databricks (PySpark, Delta Lake).
* Optimize pipelines for performance, cost efficiency, and scalability within GCP.
* Develop batch and streaming data processes using Spark Streaming, and related technologies.
**Cloud Architecture \&amp; Platform Engineering** 
* Implement data solutions leveraging
 **GCP services** 
 such as BigQuery, Cloud Storage, Dataflow, Cloud Composer, and Vertex AI integrations.
* Apply best practices for cloud security, IAM configuration, monitoring, and cost management.
**Data Modeling \&amp; Quality** 
* Build and maintain
 **data models** 
 , including dimensional modeling and data vault structures.
* Implement data quality frameworks, validation rules, and automated testing.
* Manage data versioning, governance, and lineage using tools such as Unity Catalog or GCP Data Catalog.
**Collaboration \&amp; Stakeholder Engagement** 
* Partner with cross‑functional teams to gather requirements and translate them into technical designs.
* Provide technical guidance and influence engineering best practices across the team.
* Contribute to documentation, architectural diagrams, and knowledge sharing.
**Required Qualifications** 
* 3\+ years of experience as a Data Engineer or similar role.
* Strong hands\-on experience with
 **Databricks** 
 , including:
* PySpark/Spark
* Delta Lake
* Databricks workflows/jobs
* Proficiency with
 **GCP** 
 :
* BigQuery
* Cloud Storage
* Dataflow or Dataproc
* Strong coding skills in
 **Python** 
 and SQL.
* Solid understanding of distributed systems, data warehousing, and data architecture principles.
* Experience with CI/CD tools (GitHub, GitLab, Azure DevOps, or similar).
**Preferred Qualifications** 
* Databricks or GCP certifications (e.g., Data Engineer, Architect).
* Experience with Terraform or other Infrastructure\-as\-Code tools.
* Knowledge of ML workflows or MLOps frameworks.
* Familiarity with data governance tools (Unity Catalog, Great Expectations, dbt, etc.).
**Soft Skills** 
* Excellent problem\-solving and analytical abilities.
* Strong communication skills and the ability to work effectively with technical and non\-technical teams.
*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
      <c r="A3" t="inlineStr">
        <is>
          <t>li-4379188431</t>
        </is>
      </c>
      <c r="B3" t="inlineStr">
        <is>
          <t>Data Engineer/Data Scientist Onsite in Nashville</t>
        </is>
      </c>
      <c r="C3" t="inlineStr">
        <is>
          <t>Capgemini</t>
        </is>
      </c>
      <c r="D3" t="inlineStr">
        <is>
          <t>linkedin</t>
        </is>
      </c>
      <c r="E3" t="inlineStr"/>
      <c r="F3" t="inlineStr"/>
      <c r="G3" t="inlineStr">
        <is>
          <t>Atlanta, GA</t>
        </is>
      </c>
      <c r="H3" t="inlineStr"/>
      <c r="I3" t="inlineStr">
        <is>
          <t>**Thanks for your interest, please apply only after reading 1 to 4\. You must work 100% in office in Nashville not remote from Atlanta, relocate at your own expense.** 
1. **You must starts April 13th 2026 at the 6 weeks training session, not able to start after**
2. **You must have graduated 2025 and before not graduating in 2026\.**
3. **You must have 1 year\+ minimum post graduate experience in AWS or Azure or Databricks or Google Cloud (internship experience not included)**
4. **You must work full time, not a contractor and no C2C**
**About the Role** 
 We are seeking a skilled
 **Data Engineer** 
 with hands\-on experience in
 **Databricks or AWS or Azure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 Design, build, and maintain
 **ETL/ELT pipelines** 
 using Databricks (PySpark, Delta Lake).
* Optimize pipelines for performance, cost efficiency, and scalability within GCP.
* Develop batch and streaming data processes using Spark Streaming, and related technologies.
**Cloud Architecture \&amp; Platform Engineering** 
* Implement data solutions leveraging
 **GCP services** 
 such as BigQuery, Cloud Storage, Dataflow, Cloud Composer, and Vertex AI integrations.
* Apply best practices for cloud security, IAM configuration, monitoring, and cost management.
**Data Modeling \&amp; Quality** 
* Build and maintain
 **data models** 
 , including dimensional modeling and data vault structures.
* Implement data quality frameworks, validation rules, and automated testing.
* Manage data versioning, governance, and lineage using tools such as Unity Catalog or GCP Data Catalog.
**Collaboration \&amp; Stakeholder Engagement** 
* Partner with cross‑functional teams to gather requirements and translate them into technical designs.
* Provide technical guidance and influence engineering best practices across the team.
* Contribute to documentation, architectural diagrams, and knowledge sharing.
**Required Qualifications** 
* 1\+ years of experience as a Data Engineer or similar role.
* Strong hands\-on experience with
 **Databricks** 
 , including:
* PySpark/Spark
* Delta Lake
* Databricks workflows/jobs
* Proficiency with
 **GCP** 
 :
* BigQuery
* Cloud Storage
* Dataflow or Dataproc
* Strong coding skills in
 **Python** 
 and SQL.
* Solid understanding of distributed systems, data warehousing, and data architecture principles.
* Experience with CI/CD tools (GitHub, GitLab, Azure DevOps, or similar).
**Preferred Qualifications** 
* Databricks or GCP certifications (e.g., Data Engineer, Architect).
* Experience with Terraform or other Infrastructure\-as\-Code tools.
* Knowledge of ML workflows or MLOps frameworks.
* Familiarity with data governance tools (Unity Catalog, Great Expectations, dbt, etc.).
**Soft Skills** 
* Excellent problem\-solving and analytical abilities.
* Strong communication skills and the ability to work effectively with technical and non\-technical teams.
*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4">
      <c r="A4" t="inlineStr">
        <is>
          <t>li-4120823579</t>
        </is>
      </c>
      <c r="B4" t="inlineStr">
        <is>
          <t>Data Scientist, Product Analytics</t>
        </is>
      </c>
      <c r="C4" t="inlineStr">
        <is>
          <t>Meta</t>
        </is>
      </c>
      <c r="D4" t="inlineStr">
        <is>
          <t>linkedin</t>
        </is>
      </c>
      <c r="E4" t="inlineStr"/>
      <c r="F4" t="inlineStr"/>
      <c r="G4" t="inlineStr">
        <is>
          <t>Burlingame, CA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li-4120824556</t>
        </is>
      </c>
      <c r="B5" t="inlineStr">
        <is>
          <t>Data Scientist, Product Analytics</t>
        </is>
      </c>
      <c r="C5" t="inlineStr">
        <is>
          <t>Meta</t>
        </is>
      </c>
      <c r="D5" t="inlineStr">
        <is>
          <t>linkedin</t>
        </is>
      </c>
      <c r="E5" t="inlineStr"/>
      <c r="F5" t="inlineStr"/>
      <c r="G5" t="inlineStr">
        <is>
          <t>Sunnyvale, CA</t>
        </is>
      </c>
      <c r="H5" t="inlineStr"/>
      <c r="I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li-4120823523</t>
        </is>
      </c>
      <c r="B6" t="inlineStr">
        <is>
          <t>Data Scientist, Product Analytics</t>
        </is>
      </c>
      <c r="C6" t="inlineStr">
        <is>
          <t>Meta</t>
        </is>
      </c>
      <c r="D6" t="inlineStr">
        <is>
          <t>linkedin</t>
        </is>
      </c>
      <c r="E6" t="inlineStr"/>
      <c r="F6" t="inlineStr"/>
      <c r="G6" t="inlineStr">
        <is>
          <t>Bellevue, WA</t>
        </is>
      </c>
      <c r="H6" t="inlineStr"/>
      <c r="I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li-4120827281</t>
        </is>
      </c>
      <c r="B7" t="inlineStr">
        <is>
          <t>Data Scientist, Product Analytics</t>
        </is>
      </c>
      <c r="C7" t="inlineStr">
        <is>
          <t>Meta</t>
        </is>
      </c>
      <c r="D7" t="inlineStr">
        <is>
          <t>linkedin</t>
        </is>
      </c>
      <c r="E7" t="inlineStr"/>
      <c r="F7" t="inlineStr"/>
      <c r="G7" t="inlineStr">
        <is>
          <t>Menlo Park, CA</t>
        </is>
      </c>
      <c r="H7" t="inlineStr"/>
      <c r="I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li-4380311408</t>
        </is>
      </c>
      <c r="B8" t="inlineStr">
        <is>
          <t>Data Scientist/ Senior Data Scientist -Demand Forecasting</t>
        </is>
      </c>
      <c r="C8" t="inlineStr">
        <is>
          <t>Tiger Analytics</t>
        </is>
      </c>
      <c r="D8" t="inlineStr">
        <is>
          <t>linkedin</t>
        </is>
      </c>
      <c r="E8" t="inlineStr"/>
      <c r="F8" t="inlineStr"/>
      <c r="G8" t="inlineStr"/>
      <c r="H8" t="inlineStr"/>
      <c r="I8"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Senior / Lead Data Scientist with strong expertise in forecasting, tree\-based models, and large\-scale data processing. The role requires hands\-on experience with PySpark, Databricks, and Azure and the ability to lead end\-to\-end model development and deployment. Experience with MLOps / DevOps is a strong plus.
**Key Responsibilities**
* Collaborate with business partners to develop innovative solutions to meet objectives utilizing cutting edge techniques and tools
* Apply advanced data science techniques to identify patterns, inefficiencies, and bottlenecks across logistics and operations.
* Build scalable data pipelines and analytical models using PySpark for large\-scale datasets.
* Develop predictive and prescriptive models to support decision\-making in areas such as demand forecasting, routing, and inventory management.
* Collaborate with cross\-functional teams including operations, product, and engineering to translate business challenges into analytical solutions.
* Communicate insights and recommendations clearly to stakeholders through data storytelling, visualizations, and presentations
* Share your passion for Data Science with the broader enterprise community; identify and develop long\-term processes, frameworks, tools, methods and standards
* Collaborate, coach, and learn with a growing team of experienced Data Scientists.
* Stay connected with external sources of ideas through conferences and community engagements
**Requirements**
* 6\+ years of professional experience in Data Science, Analytics, or related roles.
* Design, build, and optimize forecasting models (time series, demand forecasting, predictive analytics)
* Strong programming skills in Python with demonstrated use of scientific computing libraries (NumPy, Pandas, SciPy, scikit\-learn, etc.).
* Experience with PySpark for large\-scale data processing and analytics.
* Hands‑on in experimentation, diagnostics, and evaluation, comfortable operating with imperfect data and iterative validation; experience supporting merchandising, assortment planning, or supply‑chain decisions in a large enterprise environment
* Develop and tune tree\-based models (Random Forest, Gradient Boosting, XGBoost, LightGBM, CatBoost)
* Strong analytical, problem\-solving, and communication skills
* Experience developing models from inception to deployment
**Benefits**
 This position offers an excellent opportunity for significant career development in a fast\-growing and challenging entrepreneurial environment with a high degree of individual responsibility.
***Tiger Analytics provides equal employment opportunities to applicants and employees without regard to race, color, religion, age, sex, sexual orientation, gender identity/expression, pregnancy, national origin, ancestry, marital status, protected veteran status, disability status, or any other basis as protected by federal, state, or local law.***</t>
        </is>
      </c>
    </row>
    <row r="9">
      <c r="A9" t="inlineStr">
        <is>
          <t>li-4120820950</t>
        </is>
      </c>
      <c r="B9" t="inlineStr">
        <is>
          <t>Data Scientist, Product Analytics</t>
        </is>
      </c>
      <c r="C9" t="inlineStr">
        <is>
          <t>Meta</t>
        </is>
      </c>
      <c r="D9" t="inlineStr">
        <is>
          <t>linkedin</t>
        </is>
      </c>
      <c r="E9" t="inlineStr"/>
      <c r="F9" t="inlineStr"/>
      <c r="G9" t="inlineStr">
        <is>
          <t>Washington, DC</t>
        </is>
      </c>
      <c r="H9" t="inlineStr"/>
      <c r="I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li-4038954365</t>
        </is>
      </c>
      <c r="B10" t="inlineStr">
        <is>
          <t>Data Scientist (New York)</t>
        </is>
      </c>
      <c r="C10" t="inlineStr">
        <is>
          <t>The Voleon Group</t>
        </is>
      </c>
      <c r="D10" t="inlineStr">
        <is>
          <t>linkedin</t>
        </is>
      </c>
      <c r="E10" t="inlineStr"/>
      <c r="F10" t="inlineStr"/>
      <c r="G10" t="inlineStr">
        <is>
          <t>New York, United States</t>
        </is>
      </c>
      <c r="H10" t="inlineStr"/>
      <c r="I10"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finance and technology professionals.
 In addition to our enriching and collegial working environment, we offer highly competitive compensation and benefits packages, technology talks by our experts, a beautiful modern office, daily catered lunches, and more.
 The Voleon Group is forming a new team to help advance our data\-driven investment initiatives. As a Data Scientist, you will be responsible for harvesting insights from a complex array of data.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11">
      <c r="A11" t="inlineStr">
        <is>
          <t>li-4300697351</t>
        </is>
      </c>
      <c r="B11" t="inlineStr">
        <is>
          <t>Data Scientist</t>
        </is>
      </c>
      <c r="C11" t="inlineStr">
        <is>
          <t>Procter &amp; Gamble</t>
        </is>
      </c>
      <c r="D11" t="inlineStr">
        <is>
          <t>linkedin</t>
        </is>
      </c>
      <c r="E11" t="inlineStr"/>
      <c r="F11" t="inlineStr"/>
      <c r="G11" t="inlineStr">
        <is>
          <t>Cincinnati, OH</t>
        </is>
      </c>
      <c r="H11" t="inlineStr"/>
      <c r="I11" t="inlineStr">
        <is>
          <t>**Job Location**
 CINCINNATI GENERAL OFFICES
**Job Description**
 Do you enjoy solving billion\-dollar data science problems across trillions of data points? Are you passionate about working at the cutting edge of interdisciplinary boundaries, where computer science meets hard science? If you like turning untidy data into nonobvious insights and surprising business leaders with the transformative power of Artificial Intelligence (AI), including Generative and Agentic AI, we want you on our team at P\&amp;G.
 As a Data Scientist in our organization, you will play a crucial role in disrupting current business practices by designing and implementing innovative models that enhance our processes. You will be expected to constructively research, design, and customize algorithms tailored to various problems and data types. Utilizing your expertise in Operations Research (including optimization and simulation) and machine learning models (such as tree models, deep learning, and reinforcement learning), you will directly contribute to the development of scalable Data Science algorithms. Your work will also integrate advanced techniques from Generative and Agentic AI to create more dynamic and responsive models, enhancing our analytical capabilities. You will collaborate with Data and AI Engineering teams to productionize these solutions, applying exploratory data analysis, feature engineering, and model building within cloud environments on massive datasets to deliver accurate and impactful insights. Additionally, you will mentor others as a technical coach and become a recognized expert in one or more Data Science techniques, quantifying the improvements in business outcomes resulting from your work.
 Key Responsibilities:
* Algorithm Design \&amp; Development: Directly contribute to the design and development of scalable Data Science algorithms.
* Collaboration: Work closely with Data and Software Engineering teams to effectively productionize algorithms.
* Data Analysis: Apply thorough technical knowledge to large datasets, conducting exploratory data analysis, feature engineering, and model building.
* Coaching \&amp; Mentorship: Develop others as a technical coach, sharing your expertise and insights.
* Expertise Development: Become a known expert in one or multiple Data Science techniques and methodologies.
**Job Qualifications**
**Required Qualifications:**
* Education: Pursuing or has graduated with a Master’s degree in a quantitative field (Operations Research, Computer Science, Engineering, Applied Mathematics, Statistics, Physics, Analytics, etc.) or possess equivalent work experience.
* Technical Skills: Proficient in programming languages such as Python and familiar with data science/machine learning libraries like OpenCV, scikit\-learn, PyTorch, TensorFlow/Keras, and Pandas. Demonstrated ability to develop and test code within cloud environments.
* Communication: Strong written and verbal communication skills, with the ability to influence others to take action.
**Preferred Qualifications:**
* Analytic Methodologies: Experience applying analytic methodologies such as Machine Learning, Optimization, Simulation, and Generative and Agentic AI to real\-world problems.
* Continuous Learning: A commitment to lifelong learning, keeping up to date with the latest technology trends, and a willingness to teach others while learning new techniques.
* Data Handling \&amp; Cloud: Experience with large datasets and developing in cloud computing platforms such as GCP or Azure.
* DevOps Familiarity: Familiarity with DevOps environments, including tools like Git and CI/CD practices.
 Immigration Sponsorship is not available for this role. For more information regarding who is eligible for hire at P\&amp;G along with other work authorization FAQ’s, please click HERE.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R000135859
**Job Segmentation**
 Entry Level
**Starting Pay / Salary Range**
 $85,000\.00 \- $115,000\.00 / year</t>
        </is>
      </c>
    </row>
    <row r="12">
      <c r="A12" t="inlineStr">
        <is>
          <t>li-4378186437</t>
        </is>
      </c>
      <c r="B12" t="inlineStr">
        <is>
          <t>Data Scientist</t>
        </is>
      </c>
      <c r="C12" t="inlineStr">
        <is>
          <t>Next Ventures</t>
        </is>
      </c>
      <c r="D12" t="inlineStr">
        <is>
          <t>linkedin</t>
        </is>
      </c>
      <c r="E12" t="inlineStr"/>
      <c r="F12" t="inlineStr"/>
      <c r="G12" t="inlineStr"/>
      <c r="H12" t="inlineStr"/>
      <c r="I12" t="inlineStr">
        <is>
          <t>I am partnered with a company who have built a technology platform that provides the end to end orchestration of data, systems and applications to manage connected spaces as an integrated technology platform.
 They are looking for a Data Scientist to join their Platform Team and lead the development of advanced analytics and predictive modeling in the sports and entertainment venue space. As an early hire on this team, it will allow you to design and implement machine learning models that will use real time data and make an impact from Day One.
**Responsibilities** 
* Develop predictive models for fan behaviour including attendance prediction, purchasing patterns, and personalization using advanced ML techniques
* Build real\-time scoring engines for pricing and targeted marketing
* Implement feature engineering pipelines
* Design frameworks, including A/B testing and casual inference
* Lead statistical analysis and create reports
**Qualifications** 
* Masters or PhD in a STEM related field
* 3\+ years experience in building and deploying Machine Learning models into a production environment
* Experience in using Real Time Data
* Experience with Azure and Snowflake
* Knowledge of MLOps (MLflow and Kubeflow)
* Tools: PyTorch, PySpark, Tensorflow, Time Series</t>
        </is>
      </c>
    </row>
    <row r="13">
      <c r="A13" t="inlineStr">
        <is>
          <t>li-4380364216</t>
        </is>
      </c>
      <c r="B13" t="inlineStr">
        <is>
          <t>Data Scientist | Remote Work</t>
        </is>
      </c>
      <c r="C13" t="inlineStr">
        <is>
          <t>Mercor</t>
        </is>
      </c>
      <c r="D13" t="inlineStr">
        <is>
          <t>linkedin</t>
        </is>
      </c>
      <c r="E13" t="inlineStr"/>
      <c r="F13" t="inlineStr"/>
      <c r="G13" t="inlineStr"/>
      <c r="H13" t="inlineStr"/>
      <c r="I13" t="inlineStr">
        <is>
          <t>**About The Job**
**Mercor** 
 connects elite creative and technical talent with leading AI research labs. Headquartered in San Francisco, our investors include
 **Benchmark** 
 ,
 **General Catalyst** 
 ,
 **Peter Thiel** 
 ,
 **Adam D'Angelo** 
 ,
 **Larry Summers** 
 , and
 **Jack Dorsey** 
 .
**Position:** 
 Data Scientist IV
**Type:** 
**Onsite**
**Compensation:** 
**$105–$125/hour**
**Location:** 
**NYC**
**Role Responsibilities**
* Execute, debug, and optimize distributed compute workflows for metric computation, analysis, and modeling across large datasets.
* Apply knowledge of statistics, machine learning, programming, data modeling, and advanced mathematics to recognize patterns and identify opportunities.
* Design, develop, and evaluate predictive models and advanced algorithms for optimal value extraction from biosensor data.
* Generate and test hypotheses, analyzing and interpreting results of product experiments.
* Collaborate with engineers to translate prototypes into new products, services, and features, providing guidelines for large\-scale implementation.
* Leverage data visualization to guide future R\&amp;D directions.
**Qualifications**
**Must\-Have**
* Experience with hardware sensors and data analysis of real\-world data.
* Experience with signal processing for time domain signals and/or medical imaging systems.
* Experience presenting findings from statistical and machine learning methods to diverse audiences.
* Experience working with large datasets.
* 3\+ years of experience in data extraction, manipulation, and visualization using Python, R, MATLAB, or SQL.
* Proficiency in data structures and algorithms.
* Experience with scientific computing and analysis packages such as NumPy, SciPy, Pandas, Scikit\-learn, dplyr, caret.
* Experience with data visualization libraries such as Matplotlib, Pyplot, seaborn, ggplot2\.
**Preferred**
* Master's or PhD in computer science, statistics, neuroscience, biomedical engineering, or other relevant field.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4">
      <c r="A14" t="inlineStr">
        <is>
          <t>li-4362344432</t>
        </is>
      </c>
      <c r="B14" t="inlineStr">
        <is>
          <t>Data Scientist (Agentic AI)</t>
        </is>
      </c>
      <c r="C14" t="inlineStr">
        <is>
          <t>Bioscope AI</t>
        </is>
      </c>
      <c r="D14" t="inlineStr">
        <is>
          <t>linkedin</t>
        </is>
      </c>
      <c r="E14" t="inlineStr"/>
      <c r="F14" t="inlineStr"/>
      <c r="G14" t="inlineStr">
        <is>
          <t>Boston, MA</t>
        </is>
      </c>
      <c r="H14" t="inlineStr"/>
      <c r="I14" t="inlineStr">
        <is>
          <t>**About The Role**
 We're looking for a Data Scientist to build intelligent AI agents and retrieval systems that power our clinical platform. You'll design multi\-step reasoning systems, agent architectures, and the underlying knowledge infrastructure that enables AI to autonomously navigate complex clinical workflows.
**What You'll Do**
* Design and build AI agents capable of multi\-step clinical reasoning and tool use
* Develop multi\-agent systems that coordinate specialized AI components for complex analysis
* Build intelligent retrieval and RAG systems that ground agent actions in relevant patient data
* Create agent orchestration frameworks that handle diverse clinical workflows
* Implement document understanding pipelines for structured extraction from clinical documents
* Optimize agent performance, reliability, and cost efficiency
**Qualifications**
**Required**
* Strong foundation in deep learning frameworks (PyTorch) and LLM architectures
* Experience building LLM\-powered agents or multi\-step reasoning systems
* Familiarity with agent frameworks and tool\-use patterns
* Experience with retrieval systems, embeddings, and vector databases
* Proficiency in Python and modern ML development tools
* Ability to read and implement research papers
* Excellent communication skills
**Preferred**
* Master's degree in Computer Science, Machine Learning, or related quantitative field (PhD preferred)
* Publications in ML/AI/NLP venues (NeurIPS, ICML, ICLR, ACL, EMNLP)
* Experience with multi\-agent coordination or orchestration systems
* Background in healthcare data or clinical workflows
* Experience with reinforcement learning for agent optimization (PPO, etc.)
* Familiarity with document processing and information extraction</t>
        </is>
      </c>
    </row>
    <row r="15">
      <c r="A15" t="inlineStr">
        <is>
          <t>li-4380309730</t>
        </is>
      </c>
      <c r="B15" t="inlineStr">
        <is>
          <t>Data Scientist</t>
        </is>
      </c>
      <c r="C15" t="inlineStr">
        <is>
          <t>Wiraa</t>
        </is>
      </c>
      <c r="D15" t="inlineStr">
        <is>
          <t>linkedin</t>
        </is>
      </c>
      <c r="E15" t="inlineStr"/>
      <c r="F15" t="inlineStr"/>
      <c r="G15" t="inlineStr"/>
      <c r="H15" t="inlineStr"/>
      <c r="I15" t="inlineStr">
        <is>
          <t>**About The Company**
 SoFi is a leading personal finance company dedicated to helping individuals achieve their financial goals through innovative products and services. With a focus on technology\-driven solutions, SoFi offers a comprehensive suite of lending, investment, and banking services designed to provide accessible and transparent financial options. The company's mission is to empower members to reach financial independence and build wealth through a combination of cutting\-edge data analytics, customer\-centric approaches, and a commitment to financial literacy and inclusion.
**About The Role**
 We are seeking a highly skilled and experienced Credit Risk Manager/Staff Data Scientist to join our Loss Forecasting and Risk Analytics Team within SoFi’s Credit division. In this pivotal role, you will be responsible for developing and refining loss forecast models across various lending products, including Personal Loans, Student Loan Refinances, and Private Student Loans. Your expertise will contribute to the performance analysis of these products, utilizing empirical measurements and advanced machine learning techniques to forecast losses accurately. You will collaborate closely with cross\-functional teams such as Business Units, Finance, Accounting, Credit, and Independent Risk Management to ensure that loss projections are aligned with strategic business objectives and risk appetite.
 The ideal candidate will possess extensive experience in data analytics, statistical modeling, and machine learning, with proficiency in Python, SQL, and other analytical tools. Strong problem\-solving abilities, excellent communication skills, and a deep understanding of consumer lending are essential for success in this role. Your insights will help shape risk strategies, optimize loss prevention measures, and support proactive planning for economic fluctuations, ultimately contributing to SoFi’s growth and stability.
**Qualifications**
* 7\+ years of relevant experience in data analysis, risk modeling, or related fields.
* Master’s or PhD degree in Statistics, Data Science, Economics, or a related discipline.
* Proven expertise in developing loss forecasting models and projections for consumer lending products.
* Strong proficiency in Python, SQL, and data visualization tools such as Tableau.
* Experience in credit loss forecasting and risk management strategies.
* Knowledge of macroeconomic data integration and stress testing frameworks.
* Excellent communication and presentation skills, with the ability to convey complex analysis to diverse audiences.
* Business acumen within the consumer lending industry, including loans or credit cards.
* Demonstrated ability to analyze large datasets and derive actionable insights.
**Responsibilities**
* Develop accurate loss projections for SoFi’s lending products, including Personal Loans, Student Loan Refinances, and Private Student Loans.
* Conduct statistical analysis to extract strategic insights from data, informing decision\-making related to loss prevention and profitability.
* Build and enhance stress testing frameworks utilizing macroeconomic data to prepare for economic downturns.
* Improve forecasting accuracy and operational productivity through continuous model refinement and process optimization.
* Document methodologies and ensure robust controls over forecasting procedures.
* Explore external credit data sources to identify market and industry trends impacting loss forecasts.
* Collaborate with Business Units, Operations, Product, Capital Markets, Finance, and Risk teams to communicate loss expectations and trends effectively.
* Contribute to a dynamic team environment by bringing innovative ideas, data sources, and analytical capabilities to solve complex risk challenges.
**Benefits**
* Competitive base salary within the range of $153,600 to $264,000, commensurate with experience and location.
* Annual bonus eligibility and potential long\-term incentives.
* Comprehensive benefits package including health, dental, and vision insurance.
* Retirement savings plans and other financial wellness programs.
* Opportunities for professional development and career growth within a rapidly expanding company.
* Collaborative and innovative work environment with talented industry leaders.
 Equal Opportunity
 SoFi is an equal employment opportunity employer. We are committed to fostering an inclusive environment where all employees and applicants are treated with respect and fairness. We do not discriminate based on race, color, religion, sex, gender identity, gender expression, national origin, age, disability, medical condition, marital status, sexual orientation, genetic information, military or veteran status, or any other protected characteristic under applicable law. We welcome candidates from diverse backgrounds and are dedicated to providing equal opportunities for all.</t>
        </is>
      </c>
    </row>
    <row r="16">
      <c r="A16" t="inlineStr">
        <is>
          <t>li-4371053798</t>
        </is>
      </c>
      <c r="B16" t="inlineStr">
        <is>
          <t>Data Scientist</t>
        </is>
      </c>
      <c r="C16" t="inlineStr">
        <is>
          <t>Motorola Solutions</t>
        </is>
      </c>
      <c r="D16" t="inlineStr">
        <is>
          <t>linkedin</t>
        </is>
      </c>
      <c r="E16" t="inlineStr"/>
      <c r="F16" t="inlineStr"/>
      <c r="G16" t="inlineStr">
        <is>
          <t>Schaumburg, IL</t>
        </is>
      </c>
      <c r="H16" t="inlineStr"/>
      <c r="I16"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worldwide, our work supports those who put their lives on the line to keep us safe. Bring your passion, potential, and talents to Motorola Solutions, and help us usher in a new era in public safety and security.
**Job Description**
 We are seeking a highly skilled and motivated Data Scientist to join our team. The ideal candidate will be responsible for leveraging large datasets to uncover actionable insights, drive business strategy, and solve complex problems. This role requires a strong background in statistical analysis, machine learning, and data visualization, with a keen ability to translate data into compelling narratives for both technical and non\-technical audiences.
**Key Responsibilities**
* Data Analysis \&amp; Insight Generation: Collect, clean, and analyze complex datasets from various sources to identify trends, patterns, and anomalies. Develop and apply statistical models and algorithms to generate actionable insights that inform business decisions.
* Model Development: Design, build, and deploy predictive models and machine learning algorithms to solve business challenges, such as forecasting, customer segmentation, and fraud detection.
* Data Visualization \&amp; Reporting: Create clear, compelling visualizations and reports to communicate findings and recommendations. Present complex data in an understandable format to stakeholders at all levels of the organization.
* Cross\-functional Collaboration: Partner with engineering, product management, and business teams to understand their needs, define key metrics, and support data\-driven decision\-making.
* Problem\-Solving: Proactively identify opportunities to use data to improve processes, products, and services. Troubleshoot and optimize existing models and data pipelines.
**Preferred Qualification As And Skills**
* Bachelor’s or Master’s degree in a quantitative field such as Computer Science, Statistics, Mathematics, or a related discipline.
* Proven experience as a Data Scientist or in a similar role.
* Experience with data visualization tools (e.g., Tableau, Power BI, Matplotlib).
* Solid understanding of statistical analysis, machine learning techniques, and experimental design.
* Excellent communication and presentation skills, with the ability to explain complex analytical concepts to diverse audiences.
 Target Base Salary Range: $85,000\-$95,000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or Master’s degree in a quantitative field such as Computer Science, Statistics, Mathematics, or a related discipline.
* 1\-2 years of Data Scientist experience
* Legal authorization to work in the U.S. indefinitely is required. Employer work permit sponsorship is not available for this position.
 Travel Requirements
 Under 10%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7">
      <c r="A17" t="inlineStr">
        <is>
          <t>li-4370944691</t>
        </is>
      </c>
      <c r="B17" t="inlineStr">
        <is>
          <t>Data Scientist, Applied Analytics</t>
        </is>
      </c>
      <c r="C17" t="inlineStr">
        <is>
          <t>Prodege, LLC</t>
        </is>
      </c>
      <c r="D17" t="inlineStr">
        <is>
          <t>linkedin</t>
        </is>
      </c>
      <c r="E17" t="inlineStr"/>
      <c r="F17" t="inlineStr"/>
      <c r="G17" t="inlineStr">
        <is>
          <t>California, United States</t>
        </is>
      </c>
      <c r="H17" t="inlineStr"/>
      <c r="I17" t="inlineStr">
        <is>
          <t>**Job Description**
****Strategic Imperative:****
 The
 **Data Scientist, Applied Analytics** 
 is responsible for driving insights to drive decision\-making across the business through rigorous analysis, experimentation, and business\-focused data science. This role applies statistical methods, behavioral analysis, and data visualization to understand user behavior, optimize lifecycle marketing, evaluate product and monetization strategies, and inform how offers, incentives, and experiences are designed. Key interactions will occur with business and product stakeholders, informing business prioritization decisions.
 This position is centered on hands\-on analytics, experimentation, and business impact. While the role may involve building analytical or predictive models as a means for key analysis, this role is not focused on live production models or ML Ops.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 We are seeking candidates who reside in the continental US. Work Visa sponsorship is available for qualified candidates. \*\*\*
**Primary Objectives**
* Data Analysis \&amp; Insights Development: Drive data\-informed progress across priority business areas by delivering rigorous analysis, actionable insights, and close partnership on optimization initiatives.
* User Intelligence, Segmentation \&amp; Marketing Enablement: Develop and operationalize user\-level insights, segmentation frameworks, and behavioral analysis that enable smarter targeting, personalization, and lifecycle engagement across growth and marketing programs.
* Experimentation, Learning \&amp; Strategic Insight: Enable confident decision\-making through statistically sound experimentation, structured insight generation, and systematic documentation of learnings to inform business planning, long\-term strategy, and continuous improvement.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 Analytical Insights \&amp; Decision Support:
+ Aid executive decision making by answering key questions about user behavior.
+ Enable marketing decisions by conducting rigorous analyses of user acquisition, activation, and lifecycle performance to identify drivers and opportunities.
+ Translate complex datasets into clear, actionable insights that inform product, marketing, and revenue strategy.
+ Partner with cross\-functional stakeholders to evaluate initiatives, diagnose performance issues, identify optimization opportunities, and build optimization frameworks.
+ Communicate findings through compelling narratives and visualizations that support confident, data\-driven decisions.
+ Document learnings and provide a clear understanding of underlying business dynamics.
+ Prototype and discover early stage ML models as appropriate to support advancement of key business areas.
* Experimentation \&amp; Measurement:
+ Design, analyze, and interpret A/B tests and controlled experiments to evaluate product features, marketing programs, incentives, and monetization strategies.
+ Establish best practices for experimental design, statistical validity, and result interpretation to ensure reliable decision\-making.
+ Measure incremental impact, causal effects, and business outcomes across lifecycle stages including acquisition, activation, retention, and re\-engagement.
+ Partner with Product, Growth, and Marketing teams to define hypotheses, success metrics, and post\-test actions.
+ Document experimental results and key learnings in a centralized knowledge base to promote reuse, transparency, and continuous improvement.
* Data Semantics \&amp; Feature Enablement
+ Collaborate with BI team by informing data requirements for the semantic layer.
+ Expose behavioral learnings to Data Scientists \&amp; ML team to inform feature development.
****What does SUCCESS look like?****
 Success in this role is demonstrated by consistently translating data into clear, actionable decisions that improve product performance, lifecycle marketing effectiveness, and monetization outcomes. This is reflected in well\-designed experiments and frameworks that drive confident business choices, analytical insights that meaningfully influence strategy, and strong partnerships with Analytics Engineering and Machine Learning through precise data definitions and feature guidance. Over time, success is evident in a growing body of documented learnings, trusted metrics, and a measurable impact on how the organization tests, learns, and optimizes.
****The MUST Haves:****
 (
 *ex: job cannot be done without these skills, education, experience, certifications, licenses* 
 )
* Bachelor’s or Master’s degree in Statistics, Economics, Data Science, Mathematics, or a related quantitative field.
* Three or more (3\+) years experience in applied analytics roles.
* Strong foundation in statistical analysis and experimental design, including hypothesis testing and causal reasoning.
* Understanding of frequentist and Bayesian statistical inference (e.g., PyMC) and demonstrated experience with A/B testing and experimentation frameworks.
* Experience leading the analysis and optimization of lifecycle marketing performance across the user journey.
* Fluency in SQL and ability to work with large, event\-level datasets in data warehouse environments (e.g., Snowflake, BigQuery, Redshift).
* Proficiency in Python/R (pandas, matplotlib/seaborn, tidyverse, or similar).
* Ability to develop effective data visualizations that clearly communicate insights to business stakeholders.
* Strong communication skills with the ability to translate complex analysis into clear, actionable business insights.
* High attention to data quality, metric definitions, and analytical rigor.
****The Nice to Haves:****
 (
 *preferred additional skills, education, experience, certifications, licenses* 
 )
* Experience in loyalty programs or performance marketing or market research.
* Advanced Python skills and familiarity with common ML packages.
* Experience building interactive dashboards in modern BI platforms.
* Experience with site and product analytics tools (e.g. Amplitude).
**Pay Transparency**
 The anticipated base salary range for this position is $150,000 to $180,000\.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18">
      <c r="A18" t="inlineStr">
        <is>
          <t>li-4370947654</t>
        </is>
      </c>
      <c r="B18" t="inlineStr">
        <is>
          <t>Data Scientist</t>
        </is>
      </c>
      <c r="C18" t="inlineStr">
        <is>
          <t>Prodege, LLC</t>
        </is>
      </c>
      <c r="D18" t="inlineStr">
        <is>
          <t>linkedin</t>
        </is>
      </c>
      <c r="E18" t="inlineStr"/>
      <c r="F18" t="inlineStr"/>
      <c r="G18" t="inlineStr">
        <is>
          <t>California, United States</t>
        </is>
      </c>
      <c r="H18" t="inlineStr"/>
      <c r="I18" t="inlineStr">
        <is>
          <t>**Job Description**
****Strategic Imperative:****
 The
 **Data Scientist** 
 role with a focus on Predictive Modeling, is responsible for developing, evaluating, and refining analytical and machine learning models that predict user behavior and optimize business outcomes across our suite of products. This role focuses on modeling, feature development, and offline evaluation to support performance marketing, insights and other strategic initiatives.
 The position applies statistical and machine learning techniques to large\-scale behavioral and transactional data to improve ranking, recommendation and yield optimization. While this role partners closely with Engineering and ML Engineering teams, it does not own production deployment, infrastructure, or MLOps.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 We are seeking candidates who reside in the continental US. Work Visa sponsorship is available for qualified candidates. \*\*\*
**Primary Objectives**
* Improve Yield Through Predictive Modeling: Drive yield optimization through the ideation and development of machine learning models for recommendations, ranking and yield optimization use cases
* Organizational Data Science Advancement: Expand the application of machine learning across business functions through identification of opportunities and modeling, analysis, and offline evaluation.
* Data Design: Leading feature engineering and defining key concepts to be formalized within the feature store.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 Business Translation \&amp; Modeling Framework Design:
+ Partner with Product and other business stakeholders to frame business problems into well\-defined modeling objectives and hypotheses.
+ Select appropriate modeling techniques (e.g., classification, regression, deep learning, reinforcement learning) based on use case and data characteristics.
+ Define success metrics and evaluation criteria that align model performance with business impact.
+ Document modeling assumptions, tradeoffs, and intended use to ensure clarity, transparency, and alignment across teams
* Data Analysis \&amp; Feature Development
+ Perform analysis on large\-scale behavioral and transactional datasets to identify patterns, drivers, and potential predictive signal
+ Engineer features from user behavior, lifecycle activity, offer attributes, and revenue data to support modeling objectives
+ Collaborate with ML team to ensure features properly registered within feature store
* Model Development \&amp; ML Collaboration:
+ Leverage appropriate modeling frameworks and packages to build high performing predictive models
+ Perform model tuning, validation, and comparison using appropriate metrics, cross\-validation, and offline testing frameworks
+ Interpret model outputs to assess business relevance, identify strengths and limitations, and validate against observed behavior
+ Leverage appropriate frequentist and Bayesian approaches to measure model performance and define strategies for balancing exploration and exploitation
+ Document modeling approaches, performance results, and learnings in model cards to support reuse, iteration, and long\-term knowledge building
+ Enable ML team to deploy models; collaborate on retraining and maintenance plans
****What does SUCCESS look like?****
 Success in this role is demonstrated by the delivery of predictive models that materially improve yield management and optimizes engagement and revenue. Over time, success is reflected in models that are trusted by stakeholders, features that consistently capture meaningful behavioral signals, and clear evidence that model\-driven decisions outperform prior approaches. Strong collaboration with Analytics Engineering and Machine Learning partners, thorough documentation of methods and learnings, and measurable business impact are hallmarks of high performance in this role.
****The MUST Haves:****
 (
 *ex: job cannot be done without these skills, education, experience, certifications, licenses* 
 )
* Bachelor’s or Master’s degree in Computer Science, Data Science, Statistics, Mathematics, or a related quantitative field
* Three or more (3\+) years experience performing deep data analysis and training machine learning models
* Strong foundation in machine learning and statistical modeling (classification, regression, ranking, optimization)
* Experience with ranking, recommendation systems, and personalization models
* Fluency in Python and common ML libraries (scikit\-learn, XGBoost/LightGBM, PyTorch, or TensorFlow)
* Fluency in SQL and ability to work with large, event\-level datasets in data warehouse environments (e.g., Snowflake, BigQuery, Redshift)
* Experience with feature engineering, model evaluation, and performance diagnostics
* Strong analytical reasoning and ability to translate business questions into modeling approaches
* Clear communication skills, particularly in explaining model results and tradeoffs to non\-technical stakeholders
* Understanding of ML Ops concepts and the ability to collaborate effectively with ML Engineering and ML Ops teams
* Excellent attention to detail
* Proficiency in critical thinking and problem solving.
****The Nice to Haves:** 
 (
 *preferred additional skills, education, experience, certifications, licenses* 
 )**
* Hands\-on experience managing ML deployments and designing feature stores and registries
* Experience with AI/ML frameworks such as LangChain, LLMs, and HuggingFace
* Worked with distributed data processing frameworks (Spark, Ray, Flink, Trino).
* Experience with ML experiment tracking (e.g., ML Flow)
* Experience in loyalty programs or performance marketing or market research
* Experience with contextual multi armed bandit algorithms or reinforcement learning
* Preference modeling methods used in Conjoint/MaxDiff
* Understanding of Bayesian statistics inference (e.g., PyMC)
**Pay Transparency**
 The anticipated base salary range for this position is $150,000 to $180,000\.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19">
      <c r="A19" t="inlineStr">
        <is>
          <t>li-4379404208</t>
        </is>
      </c>
      <c r="B19" t="inlineStr">
        <is>
          <t>Investment Data Product Owner &amp; Data Scientist (Private Equity)</t>
        </is>
      </c>
      <c r="C19" t="inlineStr">
        <is>
          <t>MFM Search LLC</t>
        </is>
      </c>
      <c r="D19" t="inlineStr">
        <is>
          <t>linkedin</t>
        </is>
      </c>
      <c r="E19" t="inlineStr"/>
      <c r="F19" t="inlineStr"/>
      <c r="G19" t="inlineStr"/>
      <c r="H19" t="inlineStr"/>
      <c r="I19" t="inlineStr">
        <is>
          <t>My client is a $3 trillion global pension fund currently expanding their presence in New York, NY.
 This role is part of the private equity portfolio monitoring team and is pivotal in ensuring robust asset oversight, effective risk management, and the continuous improvement of investment and relationship management processes. This person oversees the monitoring and evaluation of investment assets, ensuring compliance, timely reporting, and effective coordination across teams.
**Key Responsibilities:** 
* Responsible for the delivery of accurate data and investment insights used for PE (Private Equity) investment decision making
* Responsible for collating all PE data and reporting requirements from business stakeholders across the PE teams
* Ensure the completeness and accuracy of business requirements, data models, source\-to\-target mappings, and data quality control definitions
* Design data platform components to meet business requirements, encompassing Extract, Transform, Load (ETL) pipelines, metadata management, and data quality functionalities
* Ensure that industry best practices for testing to perform comprehensive unit testing of developed components have been established
* Responsible for ensuring any data exceptions and data quality issues are investigated
* Work with the global private equity team on various ad hoc reports
**Key Requirements:** 
* BSc in Computer Science (data analysis), Applied Math or Finance
* 5\-10 years’ experience as a data product owner within an asset owner / investment management organization within their data operations capability
* Proficiency in Python, rest APIs and SQL, data visualization
* Proficiency in ETL (Extract, Transform, Load) processes and tools
* Certification in Python, Power BI
* Knowledge of private equity / GP /LP data
* Good understanding of data management functions and usage of investment data in various forms
* Knowledge of financial data providers/source qualities. Experience navigating market data platforms for data sampling and review
* Ability to guide teams through complex financial data structures
* Proficient in using tools and methodologies to ensure data consistency, accuracy, and security, aligning with Data Governance best practices.</t>
        </is>
      </c>
    </row>
    <row r="20">
      <c r="A20" t="inlineStr">
        <is>
          <t>li-4370948601</t>
        </is>
      </c>
      <c r="B20" t="inlineStr">
        <is>
          <t>Data Scientist</t>
        </is>
      </c>
      <c r="C20" t="inlineStr">
        <is>
          <t>Prodege, LLC</t>
        </is>
      </c>
      <c r="D20" t="inlineStr">
        <is>
          <t>linkedin</t>
        </is>
      </c>
      <c r="E20" t="inlineStr"/>
      <c r="F20" t="inlineStr"/>
      <c r="G20" t="inlineStr"/>
      <c r="H20" t="inlineStr"/>
      <c r="I20" t="inlineStr">
        <is>
          <t>**Job Description**
****Strategic Imperative:****
 The
 **Data Scientist** 
 role with a focus on Predictive Modeling, is responsible for developing, evaluating, and refining analytical and machine learning models that predict user behavior and optimize business outcomes across our suite of products. This role focuses on modeling, feature development, and offline evaluation to support performance marketing, insights and other strategic initiatives.
 The position applies statistical and machine learning techniques to large\-scale behavioral and transactional data to improve ranking, recommendation and yield optimization. While this role partners closely with Engineering and ML Engineering teams, it does not own production deployment, infrastructure, or MLOps.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 We are seeking candidates who reside in the continental US. Work Visa sponsorship is available for qualified candidates. \*\*\*
**Primary Objectives**
* Improve Yield Through Predictive Modeling: Drive yield optimization through the ideation and development of machine learning models for recommendations, ranking and yield optimization use cases
* Organizational Data Science Advancement: Expand the application of machine learning across business functions through identification of opportunities and modeling, analysis, and offline evaluation.
* Data Design: Leading feature engineering and defining key concepts to be formalized within the feature store.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 Business Translation \&amp; Modeling Framework Design:
+ Partner with Product and other business stakeholders to frame business problems into well\-defined modeling objectives and hypotheses.
+ Select appropriate modeling techniques (e.g., classification, regression, deep learning, reinforcement learning) based on use case and data characteristics.
+ Define success metrics and evaluation criteria that align model performance with business impact.
+ Document modeling assumptions, tradeoffs, and intended use to ensure clarity, transparency, and alignment across teams
* Data Analysis \&amp; Feature Development
+ Perform analysis on large\-scale behavioral and transactional datasets to identify patterns, drivers, and potential predictive signal
+ Engineer features from user behavior, lifecycle activity, offer attributes, and revenue data to support modeling objectives
+ Collaborate with ML team to ensure features properly registered within feature store
* Model Development \&amp; ML Collaboration:
+ Leverage appropriate modeling frameworks and packages to build high performing predictive models
+ Perform model tuning, validation, and comparison using appropriate metrics, cross\-validation, and offline testing frameworks
+ Interpret model outputs to assess business relevance, identify strengths and limitations, and validate against observed behavior
+ Leverage appropriate frequentist and Bayesian approaches to measure model performance and define strategies for balancing exploration and exploitation
+ Document modeling approaches, performance results, and learnings in model cards to support reuse, iteration, and long\-term knowledge building
+ Enable ML team to deploy models; collaborate on retraining and maintenance plans
****What does SUCCESS look like?****
 Success in this role is demonstrated by the delivery of predictive models that materially improve yield management and optimizes engagement and revenue. Over time, success is reflected in models that are trusted by stakeholders, features that consistently capture meaningful behavioral signals, and clear evidence that model\-driven decisions outperform prior approaches. Strong collaboration with Analytics Engineering and Machine Learning partners, thorough documentation of methods and learnings, and measurable business impact are hallmarks of high performance in this role.
****The MUST Haves:****
 (
 *ex: job cannot be done without these skills, education, experience, certifications, licenses* 
 )
* Bachelor’s or Master’s degree in Computer Science, Data Science, Statistics, Mathematics, or a related quantitative field
* Three or more (3\+) years experience performing deep data analysis and training machine learning models
* Strong foundation in machine learning and statistical modeling (classification, regression, ranking, optimization)
* Experience with ranking, recommendation systems, and personalization models
* Fluency in Python and common ML libraries (scikit\-learn, XGBoost/LightGBM, PyTorch, or TensorFlow)
* Fluency in SQL and ability to work with large, event\-level datasets in data warehouse environments (e.g., Snowflake, BigQuery, Redshift)
* Experience with feature engineering, model evaluation, and performance diagnostics
* Strong analytical reasoning and ability to translate business questions into modeling approaches
* Clear communication skills, particularly in explaining model results and tradeoffs to non\-technical stakeholders
* Understanding of ML Ops concepts and the ability to collaborate effectively with ML Engineering and ML Ops teams
* Excellent attention to detail
* Proficiency in critical thinking and problem solving.
****The Nice to Haves:** 
 (
 *preferred additional skills, education, experience, certifications, licenses* 
 )**
* Hands\-on experience managing ML deployments and designing feature stores and registries
* Experience with AI/ML frameworks such as LangChain, LLMs, and HuggingFace
* Worked with distributed data processing frameworks (Spark, Ray, Flink, Trino).
* Experience with ML experiment tracking (e.g., ML Flow)
* Experience in loyalty programs or performance marketing or market research
* Experience with contextual multi armed bandit algorithms or reinforcement learning
* Preference modeling methods used in Conjoint/MaxDiff
* Understanding of Bayesian statistics inference (e.g., PyMC)
**Pay Transparency**
 The anticipated base salary range for this position is $150,000 to $180,000\.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21">
      <c r="A21" t="inlineStr">
        <is>
          <t>li-4380142879</t>
        </is>
      </c>
      <c r="B21" t="inlineStr">
        <is>
          <t>Data Scientist - Outsourcing</t>
        </is>
      </c>
      <c r="C21" t="inlineStr">
        <is>
          <t>WTW</t>
        </is>
      </c>
      <c r="D21" t="inlineStr">
        <is>
          <t>linkedin</t>
        </is>
      </c>
      <c r="E21" t="inlineStr"/>
      <c r="F21" t="inlineStr"/>
      <c r="G21" t="inlineStr">
        <is>
          <t>Charlotte, NC</t>
        </is>
      </c>
      <c r="H21" t="inlineStr"/>
      <c r="I21" t="inlineStr">
        <is>
          <t>**Description**
**Overview**
 We are seeking a skilled and intellectually curious Data Scientist with practical experience applying statistical, analytical, and machine learning methods to solve real‑world problems. This role requires strong technical foundations in applied statistics, predictive modeling, and data science workflows, along with the ability to translate complex findings into insights that drive business and operational decision‑making. Ideal candidates will have experience working with modern analytics tools and cloud platforms and may include recently matriculated Bachelor’s or Master’s degree candidates with meaningful hands‑on project, internship, or applied academic experience.
 Note: Employment\-based non\-immigrant visa sponsorship and/or assistance is not offered for this specific job opportunity.
**The Role**
**Key Responsibilities**
* Apply advanced descriptive and inferential statistical methods to explore data, evaluate hypotheses, and produce actionable insights.
* Build, optimize, and interpret regression models (linear, logistic), and classification models commonly used in data science, including tree‑based and ensemble methods.
* Develop robust data pipelines and analytic workflows using R or Python, including data ingestion, cleaning, feature engineering, and model deployment support.
* Construct high‑quality data visualizations, dashboards, and analytic stories that clearly communicate trends, relationships, and operational insights to diverse audiences.
* Write and optimize SQL queries for data extraction, transformation, and validation across relational data environments.
* Implement analytics solutions within cloud environments, such as Azure services, Azure Foundry, Blob Storage, and SharePoint, to support scalable data storage, processing, and reporting.
* Build and maintain analytical assets and reusable code to streamline recurring analyses and enhance data science capability.
* Partner with product, operational, and technology teams as an informed contributor in Agile development environments, applying concepts such as MVP thinking, user stories, iterative feedback cycles, and release planning.
* Engage with operational stakeholders—including client delivery, service center operations, and benefits administration teams—to provide data‑driven perspectives that support performance improvement, quality management, and client outcomes.
* Communicate modeling approaches, assumptions, risks, and results in a clear and credible manner to both technical and non‑technical audiences.
**Qualifications**
**The Requirements**
**Required Qualifications** 
* Bachelor’s or Master’s degree in Statistics, Data Science, Mathematics, or a related quantitative field.
* Demonstrated hands‑on experience with:
+ Applied statistics and exploratory data analysis
+ Regression modeling (linear and logistic)
+ Classification models and model evaluation techniques
+ R and/or Python, including key data science libraries
+ SQL, including intermediate query development
+ Data visualization tools or libraries (e.g., Power BI, Tableau, ggplot2\)
* Working familiarity with cloud analytics environments, file storage systems, and enterprise data access methods.
* Experience preparing and analyzing structured and unstructured datasets, with strong data‑wrangling capabilities.
* Ability to diagnose model performance issues, such as class imbalance, overfitting, feature interactions, and data quality constraints.
**Preferred Qualifications**
* Exposure to operations‑heavy environments such as benefits administration, service center operations, or outsourcing workflows.
* Understanding of operational and service metrics, including AHT, FCR, SLAs, CSAT, and related KPIs.
* Experience participating in Agile product development processes.
* Familiarity with visualization and BI tools used to deliver insights at scale.
**Key Attributes For Success**
* Strong analytical curiosity and a passion for solving complex data problems.
* Ability to work independently on technical tasks while contributing effectively to cross‑functional teams.
* Excellent communication skills, especially when translating statistical findings into practical business insights.
* A disciplined, detail‑oriented approach to data quality and model integrity.
* Comfort working in environments that blend analytics, operations, cloud technology, and client‑facing collaboration.
 This position will remain posted for a minimum of three business days from the date posted or until sufficient/appropriate candidate slate has been identified.
**Compensation And Benefits**
 Base salary range and benefits information for this position are being included in accordance with requirements of various state/local pay transparency legislation. Please note that base salaries may vary for different individuals in the same role based on several factors, including but not limited to location of the role, individual competencies, education/professional certifications, qualifications/experience, performance in the role and potential for revenue generation.
**Company Benefits**
 WTW provides a competitive benefit package which includes the following (eligibility requirements apply):
* Health and Welfare Benefits: Medical (including prescription coverage), Dental, Vision, Health Savings Account, Commuter Account, Health Care and Dependent Care Flexible Spending Accounts, Group Accident, Group Critical Illness, Life Insurance, AD\&amp;D, Group Legal, Identify Theft Protection, Wellbeing Program and Work/Life Resources (including Employee Assistance Program)
* Leave Benefits: Paid Holidays, Annual Paid Time Off (includes paid state/local paid leave where required), Short\-Term Disability, Long\-Term Disability, Other Leaves (e.g., Bereavement, FMLA, ADA, Jury Duty, Military Leave, and Parental and Adoption Leave), Paid Time Off (Washington State only)
* Retirement Benefits: Contributory Pension Plan and Savings Plan (401k).
 Pursuant to the San Francisco Fair Chance Ordinance and Los Angeles County Fair Chance Ordinance for Employers, we will consider for employment qualified applicants with arrest and conviction records.
 At WTW, we trust you to know your work and the people, tools and environment you need to be successful. The majority of our colleagues work in a ”hybrid” style, with a mix of remote, in\-person and in\-office interactions dependent on the needs of the team, role and clients. Our flexibility is rooted in trust and “hybrid” is not a one\-size\-fits\-all solution.
 We understand flexibility is key to supporting an inclusive and diverse workforce and so we encourage requests for all types of flexible working as well as location\-based arrangements. Please speak to your recruiter to discuss more.
 EOE, including disability/vets</t>
        </is>
      </c>
    </row>
    <row r="22">
      <c r="A22" t="inlineStr">
        <is>
          <t>li-4380347368</t>
        </is>
      </c>
      <c r="B22" t="inlineStr">
        <is>
          <t>Data Scientist [Multiple Positions Available]</t>
        </is>
      </c>
      <c r="C22" t="inlineStr">
        <is>
          <t>JPMorganChase</t>
        </is>
      </c>
      <c r="D22" t="inlineStr">
        <is>
          <t>linkedin</t>
        </is>
      </c>
      <c r="E22" t="inlineStr"/>
      <c r="F22" t="inlineStr"/>
      <c r="G22" t="inlineStr">
        <is>
          <t>Houston, TX</t>
        </is>
      </c>
      <c r="H22" t="inlineStr"/>
      <c r="I22" t="inlineStr">
        <is>
          <t>**Job Description**
 Duties: Identify and analyze cross\-line\-of\-business involving customer interaction with various financial products and services including checking account and credit card, checking account and loan, for a holistic view of the customer. Develop insights, methods or tools using various analytic methods. Handle large amounts of data from multiple and disparate sources, to ensure efficiency and accuracy. Perform financial analysis using key performance indicators (KPIs) to evaluate and enhance business decisions. Analyze and categorize descriptions of checking account transactions for enhanced financial insights. Analyze third\-party bureau data such as Experian to determine small business clients' credit relationships with other financial institutions to understand overall credit risk. Utilize advanced data analytics to monitor and evaluate customer transactions, inflows and outflows including small business revenue and expenses, facilitating the early detection of potential credit risks. Implement anomaly detection techniques to identify small businesses at risk of closure or attrition, enhancing proactive customer retention strategies.
**Qualifications**
 Minimum education and experience required: Master's degree in Analytics, Data Science, Data Analytics, or related field of study plus 2 years of experience in the job offered or as Data Scientist, Business Analyst, or related occupation.
 Skills Required: This position requires two (2\) years of experience with the following: Data manipulation, data structuring, data design flow and query optimization using SQL; Performing tasks automation, data design flow and statistical analysis using Python v3\.8 for advanced data manipulation and visualization; Creating visualizations and analyzing business intelligence in Tableau; Performing data handling and query optimization with Snowflake; Running financial analysis such as ROI (Return on Investment) or NPV (Net Present Value) to find value of a financial product; Performing Big data analysis of account transaction text descriptions; Using multivariate regression, logistic regression, decision trees, and cohort analysis for Predictive modeling and Anomaly detection.
 Job Location: 8181 Communications Pkwy, Plano, TX 75024\.
 Full\-Time.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3">
      <c r="A23" t="inlineStr">
        <is>
          <t>li-4370616079</t>
        </is>
      </c>
      <c r="B23" t="inlineStr">
        <is>
          <t>Staff Product Data Scientist, Operation Center</t>
        </is>
      </c>
      <c r="C23" t="inlineStr">
        <is>
          <t>Waymo</t>
        </is>
      </c>
      <c r="D23" t="inlineStr">
        <is>
          <t>linkedin</t>
        </is>
      </c>
      <c r="E23" t="inlineStr"/>
      <c r="F23" t="inlineStr"/>
      <c r="G23" t="inlineStr">
        <is>
          <t>Mountain View, CA</t>
        </is>
      </c>
      <c r="H23" t="inlineStr"/>
      <c r="I2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Data Science team works cross\-functionally with Engineering, Product and Operations to help the company make the most informed decisions using data. Our team collaborates on high\-impact projects across the company — from driving quality and operational efficiency to market analysis and rider satisfaction scores — we help to safely and efficiently scale the Waymo Driver. We are data\-driven, curious, open\-minded, and adapt quickly to new information.
*This role follows a hybrid work schedule and you will report to the Manager of Product Data Science.*
**You Will**
* Develop and deploy statistical models to determine optimal staffing levels, ensuring rapid response times to AV and rider inquiries while upholding Waymo's safety standards
* Collaborate with Engineering to design and implement optimization models for request prioritization and queuing, driving cutting\-edge scalability for operations
* Conduct deep\-dive data analysis and trend evaluation to identify and execute on opportunities to improve Operations Center efficiency and customer experience
* Partner with Product and Operation to define metrics, measurement framework, and be a promoter of experimentation
* Build and maintain robust data foundations and reporting infrastructure
**You Have**
* Coding skills (Python and SQL),
* Experience with Modeling and Optimization
* At least 8 years of industry experience
* Strong Communication and Stakeholder \&amp; Management skills
**We Prefer**
* Experience with Experimentation
* Previous experience with Call Centers and queuing theory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$230,000—$292,000 USD</t>
        </is>
      </c>
    </row>
    <row r="24">
      <c r="A24" t="inlineStr">
        <is>
          <t>li-4379288449</t>
        </is>
      </c>
      <c r="B24" t="inlineStr">
        <is>
          <t>Applied Scientist</t>
        </is>
      </c>
      <c r="C24" t="inlineStr">
        <is>
          <t>Microsoft</t>
        </is>
      </c>
      <c r="D24" t="inlineStr">
        <is>
          <t>linkedin</t>
        </is>
      </c>
      <c r="E24" t="inlineStr"/>
      <c r="F24" t="inlineStr"/>
      <c r="G24" t="inlineStr">
        <is>
          <t>Redmond, WA</t>
        </is>
      </c>
      <c r="H24" t="inlineStr"/>
      <c r="I24" t="inlineStr">
        <is>
          <t>**Overview**
 With continued growth in digital data and the desire to leverage data to address problems that touch all aspects of our lives, Microsoft’s AI Platform is growing to meet these challenges! The AI Platform is hiring experienced engineers to join agile and diverse engineering teams in MAI.
 As an Applied Scientist in MAI, you would be responsible for data analysis, training and building models and shipping to production high quality experiences improving Bing products. This opportunity will allow you to accelerate your career growth, develop deep business acumen, hone your selling skills, and become adept at deal structuring.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You will gain a basic understanding of a broad area of research and applicable research techniques. You’ll also develop a basic knowledge of industry trends and share your knowledge with immediate team members.
* You will apply strategies provided by senior team members. Following guidance from team leaders you’ll also research relevant tools and technologies being used in the community.
* You will reinforce a positive environment by learning and adopting best practices. And you will maintain or develop ties with an external network of peers and identify prospective talent for Microsoft research pipelines when asked.
* You will assist with documentation for senior team members, as needed. You’ll also learn and follow ethics and privacy policies while executing research processes or collecting information.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
      <c r="A25" t="inlineStr">
        <is>
          <t>li-4379428189</t>
        </is>
      </c>
      <c r="B25" t="inlineStr">
        <is>
          <t>Data Scientist</t>
        </is>
      </c>
      <c r="C25" t="inlineStr">
        <is>
          <t>Smart IT Frame LLC</t>
        </is>
      </c>
      <c r="D25" t="inlineStr">
        <is>
          <t>linkedin</t>
        </is>
      </c>
      <c r="E25" t="inlineStr"/>
      <c r="F25" t="inlineStr"/>
      <c r="G25" t="inlineStr">
        <is>
          <t>Reston, VA</t>
        </is>
      </c>
      <c r="H25" t="inlineStr"/>
      <c r="I25" t="inlineStr">
        <is>
          <t>**Data Scientist** 
**Reston, VA** 
**Onsite** 
**Face to Face Interview** 
**Fulltime**</t>
        </is>
      </c>
    </row>
    <row r="26">
      <c r="A26" t="inlineStr">
        <is>
          <t>li-4370615121</t>
        </is>
      </c>
      <c r="B26" t="inlineStr">
        <is>
          <t>Staff Product Data Scientist, Operation Center</t>
        </is>
      </c>
      <c r="C26" t="inlineStr">
        <is>
          <t>Waymo</t>
        </is>
      </c>
      <c r="D26" t="inlineStr">
        <is>
          <t>linkedin</t>
        </is>
      </c>
      <c r="E26" t="inlineStr"/>
      <c r="F26" t="inlineStr"/>
      <c r="G26" t="inlineStr">
        <is>
          <t>San Francisco, CA</t>
        </is>
      </c>
      <c r="H26" t="inlineStr"/>
      <c r="I2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Data Science team works cross\-functionally with Engineering, Product and Operations to help the company make the most informed decisions using data. Our team collaborates on high\-impact projects across the company — from driving quality and operational efficiency to market analysis and rider satisfaction scores — we help to safely and efficiently scale the Waymo Driver. We are data\-driven, curious, open\-minded, and adapt quickly to new information.
*This role follows a hybrid work schedule and you will report to the Manager of Product Data Science.*
**You Will**
* Develop and deploy statistical models to determine optimal staffing levels, ensuring rapid response times to AV and rider inquiries while upholding Waymo's safety standards
* Collaborate with Engineering to design and implement optimization models for request prioritization and queuing, driving cutting\-edge scalability for operations
* Conduct deep\-dive data analysis and trend evaluation to identify and execute on opportunities to improve Operations Center efficiency and customer experience
* Partner with Product and Operation to define metrics, measurement framework, and be a promoter of experimentation
* Build and maintain robust data foundations and reporting infrastructure
**You Have**
* Coding skills (Python and SQL),
* Experience with Modeling and Optimization
* At least 8 years of industry experience
* Strong Communication and Stakeholder \&amp; Management skills
**We Prefer**
* Experience with Experimentation
* Previous experience with Call Centers and queuing theory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$230,000—$292,000 USD</t>
        </is>
      </c>
    </row>
    <row r="27">
      <c r="A27" t="inlineStr">
        <is>
          <t>li-4350682464</t>
        </is>
      </c>
      <c r="B27" t="inlineStr">
        <is>
          <t>Data Scientist</t>
        </is>
      </c>
      <c r="C27" t="inlineStr">
        <is>
          <t>ANSER</t>
        </is>
      </c>
      <c r="D27" t="inlineStr">
        <is>
          <t>linkedin</t>
        </is>
      </c>
      <c r="E27" t="inlineStr"/>
      <c r="F27" t="inlineStr"/>
      <c r="G27" t="inlineStr">
        <is>
          <t>Reston, VA</t>
        </is>
      </c>
      <c r="H27" t="inlineStr"/>
      <c r="I27"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**Position Summary**
 ANSER is seeking a Data Scientist to advance analytic efficiency and predictive capabilities across the Object\-Based Intelligence (OBI) enterprise. You will leverage data science, machine learning, and statistical techniques to analyze, model, and visualize complex multi\-INT datasets, delivering actionable insights that support OBI analytic production and decision\-making.
**Day\-to\-Day Responsibilities**
* Design, develop, and evaluate advanced algorithmic intelligence, data science, and AI techniques to support Object\-Based Intelligence (OBI) through all\-source analytic tradecraft, assessments, production, and dissemination.
* Propose and apply advanced statistical, mathematical, and experimental methodologies to identify alternatives, formulate models, and develop innovative analytic techniques.
* Research, prototype, and evaluate technologies that augment or automate all\-source analytic processes using computer models and advanced analytics.
* Leverage novel technologies (e.g., large language models, NLP, machine learning) to automate and enhance ontologies, entity recognition, extraction, and summarization in accordance with analytic tradecraft standards.
* Develop, refine, and optimize semantic data retrieval and reasoning across knowledge graphs using query languages and protocols (e.g., SPARQL, GraphQL, SHACL, SQL).
* Evaluate data science, AI, and analytic methods for bias, risk, limitations, and potential distortion of analytic conclusions, and support responsible AI practices.
* Execute Test, Evaluation, Verification, and Validation (TEVV) protocols to assess system performance, robustness, fairness, and tradecraft compliance in all\-source analysis contexts.
* Develop, track, analyze, and interpret qualitative and quantitative performance metrics to identify trends, gaps, and opportunities for system improvement.
* Collaborate with stakeholders to implement data\-driven decision\-making processes and best practices for system development, testing, deployment, and continuous improvement.
* Develop and refine methodologies for evaluating analytic systems, including validation, reasoning completeness, coverage, consistency, and fairness.
* Use data engineering, mining, exploratory, predictive, statistical, and scientific techniques to correlate data and produce graphical, written, visual, and verbal analytic products.
* Write and maintain Python or R scripts, use SQL, manage and merge disparate data sources, and develop scalable workflows for large, spatial, and multi\-INT datasets.
* Create and operate in distributed analytic environments, scaling algorithms to handle datasets exceeding system memory constraints.
* Work with ambiguous and complex information by deconstructing key questions, exploiting APIs and spatial data, suggesting methodologies, and developing data schemas.
* Provide consultation, governance guidance, documentation review, audit findings, and version\-controlled code contributions to advance OBI standards, knowledge modeling, and DIA analytic capabilities.
**Required Qualifications**
* TS/SCI with CI Poly clearance
* Bachelor’s degree in in Data Science, Computer Science, Statistics, Mathematics, or related technical field.
* Eight or more years of experience in data science, analytics, or machine learning in support of intelligence or defense missions.
* Proficiency in Python, R, and SQL, and experience with data visualization tools such as Power BI or Tableau.
* Demonstrated understanding of Object Based Intelligence frameworks.
* Demonstrated experience with predictive modeling, data mining, statistical analysis, and ML algorithms.
* Familiarity with knowledge graphs, semantic data modeling, and query languages (e.g., SPARQL, GraphQL).
* Experience developing, implementing, and evaluating AI/ML models for analytic efficiency and tradecraft compliance.
* Experience with large data multi\-INT analytics, machine learning (ML), and automated predictive analytics
* Skilled in data visualization and use of graphical applications, including Microsoft Office (Power BI) and Tableau; major data science languages, such as R and Python; managing and merging of disparate data sources, preferably through R, Python, or SQL; statistical analysis; and data mining algorithms.
**Preferred Qualifications**
* Experience supporting DIA, IC, or DoD analytic modernization or OBI initiatives.
* Knowledge of TEVV methodologies, bias detection, and fairness analysis for AI systems.
* Experience with distributed data processing, cloud\-based analytics, or large\-scale machine learning architectures.
* Knowledge of DoD 8570/8140 compliance and responsible AI policy frameworks.
* Working with in support of Defense Intelligence All\-source Analytic Enterprise (DIAAE) OBI efforts, the Defense Intelligence Enterprise Knowledge Model (DIEKM), and Defense Intelligence Core Ontology (DICO).
* Developing OBI governance and tradecraft to assist DIA and other DIAAE organizations conducting OBI.
 In compliance with the Americans with Disabilities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t>
        </is>
      </c>
    </row>
    <row r="28">
      <c r="A28" t="inlineStr">
        <is>
          <t>li-4380329595</t>
        </is>
      </c>
      <c r="B28" t="inlineStr">
        <is>
          <t>Data Scientist II</t>
        </is>
      </c>
      <c r="C28" t="inlineStr">
        <is>
          <t>Microsoft</t>
        </is>
      </c>
      <c r="D28" t="inlineStr">
        <is>
          <t>linkedin</t>
        </is>
      </c>
      <c r="E28" t="inlineStr"/>
      <c r="F28" t="inlineStr"/>
      <c r="G28" t="inlineStr">
        <is>
          <t>Redmond, WA</t>
        </is>
      </c>
      <c r="H28" t="inlineStr"/>
      <c r="I28"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We are looking for a
 **Data Scientist II** 
 to join our team!
 Microsoft Cloud Planning (MCP) is the central planning function within CSCP focused on forecasting, demand planning, and supply planning for all Microsoft Cloud services and associated hardware, directly impacting the success of Microsoft's cloud business.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**Business Impact**
* Understands customer goals, project requirements, and how data structures support business strategy.
* Supports project scoping, risk assessment, and planning while learning to identify opportunities for ML impact.
* Contributes insights from analyses that inform decisions and align with customer and organizational objectives.
* Applies a customer‑focused mindset when evaluating work, ensuring clarity in expectations, timelines, and value delivered.
**Coding \&amp; Debugging**
* Writes clear, maintainable code for features or models.
* Contributes to testing, optimization, and debugging.
* Helps document production‑ready code.
**Customer \&amp; Partner Orientation**
* Applies customer‑focused thinking to data science work.
* Manages expectations on progress and timelines.
* Supports interpretation and communication of results.
**Data Preparation and Understanding**
* Assists with data collection, exploration, and quality checks.
* Cleans, transforms, and organizes data using appropriate tools.
* Follows privacy and ethics policies while identifying data issues.
**Evaluating for Insight \&amp; Impact**
* Understands how model outputs relate to business goals.
* Helps test and evaluate models using real and test data.
* Reviews analysis choices and incorporates feedback.
**Modeling \&amp; Statistical Analysis**
* Learns and applies core modeling techniques.
* Supports research, prototyping, and productization of ML/AI methods.
**Qualifications**
*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4\+ years of coding experience with Python OR R (Python Preferred)– (1,000 or more lines of code)
* Experience with large\-scale parallel computing, PySpark and SparkR (or similar) strongly preferred.
* Prior experience using git (or similar) as a shared code repository for large projects preferred.
* Experience with Azure or similar cloud solutions preferred.
* Experience with forecasting, optimization, generative AI, or agentic AI strongly preferred.
* Strong background in statistical methods, data analysis and machine learning preferred
 \#CSCP \#CSCPJobs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
      <c r="A29" t="inlineStr">
        <is>
          <t>li-4380309589</t>
        </is>
      </c>
      <c r="B29" t="inlineStr">
        <is>
          <t>Senior Research Data Scientist</t>
        </is>
      </c>
      <c r="C29" t="inlineStr">
        <is>
          <t>Boston Children's Hospital</t>
        </is>
      </c>
      <c r="D29" t="inlineStr">
        <is>
          <t>linkedin</t>
        </is>
      </c>
      <c r="E29" t="inlineStr"/>
      <c r="F29" t="inlineStr"/>
      <c r="G29" t="inlineStr">
        <is>
          <t>Boston, MA</t>
        </is>
      </c>
      <c r="H29" t="inlineStr"/>
      <c r="I29" t="inlineStr">
        <is>
          <t>**Position Summary**
 The Cell Discovery Network (CDN) at Boston Children’s Hospital is seeking a Research Data Scientist to lead the development of a framework for modeling and reprogramming rare disease\-relevant cell types. This new initiative, inspired by recent progress in human organoid systems, iPSC\-based modeling, and single\-cell technologies, aims to unlock therapeutic strategies for neglected pediatric diseases by computationally guiding the discovery and modeling of disease\-critical cell states.
 This position offers the opportunity to integrate cutting\-edge computational methods (e.g., generative models, foundation models, optimal transport) with a deep understanding of human developmental biology and stem cell differentiation.
**Key Responsibilities**
* Curate and analyze public and in\-house datasets (including organoid and iPSC\-derived models).
* Identify rare or disease\-associated cell types from large\-scale single\-cell and organoid datasets.
* Determine where similar phenotypes have been observed across developmental systems or model organisms.
* Build and apply machine learning and AI models (e.g., generative or trajectory\-based models, foundation models) to identify and compare rare cell states.
* Model cellular trajectories and propose reprogramming strategies to reach desired cell phenotypes from accessible starting points (e.g., iPSCs).
* Prioritize therapeutic strategies for disease modeling and compound screening.
**Education**
 Minimum Qualifications
* Master's Degree in biology, bioinformatics, computer science or related study is required.
**Experience** 
 :
* 2 years of experience in computational biology, bioinformatics, machine learning, systems biology, or a related field is required.
* Minimum of two years of position\-specific experience might potentially include experience acquired through MSc or Ph.D. studies.
 The posted pay range is Boston Children’s reasonable and good\-faith expectation for this pay at the time of posting.
 Any base pay offer provided depends on skills, experience, education, certifications, and a variety of other job\-related factors. Base pay is one part of a comprehensive benefits package that includes flexible schedules, affordable health, vision and dental insurance, child care and student loan subsidies, generous levels of time off, 403(b) Retirement Savings plan, Pension, Tuition and certain License and Certification Reimbursement, cell phone plan discounts and discounted rates on T\-passes. Experience the benefits of passion and teamwork.</t>
        </is>
      </c>
    </row>
    <row r="30">
      <c r="A30" t="inlineStr">
        <is>
          <t>li-4318672016</t>
        </is>
      </c>
      <c r="B30" t="inlineStr">
        <is>
          <t>Senior Data Scientist</t>
        </is>
      </c>
      <c r="C30" t="inlineStr">
        <is>
          <t>Garner Health</t>
        </is>
      </c>
      <c r="D30" t="inlineStr">
        <is>
          <t>linkedin</t>
        </is>
      </c>
      <c r="E30" t="inlineStr"/>
      <c r="F30" t="inlineStr"/>
      <c r="G30" t="inlineStr">
        <is>
          <t>New York, NY</t>
        </is>
      </c>
      <c r="H30" t="inlineStr"/>
      <c r="I30" t="inlineStr">
        <is>
          <t>**Garner's mission is to transform the healthcare economy, delivering high\-quality and affordable care for all.**
 We are fundamentally reimagining how healthcare works in the U.S. by partnering with employers to redesign healthcare benefits using clear incentives and powerful, data\-driven insights. Our approach guides employees to higher\-quality, lower\-cost care, creating a system that works better for everyone. Patients achieve better health outcomes, employers spend healthcare dollars more effectively, and physicians are rewarded for delivering exceptional care rather than performing more procedures.
 Garner is one of the fastest\-growing healthcare technology companies in the country. Our products are trusted by the most sophisticated employers and providers in the industry, and we are building a team of talented, mission\-driven individuals who are motivated to make a meaningful impact on healthcare at scale.
**About the role:**
 We are seeking an exceptional Senior Data Scientist to work on the core systems that power our product, including but not limited to provider recommendation and population health algorithms, A/B testing for engagement and healthcare outcomes, and product analytics. You'll play a pivotal role in shaping how we use data to steer members to better healthcare outcomes, partnering with Product Managers and Engineers to deliver high performing systems at scale. Garner's member app guides members through their healthcare journey to ensure they receive high quality care while ensuring provider affordability and availability.
**Where you will work:**
 This role will be based in our New York City office. You must be willing to work in the office 3 days per week on Tuesday, Wednesday and Thursday.
**What you will do:**
* Build data\-driven algorithms that power Garner's recommendation engine
* Deliver systems that proactively identify high\-risk members and enable timely, customized care navigation interventions
* Own the KPIs and metrics that we use to measure the success of our member activation efforts, engagement tactics, and doctor recommendations
* Develop a strong understanding of the healthcare economy
**The ideal candidate has:**
* 3\+ years of experience using Python and SQL to build production, data\-driven algorithms
* Familiarity with optimization algorithms and applied machine learning techniques, including recommendation systems and gradient\-boosted models (e.g., XGBoost)
* Strong ability to match the right tools and techniques to real\-world problems.
* Strong communication skills and the ability to synthesize complex information for both business and technical stakeholders
* A desire to be a part of a high\-performing, mission\-driven team that operates with intense urgency, a strong sense of individual accountability, and a commitment to authentic feedback
**Technologies we use:**
* Python, SQL, AWS, Snowflake, pandas, XGBoost
 This is a unique opportunity to join a fast\-growing company in a transformative role, helping shape the future of healthcare.
**Please note: we are unable to sponsor or take over sponsorship of an employment visa at this time.**
**Compensation Transparency:**
 The target salary range for this position is $200,000 \- $240,000\.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t>
        </is>
      </c>
    </row>
    <row r="31">
      <c r="A31" t="inlineStr">
        <is>
          <t>li-4379177925</t>
        </is>
      </c>
      <c r="B31" t="inlineStr">
        <is>
          <t>Data Engineer/Data Scientist onsite in Nashville</t>
        </is>
      </c>
      <c r="C31" t="inlineStr">
        <is>
          <t>Capgemini</t>
        </is>
      </c>
      <c r="D31" t="inlineStr">
        <is>
          <t>linkedin</t>
        </is>
      </c>
      <c r="E31" t="inlineStr"/>
      <c r="F31" t="inlineStr"/>
      <c r="G31" t="inlineStr">
        <is>
          <t>North Carolina, United States</t>
        </is>
      </c>
      <c r="H31" t="inlineStr"/>
      <c r="I31" t="inlineStr">
        <is>
          <t>**Thanks for your interest, please apply only after reading 1 to 4\. You must work 100% in office in Nashville not remote from North Carolina, relocate at your own expense.** 
1. **You must starts April 13th 2026 at the 6 weeks training session, not able to start after**
2. **You must have graduated 2025 and before not graduating in 2026\.**
3. **You must have 1 year\+ minimum post graduate experience in AWS or Azure or Databricks or Google Cloud (internship experience not included)**
4. **You must work full time, not a contractor and no C2C**
**About the Role** 
 We are seeking a skilled
 **Data Engineer** 
 with hands\-on experience in
 **Databricks or AWS or Azure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 Design, build, and maintain
 **ETL/ELT pipelines** 
 using Databricks (PySpark, Delta Lake).
* Optimize pipelines for performance, cost efficiency, and scalability within GCP.
* Develop batch and streaming data processes using Spark Streaming, and related technologies.
**Cloud Architecture \&amp; Platform Engineering** 
* Implement data solutions leveraging
 **GCP services** 
 such as BigQuery, Cloud Storage, Dataflow, Cloud Composer, and Vertex AI integrations.
* Apply best practices for cloud security, IAM configuration, monitoring, and cost management.
**Data Modeling \&amp; Quality** 
* Build and maintain
 **data models** 
 , including dimensional modeling and data vault structures.
* Implement data quality frameworks, validation rules, and automated testing.
* Manage data versioning, governance, and lineage using tools such as Unity Catalog or GCP Data Catalog.
**Collaboration \&amp; Stakeholder Engagement** 
* Partner with cross‑functional teams to gather requirements and translate them into technical designs.
* Provide technical guidance and influence engineering best practices across the team.
* Contribute to documentation, architectural diagrams, and knowledge sharing.
**Required Qualifications** 
* 1\+ years of experience as a Data Engineer or similar role.
* Strong hands\-on experience with
 **Databricks** 
 , including:
* PySpark/Spark
* Delta Lake
* Databricks workflows/jobs
* Proficiency with
 **GCP** 
 :
* BigQuery
* Cloud Storage
* Dataflow or Dataproc
* Strong coding skills in
 **Python** 
 and SQL.
* Solid understanding of distributed systems, data warehousing, and data architecture principles.
* Experience with CI/CD tools (GitHub, GitLab, Azure DevOps, or similar).
**Preferred Qualifications** 
* Databricks or GCP certifications (e.g., Data Engineer, Architect).
* Experience with Terraform or other Infrastructure\-as\-Code tools.
* Knowledge of ML workflows or MLOps frameworks.
* Familiarity with data governance tools (Unity Catalog, Great Expectations, dbt, etc.).
**Soft Skills** 
* Excellent problem\-solving and analytical abilities.
* Strong communication skills and the ability to work effectively with technical and non\-technical teams.
*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2">
      <c r="A32" t="inlineStr">
        <is>
          <t>li-4361247361</t>
        </is>
      </c>
      <c r="B32" t="inlineStr">
        <is>
          <t>Data Scientist</t>
        </is>
      </c>
      <c r="C32" t="inlineStr">
        <is>
          <t>ECS</t>
        </is>
      </c>
      <c r="D32" t="inlineStr">
        <is>
          <t>linkedin</t>
        </is>
      </c>
      <c r="E32" t="inlineStr"/>
      <c r="F32" t="inlineStr"/>
      <c r="G32" t="inlineStr"/>
      <c r="H32" t="inlineStr"/>
      <c r="I32" t="inlineStr">
        <is>
          <t>**Job Description**
 ECS is seeking a
 ***Data Scientist***
 to work
 ***remotely***
 .
 **Please Note:** 
**This position is contingent upon contract award.**
 This Data Scientist role is full\-time supporting the Department of Veterans Affairs (VA), Office of Information Technology (OIT) Veteran Experience Services Eligibility and Enrollment (VESEE) Product Line. This role supports modernization of Eligibility and Enrollment to build a seamless experience for Veterans, their families, and caregivers and contributes to improving VA employee and Veteran lives and working towards a larger mission. The position will involve identifying methods to create valuable insights from existing data, and preparing and making data\-driven recommendations for business automation and other insights.
**Tasks For This Role Include**
* Data mining, statistical and graph\-based algorithms via technologies like R, Python, and PowerBI
* Identifying opportunities to leverage AI and emerging technologies
* Support efforts to improve the policies, procedures, and tools the agency has at its disposal to improve data quality
* Reviewing application and enterprise data models (conceptual, logical, physical) to identify data quality problems
* Writing code to ensure the performance and reliability of data extraction and processing
* Configuring test and training data sets for use by team members
* Collaborating with stakeholders to understand business requirements and translate them into data science solutions
*Salary Range: $90,000 \- $100,000*
**General Description Of Benefits**
 Required Skills
* Bachelor’s degree required
* 5\+ years experience
* Experience in design, analysis, and implementation of large\-scale, complex data architectures
* Good analytical skills with a focus on critical thinking, problem\-solving, numeric reasoning, and creativity
* Quantitative analysis including experience with SQL or statistical/mathematical software (e.g., R, SAS, Stata)
* Strong Python skills
* Knowledgeable in a breadth of statistical computer languages to manipulate data and draw insights from large data sets
* Knowledge of Data Management and Data Architecture concepts, Data Warehousing and Big Data tools, Data Analytics and applicable knowledge of Data Science concepts and tools
* Experience with data standardization and data governance processes
* Experience in analyzing data to draw business\-relevant conclusions, and ability to communicate them with data visualization techniques and tools
* Demonstrated strong communication and presentation skills (particularly to non\-technical audiences)
* Good team player, able to manage multiple assignments, and adapt to changing client needs
* Ability to work in a dynamic, collaborative, results\-driven environment
* Ability to obtain a Public Trust clearance
 Desired Skills
* Experience working with VA or other Federal agencies
* Experience in Federal Healthcare consulting
* Experience working with business improvement initiatives preferred
* Strong written and verbal communication skills including technical writing skills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33">
      <c r="A33" t="inlineStr">
        <is>
          <t>li-4378190342</t>
        </is>
      </c>
      <c r="B33" t="inlineStr">
        <is>
          <t>Transportation Data Scientist (Jr level)</t>
        </is>
      </c>
      <c r="C33" t="inlineStr">
        <is>
          <t>Leidos</t>
        </is>
      </c>
      <c r="D33" t="inlineStr">
        <is>
          <t>linkedin</t>
        </is>
      </c>
      <c r="E33" t="inlineStr"/>
      <c r="F33" t="inlineStr"/>
      <c r="G33" t="inlineStr">
        <is>
          <t>McLean, VA</t>
        </is>
      </c>
      <c r="H33" t="inlineStr"/>
      <c r="I33" t="inlineStr">
        <is>
          <t>**Description**
 Leidos is seeking a talented
 **Junior Transportation Data Scientist** 
 at the
 **junior level** 
 (
 *professional experience in the transportation space is required)* 
 to support FHWA\-funded projects at the intersection of AI, data science, and transportation. This role will involve assisting in the development and deployment of AI/ML models for applications such as vehicle load classification using weigh\-in\-motion (WIM) data and imagery, crash prediction in traffic management centers (TMCs), and creating data ecosystems for trustworthy AI. The ideal candidate will have foundational experience in AI model development, data integration, and stakeholder engagement, with a passion for exploring opportunities to apply AI in state\-level transportation initiatives. This position offers the chance to contribute to innovation in a dynamic, federally supported research environment.
**Location:** 
 This role requires full\-time
 **on\-site** 
 work at the customer site in
 **McLean, VA.**
 Learn about STOL here
 **: https://highways.dot.gov/turner\-fairbank\-highway\-research\-center/labs/STOL**
**Candidates MUST**
**All applicants must be legally authorized to work in the United States with proof of legal status and be eligible for a Public Trust Clearance, which includes three (3\) consecutive years in the United States within the last five (5\) years.**
**Primary Responsibilities**
* Assist in conducting data and literature reviews, including targeted searches for AI methods, datasets, and technologies relevant to freight analytics, traffic safety, and operations (e.g., sensor fusion, computer vision, and multimodal AI).
* Prepare and integrate datasets for AI use cases, including cleaning, normalizing, enriching, and fusing multi\-source data (e.g., traffic logs, imagery, weather, and permitting records) while addressing quality issues like inconsistency, sparsity, and bias.
* Contribute to the design, development, and deployment of AI/ML models for transportation applications, including classifying oversized/overweight (OS/OW) vehicles using WIM data and imagery, crash prediction in TMCs, and generating synthetic data for model training.
* Evaluate AI model performance under diverse conditions, such as varying data quality levels, and provide recommendations for improving model robustness, scalability, and trustworthiness in real\-world transportation environments.
* Support stakeholder outreach and engagement, including organizing peer exchanges, workshops, and technical briefings with state DOTs, MPOs, enforcement agencies, and vendors to gather insights on AI applications in WIM systems, permitting integration, and crash prediction.
* Assist in identifying and pursuing new opportunities with state DOTs for AI initiatives, including contributions to developing roadmaps, proposals, and implementation strategies for AI in ITS, such as anomaly detection, traffic optimization, and safety analytics.
* Collaborate with cross\-functional teams to ensure project alignment with FHWA goals, including risk management, quality assurance, and compliance with federal standards.
* Contribute to monthly progress reporting, risk mitigation, and iterative model refinement based on federal feedback.
**Required Qualifications**
* Bachelor’s degree in computer science, Data Science, Artificial Intelligence, Electrical Engineering, Transportation Engineering, or a related field; Master's preferred.
* Must have a minimum of one (1\)\+ years of PROFESSIONAL experience in the transportation space, data science, and AI/ML, with demonstrated familiarity in machine learning frameworks (e.g., TensorFlow, PyTorch, Scikit\-learn), data processing tools (e.g., Pandas, NumPy), and AI techniques (e.g., deep learning, generative AI like GANs, computer vision).
* MUST have experience with transportation\-specific data sources (e.g., HSIS, SHRP2, NGSIM) and standards (e.g., SAE J2735 for V2X).
* Strong experience in data preparation and integration, including ETL processes, handling multimodal data (e.g., imagery, sensor data, time\-series), and addressing data quality challenges in real\-world applications.
* Strong analytical skills with familiarity in model evaluation metrics (e.g., AUC, accuracy, scalability) and testing AI systems under varied conditions.
* Excellent communication and collaboration skills, with experience in stakeholder engagement, technical reporting, and presenting complex AI concepts to non\-technical audiences.\\ Ability to work in a fast\-paced, research\-oriented environment with travel up to 20% for stakeholder meetings and site visits.
* Ability to obtain and maintain a Public Trust clearance (which includes three years of immediate residency in the US).
* All applicants must be legally authorized to work in the United States without company sponsorship.
**Preferred Qualifications**
* Prior experience working with state DOTs or federal transportation agencies (e.g., FHWA, USDOT) on AI initiatives, including developing AI roadmaps, implementations, or evaluations in ITS.
* Experience in synthetic data generation, generative AI (e.g., LLMs), or physics\-informed ML for transportation applications.
* Knowledge of federal AI governance, risk management, and equity considerations in transportation.
* Project management experience, including leading AI tasks in multi\-agency initiatives or contributing to communities of practice (CoPs).
* Publications or presentations in AI/transportation conferences (e.g., TRB, ITS America).
* Anticipated salary range for this role is $75,000\-$100,000, depending on experience.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December 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4">
      <c r="A34" t="inlineStr">
        <is>
          <t>li-4379401001</t>
        </is>
      </c>
      <c r="B34" t="inlineStr">
        <is>
          <t>Data Engineer/Data Scientist onsite in Nashville</t>
        </is>
      </c>
      <c r="C34" t="inlineStr">
        <is>
          <t>Capgemini</t>
        </is>
      </c>
      <c r="D34" t="inlineStr">
        <is>
          <t>linkedin</t>
        </is>
      </c>
      <c r="E34" t="inlineStr"/>
      <c r="F34" t="inlineStr"/>
      <c r="G34" t="inlineStr">
        <is>
          <t>Texas, United States</t>
        </is>
      </c>
      <c r="H34" t="inlineStr"/>
      <c r="I34" t="inlineStr">
        <is>
          <t>**Thanks for your interest, please apply only after reading 1 to 4\. You must work 100% in office in Nashville not remote from North Carolina, relocate at your own expense.** 
**You must starts April 13th 2026 at the 6 weeks training session, not able to start after** 
**You must have graduated 2025 and before not graduating in 2026\.** 
**You must have 1 year\+ minimum post graduate experience in AWS or Azure or Databricks or Google Cloud (internship experience not included)** 
**You must work full time, not a contractor and no C2C** 
**About the Role** 
 We are seeking a skilled Data Engineer with hands\-on experience in
 **Databricks or AWS or Azure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Design, build, and maintain ETL/ELT pipelines using Databricks (PySpark, Delta Lake).
 Optimize pipelines for performance, cost efficiency, and scalability within GCP.
 Develop batch and streaming data processes using Spark Streaming, and related technologies.
 Cloud Architecture \&amp; Platform Engineering
 Implement data solutions leveraging GCP services such as BigQuery, Cloud Storage, Dataflow, Cloud Composer, and Vertex AI integrations.
 Apply best practices for cloud security, IAM configuration, monitoring, and cost management.
 Data Modeling \&amp; Quality
 Build and maintain data models, including dimensional modeling and data vault structures.
 Implement data quality frameworks, validation rules, and automated testing.
 Manage data versioning, governance, and lineage using tools such as Unity Catalog or GCP Data Catalog.
 Collaboration \&amp; Stakeholder Engagement
 Partner with cross‑functional teams to gather requirements and translate them into technical designs.
 Provide technical guidance and influence engineering best practices across the team.
 Contribute to documentation, architectural diagrams, and knowledge sharing.
**Required Qualifications** 
 1\+ years of experience as a Data Engineer or similar role.
 Strong hands\-on experience with Databricks, including:
 PySpark/Spark
 Delta Lake
 Databricks workflows/jobs
 Proficiency with GCP:
 BigQuery
 Cloud Storage
 Dataflow or Dataproc
 Strong coding skills in Python and SQL.
 Solid understanding of distributed systems, data warehousing, and data architecture principles.
 Experience with CI/CD tools (GitHub, GitLab, Azure DevOps, or similar).
 Preferred Qualifications
 Databricks or GCP certifications (e.g., Data Engineer, Architect).
 Experience with Terraform or other Infrastructure\-as\-Code tools.
 Knowledge of ML workflows or MLOps frameworks.
 Familiarity with data governance tools (Unity Catalog, Great Expectations, dbt, etc.).
 Soft Skills
 Excellent problem\-solving and analytical abilities.
 Strong communication skills and the ability to work effectively with technical and non\-technical teams.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5">
      <c r="A35" t="inlineStr">
        <is>
          <t>li-4379193439</t>
        </is>
      </c>
      <c r="B35" t="inlineStr">
        <is>
          <t>Data Engineer/Data Scientist onsite in Nashville</t>
        </is>
      </c>
      <c r="C35" t="inlineStr">
        <is>
          <t>Capgemini</t>
        </is>
      </c>
      <c r="D35" t="inlineStr">
        <is>
          <t>linkedin</t>
        </is>
      </c>
      <c r="E35" t="inlineStr"/>
      <c r="F35" t="inlineStr"/>
      <c r="G35" t="inlineStr">
        <is>
          <t>Illinois, United States</t>
        </is>
      </c>
      <c r="H35" t="inlineStr"/>
      <c r="I35" t="inlineStr">
        <is>
          <t>**Thanks for your interest, please apply only after reading 1 to 4\. You must work 100% in office in Nashville not remote from Chicago, relocate at your own expense.** 
**You must starts April 13th 2026 at the 6 weeks training session, not able to start after** 
**You must have graduated 2025 and before not graduating in 2026\.** 
**You must have 1 year\+ minimum post graduate experience in AWS or Azure or Databricks or Google Cloud (internship experience not included)** 
**You must work full time, not a contractor and no C2C** 
**About the Role** 
 We are seeking a skilled Data Engineer with hands\-on experience in
 **Databricks or AWS or Azure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Design, build, and maintain ETL/ELT pipelines using Databricks (PySpark, Delta Lake).
 Optimize pipelines for performance, cost efficiency, and scalability within GCP.
 Develop batch and streaming data processes using Spark Streaming, and related technologies.
 Cloud Architecture \&amp; Platform Engineering
 Implement data solutions leveraging GCP services such as BigQuery, Cloud Storage, Dataflow, Cloud Composer, and Vertex AI integrations.
 Apply best practices for cloud security, IAM configuration, monitoring, and cost management.
 Data Modeling \&amp; Quality
 Build and maintain data models, including dimensional modeling and data vault structures.
 Implement data quality frameworks, validation rules, and automated testing.
 Manage data versioning, governance, and lineage using tools such as Unity Catalog or GCP Data Catalog.
 Collaboration \&amp; Stakeholder Engagement
 Partner with cross‑functional teams to gather requirements and translate them into technical designs.
 Provide technical guidance and influence engineering best practices across the team.
 Contribute to documentation, architectural diagrams, and knowledge sharing.
**Required Qualifications** 
 1\+ years of experience as a Data Engineer or similar role.
 Strong hands\-on experience with Databricks, including:
 PySpark/Spark
 Delta Lake
 Databricks workflows/jobs
 Proficiency with GCP:
 BigQuery
 Cloud Storage
 Dataflow or Dataproc
 Strong coding skills in Python and SQL.
 Solid understanding of distributed systems, data warehousing, and data architecture principles.
 Experience with CI/CD tools (GitHub, GitLab, Azure DevOps, or similar).
 Preferred Qualifications
 Databricks or GCP certifications (e.g., Data Engineer, Architect).
 Experience with Terraform or other Infrastructure\-as\-Code tools.
 Knowledge of ML workflows or MLOps frameworks.
 Familiarity with data governance tools (Unity Catalog, Great Expectations, dbt, etc.).
 Soft Skills
 Excellent problem\-solving and analytical abilities.
 Strong communication skills and the ability to work effectively with technical and non\-technical teams.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6">
      <c r="A36" t="inlineStr">
        <is>
          <t>li-4380323307</t>
        </is>
      </c>
      <c r="B36" t="inlineStr">
        <is>
          <t>Applied Scientist, SPX AI Lab</t>
        </is>
      </c>
      <c r="C36" t="inlineStr">
        <is>
          <t>Amazon</t>
        </is>
      </c>
      <c r="D36" t="inlineStr">
        <is>
          <t>linkedin</t>
        </is>
      </c>
      <c r="E36" t="inlineStr"/>
      <c r="F36" t="inlineStr"/>
      <c r="G36" t="inlineStr">
        <is>
          <t>Seattle, WA</t>
        </is>
      </c>
      <c r="H36" t="inlineStr"/>
      <c r="I36" t="inlineStr">
        <is>
          <t>**Description**
 Amazon Seller Assistant is our flagship GenAI\-first, multi\-agent system that reimagines seller experience. Our vision is to provide each seller with a proactive, autonomous, agentic assistant that understands their business and helps them navigate the complexities of selling by anticipating their needs, surfacing insights, resolving issues, taking actions on their behalf, and helping them grow. Amazon Seller Assistant helps millions of sellers on Amazon serve billions of customers worldwide.
 We are seeking a world\-class Applied Scientist to help define and build the next generation of Amazon Seller Assistant. You will partner with top\-tier scientists and engineers to launch production\-grade agentic capabilities at Amazon's scale — owning your problem space end\-to\-end, from a crisp customer insight to a shipped product that millions of sellers rely on.
 Key job responsibilities
* Use state\-of\-the\-art Machine Learning and Generative AI techniques to create the next generation of the tools that empower Amazon's Selling Partners to succeed.
* Design, develop and deploy highly innovative models to interact with Sellers and delight them with solutions.
* Work closely with teams of scientists and software engineers to drive real\-time model implementations and deliver novel and highly impactful features.
* Establish scalable, efficient, automated processes for large scale data analyses, model benchmarking, model validation and model implementation.
* Research and implement novel machine learning and statistical approaches.
* Participate in strategic initiatives to employ the most recent advances in ML in a fast\-paced, experimental environment.
**About The Team**
 Amazon Seller Assistant team operates at the very frontier of agentic AI and agentic commerce — not as a research group, but as a team shipping production\-grade, multi\-agent systems used by millions of sellers worldwide. We move with the urgency of a startup and the resources of the world's most customer\-obsessed company, transforming the latest breakthroughs in science and engineering into capabilities that sellers rely on every day.
**Basic Qualifications**
* PhD, or Master's degree and 4\+ years of CS, CE, ML or related field experience
* 3\+ years of building machine learning models or developing algorithms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Experience in investigating, designing, prototyping, and delivering new and innovative system solutions
* Demonstrated experience leveraging generative AI tools to enhance workflow efficiency and productivity, with the ability to craft effective prompts and critically evaluate AI\-generated outputs in a professional setting
* Experience identifying opportunities to integrate AI solutions into products and services to drive business value.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A3193573</t>
        </is>
      </c>
    </row>
    <row r="37">
      <c r="A37" t="inlineStr">
        <is>
          <t>li-4370529996</t>
        </is>
      </c>
      <c r="B37" t="inlineStr">
        <is>
          <t>Applied Scientist II, Industrial Robotics Group</t>
        </is>
      </c>
      <c r="C37" t="inlineStr">
        <is>
          <t>Amazon</t>
        </is>
      </c>
      <c r="D37" t="inlineStr">
        <is>
          <t>linkedin</t>
        </is>
      </c>
      <c r="E37" t="inlineStr"/>
      <c r="F37" t="inlineStr"/>
      <c r="G37" t="inlineStr">
        <is>
          <t>Massachusetts, United States</t>
        </is>
      </c>
      <c r="H37" t="inlineStr"/>
      <c r="I37" t="inlineStr">
        <is>
          <t>**Description**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Group,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 Design and implement methods for use of dexterous end effectors with force and tactile sensing
* Develop a hierarchical system that combines low\-level control with high\-level planning
* Utilize state\-of\-the\-art manipulation models and optimal control techniques
**Basic Qualifications**
* PhD, or Master's degree and 4\+ years of CS, CE, ML or related field experience
* Experience with state\-of\-the\-art in robotic manipulation models
* Experience with data generation in simulation and real world
* Experience in developing techniques that utilize multi\-modal sensor data from the arm and hands
**Preferred Qualifications**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
**Company** 
 \- Amazon.com Services LLC
 Job ID: A3173326</t>
        </is>
      </c>
    </row>
    <row r="38">
      <c r="A38" t="inlineStr">
        <is>
          <t>li-4380322181</t>
        </is>
      </c>
      <c r="B38" t="inlineStr">
        <is>
          <t>Principal Data Scientist</t>
        </is>
      </c>
      <c r="C38" t="inlineStr">
        <is>
          <t>Microsoft AI</t>
        </is>
      </c>
      <c r="D38" t="inlineStr">
        <is>
          <t>linkedin</t>
        </is>
      </c>
      <c r="E38" t="inlineStr"/>
      <c r="F38" t="inlineStr"/>
      <c r="G38" t="inlineStr">
        <is>
          <t>Mountain View, CA</t>
        </is>
      </c>
      <c r="H38" t="inlineStr"/>
      <c r="I38" t="inlineStr">
        <is>
          <t>**Overview**
 We are inviting you to join the Microsoft Advertising Data Science Team. Microsoft Advertising platform is the single stop shop for all monetization needs for Publishers and Advertisers globally. Our team manages the marketplace, which includes monitoring business metrics, defining metrics, building analytical \&amp; experimentation frameworks, and enabling leadership to make data driven decisions. The team works across Engineering, Product and Business to address complex data science problems across users, advertisers, and publishers.
 We are looking for high\-energy, creative modeling geeks who are willing to work in a dynamic environment to solve real life day to day problems, leveraging data science techniques. You will enjoy and be successful in this role if you are curious and willing to challenge the status quo and come up with data driven solutions to ambiguous problems.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Measurement: Define, invent, and deliver metrics which accurately measure user and business value across various products and marketplace components.
* Experimental Design: Think critically about sampling and experimental design across User and Demand dimensions.
* Product Iteration: Interpret the results of analyses, validate approaches, and learn to monitor, analyze, and iterate to continuously improve.
* Cooperation: Partner effectively with program management, engineers, and other areas of the business across our Consumer online business
* Influence: engage with stakeholders to produce clear, compelling, and actionable insights and data\-science driven workflows that influence product and service improvements.
* Make independent decisions for the team and handle difficult tradeoffs
* Translate strategy into plans that are clear and measurable, with progress shared out monthly to stakeholders.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**Preferred Qualifications**
* 5\+ years of experience in at least one of programming languages like Python/R/MATLAB/C\#/Java/C\+\+.
* Organizational, analytical, data science skills.
* Problem solver: ability to solve problems that the world has not solved before.
* Interpersonal skills: cross\-group and cross\-culture collaboration.
* Experience with real world system building and data collection, including design, coding and evaluation.
* Excellent communication to be able to communicate insights to senior leaders.
* Experience with driving large collaboration across multiple teams.
* Demonstrated experience in applying statistics, experimentation and metrics to generate clear actionable insights.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\#MAI \#DataScience \#DataScientist \#MicrosoftAds \#Experimentation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
      <c r="A39" t="inlineStr">
        <is>
          <t>li-4378881275</t>
        </is>
      </c>
      <c r="B39" t="inlineStr">
        <is>
          <t>DATA SCIENTIST</t>
        </is>
      </c>
      <c r="C39" t="inlineStr">
        <is>
          <t>Jobs via Dice</t>
        </is>
      </c>
      <c r="D39" t="inlineStr">
        <is>
          <t>linkedin</t>
        </is>
      </c>
      <c r="E39" t="inlineStr"/>
      <c r="F39" t="inlineStr"/>
      <c r="G39" t="inlineStr">
        <is>
          <t>Sunnyvale, CA</t>
        </is>
      </c>
      <c r="H39" t="inlineStr"/>
      <c r="I39" t="inlineStr">
        <is>
          <t>Dice is the leading career destination for tech experts at every stage of their careers. Our client, SRI Tech Solutions, is seeking the following. Apply via Dice today!
 We are seeking a skilled senior
 **Data Scientist** 
 to join our dynamic team. In this role, you will be instrumental in analyzing large datasets, developing predictive models, and deploying machine learning solutions. The ideal candidate will leverage expertise in Python to drive data\-driven decision\-making and contribute to organizational success.
**Key Responsibilities**
* Conduct in\-depth exploratory data analysis to extract actionable insights and support strategic initiatives.
* Design, build, and validate machine learning models to address business challenges.
* Utilize Python for data processing, statistical analysis, and model development.
* Manage the end\-to\-end lifecycle of machine learning models, including deployment, monitoring, and maintenance using MLOps practices.
* Collaborate with cross\-functional teams to define project requirements and deliver robust data science solutions.
**Qualifications And Skills**
* Strong grasp of Data Science/Machine Learning concepts and methodologies with solid statistical knowledge.
* Proficiency in Python and its data science libraries (e.g., Pandas, NumPy, Scikit\-learn).
* Hands\-on experience with data analysis and statistical model development techniques.
* Experience in building Predictive Modelling, Unsupervised Modelling, Time Series Forecasting models.
* Knowledge in Bayesian Modelling will be an added advantage
* MLOps skills to deploy and maintain machine learning models.
* Strong problem\-solving skills and ability to communicate complex findings to both technical and non\-technical audiences.</t>
        </is>
      </c>
    </row>
    <row r="40">
      <c r="A40" t="inlineStr">
        <is>
          <t>li-4380326188</t>
        </is>
      </c>
      <c r="B40" t="inlineStr">
        <is>
          <t>Principal Applied Scientist</t>
        </is>
      </c>
      <c r="C40" t="inlineStr">
        <is>
          <t>Microsoft AI</t>
        </is>
      </c>
      <c r="D40" t="inlineStr">
        <is>
          <t>linkedin</t>
        </is>
      </c>
      <c r="E40" t="inlineStr"/>
      <c r="F40" t="inlineStr"/>
      <c r="G40" t="inlineStr">
        <is>
          <t>New York, NY</t>
        </is>
      </c>
      <c r="H40" t="inlineStr"/>
      <c r="I40" t="inlineStr">
        <is>
          <t>**Overview**
 Join the Signals Modeling team, part of Microsoft AI Ads Engineering, to shape the future of advanced AI at web scale.
 In this role, the
 **Principal Applied Scientist** 
 will design and implement state\-of\-the\-art machine learning models and algorithms that power key systems within Microsoft Ads, Copilot, and beyond. The work will directly impact millions of users and advertisers by delivering scalable solutions that enhance ad relevance and optimize user and advertiser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deploy cutting\-edge machine learning models, including transformers, generative AI, and reinforcement learning, to optimize user interactions and ad relevance across Microsoft Ads and Copilot.
* Design scalable algorithms for online and offline systems, delivering innovative solutions for ads selection, ad generation and ad relevance.
* Drive experimentation through A/B testing and offline validation to evaluate model performance and refine user behavior predictions.
* Build robust data pipelines and frameworks for handling large\-scale, high\-dimensional datasets to support advanced AI applications.
* Stay at the forefront of AI research, incorporating the latest advancements to drive innovation and impact across Microsoft platforms.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Proven experience in programming and data analysis skills.
* Proven expertise in the areas of Generative AI, deep learning, Reinforcement learning, transformers or LLM.
* 6\+ years of experience in developing and deploying large\-scale machine learning models.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1">
      <c r="A41" t="inlineStr">
        <is>
          <t>li-4380313324</t>
        </is>
      </c>
      <c r="B41" t="inlineStr">
        <is>
          <t>Principal Data Scientist</t>
        </is>
      </c>
      <c r="C41" t="inlineStr">
        <is>
          <t>Microsoft AI</t>
        </is>
      </c>
      <c r="D41" t="inlineStr">
        <is>
          <t>linkedin</t>
        </is>
      </c>
      <c r="E41" t="inlineStr"/>
      <c r="F41" t="inlineStr"/>
      <c r="G41" t="inlineStr">
        <is>
          <t>Redmond, WA</t>
        </is>
      </c>
      <c r="H41" t="inlineStr"/>
      <c r="I41" t="inlineStr">
        <is>
          <t>**Overview**
 The Bing organization is looking for a Principal Data and Applied Scientist for its online metric team. The team is pushing the boundaries of online A/B experimentation capabilities and impact measurement methods, as well as informs our understanding for how users engage with search engines and integrated AI experiences and then translates the insights into actionable metrics. These metrics provide direction to the Bing and MAI organization and help engineers make the right ship decisions for their thousands of A/B experiments.
 Bing.com reaches about a billion people worldwide, and we have a large opportunity to grow further. At Bing, we celebrate our data driven culture: changes only ship when their impact is understood and positive. This role is at the center of what defines our decision\-making processes and is an excellent opportunity to make a multiplicative impact across the org.
 As a data and applied scientist in this team, you will have the chance to work on and deliver metrics that drive the direction of major Bing initiatives. You will have the chance to be involved in the analysis and decision making for 1000s of online controlled A/B experiments. Come join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innovation in large\-scale online A/B experimentation for AI\-powered web search, designing, building, and monitoring success metrics that directly measure user satisfaction, trust, and long\-term retention across Bing experiences.
* Serve as a technical visionary and thought leader in online experimentation, shaping the future of product learning through research\-driven, AI\-enabled approaches that support trustworthy, agile, and evidence\-based decision\-making at global scale.
* Provide senior technical leadership and deep industry perspective, guiding cross\-functional partners in the adoption of advanced experimentation platforms, causal inference techniques, and modern data science methodologies to deliver high\-impact, scientifically rigorous experimentation programs.
* Build and scale advanced experimentation expertise across teams, spanning specialized tools, statistical methods, and ML\-driven evaluation frameworks, to drive measurable business outcomes and extend the reach and impact of Search’s end\-to\-end experimentation ecosystem.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 science experience (e.g., managing structured and unstructured data, applying statistical techniques and reporting results)
+ OR equivalent experience.
**Additional Or Preferred Qualifications**
* Doctorate in Data Science, Mathematics, Statistics, Econometrics, Economics, Operations Research, Computer Science, or related field AND 8\+ years data\-science experience (e.g., managing structured and unstructured data, applying statistical techniques and reporting results)
+ OR Master's Degree in Data Science, Mathematics, Statistics, Econometrics, Economics, Operations Research, Computer Science, or related field AND 10\+ years data\-science experience (e.g., managing structured and unstructured data, applying statistical techniques and reporting results)
+ OR Bachelor's Degree in Data Science, Mathematics, Statistics, Econometrics, Economics, Operations Research, Computer Science, or related field AND 12\+ years data\-science experience (e.g., managing structured and unstructured data, applying statistical techniques and reporting results)
+ OR equivalent experience.
+ Experience with SQL\-like query languages
+ Hands on experience in design \&amp; problem\-solving skills with one or more programming languages, such as Python, Java, C\# or C\+\+
+ Ability to work independently, influence others, and solid communication and collaboration skills.
* Familiarity with search engines, dealing with online instrumentation.
* Experience with large datasets and interest in consumer online search behaviors.
* Experience with building machine learning models on large scale data.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\#Search \#MAI \#nextplay \#searchjobs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li-4375231102</t>
        </is>
      </c>
      <c r="B42" t="inlineStr">
        <is>
          <t>Senior Data Scientist</t>
        </is>
      </c>
      <c r="C42" t="inlineStr">
        <is>
          <t>Jobs via eFinancialCareers</t>
        </is>
      </c>
      <c r="D42" t="inlineStr">
        <is>
          <t>linkedin</t>
        </is>
      </c>
      <c r="E42" t="inlineStr"/>
      <c r="F42" t="inlineStr"/>
      <c r="G42" t="inlineStr">
        <is>
          <t>New York, NY</t>
        </is>
      </c>
      <c r="H42" t="inlineStr"/>
      <c r="I42"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experiencein data science or a related field, with a focus on AI, machine learning, and NLP, preferably in a senior technical or leadership role.
* Bachelor's or Master's degreein Computer Science, Engineering, Data Science, or related field. A Ph.D. in a relevant field is a plus.
* Expertise in Natural Language Processing (NLP)with a deep understanding of the latest NLP stack, including transformer\-based architectures such as BERT, GPT, T5, and newer models like GPT\-4, PaLM, and other state\-of\-the\-art large language models (LLMs) that are driving the evolution of NLP applications.
* Extensive experiencewith advanced machine learning and deep learning frameworks such as TensorFlow 2\.x, PyTorch, Hugging Face, and JAX for NLP and other advanced AI tasks.
* Deep knowledge of cloud services (AWS, GCP, Azure)and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NLTKfor efficient model training, fine\-tuning, and data preprocessing.
* Strong programming skills in Python, R, and SQL, with advanced proficiency in handling large\-scale data using distributed data systemslike Apache Spark, cloud\-native NoSQL databasessuch as MongoDB, Cassandra, and DynamoDB, as well as search engines like Elasticsearchand vector databasesfor semantic search (e.g., Pinecone, Weaviate).
* Hands\-on experiencewith data ingestion, data wrangling, and data pipeline orchestration using tools like Apache Kafka, Apache Spark, Airflow, and distributed computing frameworks like Daskand Ray.
* Experience with advanced data science methodologies, including ensemble learning, deep reinforcement learning, transfer learning, and deploying large pre\-trained modelsfor real\-time inference and production.
* Ability to design, prototype, and deploy NLP modelsfor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rolesis highly valued, particularly in the enterprise tech or financial sectors.
* Familiarity with AI\-powered product developmentin industries such as finance, healthcare, or e\-commerce.
* Experience with data visualization toolslike Tableau, Power BI, or Plotlyto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43">
      <c r="A43" t="inlineStr">
        <is>
          <t>li-4310435145</t>
        </is>
      </c>
      <c r="B43" t="inlineStr">
        <is>
          <t>Senior Exploitation Specialist/Data Scientist (NGA St. Louis) - Expression of Interest</t>
        </is>
      </c>
      <c r="C43" t="inlineStr">
        <is>
          <t>Woolpert</t>
        </is>
      </c>
      <c r="D43" t="inlineStr">
        <is>
          <t>linkedin</t>
        </is>
      </c>
      <c r="E43" t="inlineStr"/>
      <c r="F43" t="inlineStr"/>
      <c r="G43" t="inlineStr">
        <is>
          <t>St Louis, MO</t>
        </is>
      </c>
      <c r="H43" t="inlineStr"/>
      <c r="I43" t="inlineStr">
        <is>
          <t>**We seek to move the world forward through innovative thinking.**
 Woolpert is an award\-winning, global leader in architecture, engineering, and geospatial services. We blend design excellence with cutting\-edge technology to deliver exceptional client value. Our team is passionate about their work and committed to building the next generation of industry leaders, and as a certified Great Place to Work®, Woolpert embraces progress and innovation to create limitless opportunities for career growth.
**Overview**
***Please note that while there is no immediate vacancy for this role, we are always open to expressions of interest and will keep your details on file for future opportunities.***
 Seeking a new career challenge? Then Woolpert is seeking you! Woolpert is hiring highly skilled Data Scientists to join our team, working on site at National Geospatial\-Intelligence Agency (NGA) East in Springfield, Virginia, NGA West in St. Louis, MO, and NGA CENTCOM in Tampa, FL.
 The NGA Senior Exploitation Specialist/Data Scientist is responsible for creating processes around large data sets to identify analytical discoveries and provide them through visualizations that are easily integrated into daily operations. The Data Scientist will operate at a senior level and in an independent environment, providing data science analyses to the client’s intelligence missions.
 This position offers the opportunity to work in a mission\-focused environment where your contributions will directly impact the effectiveness and efficiency of GEOINT operations within the National Geospatial\-Intelligence Agency. If you are passionate about data science, GEOINT analysis, and the intelligence community, and have the necessary experience and clearance, we encourage you to apply.
 We are unable to provide visa sponsorship for this position. Applicants must already possess work authorization in the country the job is located.
**Responsibilities**
 As an NGA Senior Exploitation Specialist/Data Scientist at Woolpert, you will be tasked with:
* Leading projects using advanced mathematical, statistical, and scientific techniques and principles
* Analyzing complex mission and operational problems, creating insights from data to maximize effectiveness and efficiency
* Supporting data analytics, data cleansing, and analyst workflow efficiencies
* Improving and supporting Extract, Transform, and Load (ETL) capabilities
* Applying statistical and analytic methods to solve intelligence problems and support mission requirements
* Building lightweight analytic tools to visualize results that can be applied to intelligence operations
* Designing methods and mechanisms to track, report, and monitor mission data objects and datasets, enabling operators to maintain custody of those objects for various orders of battle
**Qualifications**
 Minimum Requirements:
* U.S. citizenship
* Active Top Secret / Sensitive Compartmented Information (TS/SCI) clearance
+ Willingness to undergo a pre\-employment background check and drug screening
* A background with intelligence experience:
+ Must have a background where you have provided analysis and/or data science to an intelligence mission
+ Must be able to operate at a senior level and in an independent environment \- you will be some of the only data science support these offices receive directly
* Data science experience:
+ Must be proficient in creating processes around large data sets to identify analytical discoveries
+ Must be able to provide these discoveries through visualizations that can be easily integrated into daily operations
+ Must be proficient in Python to build analytic tools, support and enhance ETL processes, and for data cleaning, preparation, visualization, and statistical analysis
+ Must be able to apply structured processes to enrich or manage data
* Must be able to effectively communicate verbally and written with clarity and accuracy
**Preferred Qualifications** 
* Bachelor’s degree in Data Science, Computer Science, or a related field; degree counts toward total years of experience
* GEOINT data and analysis experience
+ Experience applying GEOINT standards and performing QA/QC
* Experience working on site at NGA, preferably in a complex organizational environment
* Ability to work closely with customers, identifying and providing necessary training and support
* Strong analytical and problem\-solving skills with the ability to identify performance improvements, optimize data workflows, and develop solutions
* Up to date on the latest industry trends and emerging best practices in GIS and GEOINT data analysis, management, governance, quality, and stewardship
**Unique Benefits**
 Certified as a Great Place to Work®, Woolpert is one of the fastest growing architecture, engineering, and geospatial (AEG) companies in the world. With over 60 offices and countless projects around the globe, Woolpert makes a real difference at home and abroad. In addition to offering competitive pay, we provide employees with a robust set of unique benefits, including:
* Diverse experiences: Work on meaningful projects that improve quality of life around the world.
* Freedom to work program: Set your own schedule and location (as appropriate).
* Principal program: Earn the opportunity to become an owner of the firm.
* Flexible vacation
* Career development: Explore a wide range of learning and growth opportunities within and across industries.
* Health, life, vision, and dental insurance: Cover all your medical bases.
* Paid sick time, fitness reimbursement, pet insurance, identity protection, technology stipend, employee assistance program, and more: Choose the benefits that work best for you.
 Workplace Type: Onsite
 Salary Range: USD $91,100\.00 \- USD $151,800\.00 /Yr.
**Find out more about what Woolpert has to offer here: http://woolpert.com/about\-us/**
**Woolpert is an equal\-opportunity employer.** 
 Woolpert is committed to the full inclusion of all individuals. We recruit, train, compensate, and promote regardless of race, religion, color, national origin, sex, disability, age, veteran status, and other protected status as required by applicable law. You may view more about EEO on our website: Equal\-Employment\-Opportunity\-The\-Law.pdf and EEO is the Law Poster Supplement.
 Applicants who require an accommodation throughout the application and interview process should request this in advance by contacting askhr@woolpert.com.
 If you need to reschedule or cancel your interview, please reach out to your recruiter by contacting recruiting@woolpert.com.
***To all agencies:***
*Please, no phone calls or emails to any employee of Woolpert or any of our subsidiaries about this requisition. All resumes submitted by search firms/employment agencies to any employee at Woolpert via email, the internet, or in any form and/or method will be deemed the sole property of Woolpert, unless such search firms/employment agencies were engaged by Woolpert's Talent Acquisition Team for this requisition and a valid agreement is in place. In the event a candidate who was submitted outside of Woolpert's applicant process is hired, no fee or payment of any kind will be paid.*</t>
        </is>
      </c>
    </row>
    <row r="44">
      <c r="A44" t="inlineStr">
        <is>
          <t>li-4378885041</t>
        </is>
      </c>
      <c r="B44" t="inlineStr">
        <is>
          <t>Data Scientist - R Programming Consultant</t>
        </is>
      </c>
      <c r="C44" t="inlineStr">
        <is>
          <t>Jobs via Dice</t>
        </is>
      </c>
      <c r="D44" t="inlineStr">
        <is>
          <t>linkedin</t>
        </is>
      </c>
      <c r="E44" t="inlineStr"/>
      <c r="F44" t="inlineStr"/>
      <c r="G44" t="inlineStr"/>
      <c r="H44" t="inlineStr"/>
      <c r="I44" t="inlineStr">
        <is>
          <t>Dice is the leading career destination for tech experts at every stage of their careers. Our client, Conflux Systems Inc, is seeking the following. Apply via Dice today!
**Job Title: Data Scientist**
**Job Location \- Remote** 
**Schedule: Eastern time hours 9 a.m. 5 p.m. EST, M\-F** 
**P
 ay Rate:$80\.00/Hr on W2** 
**Duration:10 Months**
 The R programming consultant will have a significant impact in shaping our business function by supporting adoption of the R programming language. This role will primarily be responsible for migration of SAS and VBASIC legacy programs to the R programming language, inclusive of specifications development, coding, and validation. This role will also support training and mentoring of experienced SAS users as they migrate to the R environment.
**Responsibilities**
 Work closely with a cross\-functional team within biostatistics, data management, and analytics to transition applications written in SAS or VBASIC to R.
 Conduct code review and technical assessment of legacy programs and suitability for migration to R.
 Recode applications in SAS to R; Select appropriate R packages, functions, and algorithms to migrate legacy SAS programs to the R environment.
 Develop and maintain documentation associated with migration activities including programming specifications, validations plans, test cases, and reports.
 Support training and mentoring of experienced SAS users as they migrate to the R environment. Your expertise: A master s degree in mathematics, statistics, or computer science is preferred. Other candidates with degrees in a quantitative field and advanced undergraduate or graduate\-level statistical coursework will be considered.
 A minimum of 8 years in a statistical programming capacity, preferably within the medical device or biopharmaceutical industry. Candidates must have experience programming in SAS and R directed towards analysis of clinical trial data and in supporting ETL pipelines from clinical data management to biostatistics.
 Ideal candidates will have experience supporting transition of statistical analysis programs from SAS to R.
 Strong programming experience within SAS, R, and SQL is required. Experience with Python, VBASIC, and a dashboard language such as PowerBI, Qlik, or Tableau is a plus.
 Experience with modern database platforms, such as SnowFlake and Delta DataLake, is desired.
 Excellent written and verbal communication skills, interpersonal skills, problem solving and critical thinking skills. This role will report to the Senior Director of Clinical Data Management and Data Engineering within Medical Affairs.</t>
        </is>
      </c>
    </row>
    <row r="45">
      <c r="A45" t="inlineStr">
        <is>
          <t>li-4120819992</t>
        </is>
      </c>
      <c r="B45" t="inlineStr">
        <is>
          <t>Data Scientist, Product Analytics</t>
        </is>
      </c>
      <c r="C45" t="inlineStr">
        <is>
          <t>Meta</t>
        </is>
      </c>
      <c r="D45" t="inlineStr">
        <is>
          <t>linkedin</t>
        </is>
      </c>
      <c r="E45" t="inlineStr"/>
      <c r="F45" t="inlineStr"/>
      <c r="G45" t="inlineStr"/>
      <c r="H45" t="inlineStr"/>
      <c r="I4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6">
      <c r="A46" t="inlineStr">
        <is>
          <t>li-4120828049</t>
        </is>
      </c>
      <c r="B46" t="inlineStr">
        <is>
          <t>Data Scientist, Product Analytics</t>
        </is>
      </c>
      <c r="C46" t="inlineStr">
        <is>
          <t>Meta</t>
        </is>
      </c>
      <c r="D46" t="inlineStr">
        <is>
          <t>linkedin</t>
        </is>
      </c>
      <c r="E46" t="inlineStr"/>
      <c r="F46" t="inlineStr"/>
      <c r="G46" t="inlineStr">
        <is>
          <t>Los Angeles, CA</t>
        </is>
      </c>
      <c r="H46" t="inlineStr"/>
      <c r="I4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7">
      <c r="A47" t="inlineStr">
        <is>
          <t>li-4301485474</t>
        </is>
      </c>
      <c r="B47" t="inlineStr">
        <is>
          <t>Data Scientist, Product Analytics</t>
        </is>
      </c>
      <c r="C47" t="inlineStr">
        <is>
          <t>Meta</t>
        </is>
      </c>
      <c r="D47" t="inlineStr">
        <is>
          <t>linkedin</t>
        </is>
      </c>
      <c r="E47" t="inlineStr"/>
      <c r="F47" t="inlineStr"/>
      <c r="G47" t="inlineStr">
        <is>
          <t>Menlo Park, CA</t>
        </is>
      </c>
      <c r="H47" t="inlineStr"/>
      <c r="I4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8">
      <c r="A48" t="inlineStr">
        <is>
          <t>li-4120822668</t>
        </is>
      </c>
      <c r="B48" t="inlineStr">
        <is>
          <t>Data Scientist, Product Analytics</t>
        </is>
      </c>
      <c r="C48" t="inlineStr">
        <is>
          <t>Meta</t>
        </is>
      </c>
      <c r="D48" t="inlineStr">
        <is>
          <t>linkedin</t>
        </is>
      </c>
      <c r="E48" t="inlineStr"/>
      <c r="F48" t="inlineStr"/>
      <c r="G48" t="inlineStr">
        <is>
          <t>New York, NY</t>
        </is>
      </c>
      <c r="H48" t="inlineStr"/>
      <c r="I4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9">
      <c r="A49" t="inlineStr">
        <is>
          <t>li-4301494328</t>
        </is>
      </c>
      <c r="B49" t="inlineStr">
        <is>
          <t>Data Scientist, Product Analytics</t>
        </is>
      </c>
      <c r="C49" t="inlineStr">
        <is>
          <t>Meta</t>
        </is>
      </c>
      <c r="D49" t="inlineStr">
        <is>
          <t>linkedin</t>
        </is>
      </c>
      <c r="E49" t="inlineStr"/>
      <c r="F49" t="inlineStr"/>
      <c r="G49" t="inlineStr">
        <is>
          <t>Burlingame, CA</t>
        </is>
      </c>
      <c r="H49" t="inlineStr"/>
      <c r="I4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0">
      <c r="A50" t="inlineStr">
        <is>
          <t>li-4120824512</t>
        </is>
      </c>
      <c r="B50" t="inlineStr">
        <is>
          <t>Data Scientist, Product Analytics</t>
        </is>
      </c>
      <c r="C50" t="inlineStr">
        <is>
          <t>Meta</t>
        </is>
      </c>
      <c r="D50" t="inlineStr">
        <is>
          <t>linkedin</t>
        </is>
      </c>
      <c r="E50" t="inlineStr"/>
      <c r="F50" t="inlineStr"/>
      <c r="G50" t="inlineStr">
        <is>
          <t>San Francisco, CA</t>
        </is>
      </c>
      <c r="H50" t="inlineStr"/>
      <c r="I50"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1">
      <c r="A51" t="inlineStr">
        <is>
          <t>li-4120391416</t>
        </is>
      </c>
      <c r="B51" t="inlineStr">
        <is>
          <t>Data Scientist, Product Analytics</t>
        </is>
      </c>
      <c r="C51" t="inlineStr">
        <is>
          <t>Meta</t>
        </is>
      </c>
      <c r="D51" t="inlineStr">
        <is>
          <t>linkedin</t>
        </is>
      </c>
      <c r="E51" t="inlineStr"/>
      <c r="F51" t="inlineStr"/>
      <c r="G51" t="inlineStr">
        <is>
          <t>New York, NY</t>
        </is>
      </c>
      <c r="H51" t="inlineStr"/>
      <c r="I51"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2">
      <c r="A52" t="inlineStr">
        <is>
          <t>li-4120825428</t>
        </is>
      </c>
      <c r="B52" t="inlineStr">
        <is>
          <t>Data Scientist, Product Analytics</t>
        </is>
      </c>
      <c r="C52" t="inlineStr">
        <is>
          <t>Meta</t>
        </is>
      </c>
      <c r="D52" t="inlineStr">
        <is>
          <t>linkedin</t>
        </is>
      </c>
      <c r="E52" t="inlineStr"/>
      <c r="F52" t="inlineStr"/>
      <c r="G52" t="inlineStr">
        <is>
          <t>Menlo Park, CA</t>
        </is>
      </c>
      <c r="H52" t="inlineStr"/>
      <c r="I5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3">
      <c r="A53" t="inlineStr">
        <is>
          <t>li-4375229307</t>
        </is>
      </c>
      <c r="B53" t="inlineStr">
        <is>
          <t>Data Scientist, Product Analytics</t>
        </is>
      </c>
      <c r="C53" t="inlineStr">
        <is>
          <t>Meta</t>
        </is>
      </c>
      <c r="D53" t="inlineStr">
        <is>
          <t>linkedin</t>
        </is>
      </c>
      <c r="E53" t="inlineStr"/>
      <c r="F53" t="inlineStr"/>
      <c r="G53" t="inlineStr">
        <is>
          <t>New York, NY</t>
        </is>
      </c>
      <c r="H53" t="inlineStr"/>
      <c r="I53"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4">
      <c r="A54" t="inlineStr">
        <is>
          <t>li-4301496278</t>
        </is>
      </c>
      <c r="B54" t="inlineStr">
        <is>
          <t>Data Scientist, Product Analytics</t>
        </is>
      </c>
      <c r="C54" t="inlineStr">
        <is>
          <t>Meta</t>
        </is>
      </c>
      <c r="D54" t="inlineStr">
        <is>
          <t>linkedin</t>
        </is>
      </c>
      <c r="E54" t="inlineStr"/>
      <c r="F54" t="inlineStr"/>
      <c r="G54" t="inlineStr">
        <is>
          <t>Bellevue, WA</t>
        </is>
      </c>
      <c r="H54" t="inlineStr"/>
      <c r="I5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Currently has, or is in the process of obtaining a Bachelor's degree in Computer Science, Computer Engineering, relevant technical field, or equivalent practical experience. Degree must be completed prior to joining Meta
* Bachelor's degree in Mathematics, Statistics, a relevant technical field, or equivalent
* 2\+ years of work experience in analytics and data querying languages (e.g. SQL), scripting languages (e.g. Python), and/or statistical/mathematical software (e.g. R)
* 2\+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$119,000/year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5">
      <c r="A55" t="inlineStr">
        <is>
          <t>li-4120822583</t>
        </is>
      </c>
      <c r="B55" t="inlineStr">
        <is>
          <t>Data Scientist, Product Analytics</t>
        </is>
      </c>
      <c r="C55" t="inlineStr">
        <is>
          <t>Meta</t>
        </is>
      </c>
      <c r="D55" t="inlineStr">
        <is>
          <t>linkedin</t>
        </is>
      </c>
      <c r="E55" t="inlineStr"/>
      <c r="F55" t="inlineStr"/>
      <c r="G55" t="inlineStr">
        <is>
          <t>Menlo Park, CA</t>
        </is>
      </c>
      <c r="H55" t="inlineStr"/>
      <c r="I5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6">
      <c r="A56" t="inlineStr">
        <is>
          <t>li-4134650573</t>
        </is>
      </c>
      <c r="B56" t="inlineStr">
        <is>
          <t>Data Scientist, Product Analytics</t>
        </is>
      </c>
      <c r="C56" t="inlineStr">
        <is>
          <t>Meta</t>
        </is>
      </c>
      <c r="D56" t="inlineStr">
        <is>
          <t>linkedin</t>
        </is>
      </c>
      <c r="E56" t="inlineStr"/>
      <c r="F56" t="inlineStr"/>
      <c r="G56" t="inlineStr">
        <is>
          <t>San Francisco, CA</t>
        </is>
      </c>
      <c r="H56" t="inlineStr"/>
      <c r="I5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7">
      <c r="A57" t="inlineStr">
        <is>
          <t>li-4120824514</t>
        </is>
      </c>
      <c r="B57" t="inlineStr">
        <is>
          <t>Data Scientist, Product Analytics</t>
        </is>
      </c>
      <c r="C57" t="inlineStr">
        <is>
          <t>Meta</t>
        </is>
      </c>
      <c r="D57" t="inlineStr">
        <is>
          <t>linkedin</t>
        </is>
      </c>
      <c r="E57" t="inlineStr"/>
      <c r="F57" t="inlineStr"/>
      <c r="G57" t="inlineStr">
        <is>
          <t>Washington, DC</t>
        </is>
      </c>
      <c r="H57" t="inlineStr"/>
      <c r="I5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8">
      <c r="A58" t="inlineStr">
        <is>
          <t>li-4120827281</t>
        </is>
      </c>
      <c r="B58" t="inlineStr">
        <is>
          <t>Data Scientist, Product Analytics</t>
        </is>
      </c>
      <c r="C58" t="inlineStr">
        <is>
          <t>Meta</t>
        </is>
      </c>
      <c r="D58" t="inlineStr">
        <is>
          <t>linkedin</t>
        </is>
      </c>
      <c r="E58" t="inlineStr"/>
      <c r="F58" t="inlineStr"/>
      <c r="G58" t="inlineStr">
        <is>
          <t>Austin, TX</t>
        </is>
      </c>
      <c r="H58" t="inlineStr"/>
      <c r="I58"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9">
      <c r="A59" t="inlineStr">
        <is>
          <t>li-4120824568</t>
        </is>
      </c>
      <c r="B59" t="inlineStr">
        <is>
          <t>Data Scientist, Product Analytics</t>
        </is>
      </c>
      <c r="C59" t="inlineStr">
        <is>
          <t>Meta</t>
        </is>
      </c>
      <c r="D59" t="inlineStr">
        <is>
          <t>linkedin</t>
        </is>
      </c>
      <c r="E59" t="inlineStr"/>
      <c r="F59" t="inlineStr"/>
      <c r="G59" t="inlineStr">
        <is>
          <t>Sunnyvale, CA</t>
        </is>
      </c>
      <c r="H59" t="inlineStr"/>
      <c r="I59"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0">
      <c r="A60" t="inlineStr">
        <is>
          <t>li-4120823579</t>
        </is>
      </c>
      <c r="B60" t="inlineStr">
        <is>
          <t>Data Scientist, Product Analytics</t>
        </is>
      </c>
      <c r="C60" t="inlineStr">
        <is>
          <t>Meta</t>
        </is>
      </c>
      <c r="D60" t="inlineStr">
        <is>
          <t>linkedin</t>
        </is>
      </c>
      <c r="E60" t="inlineStr"/>
      <c r="F60" t="inlineStr"/>
      <c r="G60" t="inlineStr">
        <is>
          <t>Seattle, WA</t>
        </is>
      </c>
      <c r="H60" t="inlineStr"/>
      <c r="I60"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1">
      <c r="A61" t="inlineStr">
        <is>
          <t>li-4166293040</t>
        </is>
      </c>
      <c r="B61" t="inlineStr">
        <is>
          <t>Data Scientist, Product Analytics</t>
        </is>
      </c>
      <c r="C61" t="inlineStr">
        <is>
          <t>Meta</t>
        </is>
      </c>
      <c r="D61" t="inlineStr">
        <is>
          <t>linkedin</t>
        </is>
      </c>
      <c r="E61" t="inlineStr"/>
      <c r="F61" t="inlineStr"/>
      <c r="G61" t="inlineStr"/>
      <c r="H61" t="inlineStr"/>
      <c r="I61"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2">
      <c r="A62" t="inlineStr">
        <is>
          <t>li-4120829002</t>
        </is>
      </c>
      <c r="B62" t="inlineStr">
        <is>
          <t>Data Scientist, Product Analytics</t>
        </is>
      </c>
      <c r="C62" t="inlineStr">
        <is>
          <t>Meta</t>
        </is>
      </c>
      <c r="D62" t="inlineStr">
        <is>
          <t>linkedin</t>
        </is>
      </c>
      <c r="E62" t="inlineStr"/>
      <c r="F62" t="inlineStr"/>
      <c r="G62" t="inlineStr">
        <is>
          <t>Austin, TX</t>
        </is>
      </c>
      <c r="H62" t="inlineStr"/>
      <c r="I62"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3">
      <c r="A63" t="inlineStr">
        <is>
          <t>li-4375592557</t>
        </is>
      </c>
      <c r="B63" t="inlineStr">
        <is>
          <t>Data Scientist, Products &amp; Applied Research</t>
        </is>
      </c>
      <c r="C63" t="inlineStr">
        <is>
          <t>Meta</t>
        </is>
      </c>
      <c r="D63" t="inlineStr">
        <is>
          <t>linkedin</t>
        </is>
      </c>
      <c r="E63" t="inlineStr"/>
      <c r="F63" t="inlineStr"/>
      <c r="G63" t="inlineStr">
        <is>
          <t>Sunnyvale, CA</t>
        </is>
      </c>
      <c r="H63" t="inlineStr"/>
      <c r="I63"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4">
      <c r="A64" t="inlineStr">
        <is>
          <t>li-4375585779</t>
        </is>
      </c>
      <c r="B64" t="inlineStr">
        <is>
          <t>Data Scientist, Products &amp; Applied Research</t>
        </is>
      </c>
      <c r="C64" t="inlineStr">
        <is>
          <t>Meta</t>
        </is>
      </c>
      <c r="D64" t="inlineStr">
        <is>
          <t>linkedin</t>
        </is>
      </c>
      <c r="E64" t="inlineStr"/>
      <c r="F64" t="inlineStr"/>
      <c r="G64" t="inlineStr">
        <is>
          <t>Menlo Park, CA</t>
        </is>
      </c>
      <c r="H64" t="inlineStr"/>
      <c r="I64"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5">
      <c r="A65" t="inlineStr">
        <is>
          <t>li-4380558749</t>
        </is>
      </c>
      <c r="B65" t="inlineStr">
        <is>
          <t>Data Scientist</t>
        </is>
      </c>
      <c r="C65" t="inlineStr">
        <is>
          <t>Quantium</t>
        </is>
      </c>
      <c r="D65" t="inlineStr">
        <is>
          <t>linkedin</t>
        </is>
      </c>
      <c r="E65" t="inlineStr"/>
      <c r="F65" t="inlineStr"/>
      <c r="G65" t="inlineStr">
        <is>
          <t>New York, NY</t>
        </is>
      </c>
      <c r="H65" t="inlineStr"/>
      <c r="I65" t="inlineStr">
        <is>
          <t>**Who is Quantium?**
 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
 As a Data Scientist in our US team, you'll be at the forefront of delivering cutting\-edge data science solutions that drive measurable business value for our clients. This role combines strong technical analytical capabilities with client\-facing skills, requiring an AI\-native mindset to translate complex business problems into actionable insights and data\-driven recommendations. You'll work directly with clients to understand their challenges, develop innovative analytical approaches leveraging both traditional analytics and generative AI technologies, and communicate findings in compelling and accessible ways. Please note, this role requires current US work authorisation. Quantium is unable to provide visa sponsorship or transfers for this position.
**How will you make an impact?**
* Client solutions: Deliver high\-quality data science projects that address specific business challenges and drive measurable outcomes for our diverse client portfolio
* AI innovation: Explore and apply emerging AI technologies including large language models, computer vision, and other generative AI applications to create innovative client solutions
* Technical excellence: Develop and implement statistical models, machine learning algorithms, and AI solutions using AI\-assisted development approaches
* Trusted advisor: Build trusted relationships with client stakeholders through professional service delivery and proactive communication
* Continuous learning: Stay current with the latest developments in AI and data science, demonstrating curiosity and initiative in exploring new technologies
 Please note, this position does not include visa sponsorship.
**The Superpowers You'll Be Bringing To The Team**
* Bachelor's degree in Mathematics, Statistics, Computer Science, Engineering, Economics, or related quantitative field
* 1\-3 years of experience in data science or analytics, with strong skills in Python, R, or SQL and cloud\-based analytics platforms
* Experience using AI tools (ChatGPT, Claude, GitHub Copilot) in any capacity \- whether through professional work, personal projects, or self\-directed learning
* Enthusiasm for exploring large language models and AI development frameworks, with any level of hands\-on experience welcomed
* Comfortable in client\-facing roles with ability to translate technical findings to non\-technical audiences
* Excellent communication skills and ability to work effectively in fast\-paced, dynamic environments
 Remember – you might not tick all the boxes, but don't let that stop you from applying. We're more interested in how you work, your ability to solve problems and think big.
**What could your Quantium Experience look like?**
 Working at Quantium will allow you to challenge your imagination. You will get to solve complex problems using rigour, precision and by asking great questions – it also means you can think big, outside the box and push your problem\-solving skills to the max.
**By Joining The Quantium Team, You'll Get To**
* Forge your path: So many of our team have moved around different teams or offices. You'll be in the driver's seat, and we empower you to make your career your own.
* Find your kind: Embrace diversity and connect with your tribe (think foodies, dog lovers, readers, or runners).
* Make an impact: Leave your mark. Your contributions resonate, regardless of your role or rank.
**Benefits**
 On top of the Quantium Experience, you will enjoy a range of great benefits that go beyond the ordinary. Some of these include:
* Hybrid working: Work flexibly with 3 days in our office or client site and 2 days from home, balancing collaboration with focused work time
* Medical, dental, vision and life insurance coverage: Comprehensive health benefits to keep you and your family covered
* Retirement 401(k) plan with 6% employer contribution: We invest in your future with competitive retirement benefits
* Base salary range: $90,000 \- $120,000 annually, based on demonstrated capabilities, relevant experience, and expected impact in the role
* Annual bonus scheme: Competitive remuneration with attractive annual bonus opportunities
 Are you ready to tackle some of the most interesting data science challenges in the industry? Join us in New York and help our clients unlock the full potential of their data. Apply now to start the conversation.
*Quantium is an equal opportunity employer. We celebrate diversity and are committed to creating an inclusive environment for all employees. All employment decisions are made without regard to race, colour, religion, sex, sexual orientation, gender identity, national origin, age, disability, veteran status, or any other protected characteristic under federal, state, or local law.*
*Quantium’s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is>
      </c>
    </row>
    <row r="66">
      <c r="A66" t="inlineStr">
        <is>
          <t>li-4378563616</t>
        </is>
      </c>
      <c r="B66" t="inlineStr">
        <is>
          <t>Data Scientist, Products &amp; Applied Research</t>
        </is>
      </c>
      <c r="C66" t="inlineStr">
        <is>
          <t>Meta</t>
        </is>
      </c>
      <c r="D66" t="inlineStr">
        <is>
          <t>linkedin</t>
        </is>
      </c>
      <c r="E66" t="inlineStr"/>
      <c r="F66" t="inlineStr"/>
      <c r="G66" t="inlineStr">
        <is>
          <t>Menlo Park, CA</t>
        </is>
      </c>
      <c r="H66" t="inlineStr"/>
      <c r="I66"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7">
      <c r="A67" t="inlineStr">
        <is>
          <t>li-4375587635</t>
        </is>
      </c>
      <c r="B67" t="inlineStr">
        <is>
          <t>Data Scientist, Products &amp; Applied Research</t>
        </is>
      </c>
      <c r="C67" t="inlineStr">
        <is>
          <t>Meta</t>
        </is>
      </c>
      <c r="D67" t="inlineStr">
        <is>
          <t>linkedin</t>
        </is>
      </c>
      <c r="E67" t="inlineStr"/>
      <c r="F67" t="inlineStr"/>
      <c r="G67" t="inlineStr">
        <is>
          <t>Seattle, WA</t>
        </is>
      </c>
      <c r="H67" t="inlineStr"/>
      <c r="I6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practical experience
* A minimum of 6 years of work experience in analytics (minimum of 4 years with a Ph.D.)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8">
      <c r="A68" t="inlineStr">
        <is>
          <t>li-4380516546</t>
        </is>
      </c>
      <c r="B68" t="inlineStr">
        <is>
          <t>Data Scientist I</t>
        </is>
      </c>
      <c r="C68" t="inlineStr">
        <is>
          <t>Worldpay</t>
        </is>
      </c>
      <c r="D68" t="inlineStr">
        <is>
          <t>linkedin</t>
        </is>
      </c>
      <c r="E68" t="inlineStr"/>
      <c r="F68" t="inlineStr"/>
      <c r="G68" t="inlineStr">
        <is>
          <t>Cincinnati, OH</t>
        </is>
      </c>
      <c r="H68" t="inlineStr"/>
      <c r="I68" t="inlineStr">
        <is>
          <t>**Job Description**
**Are you ready to write your next chapter?**
 Make your mark at one of the biggest names in payments. We’re looking for a Data Scientist to join our ever evolving team and help us unleash the potential of every business.
**What You’ll Own As The Data Scientist**
* Analyze and extract insights from internal and external data.
* Employ machine learning and statistical modeling to create and enhance data\-driven products.
* Work with Big Data and transform complex datasets into more usable formats.
* Utilize a variety of data science tools and programming languages such as Python, R, and SQL.
* Work independently and collaborate with other groups to solve complex problems.
* Create and present analyses to internal and external partners and clients.
* Document models and write code to track and monitor models and product performance.
* Make pragmatic and business\-aware choices when trading off sophistication and accuracy versus implementation and performance costs.
* Participate in project planning sessions, analyze requirements, and provide design recommendations for complex analytical systems.
* Other related duties as assigned.
**What You’ll Bring**
* Degree in Data Science, Statistics, Decision Sciences, Applied Mathematics, Economics, Computer Science, or an equivalent combination of education, training, and work experience.
* Knowledge in machine learning, artificial intelligence, statistical modeling, data visualization, and data analysis.
* Proficient in data science tools and programming languages such as Python, R, and SQL.
* Experience or knowledge of cloud\-based technology.
* Ability to collaborate with others and solve complex problems.
* Outstanding verbal and written communication skills to technical and non\-technical audiences at all levels.
* Excellent analytical, decision\-making, problem\-solving, team, and time management skills.
* Positive outlook, strong work ethic, and responsiveness to internal and external clients and contacts.
**About The Team**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Worldpay is dedicated to offering individuals rewarding career opportunities and competitive compensation. For this full\-time position, the good faith estimated annual salary range upon hire is $101,100\.00\-$152,550\.00\.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69">
      <c r="A69" t="inlineStr">
        <is>
          <t>li-4254365966</t>
        </is>
      </c>
      <c r="B69" t="inlineStr">
        <is>
          <t>Data Scientist, Analytics (Technical Leadership)</t>
        </is>
      </c>
      <c r="C69" t="inlineStr">
        <is>
          <t>Meta</t>
        </is>
      </c>
      <c r="D69" t="inlineStr">
        <is>
          <t>linkedin</t>
        </is>
      </c>
      <c r="E69" t="inlineStr"/>
      <c r="F69" t="inlineStr"/>
      <c r="G69" t="inlineStr">
        <is>
          <t>Menlo Park, CA</t>
        </is>
      </c>
      <c r="H69" t="inlineStr"/>
      <c r="I69"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
 Data Scientist, Analytics (Technical Leadership) Responsibilities:
* Work with complex data sets to solve challenging problems using analytical and statistical approaches
* Apply technical expertise in quantitative analysis, experimentation, and data mining to develop product strategies
* Identify and measure success through goal setting, forecasting, and monitoring key metrics
* Partner with cross\-functional teams to inform and execute product strategy and investment decisions
* Build long\-term vision and strategy for programs and products
* Collaborate with executives to define and develop data platforms and instrumentation
* Effectively communicate insights and recommendations to stakeholders
* Define success metrics, forecast changes, and set team goals
* Support developing roadmaps and coordinate analytics efforts across teams
 Minimum Qualifications:
* Bachelor's degree in Computer Science, Computer Engineering, relevant technical field, or equivalent practical experience
* Mathematics, Statistics, Operations Research) 5\+ years of experience with data querying languages (e.g. SQL), scripting languages (e.g. Python), or statistical/mathematical software (e.g. R, SAS, Matlab)
* 8\+ years of work experience leading analytics work in IC capacity, working collaboratively with Engineering and cross\-functional partners, and guiding data\-influenced product planning, prioritization and strategy development
* Experience working effectively with and leading complex analytics projects across multiple stakeholders and cross\-functional teams, including Engineering, PM/TPM, Analytics and Finance
* Experience with predictive modeling, machine learning, and experimentation/causal inference methods
* Experience communicating complex technical topics in a clear, precise, and actionable manner
 Preferred Qualifications:
* 10\+ years of experience communicating the results of analyses to leadership teams to influence the strategy
* Masters or Ph.D. Degree in a quantitative field
* Bachelor's Degree in an analytical or scientific field (e.g. Computer Science, Engineering, Mathematics, Statistics, Operations Research)
* 10\+ years of experience doing complex quantitative analysis in product analytics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0">
      <c r="A70" t="inlineStr">
        <is>
          <t>li-4376594840</t>
        </is>
      </c>
      <c r="B70" t="inlineStr">
        <is>
          <t>Data Scientist (Multiple Levels)</t>
        </is>
      </c>
      <c r="C70" t="inlineStr">
        <is>
          <t>Noblis</t>
        </is>
      </c>
      <c r="D70" t="inlineStr">
        <is>
          <t>linkedin</t>
        </is>
      </c>
      <c r="E70" t="inlineStr"/>
      <c r="F70" t="inlineStr"/>
      <c r="G70" t="inlineStr">
        <is>
          <t>Washington, DC</t>
        </is>
      </c>
      <c r="H70" t="inlineStr"/>
      <c r="I70" t="inlineStr">
        <is>
          <t>**Responsibilities**
 We are seeking highly qualified Subject Matter Experts (SMEs) across multiple levels (I\-V) to support data science, aviation, engineering, psychological, analytical, and technical programs within the Federal Aviation Administration (FAA) or related federal initiatives. SMEs will apply advanced knowledge in their respective technical or analytical disciplines—particularly data science, machine learning, and data\-driven analysis—to solve complex problems, integrate requirements, and contribute to system design, program execution, and organizational effectiveness.
 SMEs will participate in multidisciplinary teams, utilizing advanced analytical tools, simulation environments, laboratories, data analysis platforms, and test facilities. They will provide guidance in technical planning, data strategy, process improvement, and performance evaluation, ensuring that data\-driven insights inform program and mission outcomes.
 Key Responsibilities (All Levels)
* Apply advanced knowledge in data science, engineering, psychology, or related technical disciplines to solve complex technical or organizational problems within the FAA or similar environments.
* Extract insights and value from large and complex datasets to inform decision\-making, enhance system performance, and drive innovation across programs.
* Develop and implement data\-driven solutions and predictive models using advanced statistical, machine learning, and data analysis techniques.
* Collect, clean, and integrate data from multiple sources to support analytical, technical, and operational objectives.
* Perform exploratory data analysis (EDA) to identify trends, patterns, and relationships in data relevant to aviation safety, engineering performance, human factors, or organizational outcomes.
* Utilize scientific, engineering, and analytical tools (e.g., Python, R, SQL, MATLAB, data visualization platforms) to design, test, and validate analytical models and simulations.
* Collaborate with cross\-functional teams—including software engineers, data analysts, behavioral scientists, and domain experts—to integrate data science solutions into operational systems and decision\-support workflows.
* Develop and review technical documentation, reports, and data\-driven recommendations to support program planning, compliance, and strategic decisions.
* Communicate analytical findings and technical insights to stakeholders in a clear, actionable manner, enabling evidence\-based decision\-making.
* Contribute to technical planning, data infrastructure design, and process optimization, ensuring alignment with program goals and federal data standards.
* Mentor junior staff and provide expertise in data science methodologies, enhancing team capabilities and promoting a culture of analytical excellence.
**Required Qualifications**
 Qualifications for all Levels:
* U.S. citizen or green card permanent resident (3\+ years U.S. residency)
* Ability to obtain and maintain FAA Sutiability/Public Trust.
* Experience with FAA and the environment.
 Level I
**Required Qualifications**
* Bachelor’s degree in engineering, science, or related field and 4\+ years of relevant experience; or equivalent aviation\-related experience with 6\+ years.
 D.C. Salary Range: $71,800\.00 \- $112,150
 Level II
**Required Qualifications:**
* Bachelor’s degree in engineering, science, or related field and 8\+ years of relevant experience; or equivalent aviation\-related experience with 12\+ years.
 D.C. Salary Range: $78,900 \- $123,300
 Level III
**Required Qualifications:**
* Master’s degree in engineering, science, or related field and 10\+ years of experience; or Bachelor’s degree with 12\+ years of experience.
 D.C. Salary Range: $105,100 \- $164,125
 Level IV
**Required Qualifications:**
* Master’s degree in engineering, science, or related field and 13\+ years of experience; or Bachelor’s degree with 17\+ years of experience.
 D.C. Salary Range: $127,100 \- $198,575
 Level V
**Required Qualifications:**
* Doctorate degree in psychology, industrial/organizational psychology, engineering, science, or related technical/analytical field and 10\+ years of experience; or Master’s degree with 12\+ years, or Bachelor’s degree with 17\+ years of experience.
 D.C. Salary Range: $153,800 \- $240,350
**Desired Qualifications**
 Desired Expertise
* Demonstrated experience in data science, machine learning, statistics, or quantitative analysis, preferably in aviation, engineering, or related technical domains.
* Proficiency with data science tools and programming languages (e.g., Python, R, SQL, TensorFlow, PyTorch, scikit\-learn, Tableau, Power BI).
* Strong understanding of data pipelines, data governance, and analytical model deployment in operational environments.
* Ability to translate complex technical and analytical concepts into actionable insights for diverse stakeholders.
 Level I
* Experience with technical problem\-solving, system integration, or engineering team support in aviation\-related programs.
 Level II
* Demonstrated experience leading small technical teams, performing process improvement, and applying engineering/scientific tools to complex problems.
 Level III
* Experience in advanced technical planning, integration of complex systems, and use of data analysis and test facilities for problem resolution.
 Level IV
* Proven record of technical leadership, mentorship of junior SMEs, and contributions to program or organizational strategy.
* Experience with large\-scale program integration, advanced modeling, simulation, or laboratory testing.
 Level V
* Expertise in psychological, organizational, technical, or analytical domains applied to aviation, engineering, or large\-scale program environments.
* Demonstrated leadership in multidisciplinary teams, system\-of\-systems problem solving, and organizational planning.
* Experience applying human factors, industrial/organizational psychology, or advanced analytics to improve performance, safety, and process outcomes.
* THIS POSITION IS CONTINGENT ON AWARD AND POSITION AVAILABILITY\*\*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$71,800\.00 \- USD $240,350\.00 /Yr.</t>
        </is>
      </c>
    </row>
    <row r="71">
      <c r="A71" t="inlineStr">
        <is>
          <t>li-4350332126</t>
        </is>
      </c>
      <c r="B71" t="inlineStr">
        <is>
          <t>Data Scientist, Analytics (Technical Leadership)</t>
        </is>
      </c>
      <c r="C71" t="inlineStr">
        <is>
          <t>Meta</t>
        </is>
      </c>
      <c r="D71" t="inlineStr">
        <is>
          <t>linkedin</t>
        </is>
      </c>
      <c r="E71" t="inlineStr"/>
      <c r="F71" t="inlineStr"/>
      <c r="G71" t="inlineStr"/>
      <c r="H71" t="inlineStr"/>
      <c r="I71"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
 Data Scientist, Analytics (Technical Leadership) Responsibilities:
* Work with complex data sets to solve challenging problems using analytical and statistical approaches
* Apply technical expertise in quantitative analysis, experimentation, and data mining to develop product strategies
* Identify and measure success through goal setting, forecasting, and monitoring key metrics
* Partner with cross\-functional teams to inform and execute product strategy and investment decisions
* Build long\-term vision and strategy for programs and products
* Collaborate with executives to define and develop data platforms and instrumentation
* Effectively communicate insights and recommendations to stakeholders
* Define success metrics, forecast changes, and set team goals
* Support developing roadmaps and coordinate analytics efforts across teams
 Minimum Qualifications:
* Bachelor's degree in Computer Science, Computer Engineering, relevant technical field, or equivalent practical experience
* Mathematics, Statistics, Operations Research) 5\+ years of experience with data querying languages (e.g. SQL), scripting languages (e.g. Python), or statistical/mathematical software (e.g. R, SAS, Matlab)
* 8\+ years of work experience leading analytics work in IC capacity, working collaboratively with Engineering and cross\-functional partners, and guiding data\-influenced product planning, prioritization and strategy development
* Experience working effectively with and leading complex analytics projects across multiple stakeholders and cross\-functional teams, including Engineering, PM/TPM, Analytics and Finance
* Experience with predictive modeling, machine learning, and experimentation/causal inference methods
* Experience communicating complex technical topics in a clear, precise, and actionable manner
 Preferred Qualifications:
* 10\+ years of experience communicating the results of analyses to leadership teams to influence the strategy
* Masters or Ph.D. Degree in a quantitative field
* Bachelor's Degree in an analytical or scientific field (e.g. Computer Science, Engineering, Mathematics, Statistics, Operations Research)
* 10\+ years of experience doing complex quantitative analysis in product analytics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2">
      <c r="A72" t="inlineStr">
        <is>
          <t>li-4254365968</t>
        </is>
      </c>
      <c r="B72" t="inlineStr">
        <is>
          <t>Data Scientist, Analytics (Technical Leadership)</t>
        </is>
      </c>
      <c r="C72" t="inlineStr">
        <is>
          <t>Meta</t>
        </is>
      </c>
      <c r="D72" t="inlineStr">
        <is>
          <t>linkedin</t>
        </is>
      </c>
      <c r="E72" t="inlineStr"/>
      <c r="F72" t="inlineStr"/>
      <c r="G72" t="inlineStr">
        <is>
          <t>Washington, DC</t>
        </is>
      </c>
      <c r="H72" t="inlineStr"/>
      <c r="I72" t="inlineStr">
        <is>
          <t>We are seeking experienced Data Scientists to join our team and drive impact across various product areas. As a Data Scientist, you will collaborate with cross\-functional partners to identify and solve complex problems using data and analysis. Your role will involve shaping product development, quantifying new opportunities, and ensuring products bring value to users and the company. You will guide teams using data\-driven insights, develop hypotheses, and employ rigorous analytical approaches to test them. You will tell data\-driven stories, present clear insights, and build credibility with stakeholders. By joining our team, you will become part of a world\-class analytics community dedicated to skill development and career growth in analytics and beyond.
 Data Scientist, Analytics (Technical Leadership) Responsibilities:
* Work with complex data sets to solve challenging problems using analytical and statistical approaches
* Apply technical expertise in quantitative analysis, experimentation, and data mining to develop product strategies
* Identify and measure success through goal setting, forecasting, and monitoring key metrics
* Partner with cross\-functional teams to inform and execute product strategy and investment decisions
* Build long\-term vision and strategy for programs and products
* Collaborate with executives to define and develop data platforms and instrumentation
* Effectively communicate insights and recommendations to stakeholders
* Define success metrics, forecast changes, and set team goals
* Support developing roadmaps and coordinate analytics efforts across teams
 Minimum Qualifications:
* Bachelor's degree in Computer Science, Computer Engineering, relevant technical field, or equivalent practical experience
* Mathematics, Statistics, Operations Research) 5\+ years of experience with data querying languages (e.g. SQL), scripting languages (e.g. Python), or statistical/mathematical software (e.g. R, SAS, Matlab)
* 8\+ years of work experience leading analytics work in IC capacity, working collaboratively with Engineering and cross\-functional partners, and guiding data\-influenced product planning, prioritization and strategy development
* Experience working effectively with and leading complex analytics projects across multiple stakeholders and cross\-functional teams, including Engineering, PM/TPM, Analytics and Finance
* Experience with predictive modeling, machine learning, and experimentation/causal inference methods
* Experience communicating complex technical topics in a clear, precise, and actionable manner
 Preferred Qualifications:
* 10\+ years of experience communicating the results of analyses to leadership teams to influence the strategy
* Masters or Ph.D. Degree in a quantitative field
* Bachelor's Degree in an analytical or scientific field (e.g. Computer Science, Engineering, Mathematics, Statistics, Operations Research)
* 10\+ years of experience doing complex quantitative analysis in product analytics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3">
      <c r="A73" t="inlineStr">
        <is>
          <t>li-4380709854</t>
        </is>
      </c>
      <c r="B73" t="inlineStr">
        <is>
          <t>Data Scientist Generative Chemistry</t>
        </is>
      </c>
      <c r="C73" t="inlineStr">
        <is>
          <t>Lensa</t>
        </is>
      </c>
      <c r="D73" t="inlineStr">
        <is>
          <t>linkedin</t>
        </is>
      </c>
      <c r="E73" t="inlineStr"/>
      <c r="F73" t="inlineStr"/>
      <c r="G73" t="inlineStr">
        <is>
          <t>Houston, TX</t>
        </is>
      </c>
      <c r="H73" t="inlineStr"/>
      <c r="I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MD Anderson Cancer Center. Clicking "Apply Now" or "Read more" on Lensa redirects you to the job board/employer site. Any information collected there is subject to their terms and privacy notice.
 We seek a talented, energetic, and collaborative AI\-driven Computational Chemist to conduct both routine and novel analyses as part of our flagship platform A3D3a: Adaptive, AI\-augmented, Drug Discovery and Development. With experience in molecular generation, foundation models, and QSAR/QSPR modeling, the AI Computational Chemist will contribute to the discovery of novel cancer therapeutics as part of A3D3a.
 Led by Prof. Bissan Al\-Lazikani, Director of Therapeutics Data Science, the intelligent and ever\-learning A3D3a platform is part of MD Anderson's Therapeutics Data Science initiative and part of our ambitious Institute for Data Science in Oncology. A3D3a will accelerate the discovery and impact of novel therapies for cancer by enabling novel opportunities for optimized therapies for patients with a focus on rare and hard\-to\-treat cancers through the development of novel machine learning and AI technologies.
 Central to this vision, the AI Computational Chemist will leverage state\-of\-the\-art generative and foundation models and, collaboratively with senior scientists, develop innovative data science approaches to propose chemical matter, propose drug\-target interactions of on\- and off\-target effects, and rationalize toxicity patterns. While physics\- or docking\-based approaches may complement work in this position, proficiency in AI/ML based computational chemistry and cheminformatics is a must. The preferred candidate should have at least a MSc in Chemistry, Biochemistry, Computer Science, or a related field. Expertise and comfortability with large data and a willingness to learn new approaches is critical to this role.
 a { text\-decoration: none; color: \#464feb; } tr th, tr td { border: 1px solid \#e6e6e6; } tr th { background\-color: \#f5f5f5; }
 The ideal candidate will leverage advanced generative chemistry and AI/ML techniques using frameworks such as PyTorch, predict drug\-target interactions, and drive data\-informed discovery, while bringing strong computational chemistry expertise, large\-scale data fluency, and a collaborative, innovation\-focused mindset.
**Job Responsibilities**
* Apply generative models to propose chemical matter for targets of interest.
* Develop novel methods in coordination with senior scientists.
* Develop QSAR/QSPR models from public and internal data.
* Document work thoroughly.
* Produce output for scientific publications and contribute to said publications.
* Present results at multidisciplinary project meetings as well as external meetings.
* Attend collaborator meetings and team working group meetings. Prioritize and manage multiple projects in a timely and resource\-effective manner.
* Stay up to date with relevant literature, gather information systematically, and confer with the supervisor regarding new procedures.
* Expertise in scientific computing using Python in a Unix environment, plus GPU computing.
* Proficient with generative AI for molecular generation.
* Proficient in PyTorch, rdkit, and other machine/deep learning utilities for cheminformatics.
* Familiar programmatically accessing public databases such as ChEMBL.
* Experience with molecular visualization tools (i.e., PyMol, VMD).
* Familiar with basic statistical testing.
* Other duties as assigned.
**Education**
 Required: Bachelor's Degree Biomedical Engineering, Electrical Engineering, Computer Engineering, Physics, Applied Mathematics, Science, Engineering, Computer Science, Statistics, Computational Biology, or related field.
 Preferred: Master's Degree or PhD in chemistry, structural biology, biochemist, or related field.
**Experience**
 Required: Three years Scientific software or industry development/analysis experience. With master's degree one year experience. With PhD, no experience.
 Preferred: Extensive experience with PyTorch. rdKit is a plus.
 The University of Texas MD Anderson Cancer Center offers excellent https://www.utsystem.edu/offices/employee\-benefits/ut\-retirement\-program/voluntary\-retirement\-programs,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179239
* Employment Status: Full\-Time
* Employee Status: Regular
* Work Week: Days
* Minimum Salary: US Dollar (USD) 106,500
* Midpoint Salary: US Dollar (USD) 133,000
* Maximum Salary : US Dollar (USD) 159,500
* FLSA: exempt and not eligible for overtime pay
* Fund Type: Soft
* Work Location: Hybrid Onsite/Remote
* Pivotal Position: Yes
* Referral Bonus Available?: Yes
* Relocation Assistance Available?: Yes
 If you have questions about this posting, please contact support@lensa.com</t>
        </is>
      </c>
    </row>
    <row r="74">
      <c r="A74" t="inlineStr">
        <is>
          <t>li-4380707365</t>
        </is>
      </c>
      <c r="B74" t="inlineStr">
        <is>
          <t>Junior Data Scientist, Stanford Law School</t>
        </is>
      </c>
      <c r="C74" t="inlineStr">
        <is>
          <t>Stanford University</t>
        </is>
      </c>
      <c r="D74" t="inlineStr">
        <is>
          <t>linkedin</t>
        </is>
      </c>
      <c r="E74" t="inlineStr"/>
      <c r="F74" t="inlineStr"/>
      <c r="G74" t="inlineStr">
        <is>
          <t>Stanford, CA</t>
        </is>
      </c>
      <c r="H74" t="inlineStr"/>
      <c r="I74" t="inlineStr">
        <is>
          <t>* NOTE: This position has been deemed critical/has specific funding, has been approved by the Law School for posting, and is exempt from the hiring freeze.
**Rhode Center on the Legal Profession**
**Stanford Law School**
**About The Rhode Center**
 The Rhode Center on the Legal Profession is a leading research institution dedicated to studying the legal profession, legal institutions, and the lawyers who shape them. The Center brings together scholars, practitioners, policymakers, and students to produce rigorous, impactful research with real\-world relevance.
**The Role**
 The Rhode Center on the Legal Profession at Stanford Law School seeks to hire a Junior Data Scientist to support routine data cleaning, dataset preparation, and the construction of standard machine learning pipelines. This role supports the core research team and improves turnaround time for foundational datasets. This position will report to the Lead Data Scientist of the Rhode Center.
**Location**
 This is a residential position and is expected to be on\-campus, with some flexibility for hybrid work after getting acclimated to the role.
**Core Responsibilities**
 Responsibilities may include, but are not limited to:
* Collect, manage, clean, and prepare datasets for modeling or tool integration.
* Employ new and existing tools to interpret, analyze, and visualize multivariate relationships in data – create repeatable scripts for preprocessing, merging, and validating large datasets.
* Create databases and reports, develop algorithms and statistical models, and perform statistical analyses appropriate to data and reporting requirements.
* Use system reports and analyses to identify potentially problematic data, make corrections, and determine root cause for data problems from input errors or inadequate field edits, and suggest possible solutions.
* Build and deploy supervised and unsupervised machine learning models, including LLM\-based classification and fine\-tuning for domain\-specific applications.
* Collaborate with faculty and research staff on data collection and analysis methods.
* Document data pipelines so they can be reused across projects. Provide documentation based on audit and reporting criteria to investigators and research staff.
* Write clean, production\-quality code and use GitHub for version control and collaboration.
* Communicate with government officials, grant agencies and industry representatives
**Minimum Requirements**
**Education \&amp; Experience:**
 Bachelor's degree or a combination of education and relevant experience. Experience in a discipline such as computer science, engineering, or statistics.
**Knowledge, Skills And Abilities**
* Proficiency in Python and SQL
* Substantial experience with MS Office and analytical programs.
* Strong writing and analytical skills.
* Ability to prioritize workload.
**Application Instructions**
**Applicants Should Submit The Following Materials Electronically**
* Cover letter describing interest in the position, relevant experience, and how the candidate’s background aligns with the Rhode Center’s mission.
* Curriculum vitae or resume.
* Names and contact information for at least three professional references.
 Applications will be accepted until
 **March 31st.** 
 Review of applications will take place on a rolling basis. Applicants are encouraged to submit materials by the review date for full consideration.
 We recognize that no single candidate will possess every qualification listed above, and we encourage individuals with relevant experience and a strong interest in the Center’s work to apply.
*The expected pay range for this position is $80,148\-$99,773 per annum. Stanford University provides pay ranges representing its good faith estimate of the* 
 salary wage
 *the university reasonably expects to pay for a position* 
 upon hire
 *.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 to any employee with a disability who requires accommodation to perform the essential functions of the job.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t>
        </is>
      </c>
    </row>
    <row r="75">
      <c r="A75" t="inlineStr">
        <is>
          <t>li-4337856788</t>
        </is>
      </c>
      <c r="B75" t="inlineStr">
        <is>
          <t>Partner Data Scientist, Governance</t>
        </is>
      </c>
      <c r="C75" t="inlineStr">
        <is>
          <t>Meta</t>
        </is>
      </c>
      <c r="D75" t="inlineStr">
        <is>
          <t>linkedin</t>
        </is>
      </c>
      <c r="E75" t="inlineStr"/>
      <c r="F75" t="inlineStr"/>
      <c r="G75" t="inlineStr">
        <is>
          <t>New York, NY</t>
        </is>
      </c>
      <c r="H75" t="inlineStr"/>
      <c r="I75" t="inlineStr">
        <is>
          <t>The Partner Data Scientist (PDS), Transparency – Governance \&amp; Oversight Board, is responsible for leading data\-driven governance initiatives, supporting Oversight Board activities, and ensuring Meta’s external commitments are met through rigorous analytics, impact assessments, and process improvements. This role partners with Governance, Public Policy, Product, and external stakeholders to deliver actionable insights, validate the impact of recommendations, and proactively address regulatory and compliance risks.
 Partner Data Scientist, Governance Responsibilities:
* Design, execute, and deliver custom Impact Assessments for the Oversight Board, providing data and analysis to validate the impact of Board recommendations and Meta’s implementation efforts
* Develop and maintain processes for tracking, reporting, and sharing impact metrics with the Board, including both manual and self\-serve analyses via Meta Content Library (MCL) and API
* Proactively identify and address gaps in data availability, implementation tracking, and accountability for recommendations, ensuring commitments are upheld and communicated transparently
* Support regulatory response efforts by ensuring data sharing, reporting, and impact measurement processes meet evolving legal and policy requirements (e.g., DSA 40B)
* Run end\-to\-end dry runs and readiness assessments for regulatory requests, and develop mitigation strategies for ambiguous or high\-risk compliance scenarios
* Collaborate with Integrity, Policy, and Product teams to align on regulatory priorities and resource allocation
* Host workshops, office hours, and educational sessions for researchers, Board members, and external partners to drive adoption and understanding of Meta’s transparency tools
* Provide white\-glove support for Oversight Board and governance stakeholders, including onboarding, troubleshooting, and feedback collection
* Communicate findings, risks, and learnings to leadership and cross\-functional teams, influencing strategy and resource allocation
 Minimum Qualifications:
* Bachelor's degree in a directly related field, or equivalent practical experience
* 5\+ years of experience following the data development lifecycle to develop scalable data infrastructure and analytics tools
* Demonstrated experience building relationships with peers, stakeholders and collaborating with cross\-functional teams across multiple geographies and time zones
* Track record of operating independently and delivering results, embracing ambiguity, demonstrating creativity, being detail\-oriented, and delivering results in a highly organized manner
* Proven experience in communication and presentation skills, and the ability to clarify and summarize complex issues
* Hands\-on experience with SQL and/or data science toolkit for development and visualization (e.g. python/R, Tableau, Hive, MySQL, Spark, etc.)
* Experience independently structuring and leading projects with cross\-functional stakeholders in a highly matrixed organization
* Experience independently managing multiple projects simultaneously and working autonomously in a deadline focused ambiguous environment
* Experience in communicating effectively with experience of driving action based on data\-driven insights. Experience turning vague concepts and asks into well\-documented and effective business metrics and insights and storytelling through data insights
* Project management experience, with experience leading and executing multiple time\-sensitive projects with partners
 Preferred Qualifications:
* BS, MS or MBA in a quantitative or policy/regulatory field preferred
* Experience distilling/prioritizing needs of a broad range of stakeholders to inform an action plan
* Experience working in policy, policy research, regulatory and compliance etc
* Understanding of Account Management and research/analytics best practices
* Strategy consulting experience (or equivalent experience in strategic and analytical problem\-solving)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$137,000/year to $196,000/year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6">
      <c r="A76" t="inlineStr">
        <is>
          <t>li-4373012784</t>
        </is>
      </c>
      <c r="B76" t="inlineStr">
        <is>
          <t>Data Scientist- Associate</t>
        </is>
      </c>
      <c r="C76" t="inlineStr">
        <is>
          <t>KPMG US</t>
        </is>
      </c>
      <c r="D76" t="inlineStr">
        <is>
          <t>linkedin</t>
        </is>
      </c>
      <c r="E76" t="inlineStr"/>
      <c r="F76" t="inlineStr"/>
      <c r="G76" t="inlineStr">
        <is>
          <t>Dallas, TX</t>
        </is>
      </c>
      <c r="H76" t="inlineStr"/>
      <c r="I7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Data Scientist to join our Audit Technology Alliance organization.
 Responsibilities:
* Develop and implement core components of generative AI solutions, including RAG pipelines and context engineering features, within our established architecture; driving quality into prompt engineering and optimization for business use cases
* Support senior team members in the implementation of RAG pipelines and context engineering systems by building and testing specific modules
* Collaborate with AI engineers and other data scientists to integrate model outputs into the broader microservice architecture
* Focus on learning and applying our technology stack, including LangChain/LangGraph, Azure AI Search, and our AKS\-based infrastructure
* Drive product advancement by diligently executing experiments, documenting results, and contributing to our culture of continuous improvement
* Participate actively in agile ceremonies and contribute to the team's collective knowledge of generative AI, audit methodologies, and best practices
* Act with integrity, professionalism, and personal responsibility to uphold KPMG's respectful and courteous work environment
 Qualifications:
* Minimum one year of experience or strong internship/academic projects in data science, machine learning, or software engineering
* Master's degree from an accredited college or university in Computer Science, Data Science, Statistics, or a related quantitative discipline is preferred. Minimum of a Bachelor's degree is required.
* Foundational knowledge of machine learning concepts and Python for data analysis; familiarity with LLMs and frameworks like LangChain is preferred
* Exposure to cloud platforms (preferably Azure) and data platforms like Databricks or Microsoft Fabric
* Familiarity with the principles of the software development lifecycle (SDLC) and version control tools like ADO and Github
* Strong analytical and problem\-solving skills, with an eagerness to learn and a collaborative, team\-oriented mindset (200TEC)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https://kpmg.com/us/en/how\-we\-work/pay\-transparency.html/?id\=7501\_9\_25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77">
      <c r="A77" t="inlineStr">
        <is>
          <t>li-4373020657</t>
        </is>
      </c>
      <c r="B77" t="inlineStr">
        <is>
          <t>Data Scientist- Associate</t>
        </is>
      </c>
      <c r="C77" t="inlineStr">
        <is>
          <t>KPMG US</t>
        </is>
      </c>
      <c r="D77" t="inlineStr">
        <is>
          <t>linkedin</t>
        </is>
      </c>
      <c r="E77" t="inlineStr"/>
      <c r="F77" t="inlineStr"/>
      <c r="G77" t="inlineStr">
        <is>
          <t>Montvale, NJ</t>
        </is>
      </c>
      <c r="H77" t="inlineStr"/>
      <c r="I7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Data Scientist to join our Audit Technology Alliance organization.
 Responsibilities:
* Develop and implement core components of generative AI solutions, including RAG pipelines and context engineering features, within our established architecture; driving quality into prompt engineering and optimization for business use cases
* Support senior team members in the implementation of RAG pipelines and context engineering systems by building and testing specific modules
* Collaborate with AI engineers and other data scientists to integrate model outputs into the broader microservice architecture
* Focus on learning and applying our technology stack, including LangChain/LangGraph, Azure AI Search, and our AKS\-based infrastructure
* Drive product advancement by diligently executing experiments, documenting results, and contributing to our culture of continuous improvement
* Participate actively in agile ceremonies and contribute to the team's collective knowledge of generative AI, audit methodologies, and best practices
* Act with integrity, professionalism, and personal responsibility to uphold KPMG's respectful and courteous work environment
 Qualifications:
* Minimum one year of experience or strong internship/academic projects in data science, machine learning, or software engineering
* Master's degree from an accredited college or university in Computer Science, Data Science, Statistics, or a related quantitative discipline is preferred. Minimum of a Bachelor's degree is required.
* Foundational knowledge of machine learning concepts and Python for data analysis; familiarity with LLMs and frameworks like LangChain is preferred
* Exposure to cloud platforms (preferably Azure) and data platforms like Databricks or Microsoft Fabric
* Familiarity with the principles of the software development lifecycle (SDLC) and version control tools like ADO and Github
* Strong analytical and problem\-solving skills, with an eagerness to learn and a collaborative, team\-oriented mindset (200TEC)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https://kpmg.com/us/en/how\-we\-work/pay\-transparency.html/?id\=7501\_9\_25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78">
      <c r="A78" t="inlineStr">
        <is>
          <t>li-4378002940</t>
        </is>
      </c>
      <c r="B78" t="inlineStr">
        <is>
          <t>People Analytics - Data Scientist</t>
        </is>
      </c>
      <c r="C78" t="inlineStr">
        <is>
          <t>Caterpillar Inc.</t>
        </is>
      </c>
      <c r="D78" t="inlineStr">
        <is>
          <t>linkedin</t>
        </is>
      </c>
      <c r="E78" t="inlineStr"/>
      <c r="F78" t="inlineStr"/>
      <c r="G78" t="inlineStr">
        <is>
          <t>Irving, TX</t>
        </is>
      </c>
      <c r="H78" t="inlineStr"/>
      <c r="I78"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**People Analytics \- Data Scientist**
 Caterpillar uses analytics to identify and create opportunities for the workforce to deliver on business priorities. Some typical opportunities include identifying markets and segments with key skills and talent to execute on businesses priorities, modeling scenarios and risks to our current and future talent, evaluating the effectiveness of operations and strategic initiatives, and recommending key areas to influence outcomes with data and insights. Our global team will provide analytical thought leadership for COEs, Segments, and Functional solutions and initiatives.
 The principal responsibility of People Analytics Data Scientist is to provide a unique combination of statistical expertise, critical thinking, business acumen, inquisitiveness, and creativity to deliver solutions and insights across the enterprise. In addition, they will continue to elevate thinking amongst the analytics team, COPs, and all its partners to grow the analytical capabilities across all HR.
**What You Will Do**
* Oversee the acquisition and consumption of data from structured and unstructured sources, while ensuring quality and comprehensiveness of data for use in analyzing business activities, detecting patterns, and communicating trends.
* Demonstrate an ability to utilize various methods and techniques, including AI, to frame problems and situations and accurately analyze situations to reach productive decisions.
* Develop predictive data models, quantitative analyses, and implement semantic data capabilities through NLP, text mining, and machine learning techniques.
* Lead data exploration and analytics projects and provide on\-going coaching regarding visualizations, data mining, and analytics techniques.
* Demonstrate an ability to tell a story with data and create compelling ways to use data to drive actions.
 Some challenges of this role include working with Segments and COEs that may have conflicting priorities; shifting paradigms and thinking regarding data and analytics; balancing the need for precision vs minimally viable solutions; scaling the significant demand for data and analytics to focus on value added activities.
 The People Analytics Data Scientist will elevate the rest of the team by establishing sound analytic approaches addressing the business challenges across the enterprise. The role reports into a Global Analytics Lead that is responsible for helping build a data driven culture and create analytical solutions that improve decision making and reveal new opportunities. They must demonstrate effective communication skills to explain conclusions to customers with limited knowledge and experience with analytics.
**What You Have**
* Possess knowledge of business concepts, tools, and processes that are needed for making sound decisions in the context of the company's business; ability to apply this knowledge appropriately to various situations.
* Bachelor’s degree, preferably in statistics, economics, mathematics, or a similar field, and 2\-5 years of professional experience in analytics is required or master’s degree and 1\-3 years of relevant experience.
* Knowledge of R/Python/SQL for ETL, Machine Learning, and data visualization packages like Power BI and Tableau.
* Knowledge of Data Lake solutions (Snowflake/AWS) and applied knowledge of stackable solutions and automation techniques is a plus.
* Strong consultative skills, initiative, and the ability to communicate and tell compelling stories with data.
* Ability to utilize AI responsibly to streamline and enhance analytics approaches to solve workforce challenges.
**Additional Info**
* The primary location for this position is Dallas, TX, Peoria, IL or Nashville, TN.
* Domestic relocation is available.
* This role requires 5 days onsite.
* Travel up to 10%.
* SPONSORSHIP IS NOT AVAILABLE.
**What You Will Get**
* Our goal at Caterpillar is for you to have a rewarding career. Our teams are critical to the success of our customers who build a better world.
* Here you earn more than just a salary because we value your performance. We offer a total rewards package that provides benefits on day one (medical, dental, vision, RX, and 401K) along with the potential of an annual bonus. Additional benefits include paid vacation days and paid holidays.
* All qualified individuals \- Including minorities, females, veterans, and individuals with disabilities \- are encouraged to apply.
**About Caterpillar \-**
 Caterpillar Inc. is the world’s leading manufacturer of construction and mining equipment, off\-highway diesel and natural gas engines, industrial gas turbines and diesel\-electric locomotives. For nearly one hundred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$97,530\.00 \- $158,480\.00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25, 2026 \- March 6,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79">
      <c r="A79" t="inlineStr">
        <is>
          <t>li-4380551070</t>
        </is>
      </c>
      <c r="B79" t="inlineStr">
        <is>
          <t>Associate Performance Data Scientist</t>
        </is>
      </c>
      <c r="C79" t="inlineStr">
        <is>
          <t>United States Olympic &amp; Paralympic Committee</t>
        </is>
      </c>
      <c r="D79" t="inlineStr">
        <is>
          <t>linkedin</t>
        </is>
      </c>
      <c r="E79" t="inlineStr"/>
      <c r="F79" t="inlineStr"/>
      <c r="G79" t="inlineStr">
        <is>
          <t>Colorado, United States</t>
        </is>
      </c>
      <c r="H79" t="inlineStr"/>
      <c r="I79" t="inlineStr">
        <is>
          <t>**Description**
**Are you mission\-driven and passionate about helping others succeed?**
**Do you strive to lead, follow, and act with integrity?**
**Are you the one who honors your commitments?**
**Is building trusting relationships an integral part of why you do what you do?**
**Do you push limits and challenge the status quo?**
 If you answered
 **YES** 
 , keep reading to discover how you can significantly contribute to Team USA's success!
**Here's a Summary Of Responsibilities**
 Under the direction and supervision of theAssociate Director,Performance Data Science, the Associate Performance DataScientistcreates strategies to ensure data cleanliness and completeness and surfaces data for Performance Analytics applications.Appliesadvanceddata integration techniquestoensure the efficient flow of data and maintain quality.Develops tools to optimize the collection and statistical analysis of performance data.Designs and deploys newdatasolutions and monitors and enhances existing ones.
 The Associate Performance Data Scientist will play a key role inexpanding PerformanceAnalytics toolstoParalympicSportandHigh PerformancePathways,evolving data solutions to deliver valuable performance insights to all stakeholders.The ideal candidate willbe an innovative thinker and quick learner whovaluesefficient, high\-quality work and effectivelyimplements technical solutionsaccuratelyand atscale. We are looking foradetail\-oriented, trusted problem solverwith a passion fortheOlympic and Paralympic Movements.
**Here’s How You’ll Have An Impact**
*Performance Data Science Support*
* Support work of Performance Analytics team and other stakeholders by translating data requirements into scalable technical solutions
* Develop novel Paralympic performance insights and predictive models, expanding the USOPC’s International Competitive Analysis program to Paralympic sport
* Implementbest practices in documentation and version control to manage Performance Analytics code base and ensure consistent, repeatable solutions
* Stay apprised ofemerging technologies and industry trends in data engineering and sports analytics
* Assist withdevelopment and validation of new algorithms, analysis tools, and predictive models as needed
*Database Integration \&amp; Management*
* Architect data pipelines and processes to seamlessly integrate new data sources and systems intoexistingUSOPCsystems anddatabasestructureswith an emphasis on Performance Pathways and Paralympic Sport data
* Bring a deep understanding of reporting and modeling needs to all data integration efforts to drive data insights
* Assist Performance Data Analysts with integrating relevant athlete health, wellness, and performance data and analysis tools into the USOPC’s AMS platform
* Identify and acquire new data sets to fill gaps in Performance Analytics coverage, automating data collection where possible via web scraping, APIs, and PDF extraction
* Assist the USOPC IT team in developing and implementing data models and database structures to ensure efficient storage and retrieval of Performance Analytics information
*Data Quality*
* Design and publish trusted and verified data sources to enable analysis at scale
* Monitor and optimize existing data feeds (internal and third party) for completeness, performance, and scalability
* Perform data cleaning, validation, and feature engineering to ensure data integrity and efficient analysis
* Create strategies to audit for data\-related issues and implement solutions in a timely manner
* In collaboration with IT, deploy models and manage development and production environments
**Here are the skills and experience you'll need to be effective:**
* B.S. or equivalent in Computer Science, Data Science, Statistics, Analytics, Engineering or related field required
* M.S. preferred
* 1\-3years of experiencedeliveringdata engineeringsolutionsinhigh\-performance environments(internships or applicablecollege/university level classes may be combined for this requirement)
* Advanced knowledge ofdata integration techniques, ETL processes, and data pipeline and database(SQL, Snowflake)architecture
* Successful implementationsof web scraping techniques and extracting data from APIs and PDFs
* Application of clean and tidy data best practices
* Excellent programming skills in R, Python,and/orSQL
* Machine learning, feature engineering, and parallel computing
* Cloud data infrastructure environments (Azure, Snowflake, AWS)
* Automation and continuous improvement of data collection and analysis tools
* Strongcommunication andproblem\-solving abilities, including simplifying complex tasks and devising actionable strategies
* Accountable fordetail\-oriented, accurate, high\-quality work
* Quick and adaptable learner,applyingnew skillsand technologyon a project\-by\-project basis
* Ability to follow HIPAA and USOPC data privacy policies
* Passion for Team USA and the ideals of the Olympic \&amp; ParalympicMovements
**Here Are The Tools, Equipment, \&amp; Conditions**
* Standard office equipment and computer
* Access to onsite telecommunications equipment, fax machine, copier
* Office environment in amulti\-story building on a multi\-building site
* Travel domestically and internationally
* Regular attendance at work is an essential job function
**Here's Where You'll Work**
 Remote
 or
 Colorado Springs Downtown Headquarters / Hybrid
**Here's Some More Information You Need To Know**
* Hiring pay range $66,000 \- $70,000 per year
* This Full\-Time, Exempt position is intended to work 40 hours per week.
* Bonus: This position will be eligible for the Annual Incentive Award Program, which has a 10% target. The USOPC may change or eliminate this program at any time at its sole discretion.
* Benefits: This position will be eligible for USOPC benefits. You can view a summaryhere.
 This job posting will close on 3/8/2026\.</t>
        </is>
      </c>
    </row>
    <row r="80">
      <c r="A80" t="inlineStr">
        <is>
          <t>li-4380549018</t>
        </is>
      </c>
      <c r="B80" t="inlineStr">
        <is>
          <t>DATA SCIENTIST</t>
        </is>
      </c>
      <c r="C80" t="inlineStr">
        <is>
          <t>TalentAlly</t>
        </is>
      </c>
      <c r="D80" t="inlineStr">
        <is>
          <t>linkedin</t>
        </is>
      </c>
      <c r="E80" t="inlineStr"/>
      <c r="F80" t="inlineStr"/>
      <c r="G80" t="inlineStr">
        <is>
          <t>Fairfax, VA</t>
        </is>
      </c>
      <c r="H80" t="inlineStr"/>
      <c r="I80" t="inlineStr">
        <is>
          <t>**\*\*\*Position is 100% on\-site\*\*\*** 
**\*\*\*Secret Clearance Is Required\*\*\*** 
 VSolvitis looking for a broadly talented Data Scientist with quantitative research skills to take an active role on our data analytics team. You will work on vast amounts of DEA data to discover hidden information by applying modern statistical and ML/AI techniques. The main scripting languages used on this program are Python and some 'R'. The databases are MS SQL Server and Elastic Search and are used against the enterprise data warehouses with Kibana, Tableau or other BI and Visualization tools. This is a mature team that is high profile and charged with delivering solutions in Data Sciences enabling maximum leverage of DEA master data. At a higher Level, this position is part of a team of developers and IT SME's who support the DEA data warehouse project and the ability to recognize opportunities for the correlation of data is vital for this position. The need for strategic thinking, with the ability to easily spot gaps, ensure accuracy, and find differences in what should be the same values in data, and lags in data that will ultimately affect velocity and overall quality of the products, is highly desired.
 Your primary focus will be applying data mining techniques, doing statistical analysis, and building high\-quality prediction systems integrated with DEA programs and DEA data (e.g. structured, unstructured, and mixed datasets). You will also design and develop automatic scoring using machine learning techniques, build recommendation systems, design, and develop classifiers for feature extraction. This program is one in which pushing boundaries and innovation within the scope of the program is valued. There is a fully supported effort to develop and further Power BI/ML/AI in the quest for 'making the data dance'. The Data Sciences group provides innovative algorithm development using various techniques to achieve desired insight or open eyes to new revealing results and possibilities. In addition to technical knowledge the team values the ability to collaborate and communicate with one another to ensure a highly productive, respectful, and harmonious work setting, be it virtual or mixed of onsite and remote.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Work with large DEA data using descriptive statistics and data visualization tools
* Create insights from existing DEA data, and drive the collection of new data and ways to address new data
* Collaborate with clients and team members to understand and communicate results, and to put insights into operation
* Enhancing data collection procedures to include information that is relevant for building analytical systems
* Doing ad\-hoc analysis and presenting results in a clear manner
* Work with other team members such as those focused on Data warehousing, Tools development, software development, DevOps, systems analysts etc.
* Design accurate and scalable prediction algorithms
* Collaborate with engineering team to bring analytical prototypes to production
* Generate actionable insights for business improvements
**Basic Qualifications** 
* U.S. Citizenship Required
* Secret Clearance Required
* Must be able to pass a DEA Security Approval
* Team experience (i.e., managing tasks with other Data Scientists; communicator to client and other DEA Team Leads; good communication skills orally and in writing)
* At least 2 years of data science and custom Machine Learning and AI model training experience solved 'real world' problem (to include supervised and unsupervised) and Natural Language Processing (NLP) expertise focusing on unstructured data with Anaconda, VScode with Git Version control
* Bachelor's or Master's degree in Computer Science, Data Science, or a related field.
* 5\+ years' of professional experience in data science and analysis
* 5\+ years' Python, "R" or other scripting languages
* 2\+ years' database experience
* ML practice \- using scikit learn, tensorflow, or pytorch and perform DEA (Data exploration Analysis), clean data, model selection, feature selection/tuning, and deployment
* 2\+ years' experience with data visualization tools
* Utilize a strong understanding of Machine Learning basics to design and implement effective models for \[specific industry/sector] applications.
* Professional experience in implementing and deploying Deep Learning models to solve complex problems
* Collaborate with cross\-functional teams as a team player to integrate data science solutions into our products and services.
* Demonstrate excellent communication skills to convey complex technical concepts to non\-technical stakeholders and team members.
* Utilize Git for version control, ensuring effective collaboration and code management within the team.
* Embrace Agile methodologies to adapt to fast\-paced development cycles and deliver high\-quality results.
* Solid understanding of statistical analysis and data visualization techniques.
* Ability to work independently and collaboratively in a team\-oriented environment.
* Dedication to continued learning, be team\-oriented, self\-driven, quality minded, and customer\-friendly
* If applicable: If you are or have been recently employed by the U.S. government, a post\-employment ethics letter will be required if employment with VSolvit is offered
**Preferred Qualifications (but not required)** 
* Graduate degree in a quantitative social science or a STEM field highly desired
* 10\+ years' of professional experience in data science and analysis
* 10\+ years' Python, "R" or other scripting languages
* 5\+ years' of relational database experience
* 5\+ years of non\-relational/big data experience
* Experience or knowledge of ELK may be helpful
* Experience with common data science toolkits, such as R, Weka, NumPy, MatLab, etc.
* Proficiency in using data query languages such as SQL, Hive, Pig, Pandas, MongoDB
* Proficiency in big data modeling work: Hadoop, Pig, Scala, Spark
* Good, applied statistics skills, such as distributions, statistical testing, regression, etc.
* Substantial experience with statistics and the scientific method, and the ability to perform self\-directed hypothesis\-driven research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PDN\-a1008b14\-e84b\-48b4\-a3e9\-fdacdeb57f4f</t>
        </is>
      </c>
    </row>
    <row r="81">
      <c r="A81" t="inlineStr">
        <is>
          <t>li-4379478302</t>
        </is>
      </c>
      <c r="B81" t="inlineStr">
        <is>
          <t>Senior Data Scientist</t>
        </is>
      </c>
      <c r="C81" t="inlineStr">
        <is>
          <t>Luna Diabetes</t>
        </is>
      </c>
      <c r="D81" t="inlineStr">
        <is>
          <t>linkedin</t>
        </is>
      </c>
      <c r="E81" t="inlineStr"/>
      <c r="F81" t="inlineStr"/>
      <c r="G81" t="inlineStr">
        <is>
          <t>San Diego, CA</t>
        </is>
      </c>
      <c r="H81" t="inlineStr"/>
      <c r="I81" t="inlineStr">
        <is>
          <t>Luna Health created Sleep\-Only Automation — automated insulin delivery that works while you sleep and disappears when you wake. We're a venture\-backed medical device startup that makes the world’s smallest insulin patch pump, solving the biggest problem in all of diabetes \- nighttime glucose control for Type 1 diabetes and Type 2 diabetes insulin users who manage their days well and have made a considered choice to stay on pens. They don't need saving. They need protection while they sleep.
 Our founders have lived this problem — as people with diabetes and as parents of children with diabetes — and built some of the most recognized products in the space. Now we are building the answer to a question the industry left unanswered: what do pen users need at night that no one has built yet. Sleep\-Only Automation™ is it. Nights Protected. Days Yours™.
 The Role
 We are seeking a highly motivated and experienced Senior Data Scientist to join our team, reporting to the Director of Data Science. You’ll serve as a technical lead and individual contributor.
 This role’s primary focus is incorporating and understanding internally and externally generated data, presenting and communicating these findings to management and different departments, and creating feedback loops between data (ours and third\-party) and our products and processes. This includes device\-generated data, clinical data analysis, customer metrics, health economic outcomes, and visualization tools.
 This role demands a creative tinkerer and a good storyteller who seeks to understand the “why” behind phenomena, balancing theoretical depth with practical application. We’re looking for someone who is intellectually curious, thrives in a fast\-paced startup environment, balances speed with rigor, and brings a strong ability to ask easy and hard questions, learn quickly, solve problems creatively, and manage competing priorities.
 This is an on\-site preferred role, with preference for candidates living within a reasonable commuting distance of the Luna Health office in San Diego, CA.
**Responsibilities**
* Partner with cross\-functional teams to identify data\-centric problems and align solutions with scientific and operational objectives.
* Analyze and model internal and external datasets (e.g., clinical trials, product performance, operations, third\-party devices) to uncover actionable insights that can be fed back into products and processes.
* Create and manage visualization tools and dashboards to communicate complex insights clearly.
* Support the team in design and implementation of internal and external data products.
* Explore and experiment with novel computational methods, tinkering creatively and iteratively to solve complex problems while keeping practical needs in focus.
* Create models using Luna data, along with external data, to demonstrate health economic outcomes
* Provide subject matter expertise in data science, including statistics, modeling, simulation, and AI.
 What You Bring
* 5\+ years in data science, computational biology, or related fields, with a proven track record of independently delivering innovative, high\-impact projects in modeling, analytics, and systems design.
* Expertise in data communication and storytelling, with the ability to uncover insights, visualize information, and create a compelling narrative from data. Experience managing tools that make data accessible and digestible for users across the business.
* Proficiency in Python (e.g., NumPy, SciPy, Pandas, Scikit\-learn) or R for modeling, simulation, analytics, and visualization, with a focus on clear analysis and communication.. Comfort with AI tool chains, both when and how to apply them.
* Hands\-on experience with clinical data analysis and field metrics.
* Proficiency with complex numerical methods as well as emerging machine learning technologies.
* Creative tinkerer with a passion for experimentation, unafraid to dive deep into problems and prototype novel solutions.
* Ability to balance quick\-and\-dirty experimentation with rigorous design and analysis.
* Advanced degree (MS or PhD) in data science, computational biology, applied mathematics, engineering, or a related field preferred; or equivalent experience demonstrating exceptional technical depth and problem\-solving ability. Candidates should show a strong aptitude for rigorous, analytical thinking and hands\-on innovation, regardless of formal education.
 Nice to Have
* Experience in medical devices, regulated industries, healthcare, diabetes, or consumer health products
* Familiarity with FDA regulatory requirements and quality management systems
 What to expect
 The first step is to apply for this job on our website. Next, we will schedule a virtual interview with the hiring manager to introduce you to the company and the role. Finally, we will invite you on\-site to discuss your experience and meet the team.
 We are in a hurry to find the right person, not in a hurry to hire, so we will take time getting to know you and making sure that you will be an excellent fit for the work that we are doing.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Physical demands
 The physical demands described here represent those that an employee must meet to perform the essential functions of this job successfully. Reasonable accommodations may be made to enable individuals with disabilities to perform essential functions.
* Sit for extended periods of time at a keyboard and mouse
* Lift and move up to 25 lbs
* Work in a second\-story office up a flight of stairs
* Hearing and speaking will be required regularly
* Specific vision abilities including close and distance vision, depth perception, peripheral vision, and the ability to adjust focus
 To all staffing and recruiting agencies
 This posting is only for individuals seeking a job at Luna Health. Only authorized staffing and recruiting agencies may use this site or submit profiles, applications, or resumes on specific requisitions. Luna Health does not accept unsolicited resumes or applications from agencies. Please do not forward resumes to Luna Health. Luna Health is not responsible for any fees related to unsolicited resumes or applications.</t>
        </is>
      </c>
    </row>
    <row r="82">
      <c r="A82" t="inlineStr">
        <is>
          <t>li-4380556397</t>
        </is>
      </c>
      <c r="B82" t="inlineStr">
        <is>
          <t>Biostatistician Data Scientist Informaticist</t>
        </is>
      </c>
      <c r="C82" t="inlineStr">
        <is>
          <t>GAP Solutions, Inc.</t>
        </is>
      </c>
      <c r="D82" t="inlineStr">
        <is>
          <t>linkedin</t>
        </is>
      </c>
      <c r="E82" t="inlineStr"/>
      <c r="F82" t="inlineStr"/>
      <c r="G82" t="inlineStr">
        <is>
          <t>Bethesda, MD</t>
        </is>
      </c>
      <c r="H82" t="inlineStr"/>
      <c r="I82" t="inlineStr">
        <is>
          <t>**Position Objective:** 
 The Biostatistician Data Scientist Informaticist will provide support services to The National Institute on Minority Health and Health Disparities (NIMHD) within the National Institutes of Health (NIH).
**Duties And Responsibilities**
* Address big data and data science policies, practices and analytic methodologies. Identify big data sources; conduct analyses of secondary data.
* Develop conceptual ideas (data systems, analytic publications) surrounding data science projects, such as the development of the artificial intelligence for minority health and health disparities.
* Contribute to interpretation of big data and identification of data patterns using Big data tools, such as Hadoop, Apache Spark, Apache Storm, Cassandra and RapidMiner.
* Identify potential issues in data lakes, algorithms, artificial intelligence/machine learning training, and repositories. Use statistical methods for analyzing complex data.
* Generate and optimize programs and scripts for the analysis of data; create programs and algorithms and develop computational infrastructure resources for organizing and parsing data from large and complex data.
* Serve as bioinformatics expert and coordinate with teams of biologists to conduct experimental queries and or perform portions of studies using complex procedures and techniques common to modern bioinformatics
* Coordinate building bioinformatics infrastructure to ensure easy and meaningful scientific analysis and interpretation of data
* Provide broad\-based programming and analytic support for a wide variety of bioinformatic and research projects
* Install, troubleshoot and run open\-source and commercial scientific software on platforms
* NIMHD provided a leadership role to secure NIH OD funding for and to develop a tool that provides the semantics of common data elements, which is a required basis for the successful adoption and expanded use of CDEs OMOP, FHIR and ULMS exists for clinical and clinical research purposes No such source exists for biomedical research SemNet provides an initial platform and will be the source for further development This resource will be housed on the NIH CDE Repository and enable the expansion and widespread adoption of CDEs for research
* Perform computational analysis of, and interpret results
* Provide reports based on analysis of scientific data
* Perform sequencing and alignment of raw data, and interpret new data using larger public access datasets
* Provide interpretive analyses of data derived from different experimental platforms to generate biological meaning
* Write custom programs and algorithms to support data analyses and discovery
* NIMHD was successful in securing ODSS Strides funding to secure a cloud computing space to address the looming issue of artificial intelligence machine learning algorithm bias The cloud will host federated data sets for investigators of diverse backgrounds to use for research and for the development of resources, tools and methodologies to mitigate AIML biases and to build community trust in cloud computing
* Collaborate with scientists to design, analyze, manage and interpret all types of data
* Design and execute computational experiments
* Work with staff on planning of experiments, and data analysis for internal and collaborative projects; use bioinformatics expertise to advise and help bench scientists on experimental design and trouble\-shooting
* Work with staff to develop specifications for new analysis; design, test and implement solutions
* Make recommendations to investigators about the correct computational tools for testing scientific hypotheses and reaching valid conclusions
* Attend scientific and programming meetings; take and compile comprehensive notes; organize and edit content of meeting reports
* Prepare scientific reports and progress reports; assemble data to prepare tables, graphs and slides; conduct scientific and program related information searches and report results
* Maintain proper and detailed documentation of the analysis performed and report results at extramural staff meetings
* Devise novel methods of statistical analysis for collected data
* Utilize and adapt existing bioinformatics techniques to check for trends and patterns in the data
* Write complex queries to multiple databases
* Perform data processing and data analysis with existing computational and statistical methods
* Assist in evaluating and interpreting results for validity and scientific meaning
* NIMHD is represented on trans\-NIH working groups that address all aspects of data science These groups, include CDE Task Force, CDE Coordination Touchpoint, Biomedical Information Science and Technology Initiative, Trans\-NIH Biomedical Informatics
* Coordinating Committee, N3C Domains addressing SDOH, DATA Sharing and Reuse, ODSS Working Group on AI, Ethics, and
* Transparency for People and Machines, BioMedical Informatics Coordinating Committee, and WHCC Data Harmonization
* NIMHD actively participates in trans\-NIH AIML initiatives to increase diversity and to address underrepresented populations in data science fields, including Bridg2AI; AIM\-AHEAD; SCH ODSS Cloud Computing in MSIs; and ODSS AI, Ethics, and Transparency for People and Machines
* NIMHD secured 10 Coursera slots for staff training in data science, common data elements, artificial intelligence machine learning and data analytics
* Create novel programs and algorithms that facilitate discovery of knowledge in investigating large and complex data
* Develop and optimize programs and scripts that facilitate organization, integration and data\-mining of large data sets; integrate these models into a framework of best practices
* Participate in the design of new protocols involving computational methods
* Work with staff on the development and maintenance of bioinformatics tools, scripts and pipe\-lines for data
* Participate in research design with investigators for determining best practices pertaining to the bioinformatics analysis in new and ongoing projects
* NIMHD has conducted several presentations across the US and International to raise awareness of marginalized populations and health disparities concerns in the fields of data science Presentations were made to staff and grantees to raise awareness of data science efforts across NIH and adoption of RAS Titles include: Data Science and Harmonization; Big Data for or Against Health Disparities; Bringing the Cloud and Ground Together Using Data Science to Serve Communities in Mitigating Health Disparities; and Intersection of Data Technology with Humanity: Plight of Health Disparities
* NIMHD has made a commitment to the Government\-University\-Industry Research Roundtable GUIRR and the National Academy of Sciences; and to the National Academy of Medicine\-AHRQ\-NIMHD collaboration Race\-Based Clinical Algorithms Project Both will foster diverse representation and address relevant issues to mitigate biases that may foster health disparities
* Research and review literature to retrieve targeted clinical or scientific information, including novel statistical methods, from publicly available resources
* Collaborate with staff to review current and historical procedures for the acquisition, quality control and management of data
* Analyze and evaluate data cleaning and harmonization needs in the using a variety of descriptive statistics and analytic methods
* Identify new tools and resources for reaching biologically meaningful conclusions
* Collaborate with experimentalists and computational biologists to develop new computational tools to answer research questions of interest
* NIMHD has played a leadership role in the development of Proj 5 covid common data elements, which became the foundation for all covid project CDEs
* NIMHD is represented on the NIH CDE Governance Committee, which is charged with endorsing CDEs for NIH that will be hosted in the NIH Common Data Elements Repository at NLM
* NIMHD provided a leadership role to secure NIH OD funding for and to develop a communication plan to foster the adoption of CDEs socialization of CDEs by R01 and other grant mechanism investigators
* Provide training in and technical support including product updates and version control for programs, algorithms, archives, and pipelines generated during the course of this work
* Instruct staff in computational analysis of data
* Provide ad hoc trainings and hands\-on workshops on the use of bioinformatics tools
* Provide training of students, new investigators, and other laboratory personnel in the use of techniques, procedures and equipment to complete the objectives of the laboratory
* Onboard and train staff involved in new clinical trials, including the import of a wide variety of legacy data set; provide rigorous quality control of these data NIMHD was successful in securing ODSS Fellow and ODSS Data Scholar to foster interdisciplinary careers that includes health disparity research.
* Work with an interdisciplinary team to apply computational data analysis approaches to make biological discoveries
* Collaborate with group members in experiments associated with data collection
* Interact with all levels of staff and communicate with outside collaborators in the US and abroad
* Work with staff, collaborate with outside researchers, and contribute to positive overall teamwork; teach Bioinformatics principles and
* methodologies
* Collaborate with biologists, statisticians and or other bioinformaticians in the design of models summarizing explaining experimental data
* NIMHD is represented on HHS data and data science workgroups, including the Interdepartmental Health Equity Collaborative for Data; and the Networking and Information Technology Research and Development Intelligent Robotics and Autonomous Systems 5
* NIMHD assisted in the development of the NIH internal communication plan to socialize CDE
* Attend group meetings; present findings; author publications resulting from projects 1
* Present analysis results at research conferences and meetings 3
* Present new research data in group settings, at meetings or seminars 4
* Present scientific and technical data at scientific conferences 2
* Work products and documents related to collaborating with Senior Advisor for Data Science to address big data and data science policies, practices and analytic methodologies.
* Work products and documents related to identifying big data sources; conduct analyses of secondary data.
* Work products and documents related to developing conceptual ideas surrounding data science projects, such as the development of the artificial intelligence for minority health and health disparities.
* Work products and documents related to contributing to interpretation of big data and identification of data patterns using Big data tools.
* Work products and documents related to identifying potential issues in data lakes, algorithms, artificial intelligence/machine learning training, and repositories.
* Work products and documents related to using statistical methods for analyzing complex data.
* Meet with intramural and extramural scientist to present updates.</t>
        </is>
      </c>
    </row>
    <row r="83">
      <c r="A83" t="inlineStr">
        <is>
          <t>li-4379482771</t>
        </is>
      </c>
      <c r="B83" t="inlineStr">
        <is>
          <t>Healthcare Data Analytics / Data Scientist</t>
        </is>
      </c>
      <c r="C83" t="inlineStr">
        <is>
          <t>Jobs via Dice</t>
        </is>
      </c>
      <c r="D83" t="inlineStr">
        <is>
          <t>linkedin</t>
        </is>
      </c>
      <c r="E83" t="inlineStr"/>
      <c r="F83" t="inlineStr"/>
      <c r="G83" t="inlineStr"/>
      <c r="H83" t="inlineStr"/>
      <c r="I83" t="inlineStr">
        <is>
          <t>Dice is the leading career destination for tech experts at every stage of their careers. Our client, ComTec Information Systems, is seeking the following. Apply via Dice today!
**Position: Healthcare Data Analytics consultant**
**Location: Remote TX preferred)**
**Duration: 6 Months**
**Summary**
 The Senior Healthcare Informatics Analyst independently provides analytics in understanding and improving how health care is valued, utilized and provided. This position will develop analytic attributes that
 pertain to patient level health utilization/outcome, provider performance measures, risk\-adjusted revenue optimization, medical cost management, and behavior attributes on patient/provider engagement. In collaboration with other business areas and IT, this position leads in problem solving, solution development and strategic planning and decision making. Accountable for complying with all laws and regulations associated with duties and responsibilities.
**NATURE AND SCOPE**
* This role does not manage people
 Necessary Contacts: In order to effectively fulfill this position the incumbent must be in contact with the following: Clinical Solutions, Clinical Partnerships, Actuary, Provider Reimbursement, and Actuarial, Payment Innovation, IT, Marketing, external vendors, Blue Cross Blue Shield Association and other plan BCBS plan partners.
**Qualifications**
**Education**
 Bachelor's in healthcare administration, statistics, economics, analytics, computer science required
* Master's in related field preferred
* Four years of related experience can be used in lieu of a Bachelor s degree.
**Work Experience**
 4 years of health care, analytics, IT or management consulting experience. A master s degree may substitute for two years of the total four years required. A doctorate degree may
 be substituted for an additional two years of related work experience.
**Skills And Abilities**
* Strong critical thinking, analytical and problem\-solving skills are required.
* Requires experience building predictive models.
* Strong knowledge of outcome research design, controlled study design is preferred.
* Advanced knowledge of SAS including Enterprise Miner is preferred.
* Basic knowledge of United States healthcare delivery system in payer setting or provider setting is required.
* Must have strong knowledge of common query/analytic/visualization tools such as SQL, SAS, R, Python, Tableau, etc.
* Strong understanding of provider payment methodologies, population health management, and risk adjustments is desired.
* Strong understanding of clinical groupers including episode groupers and risk groupers such as DRG, APC, ETG, MEG, DxCg, and HCC is highly desired.
* Strong understanding of quality metrics (HEDIS, AHRQ) is desired.
* Knowledge of commercial risk optimization and MA risk optimization is a plus.
**Accountabilities And Essential Functions**
 Leads the selection of evaluation/analytics/BI methodologies and communicate recommendations to facilitate problem solving, solution development, decision making and strategic planning.
 Appropriately leverages in\-house clinical reporting software and models, Enterprise Data Warehouse (EDW) data sources and non\-EDW data sources.
 Independently facilitates business development and documents business problems and develops analytic solutions (i.e. Predictive model, BI solution, or analytic attributes).
 Serves as the analytics advisor to collaborating departments on corporate and cross functional projects, reports and activities.
 Independently translates business rules into analytical models and works as a liaison among healthcare analytics, Enterprise Information Management (EIM), IT and business areas.
 Performs peer data quality reviews, validating data and process to ensure accuracy, completeness and consistency of department output.
 Independently performs descriptive and analytic studies using advanced analytical/statistical techniques.</t>
        </is>
      </c>
    </row>
    <row r="84">
      <c r="A84" t="inlineStr">
        <is>
          <t>li-4378568593</t>
        </is>
      </c>
      <c r="B84" t="inlineStr">
        <is>
          <t>Data Scientist, Product Analytics</t>
        </is>
      </c>
      <c r="C84" t="inlineStr">
        <is>
          <t>Meta</t>
        </is>
      </c>
      <c r="D84" t="inlineStr">
        <is>
          <t>linkedin</t>
        </is>
      </c>
      <c r="E84">
        <f>HYPERLINK("https://www.linkedin.com/jobs/view/4378568593", "https://www.linkedin.com/jobs/view/4378568593")</f>
        <v/>
      </c>
      <c r="F84">
        <f>HYPERLINK("https://jsv3.recruitics.com/redirect?rx_cid=3239&amp;rx_jobId=a1KDp00000E2K2nMAF_1011&amp;rx_url=https%3A%2F%2Fwww.metacareers.com%2Fjobs%2F1070147800777577%2F%3Frx_campaign%3DLinkedin1%26rx_ch%3Dconnector%26rx_group%3D126320%26rx_id%3D8dff976d-f016-11f0-9040-b99bc94cc8b7%26rx_job%3Da1KDp00000E2K2nMAF_1011%26rx_medium%3Dpost%26rx_r%3Dnone%26rx_source%3DLinkedin%26rx_ts%3D20260304T001202Z%26rx_vp%3Dslots%26utm_campaign%3DJob%252Bboard%26utm_medium%3Djobs%26utm_source%3DLIpaid&amp;urlHash=TpDg", "https://jsv3.recruitics.com/redirect?rx_cid=3239&amp;rx_jobId=a1KDp00000E2K2nMAF_1011&amp;rx_url=https%3A%2F%2Fwww.metacareers.com%2Fjobs%2F1070147800777577%2F%3Frx_campaign%3DLinkedin1%26rx_ch%3Dconnector%26rx_group%3D126320%26rx_id%3D8dff976d-f016-11f0-9040-b99bc94cc8b7%26rx_job%3Da1KDp00000E2K2nMAF_1011%26rx_medium%3Dpost%26rx_r%3Dnone%26rx_source%3DLinkedin%26rx_ts%3D20260304T001202Z%26rx_vp%3Dslots%26utm_campaign%3DJob%252Bboard%26utm_medium%3Djobs%26utm_source%3DLIpaid&amp;urlHash=TpDg")</f>
        <v/>
      </c>
      <c r="G84" t="inlineStr">
        <is>
          <t>Mountain View, CA</t>
        </is>
      </c>
      <c r="H84" t="inlineStr"/>
      <c r="I8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5">
      <c r="A85" t="inlineStr">
        <is>
          <t>li-4380739199</t>
        </is>
      </c>
      <c r="B85" t="inlineStr">
        <is>
          <t>Data Scientist</t>
        </is>
      </c>
      <c r="C85" t="inlineStr">
        <is>
          <t>Skechers</t>
        </is>
      </c>
      <c r="D85" t="inlineStr">
        <is>
          <t>linkedin</t>
        </is>
      </c>
      <c r="E85">
        <f>HYPERLINK("https://www.linkedin.com/jobs/view/4380739199", "https://www.linkedin.com/jobs/view/4380739199")</f>
        <v/>
      </c>
      <c r="F85" t="inlineStr"/>
      <c r="G85" t="inlineStr">
        <is>
          <t>Manhattan Beach, CA</t>
        </is>
      </c>
      <c r="H85" t="inlineStr"/>
      <c r="I85" t="inlineStr">
        <is>
          <t>The pay range for this role is $93,000 \- $130,000/yr USD.
**Who We Are**
 Headquartered in Southern California, Skechers—the Comfort Technology Company®—has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 The Role**
 The Data Scientist will join our Data and Analytics team, reporting to Sr. Director, BI and Reporting. This role will focus on building advanced analytics solutions utilizing data science, AI and ML solutions and technology, building the intelligence that powers our core data products. The Data Scientist will be a hybrid professional who combines deep statistical rigor with an engineering first mindset, with a mission to translate complex business challenges into an end\-to\-end machine learning solution that can thrive in production. They will build, test and document new or improved data science applications and machine learning techniques, develop innovative analytic reports, maintain best practices for change management and collaborate with business leads, data stewards and power users to creatively solve real\-life business problems utilizing large\-scale data supporting all areas of our business.
**What You’ll Do**
* End to end ML development: Evaluate, implement, and improve machine learning techniques to solve real world problems and aid business decision making.
* Contribute extensively to the full model development lifecycle, from ideation, analysis, model creation and operation.
* Leverage large language models (LLMs) and RAG (retrieval augmented generation) frameworks to enhance data product reach and automate internal workflows.
* Write production\-grade, clean, maintainable, and scalable code for running experiments and proofs\-of\-concept. Collaborate with Data Engineers to build robust data pipelines and deploy models.
* Monitor model drift and bias in production, ensuring our AI solutions remain ethical, accurate and high performing over time.
* Lead Experimental Design, A/B testing and causal inference projects to measure the direct impact of product changes and model performance.
* Translate model outputs into actionable business strategies for non\-technical leadership, utilizing storytelling as a vehicle to make analytics \&amp; insight deliverables accessible and memorable.
* Perform ad hoc analysis to uncover business insights and opportunities, exploring data to discover patterns, meaningful relationships, anomalies, and trends across different formats and platforms.
* Employ quick prototyping to gather feedback and adjust to user asks in an agile fashion.
* Follow best practices to build scalable enterprise BI and analytics solutions, ensuring data and reports are thoroughly tested before production release.
* Document objectives and solutions in summary as well as technical details.
* Collaborate with data and BI engineers, data product managers and business users to explore and create solutions for relevant business problems.
**What You’ll Bring**
* Proficiency with programming and data analysis using Python, Spark, and ML frameworks (NumPy, Pandas, Sci\-kit Learn, XGBoost, TensorFlow, PyTorch).
* Strong mathematical foundation in statistics, probability, optimization algorithms, linear algebra and AI technologies.
* Working knowledge of statistical and machine learning techniques including classification, regression, clustering, and multivariate methods.
* Expertise with relational data modeling and advanced SQL for data manipulation and performance optimization.
* Experience working in an Agile/SCRUM environment
* Strong problem\-solving, analytical, and communication skills (written, verbal, and interpersonal).
* Strong organizational skills, attention to detail, and ability to prioritize workload.
* Professional presence with ability to take initiative, be creative, curious, and collaborative in a flexible, team\-oriented environment.
* Ability to independently conduct in\-depth data analysis.
**Requirements**
* Bachelor's/Master's/Ph.D. in quantitative field (Computer Science, Statistics, Mathematics, Physics) or equivalent industry experience.
* 3\+ years in a professional data science role with proven track record of moving models from research to production.
* 5\+ years experience in professional data science role with advanced analytics applications.
* Strong communication and presentation skills – ability to articulate technical challenges and solutions to diverse audiences.
* Familiarity with retail, supply chain, digital \&amp; financial analysis, predictive analytics, and BI visualization toolsets.
* Experience with DSML Automation platforms and MLOps tools.
* Experience with Data Engineering/Cloud tools (Snowflake, BigQuery, AWS SageMaker), GenAI tools (Hugging Face, LangChain, LlamaIndex, OpenAI/Gemini APIs), and cloud\-based BI and Analytics technologies.
* Ability to work with minimal oversight while ensuring timely, accurate task completion.
**About Skechers**
 Skechers, a global Fortune 500® company, develops and markets a diverse range of lifestyle and performance footwear, apparel, and accessories. Serving over 180 countries and territories, Skechers connects customers to products through department and specialty stores, e\-commerce and digital stores, and through our more than 5,300 Skechers retail locations.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row>
    <row r="86">
      <c r="A86" t="inlineStr">
        <is>
          <t>li-4300697351</t>
        </is>
      </c>
      <c r="B86" t="inlineStr">
        <is>
          <t>Data Scientist</t>
        </is>
      </c>
      <c r="C86" t="inlineStr">
        <is>
          <t>Procter &amp; Gamble</t>
        </is>
      </c>
      <c r="D86" t="inlineStr">
        <is>
          <t>linkedin</t>
        </is>
      </c>
      <c r="E86">
        <f>HYPERLINK("https://www.linkedin.com/jobs/view/4300697351", "https://www.linkedin.com/jobs/view/4300697351")</f>
        <v/>
      </c>
      <c r="F86">
        <f>HYPERLINK("https://www.pgcareers.com/global/en/job/R000135859/Data-Scientist?source=RS_LINKEDIN&amp;urlHash=fFLd", "https://www.pgcareers.com/global/en/job/R000135859/Data-Scientist?source=RS_LINKEDIN&amp;urlHash=fFLd")</f>
        <v/>
      </c>
      <c r="G86" t="inlineStr">
        <is>
          <t>Cincinnati, OH</t>
        </is>
      </c>
      <c r="H86" t="inlineStr"/>
      <c r="I86" t="inlineStr">
        <is>
          <t>**Job Location**
 CINCINNATI GENERAL OFFICES
**Job Description**
 Do you enjoy solving billion\-dollar data science problems across trillions of data points? Are you passionate about working at the cutting edge of interdisciplinary boundaries, where computer science meets hard science? If you like turning untidy data into nonobvious insights and surprising business leaders with the transformative power of Artificial Intelligence (AI), including Generative and Agentic AI, we want you on our team at P\&amp;G.
 As a Data Scientist in our organization, you will play a crucial role in disrupting current business practices by designing and implementing innovative models that enhance our processes. You will be expected to constructively research, design, and customize algorithms tailored to various problems and data types. Utilizing your expertise in Operations Research (including optimization and simulation) and machine learning models (such as tree models, deep learning, and reinforcement learning), you will directly contribute to the development of scalable Data Science algorithms. Your work will also integrate advanced techniques from Generative and Agentic AI to create more dynamic and responsive models, enhancing our analytical capabilities. You will collaborate with Data and AI Engineering teams to productionize these solutions, applying exploratory data analysis, feature engineering, and model building within cloud environments on massive datasets to deliver accurate and impactful insights. Additionally, you will mentor others as a technical coach and become a recognized expert in one or more Data Science techniques, quantifying the improvements in business outcomes resulting from your work.
 Key Responsibilities:
* Algorithm Design \&amp; Development: Directly contribute to the design and development of scalable Data Science algorithms.
* Collaboration: Work closely with Data and Software Engineering teams to effectively productionize algorithms.
* Data Analysis: Apply thorough technical knowledge to large datasets, conducting exploratory data analysis, feature engineering, and model building.
* Coaching \&amp; Mentorship: Develop others as a technical coach, sharing your expertise and insights.
* Expertise Development: Become a known expert in one or multiple Data Science techniques and methodologies.
**Job Qualifications**
**Required Qualifications:**
* Education: Pursuing or has graduated with a Master’s degree in a quantitative field (Operations Research, Computer Science, Engineering, Applied Mathematics, Statistics, Physics, Analytics, etc.) or possess equivalent work experience.
* Technical Skills: Proficient in programming languages such as Python and familiar with data science/machine learning libraries like OpenCV, scikit\-learn, PyTorch, TensorFlow/Keras, and Pandas. Demonstrated ability to develop and test code within cloud environments.
* Communication: Strong written and verbal communication skills, with the ability to influence others to take action.
**Preferred Qualifications:**
* Analytic Methodologies: Experience applying analytic methodologies such as Machine Learning, Optimization, Simulation, and Generative and Agentic AI to real\-world problems.
* Continuous Learning: A commitment to lifelong learning, keeping up to date with the latest technology trends, and a willingness to teach others while learning new techniques.
* Data Handling \&amp; Cloud: Experience with large datasets and developing in cloud computing platforms such as GCP or Azure.
* DevOps Familiarity: Familiarity with DevOps environments, including tools like Git and CI/CD practices.
 Immigration Sponsorship is not available for this role. For more information regarding who is eligible for hire at P\&amp;G along with other work authorization FAQ’s, please click HERE.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R000135859
**Job Segmentation**
 Entry Level
**Starting Pay / Salary Range**
 $85,000\.00 \- $115,000\.00 / year</t>
        </is>
      </c>
    </row>
    <row r="87">
      <c r="A87" t="inlineStr">
        <is>
          <t>li-4378563616</t>
        </is>
      </c>
      <c r="B87" t="inlineStr">
        <is>
          <t>Data Scientist, Products &amp; Applied Research</t>
        </is>
      </c>
      <c r="C87" t="inlineStr">
        <is>
          <t>Meta</t>
        </is>
      </c>
      <c r="D87" t="inlineStr">
        <is>
          <t>linkedin</t>
        </is>
      </c>
      <c r="E87">
        <f>HYPERLINK("https://www.linkedin.com/jobs/view/4378563616", "https://www.linkedin.com/jobs/view/4378563616")</f>
        <v/>
      </c>
      <c r="F87" t="inlineStr"/>
      <c r="G87" t="inlineStr">
        <is>
          <t>Menlo Park, CA</t>
        </is>
      </c>
      <c r="H87" t="inlineStr"/>
      <c r="I8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Scientist to join our PAR organization where you will help define the experiences we build for billions of people and hundreds of millions of businesses around the world, by applying your technical skills, analytical mindset, and product intuition.In this role, you will collaborate on a wide array of product and business problems with a wide\-range of cross\-functional partners across Product, Engineering, Research, Data Engineering, Marketing, Sales, Finance and others.You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Products \&amp; Applied Research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Define, understand, and test opportunities and levers to improve the product, and drive roadmaps through your insights and recommendations
* Identify and measure success of product efforts through goal setting, forecasting, and monitoring of key product metrics to understand trends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8">
      <c r="A88" t="inlineStr">
        <is>
          <t>li-4380558749</t>
        </is>
      </c>
      <c r="B88" t="inlineStr">
        <is>
          <t>Data Scientist</t>
        </is>
      </c>
      <c r="C88" t="inlineStr">
        <is>
          <t>Quantium</t>
        </is>
      </c>
      <c r="D88" t="inlineStr">
        <is>
          <t>linkedin</t>
        </is>
      </c>
      <c r="E88">
        <f>HYPERLINK("https://www.linkedin.com/jobs/view/4380558749", "https://www.linkedin.com/jobs/view/4380558749")</f>
        <v/>
      </c>
      <c r="F88" t="inlineStr"/>
      <c r="G88" t="inlineStr">
        <is>
          <t>New York, NY</t>
        </is>
      </c>
      <c r="H88" t="inlineStr"/>
      <c r="I88" t="inlineStr">
        <is>
          <t>**Who is Quantium?**
 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
 As a Data Scientist in our US team, you'll be at the forefront of delivering cutting\-edge data science solutions that drive measurable business value for our clients. This role combines strong technical analytical capabilities with client\-facing skills, requiring an AI\-native mindset to translate complex business problems into actionable insights and data\-driven recommendations. You'll work directly with clients to understand their challenges, develop innovative analytical approaches leveraging both traditional analytics and generative AI technologies, and communicate findings in compelling and accessible ways. Please note, this role requires current US work authorisation. Quantium is unable to provide visa sponsorship or transfers for this position.
**How will you make an impact?**
* Client solutions: Deliver high\-quality data science projects that address specific business challenges and drive measurable outcomes for our diverse client portfolio
* AI innovation: Explore and apply emerging AI technologies including large language models, computer vision, and other generative AI applications to create innovative client solutions
* Technical excellence: Develop and implement statistical models, machine learning algorithms, and AI solutions using AI\-assisted development approaches
* Trusted advisor: Build trusted relationships with client stakeholders through professional service delivery and proactive communication
* Continuous learning: Stay current with the latest developments in AI and data science, demonstrating curiosity and initiative in exploring new technologies
 Please note, this position does not include visa sponsorship.
**The Superpowers You'll Be Bringing To The Team**
* Bachelor's degree in Mathematics, Statistics, Computer Science, Engineering, Economics, or related quantitative field
* 1\-3 years of experience in data science or analytics, with strong skills in Python, R, or SQL and cloud\-based analytics platforms
* Experience using AI tools (ChatGPT, Claude, GitHub Copilot) in any capacity \- whether through professional work, personal projects, or self\-directed learning
* Enthusiasm for exploring large language models and AI development frameworks, with any level of hands\-on experience welcomed
* Comfortable in client\-facing roles with ability to translate technical findings to non\-technical audiences
* Excellent communication skills and ability to work effectively in fast\-paced, dynamic environments
 Remember – you might not tick all the boxes, but don't let that stop you from applying. We're more interested in how you work, your ability to solve problems and think big.
**What could your Quantium Experience look like?**
 Working at Quantium will allow you to challenge your imagination. You will get to solve complex problems using rigour, precision and by asking great questions – it also means you can think big, outside the box and push your problem\-solving skills to the max.
**By Joining The Quantium Team, You'll Get To**
* Forge your path: So many of our team have moved around different teams or offices. You'll be in the driver's seat, and we empower you to make your career your own.
* Find your kind: Embrace diversity and connect with your tribe (think foodies, dog lovers, readers, or runners).
* Make an impact: Leave your mark. Your contributions resonate, regardless of your role or rank.
**Benefits**
 On top of the Quantium Experience, you will enjoy a range of great benefits that go beyond the ordinary. Some of these include:
* Hybrid working: Work flexibly with 3 days in our office or client site and 2 days from home, balancing collaboration with focused work time
* Medical, dental, vision and life insurance coverage: Comprehensive health benefits to keep you and your family covered
* Retirement 401(k) plan with 6% employer contribution: We invest in your future with competitive retirement benefits
* Base salary range: $90,000 \- $120,000 annually, based on demonstrated capabilities, relevant experience, and expected impact in the role
* Annual bonus scheme: Competitive remuneration with attractive annual bonus opportunities
 Are you ready to tackle some of the most interesting data science challenges in the industry? Join us in New York and help our clients unlock the full potential of their data. Apply now to start the conversation.
*Quantium is an equal opportunity employer. We celebrate diversity and are committed to creating an inclusive environment for all employees. All employment decisions are made without regard to race, colour, religion, sex, sexual orientation, gender identity, national origin, age, disability, veteran status, or any other protected characteristic under federal, state, or local law.*
*Quantium’s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is>
      </c>
    </row>
    <row r="89">
      <c r="A89" t="inlineStr">
        <is>
          <t>li-4380516546</t>
        </is>
      </c>
      <c r="B89" t="inlineStr">
        <is>
          <t>Data Scientist I</t>
        </is>
      </c>
      <c r="C89" t="inlineStr">
        <is>
          <t>Worldpay</t>
        </is>
      </c>
      <c r="D89" t="inlineStr">
        <is>
          <t>linkedin</t>
        </is>
      </c>
      <c r="E89">
        <f>HYPERLINK("https://www.linkedin.com/jobs/view/4380516546", "https://www.linkedin.com/jobs/view/4380516546")</f>
        <v/>
      </c>
      <c r="F89" t="inlineStr"/>
      <c r="G89" t="inlineStr">
        <is>
          <t>Cincinnati, OH</t>
        </is>
      </c>
      <c r="H89" t="inlineStr"/>
      <c r="I89" t="inlineStr">
        <is>
          <t>**Job Description**
**Are you ready to write your next chapter?**
 Make your mark at one of the biggest names in payments. We’re looking for a Data Scientist to join our ever evolving team and help us unleash the potential of every business.
**What You’ll Own As The Data Scientist**
* Analyze and extract insights from internal and external data.
* Employ machine learning and statistical modeling to create and enhance data\-driven products.
* Work with Big Data and transform complex datasets into more usable formats.
* Utilize a variety of data science tools and programming languages such as Python, R, and SQL.
* Work independently and collaborate with other groups to solve complex problems.
* Create and present analyses to internal and external partners and clients.
* Document models and write code to track and monitor models and product performance.
* Make pragmatic and business\-aware choices when trading off sophistication and accuracy versus implementation and performance costs.
* Participate in project planning sessions, analyze requirements, and provide design recommendations for complex analytical systems.
* Other related duties as assigned.
**What You’ll Bring**
* Degree in Data Science, Statistics, Decision Sciences, Applied Mathematics, Economics, Computer Science, or an equivalent combination of education, training, and work experience.
* Knowledge in machine learning, artificial intelligence, statistical modeling, data visualization, and data analysis.
* Proficient in data science tools and programming languages such as Python, R, and SQL.
* Experience or knowledge of cloud\-based technology.
* Ability to collaborate with others and solve complex problems.
* Outstanding verbal and written communication skills to technical and non\-technical audiences at all levels.
* Excellent analytical, decision\-making, problem\-solving, team, and time management skills.
* Positive outlook, strong work ethic, and responsiveness to internal and external clients and contacts.
**About The Team**
 To learn more about our winning teams, check out our world\-class teams that own it every day.
**What Makes a Worldpayer**
 What makes a Worldpayer? It’s simple: Think, Act, Win. We stay curious, always asking the right questions and finding creative solutions to simplify the complex. We’re dynamic, every Worldpayer is empowered to make the right decisions for their customers. And we’re determined, always staying open and winning and failing as one.
 Does this sound like you? Then you sound like a Worldpayer. Apply now to write the next chapter in your career.
 Worldpay is dedicated to offering individuals rewarding career opportunities and competitive compensation. For this full\-time position, the good faith estimated annual salary range upon hire is $101,100\.00\-$152,550\.00\. This range reflects what we reasonably expect to offer based on the role’s responsibilities, level, and geographic location. The actual starting salary will be determined by a candidate’s experience, job\-related skills, and relevant education or training. Please note that changes in work location may impact the final offered salary. We encourage you to consult with your recruiter to confirm the budget for your location and to better understand the applicable pay scale.
**EEOC Statement**
 Worldpay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If you are made a conditional offer of employment and will be working in the United States, you will be required to undergo a drug test. In developing this job description care was taken to include all competencies and requirements needed to successfully perform the position. Reasonable accommodations will be provided for individuals with qualified disabilities both during the hiring process, as well as to allow the individual to perform the essential functions of the job, if hired.</t>
        </is>
      </c>
    </row>
    <row r="90">
      <c r="A90" t="inlineStr">
        <is>
          <t>li-4376594840</t>
        </is>
      </c>
      <c r="B90" t="inlineStr">
        <is>
          <t>Data Scientist (Multiple Levels)</t>
        </is>
      </c>
      <c r="C90" t="inlineStr">
        <is>
          <t>Noblis</t>
        </is>
      </c>
      <c r="D90" t="inlineStr">
        <is>
          <t>linkedin</t>
        </is>
      </c>
      <c r="E90">
        <f>HYPERLINK("https://www.linkedin.com/jobs/view/4376594840", "https://www.linkedin.com/jobs/view/4376594840")</f>
        <v/>
      </c>
      <c r="F90" t="inlineStr"/>
      <c r="G90" t="inlineStr">
        <is>
          <t>Washington, DC</t>
        </is>
      </c>
      <c r="H90" t="inlineStr"/>
      <c r="I90" t="inlineStr">
        <is>
          <t>**Responsibilities**
 We are seeking highly qualified Subject Matter Experts (SMEs) across multiple levels (I\-V) to support data science, aviation, engineering, psychological, analytical, and technical programs within the Federal Aviation Administration (FAA) or related federal initiatives. SMEs will apply advanced knowledge in their respective technical or analytical disciplines—particularly data science, machine learning, and data\-driven analysis—to solve complex problems, integrate requirements, and contribute to system design, program execution, and organizational effectiveness.
 SMEs will participate in multidisciplinary teams, utilizing advanced analytical tools, simulation environments, laboratories, data analysis platforms, and test facilities. They will provide guidance in technical planning, data strategy, process improvement, and performance evaluation, ensuring that data\-driven insights inform program and mission outcomes.
 Key Responsibilities (All Levels)
* Apply advanced knowledge in data science, engineering, psychology, or related technical disciplines to solve complex technical or organizational problems within the FAA or similar environments.
* Extract insights and value from large and complex datasets to inform decision\-making, enhance system performance, and drive innovation across programs.
* Develop and implement data\-driven solutions and predictive models using advanced statistical, machine learning, and data analysis techniques.
* Collect, clean, and integrate data from multiple sources to support analytical, technical, and operational objectives.
* Perform exploratory data analysis (EDA) to identify trends, patterns, and relationships in data relevant to aviation safety, engineering performance, human factors, or organizational outcomes.
* Utilize scientific, engineering, and analytical tools (e.g., Python, R, SQL, MATLAB, data visualization platforms) to design, test, and validate analytical models and simulations.
* Collaborate with cross\-functional teams—including software engineers, data analysts, behavioral scientists, and domain experts—to integrate data science solutions into operational systems and decision\-support workflows.
* Develop and review technical documentation, reports, and data\-driven recommendations to support program planning, compliance, and strategic decisions.
* Communicate analytical findings and technical insights to stakeholders in a clear, actionable manner, enabling evidence\-based decision\-making.
* Contribute to technical planning, data infrastructure design, and process optimization, ensuring alignment with program goals and federal data standards.
* Mentor junior staff and provide expertise in data science methodologies, enhancing team capabilities and promoting a culture of analytical excellence.
**Required Qualifications**
 Qualifications for all Levels:
* U.S. citizen or green card permanent resident (3\+ years U.S. residency)
* Ability to obtain and maintain FAA Sutiability/Public Trust.
* Experience with FAA and the environment.
 Level I
**Required Qualifications**
* Bachelor’s degree in engineering, science, or related field and 4\+ years of relevant experience; or equivalent aviation\-related experience with 6\+ years.
 D.C. Salary Range: $71,800\.00 \- $112,150
 Level II
**Required Qualifications:**
* Bachelor’s degree in engineering, science, or related field and 8\+ years of relevant experience; or equivalent aviation\-related experience with 12\+ years.
 D.C. Salary Range: $78,900 \- $123,300
 Level III
**Required Qualifications:**
* Master’s degree in engineering, science, or related field and 10\+ years of experience; or Bachelor’s degree with 12\+ years of experience.
 D.C. Salary Range: $105,100 \- $164,125
 Level IV
**Required Qualifications:**
* Master’s degree in engineering, science, or related field and 13\+ years of experience; or Bachelor’s degree with 17\+ years of experience.
 D.C. Salary Range: $127,100 \- $198,575
 Level V
**Required Qualifications:**
* Doctorate degree in psychology, industrial/organizational psychology, engineering, science, or related technical/analytical field and 10\+ years of experience; or Master’s degree with 12\+ years, or Bachelor’s degree with 17\+ years of experience.
 D.C. Salary Range: $153,800 \- $240,350
**Desired Qualifications**
 Desired Expertise
* Demonstrated experience in data science, machine learning, statistics, or quantitative analysis, preferably in aviation, engineering, or related technical domains.
* Proficiency with data science tools and programming languages (e.g., Python, R, SQL, TensorFlow, PyTorch, scikit\-learn, Tableau, Power BI).
* Strong understanding of data pipelines, data governance, and analytical model deployment in operational environments.
* Ability to translate complex technical and analytical concepts into actionable insights for diverse stakeholders.
 Level I
* Experience with technical problem\-solving, system integration, or engineering team support in aviation\-related programs.
 Level II
* Demonstrated experience leading small technical teams, performing process improvement, and applying engineering/scientific tools to complex problems.
 Level III
* Experience in advanced technical planning, integration of complex systems, and use of data analysis and test facilities for problem resolution.
 Level IV
* Proven record of technical leadership, mentorship of junior SMEs, and contributions to program or organizational strategy.
* Experience with large\-scale program integration, advanced modeling, simulation, or laboratory testing.
 Level V
* Expertise in psychological, organizational, technical, or analytical domains applied to aviation, engineering, or large\-scale program environments.
* Demonstrated leadership in multidisciplinary teams, system\-of\-systems problem solving, and organizational planning.
* Experience applying human factors, industrial/organizational psychology, or advanced analytics to improve performance, safety, and process outcomes.
* THIS POSITION IS CONTINGENT ON AWARD AND POSITION AVAILABILITY\*\*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$71,800\.00 \- USD $240,350\.00 /Yr.</t>
        </is>
      </c>
    </row>
    <row r="91">
      <c r="A91" t="inlineStr">
        <is>
          <t>li-4378853670</t>
        </is>
      </c>
      <c r="B91" t="inlineStr">
        <is>
          <t>AI/ML Data Scientist</t>
        </is>
      </c>
      <c r="C91" t="inlineStr">
        <is>
          <t>Vanguard</t>
        </is>
      </c>
      <c r="D91" t="inlineStr">
        <is>
          <t>linkedin</t>
        </is>
      </c>
      <c r="E91">
        <f>HYPERLINK("https://www.linkedin.com/jobs/view/4378853670", "https://www.linkedin.com/jobs/view/4378853670")</f>
        <v/>
      </c>
      <c r="F91" t="inlineStr"/>
      <c r="G91" t="inlineStr">
        <is>
          <t>Philadelphia, PA</t>
        </is>
      </c>
      <c r="H91" t="inlineStr"/>
      <c r="I91" t="inlineStr">
        <is>
          <t>**Role Summary**
 This role leads and executes deep dive diagnostic, predictive, and prescriptive analytics to support data\-driven business decision making, while mentoring junior data scientists and analysts, and applying advanced data science and big data mining techniques to uncover trends, inform strategic initiatives, and drive innovation across diverse business functions.
**Responsibilities**
* Develops complex queries and performs extensive programming to access, transform, and prepare data for statistical modeling.
* Leads and executes deep dive diagnostic, predictive, and prescriptive analytics to support data\-driven business decision making. Mentors and develops junior data scientists and analysts.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leaders.
* Participates in special projects and performs other duties as assigned.
* Designs scalable data mining models and reporting protocols to identify trends and patterns in massive datasets.
* Applies modern and emerging data science techniques to solve business problems across functions such as marketing, economics, and operations.
* Contributes to the advancement of analytics through exploratory research and application of cutting\-edge statistical theory.
**Qualifications And Skills**
* Minimum 8 years of experience in data science, predictive analytics, or advanced statistical modeling roles
* Bachelor’s degree (B.E./B.Tech) in Analytics, Applied Mathematics, Economics, Statistics, or Computer Science, or a Master’s degree/Diploma in a related quantitative field
* Expertise in programming with Python, R, or SQL; hands\-on experience with machine learning libraries (e.g., Scikit\-learn, TensorFlow); strong understanding of data pipelines, data wrangling, and statistical techniques; experience in big data environments (Spark/Hadoop); familiarity with visualization tools like Tableau or Power BI.
**Special Factors**
**Sponsorship**
 Vanguard is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92">
      <c r="A92" t="inlineStr">
        <is>
          <t>li-4378881077</t>
        </is>
      </c>
      <c r="B92" t="inlineStr">
        <is>
          <t>AI/ML Data Scientist</t>
        </is>
      </c>
      <c r="C92" t="inlineStr">
        <is>
          <t>Vanguard</t>
        </is>
      </c>
      <c r="D92" t="inlineStr">
        <is>
          <t>linkedin</t>
        </is>
      </c>
      <c r="E92">
        <f>HYPERLINK("https://www.linkedin.com/jobs/view/4378881077", "https://www.linkedin.com/jobs/view/4378881077")</f>
        <v/>
      </c>
      <c r="F92" t="inlineStr"/>
      <c r="G92" t="inlineStr">
        <is>
          <t>Malvern, PA</t>
        </is>
      </c>
      <c r="H92" t="inlineStr"/>
      <c r="I92" t="inlineStr">
        <is>
          <t>**Role Summary**
 This role leads and executes deep dive diagnostic, predictive, and prescriptive analytics to support data\-driven business decision making, while mentoring junior data scientists and analysts, and applying advanced data science and big data mining techniques to uncover trends, inform strategic initiatives, and drive innovation across diverse business functions.
**Responsibilities**
* Develops complex queries and performs extensive programming to access, transform, and prepare data for statistical modeling.
* Leads and executes deep dive diagnostic, predictive, and prescriptive analytics to support data\-driven business decision making. Mentors and develops junior data scientists and analysts.
* Identifies and diagnoses data inconsistencies and errors, documents data assumptions, and forages to fill data gaps.
* Engages with internal stakeholders to understand and probe business processes in order to develop hypotheses. Brings structure to requests and translates requirements into an analytic approach.
* Guides test design, research design, and model validation. Provides statistical consultation services. Serves as the analytics expert on cross functional teams for large strategic initiatives and contributes to the growth of the Vanguard analytic community.
* Prepares and delivers insight presentations and action recommendations. Communicates complex analytical findings and implications to business leaders.
* Participates in special projects and performs other duties as assigned.
* Designs scalable data mining models and reporting protocols to identify trends and patterns in massive datasets.
* Applies modern and emerging data science techniques to solve business problems across functions such as marketing, economics, and operations.
* Contributes to the advancement of analytics through exploratory research and application of cutting\-edge statistical theory.
**Qualifications And Skills**
* Minimum 8 years of experience in data science, predictive analytics, or advanced statistical modeling roles
* Bachelor’s degree (B.E./B.Tech) in Analytics, Applied Mathematics, Economics, Statistics, or Computer Science, or a Master’s degree/Diploma in a related quantitative field
* Expertise in programming with Python, R, or SQL; hands\-on experience with machine learning libraries (e.g., Scikit\-learn, TensorFlow); strong understanding of data pipelines, data wrangling, and statistical techniques; experience in big data environments (Spark/Hadoop); familiarity with visualization tools like Tableau or Power BI.
**Special Factors**
**Sponsorship**
 Vanguard is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93">
      <c r="A93" t="inlineStr">
        <is>
          <t>li-4380520632</t>
        </is>
      </c>
      <c r="B93" t="inlineStr">
        <is>
          <t>Data Scientist / Engineer (Hybrid- Boston)</t>
        </is>
      </c>
      <c r="C93" t="inlineStr">
        <is>
          <t>Shift Technology</t>
        </is>
      </c>
      <c r="D93" t="inlineStr">
        <is>
          <t>linkedin</t>
        </is>
      </c>
      <c r="E93">
        <f>HYPERLINK("https://www.linkedin.com/jobs/view/4380520632", "https://www.linkedin.com/jobs/view/4380520632")</f>
        <v/>
      </c>
      <c r="F93" t="inlineStr"/>
      <c r="G93" t="inlineStr">
        <is>
          <t>Boston, MA</t>
        </is>
      </c>
      <c r="H93" t="inlineStr"/>
      <c r="I93" t="inlineStr">
        <is>
          <t>Shift is the leading AI platform for insurance.  Shift combines generative, agentic, and predictive AI to transform underwriting, claims, and fraud and risk \- driving operational efficiency, exceptional customer experiences and measurable business impact.  Trusted by the world's leading insurers, Shift delivers AI when and where it matters most, at scale and with proven results.
 Our culture is built on innovation, trust, and a drive to transform the insurance industry through our SaaS platform. We come from more than 50 different countries and cultures and together we are creating the future of insurance.
**About the Team** 
* This role is part of our Data Science team which is the largest team in our organization consisting of over 140\+ Data Scientists throughout the world.
* Our Data Scientists work in a full lifecycle role and on a broad range of subjects acquiring extensive technical and professional experience in data science, data engineering, coding, business understanding and client engagement.
* Our company is small enough that each person’s achievements has an impact on our overall performance, yet big enough to be a world leader and innovator in our domain.
* As a member of the data science team, you will be working alongside our technical experts and your role will be key to rolling out our enterprise level solutions to our clients.
**Job Responsibilities** 
* Your role will be to actively contribute
 to the
 **US Subrogation roadmap and clients** 
 , and working on various data types such as structured data, free text, documents and images.
* **Implementation of the data engineering** 
 , usually from client extracts to the insertion of the data in our data stores (SQL, ElasticSearch)
* **Developing, testing, tuning models and putting them in production** 
 for tasks such as fraud detection and automation detection in complex environments.
* **Automate key business tasks** 
 by implementing them in our production process framework in C\#
* **Conduct meetings with clients** 
 and interact with external stakeholders, whether it is for direct user feedback, presenting business cases or defining the roadmap of evolutions
**WHAT WE ARE LOOKING FOR**
 We are looking for candidates with 1\-2 years of experience with diverse skills to help us build excellent technology solutions for our clients and be proficient in the following skills:
* **Code\-savvy** 
 , either by having a degree in computer science and/or having developed some apps with actual users\- writing scripts for models and notebooks is not enough at Shift, we thrive on people who can write maintainable, production\-quality code that will run everyday without breaking.
* **AI\-savvy** 
 , either by having a degree in machine learning and/or statistics. Having a clear understanding of statistics and machine learning problems, tasks and common resolutions is important to communicate internally and explain to the client how the product is working.
* **Client facing** 
 . You will need to be comfortable and open to communicating to our clients on a regular basis
* **Business smart** 
 . We don’t expect candidates to know the insurance sector, but we want applicants who are interested in learning and mastering the business aspects of our products
 The range listed is for base compensation.  Your actual base salary will vary based on factors including location and individual qualifications objectively assessed during the interview process. In addition to base salary, your total rewards package will include additional components such as incentive pay, equity, and benefits.  If you're interviewing for this role, speak with your Talent Acquisition Partner to learn more about the specific details for this position.
 US Base Salary Pay Range: $90,000 USD \- $100,000 USD
**To support our permanent, full time employees at every stage of their careers and lives, we provide a competitive total rewards and benefits package. Here are the global benefits we’d like to highlight:** 
* Flexible remote and hybrid working options
* Competitive Salary and a variable component tied to personal and company performance
* Multiple Learning and Development opportunities, including Focus Fridays, a half\-day each month to focus on learning and personal growth
* Generous PTO and paid holidays
* Mental health benefits
* 2 MAD Days per year (Make A Difference Days for paid volunteering)
 Additional benefits may be offered by country, based on your eligibility \- ask your recruiter for more information. Intern and Apprentice positions may receive some of these benefits \- ask your recruiter for more details.
*At Shift we strive to be a diverse and inclusive workforce.
 *We welcome applications from and hire people who will contribute to the diversity of our company,* 
 without regard to race, color, religion, marital status, age, national or ethnic origin, physical or mental disability, medical condition, pregnancy, genetic information, gender identity or expression, sexual orientation, or other non\-merit criteria.* 
*Shift Technology is committed to providing reasonable accommodations for qualified individuals with disabilities in our application and employment process. Should you require accommodation, please email accommodation@shift\-technology.com and we will work with you to meet your accessibility needs.* 
*Please be aware of scammers and only trust correspondence that comes from emails ending in "shift\-technology.com". We will never do initial outreach to you via Whatsapp/Text/SMS, never ask for banking information or personal identification numbers (ex. Social Security Number) as part of our recruitment process.* 
*Shift Technology does not accept unsolicited CVs from recruiters or employment agencies in response to the Shift Technology Careers page or a Shift Technology social media post. Any unsolicited CVs, including those submitted directly to hiring managers, are deemed to be the property of Shift Technology.*</t>
        </is>
      </c>
    </row>
    <row r="94">
      <c r="A94" t="inlineStr">
        <is>
          <t>li-4379496357</t>
        </is>
      </c>
      <c r="B94" t="inlineStr">
        <is>
          <t>Data Scientist</t>
        </is>
      </c>
      <c r="C94" t="inlineStr">
        <is>
          <t>The Hershey Company</t>
        </is>
      </c>
      <c r="D94" t="inlineStr">
        <is>
          <t>linkedin</t>
        </is>
      </c>
      <c r="E94">
        <f>HYPERLINK("https://www.linkedin.com/jobs/view/4379496357", "https://www.linkedin.com/jobs/view/4379496357")</f>
        <v/>
      </c>
      <c r="F94">
        <f>HYPERLINK("https://careers.thehersheycompany.com/job/Hershey-Data-Scientist-PA-17033/1369724600/&amp;urlHash=B-on", "https://careers.thehersheycompany.com/job/Hershey-Data-Scientist-PA-17033/1369724600/&amp;urlHash=B-on")</f>
        <v/>
      </c>
      <c r="G94" t="inlineStr">
        <is>
          <t>Hershey, PA</t>
        </is>
      </c>
      <c r="H94" t="inlineStr"/>
      <c r="I94" t="inlineStr">
        <is>
          <t>Job Location: Remote
**ROLE OVERVIEW:**
 Delivers advanced people analytics and predictive insights to enable strategic, fair, and data‑driven workforce decisions.
**ACCOUNTABILITIES:**
* Develop advanced people analytics and predictive models to inform workforce planning, retention, and talent decisions.
* Deliver strategic workforce and talent insights by translating complex people data into actionable recommendations for HR leaders.
* Create executive‑ready insights and storytelling that clearly communicate workforce risks, opportunities, and tradeoffs.
* Ensure analytic rigor and continuous improvement through strong data science practices, documentation, and model refinement.
* Partner with analytics application developers to design and deliver advanced dashboards and analytics products that enable scalable, self‑service people insights.
* Stakeholder Interaction: Partners closely with HR COEs and leadership (e.g., Talent/Total Rewards/DEI/HRBPs) and cross\-functional stakeholders to define questions, interpret results, and drive action.
* Influence/Impact: Ability to influence leaders and decision makers with data through visualization and insights.
**Qualifications**
* Strong proficiency in Posit, RConnect, RShiny, and GitLab for analytics application development and version control.
* Ability to present complex analytics concepts to non\-technical audiences.
* Executive‑ready data storytelling skills, including clear visualizations, narratives, and recommendations.
* Strong analytic rigor and judgment, including data validation, documentation, and continuous improvement of models and methods.
* Stakeholder advising.
* Ability to partner cross‑functionally with HR COEs, Legal/DEI, IS, and people analytics team members to deliver scalable insight solutions.
**Experience \&amp; Education**
* 5\+ years related experience
* Bachelors' degree required, Masters degree preferred
 The Hershey Company is an Equal Opportunity Employer. The policy of The Hershey Company is to extend opportunities to qualified applicants and employees on an equal basis regardless of an individual's race, color, gender, age, national origin, religion, citizenship status, marital status, sexual orientation, gender identity, transgender status, physical or mental disability, protected veteran status, genetic information, pregnancy, or any other categories protected by applicable federal, state or local laws.
 The Hershey Company is an Equal Opportunity Employer \- Minority/Female/Disabled/Protected Veterans.
 You may request a reasonable accommodation if you are unable or limited in your ability to use or access our online application process as a result of a disability.
 You can request an accommodation via phone or email.
 To request an accommodation via phone, please call \+1 877\-804\-1794 and leave a voicemail with your contact information. You may also email a request for accommodation to ApplicationHelp@hersheys.com. Please be sure to include “Accommodation Needed” in the subject line. This will ensure that your email is routed to the appropriate contact who will handle your request.</t>
        </is>
      </c>
    </row>
    <row r="95">
      <c r="A95" t="inlineStr">
        <is>
          <t>li-4380531477</t>
        </is>
      </c>
      <c r="B95" t="inlineStr">
        <is>
          <t>Data Scientist</t>
        </is>
      </c>
      <c r="C95" t="inlineStr">
        <is>
          <t>ASSYST</t>
        </is>
      </c>
      <c r="D95" t="inlineStr">
        <is>
          <t>linkedin</t>
        </is>
      </c>
      <c r="E95">
        <f>HYPERLINK("https://www.linkedin.com/jobs/view/4380531477", "https://www.linkedin.com/jobs/view/4380531477")</f>
        <v/>
      </c>
      <c r="F95" t="inlineStr"/>
      <c r="G95" t="inlineStr">
        <is>
          <t>Gaithersburg, MD</t>
        </is>
      </c>
      <c r="H95" t="inlineStr"/>
      <c r="I95" t="inlineStr">
        <is>
          <t>ASSYST is seeking a Data Scientist plays a critical role in supporting data\-driven decision\-making for our client. This position is responsible for analyzing complex criminal justice datasets along with applicable open\-source data, including census, demographic and socio\-economic data, to inform policy development, improve public safety outcomes and enhance operational efficiency. The role supports analysts and stakeholders by identifying, integrating and visualizing large, diverse datasets to address stakeholder needs, uncover trends and patterns and conduct predictive analyses across a wide range of data types. The ideal candidate combines strong technical expertise in data science with a solid understanding of criminal justice systems and government data regulations.
**Required Technical Skills**
* Proficiency in Python, R, and SQL.
* Experience with statistical modeling and machine learning frameworks.
* Expertise in data visualization tools such as Power BI.
* Familiarity with GIS and spatial analysis tools is preferred.
**Domain Knowledge**
* Strong understanding of criminal justice processes and government data standards.
* Experience handling sensitive or classified data in compliance with CJIS and FOIA guidelines.
**Soft Skills \&amp; Competencies**
* Excellent communication and presentation skills for diverse technical and non\-technical audiences.
* Proven ability to work collaboratively across departments and agencies.
* Strong analytical thinking and problem\-solving capabilities.
**Key Responsibilities**
* Conduct advanced statistical analyses to identify crime trends and evaluate risk factors.
* Develop predictive models to forecast resource needs and identify potential crime hotspots or high\-risk individuals.
* Assess program effectiveness and policy impacts using evidence\-based methodologies.
* Support agency\-wide initiatives involving the management and analysis of large datasets for investigative and analytical purposes.
* Develop and maintain secure data pipelines integrating law enforcement, judicial, and corrections data.
* Ensure compliance with federal, state, and local data privacy and security regulations, including CJIS standards.
* Prepare clear, actionable reports, dashboards, and data visualizations for agency leadership, policymakers, and stakeholders.
* Translate complex technical findings into accessible insights for non\-technical audiences.
* Collaborate with internal divisions, other government agencies, and research institutions on data initiatives.
* Contribute to grant proposals and federally funded research projects as needed.
*ASSYST is an Equal Opportunity Employer. Qualified applicants will receive consideration for employment without regard to race, color, religion, sex, age, disability, military status, national origin or any other characteristic protected under federal, state, or applicable local law.*</t>
        </is>
      </c>
    </row>
    <row r="96">
      <c r="A96" t="inlineStr">
        <is>
          <t>li-4379612042</t>
        </is>
      </c>
      <c r="B96" t="inlineStr">
        <is>
          <t>Data Scientist III - Carrier Pricing</t>
        </is>
      </c>
      <c r="C96" t="inlineStr">
        <is>
          <t>Uber Freight</t>
        </is>
      </c>
      <c r="D96" t="inlineStr">
        <is>
          <t>linkedin</t>
        </is>
      </c>
      <c r="E96">
        <f>HYPERLINK("https://www.linkedin.com/jobs/view/4379612042", "https://www.linkedin.com/jobs/view/4379612042")</f>
        <v/>
      </c>
      <c r="F96">
        <f>HYPERLINK("https://job-boards.greenhouse.io/uberfreight/jobs/5065547008?gh_src=d2f501538us&amp;urlHash=vttn", "https://job-boards.greenhouse.io/uberfreight/jobs/5065547008?gh_src=d2f501538us&amp;urlHash=vttn")</f>
        <v/>
      </c>
      <c r="G96" t="inlineStr">
        <is>
          <t>Chicago, IL</t>
        </is>
      </c>
      <c r="H96" t="inlineStr"/>
      <c r="I96" t="inlineStr">
        <is>
          <t>**Schedule: Full Time Employment**
**Job Type: Hybrid**
**Salary Type: Salary**
**Req \#: 2138**
**About The Role**
 We are seeking an exceptionally passionate person to join our Marketplace Data Science team. As a Data Scientist focused on Carrier Pricing, you will be driving the evaluation and development of the dynamic pricing and bidding products carriers use to interact with Uber Freight’s digital marketplace. You will need to collaborate effectively with product managers, engineers, operations, business stakeholders, and other members of the Data Science team to solve problems, create efficiencies, and successfully deliver against high organizational standards.
**What The Candidate Will Do**
* Perform analysis to understand emerging trends in the digital marketplace
* Perform statistical analysis to estimate the impact of changes to our carrier pricing algorithms before deployment
* Design, execute and analyze A/B and marketplace experiments to directly measure the business impact of changes to our pricing algorithms on both financial and service metrics
* Work efficiently at scale with large data sets
* Collaborate with cross\-functional teams such as product, engineering, and operations to drive system development end\-to\-end from conceptualization to productization
**Basic Qualifications**
* Bachelor’s degree in Statistics, Mathematics, Computer Science, Economics or related field
* 3 years of related experience
* Experience with SQL, Python
**Preferred Qualifications**
* Masters with 3 years of experience or Bachelors with 5 years of relevant experience
* Experience with orchestration tools (e.g., Airflow)
* Experience with Spark
* Advanced knowledge of experimental design and non experimental causal inference techniques
* Strong presentation skills
* Experience working in a digital marketplace and/or dynamic pricing domain
**Benefits \&amp; Compensation For U.S. Employees**
 Employees working more than 30 hours in the US at Uber Freight are eligible for benefits like a company sponsored health plan, dental and vision benefits, 401k match, financial and mental wellness benefits, parental leave, short\- and long\-term disability coverage, life insurance and more. US based employees may also be eligible for a performance or sales incentive bonus program, participation in Uber Freight equity awards, and other types of compensation depending upon the role.
**About Uber Freight**
 Uber Freight helps companies move goods more reliably and efficiently. We bring together the technology, people, and transportation capacity they need, using real‑time data from millions of shipments to guide smarter decisions. That helps customers spot issues early, avoid costly surprises, and deliver on time. Uber Freight works with 1 in 3 Fortune 500 shippers across North America and manages over $17B in freight. Learn more at www.uberfreight.com.
**Candidate Privacy Notice**
 Uber Freight is committed to protecting the privacy of our candidates. We collect and process personal data in accordance with applicable data protection laws. For detailed information on how we handle candidate data, please review our Candidate Privacy Notice.
**EEOC**
 Uber Freight is proud to be an Equal Opportunity/Affirmative Action employer. All qualified applicants will receive consideration for employment without regards to sex, gender identity, sexual orientation, race, color, religion, national origin, disability, protected Veteran status, age, or any other characteristic protected by law. We also consider qualified applicants regardless of criminal histories, consistent with legal requirements.
 For Chicago\-based roles: The salary range for this role is $99,000\.00 \- $120,000\.00 per year</t>
        </is>
      </c>
    </row>
    <row r="97">
      <c r="A97" t="inlineStr">
        <is>
          <t>li-4378559119</t>
        </is>
      </c>
      <c r="B97" t="inlineStr">
        <is>
          <t>Data Scientist - Optimization and Advanced Machine Learning</t>
        </is>
      </c>
      <c r="C97" t="inlineStr">
        <is>
          <t>ChatGPT Jobs</t>
        </is>
      </c>
      <c r="D97" t="inlineStr">
        <is>
          <t>linkedin</t>
        </is>
      </c>
      <c r="E97">
        <f>HYPERLINK("https://www.linkedin.com/jobs/view/4378559119", "https://www.linkedin.com/jobs/view/4378559119")</f>
        <v/>
      </c>
      <c r="F97" t="inlineStr"/>
      <c r="G97" t="inlineStr"/>
      <c r="H97" t="inlineStr"/>
      <c r="I97" t="inlineStr">
        <is>
          <t>**Job Description**
 Data Scientist \- Optimization and Advanced Machine Learning
**FM** 
 \- Johnston, RI
* On\-site, Remote
**Salary:** 
 $103\.04K \- $148\.10K/yr
**Type:** 
 Full\-time
**Benefits:** 
 Medical, Retirement
**Posted:** 
 3 hours ago
**Job Description**
 FM is seeking a Data Scientist specializing in optimization and advanced machine learning to translate business needs into analytical \&amp; AI solutions. The role involves designing, developing, and deploying optimization models, AI/ML algorithms, and decision‑support systems for real‑world problems across various teams.
 Key Responsibilities
* Build machine learning and AI solutions using Python/R and modern ML frameworks.
* Develop and deploy optimization models for risk assessment and operational decision‑making.
* Lead end‑to\-end model development: problem framing, data processing, feature engineering, modeling, validation, implementation, and monitoring.
* Work with cross‑functional partners to translate analytical insights into business actions.
* Work with large‑scale datasets using SQL or similar tools and implement robust data pipelines.
* Apply creativity and domain expertise to evaluate and improve model performance and interpretability.
* Contribute to continuous innovation in optimization, ML, and AI practices across the organization.
**Qualifications**
**Education:**
* Master’s degree in Operations Research, Industrial Engineering, Applied Mathematics, Computer Science, Data Science, or a related field. PhD preferred.
**Experience**
* 5\+ years of industry experience in building optimization or machine learning solutions.
* 5\+ years hands‑on experience with data processing, modeling, and advanced analytics using Python or R.
* 3\+ years experience working with large datasets using SQL or similar technologies.
* Experience leading full‑cycle data science or optimization projects from ideation to deployment.
* Experience with cloud‑based analytics and machine learning platforms, preferably Azure Databricks
**Technical Skills**
 Strong Knowledge \&amp; Practical Experience in:
* Optimization methods:
+ Linear / Non‑linear programming
+ Mixed‑integer optimization
+ Metaheuristics (GA, simulated annealing, evolutionary algorithms)
+ Stochastic and robust optimization
* Core Machine Learning algorithms:
+ Tree‑based models, gradient boosting
+ Clustering \&amp; unsupervised learning
+ Neural networks and deep learning fundamentals
* Simulation
* Model evaluation, validation, and experimentation
* Data wrangling, feature engineering, and pipeline design
* ML engineering practices following MLOps principles (model tracking, reproducibility, deployment)
**Preferred Qualifications**
* Experience in risk management, insurance, or operations modeling.</t>
        </is>
      </c>
    </row>
    <row r="98">
      <c r="A98" t="inlineStr">
        <is>
          <t>li-4378573368</t>
        </is>
      </c>
      <c r="B98" t="inlineStr">
        <is>
          <t>Data Scientist - Law Enforcement Analytics &amp; Program</t>
        </is>
      </c>
      <c r="C98" t="inlineStr">
        <is>
          <t>Meta</t>
        </is>
      </c>
      <c r="D98" t="inlineStr">
        <is>
          <t>linkedin</t>
        </is>
      </c>
      <c r="E98">
        <f>HYPERLINK("https://www.linkedin.com/jobs/view/4378573368", "https://www.linkedin.com/jobs/view/4378573368")</f>
        <v/>
      </c>
      <c r="F98" t="inlineStr"/>
      <c r="G98" t="inlineStr">
        <is>
          <t>Austin, TX</t>
        </is>
      </c>
      <c r="H98" t="inlineStr"/>
      <c r="I98" t="inlineStr">
        <is>
          <t>Meta is seeking a Data Scientist to join our Law Enforcement Analytics \&amp; Program (LEAP) team. Our mission is to enable Meta's capacity to balance public safety, user privacy, and compliance obligations at scale through strategic coordination, technical leadership, and operational success across the Security, Integrity, Investigations (SI2\) legal team and its partners. This role leverages AI, data and insights to drive decisions that enable predictability, and proactive detection, allowing us to operate efficiently and reliably at scale. You will be building AI models and will be involved in the design, development, and deployment of intelligent solutions that reduce the operational and investigative burden. This role will directly impact the scalability and efficiency of our operations and investigations through proactive detection, automation, and resolution of routine tasks, inefficiencies, and incidents. In addition, this is a crucial role in translating data into action and identifying opportunities for efficiency and effectiveness.
 Data Scientist \- Law Enforcement Analytics \&amp; Program Responsibilities:
* Translate business challenges into clear, actionable requirements for AI\-enabled solutions
* Map end\-to\-end business processes, highlighting areas where AI can drive efficiency and value
* Design, build and implement AI automations
* Develop and deploy solutions and AI prompts to identify and address bottlenecks, replacing manual interventions with intelligent automation
* Create scalable automation mechanisms that proactively monitor, analyze, and report
* Build robust predictive models using statistical and machine learning techniques to forecast risks, anticipate issues and optimize
* Develop monitoring tools to trigger early warnings and facilitate rapid resolution through automation
* Acts as a data subject matter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 investigators and engineering partner to understand pain points, identify repetitive tasks and translate them into opportunities for automation
* Bring multiple areas of business and engineering together via a common reliable foundation of common data, metrics, and insights
* Build data tables and dashboards, and leverage these for interpreting incidents and trends
* Leverage tools like Tableau, Python, and SQL to drive efficient analytics
 Minimum Qualifications:
* Bachelor's Degree in an analytical field (e.g. Computer Science, Engineering, Mathematics, Statistics, or Data Science)
* 6\+ years of experience in analytics, engineering, and use of AI/ML
* 6\+ years of SQL development experience and scripting language like Python
* Hands\-on experience with AI/ML frameworks (e.g. TensorFlow, PyTorch, Scikit\-learn) and automation tools/platforms
* Significant experience with data visualization tools and leveraging data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Preferred Qualifications:
* Master's Degree in an analytical field (e.g. Computer Science, Engineering, Mathematics, Statistics, or Data Science)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9">
      <c r="A99" t="inlineStr">
        <is>
          <t>li-4380700465</t>
        </is>
      </c>
      <c r="B99" t="inlineStr">
        <is>
          <t>Data Scientist (Remote)</t>
        </is>
      </c>
      <c r="C99" t="inlineStr">
        <is>
          <t>Jobgether</t>
        </is>
      </c>
      <c r="D99" t="inlineStr">
        <is>
          <t>linkedin</t>
        </is>
      </c>
      <c r="E99">
        <f>HYPERLINK("https://www.linkedin.com/jobs/view/4380700465", "https://www.linkedin.com/jobs/view/4380700465")</f>
        <v/>
      </c>
      <c r="F99">
        <f>HYPERLINK("https://jobs.lever.co/jobgether/25fced6f-0987-4c57-8685-cbbafa5a8d55/apply?source=LinkedIn&amp;urlHash=yrGT", "https://jobs.lever.co/jobgether/25fced6f-0987-4c57-8685-cbbafa5a8d55/apply?source=LinkedIn&amp;urlHash=yrGT")</f>
        <v/>
      </c>
      <c r="G99" t="inlineStr">
        <is>
          <t>Idaho, United States</t>
        </is>
      </c>
      <c r="H99" t="inlineStr"/>
      <c r="I99" t="inlineStr">
        <is>
          <t>This position is posted by Jobgether on behalf of a partner company. We are currently looking for a Senior Data Analyst \- REMOTE. In this role, you will play a crucial part in transforming data into actionable insights. You will collaborate with diverse teams to implement automated reporting and enhance our analytical tools. Your expertise will empower our stakeholders, driving efficiency and improving decision\-making processes. This opportunity allows you to contribute significantly to data\-driven strategies that help ambitious brands grow faster in a dynamic environment.
**Accountabilities**
* Work with internal teams and external partners to assess automation needs
* Take lead on projects while driving process evolution for efficiency
* Ensure data quality through proactive validation and discrepancy checks
* Manage data visualization tools and create recurring reports
* Build credibility by exceeding expectations for stakeholders
* Develop documentation and best practices for onboarding
**Requirements**
* Expertise in data visualization tools like Tableau, Google Sheets, Looker
* Advanced SQL development and troubleshooting skills
* Fluency in complex data ecosystems and data lineage tracing
* Experience with Digital Marketing data
* Proficiency in scripting languages such as JavaScript
* Familiarity with data extraction and storage tools like MS SQL Server, Big Query
* Knowledge of data transfer tools and secure storage methods
* Experience with cloud platforms like GCP
* Strong organizational, written, and communication skills
* Ability to manage multiple tasks within deadlines
* 5\+ years of relevant work experience
**Benefits**
* Healthcare, Dental, and Vision coverage
* 401k plan with matching
* Paid Time Off (PTO)
* Paid Company Holidays
*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0">
      <c r="A100" t="inlineStr">
        <is>
          <t>li-4380534132</t>
        </is>
      </c>
      <c r="B100" t="inlineStr">
        <is>
          <t>Data Scientist I</t>
        </is>
      </c>
      <c r="C100" t="inlineStr">
        <is>
          <t>Jewelers Mutual Group</t>
        </is>
      </c>
      <c r="D100" t="inlineStr">
        <is>
          <t>linkedin</t>
        </is>
      </c>
      <c r="E100">
        <f>HYPERLINK("https://www.linkedin.com/jobs/view/4380534132", "https://www.linkedin.com/jobs/view/4380534132")</f>
        <v/>
      </c>
      <c r="F100" t="inlineStr"/>
      <c r="G100" t="inlineStr">
        <is>
          <t>Raleigh, NC</t>
        </is>
      </c>
      <c r="H100" t="inlineStr"/>
      <c r="I100" t="inlineStr">
        <is>
          <t>**Summary**
 As a Data Scientist I at Jewelers Mutual, you will be part of a dynamic team responsible for analyzing large datasets to derive actionable insights. You will leverage behavioral, product, and/or business data to understand and predict customer behavior. You will also collaborate closely with cross\-functional teams to understand complex data needs and help drive business decisions. This role offers an exciting opportunity to apply your analytical skills and contribute to the success of cutting\-edge projects.
**What You'll Be Doing**
* Develop predictive models and algorithms to address business challenges and opportunities.
* Leverage behavioral analytics data to enhance existing models and drive data\-informed decision\-making.
* Explore new data and review, clean, and transform data as needed to support modeling, analysis, and data visualization.
* Work closely with business stakeholders to understand their goals and formulate data\-driven solutions.
* Interpret and communicate insights and findings from analyses to stakeholders.
* Collaborate with business stakeholders to support the introduction of new products, enhancements to existing products (forms, rates, rules), and/or entry into new markets to reach company profit and growth targets.
* Serve as product expert supporting corporate actions and operational initiatives.
* Monitor overall product performance on Jewelers Mutual book of business and communicate findings to key stakeholders.
* Work on complex problems/projects where analysis of situations or data requires an in\-depth evaluation of multiple factors.
* Utilize JM Group or authorized third\-party data to perform statistical analysis and data mining to understand current and historical patterns that can be utilized to improve business performance
**Physical Requirements**
* Prolonged periods sitting at a desk and working on a computer.
* Occasionally required to stand; walk; use hands to finger, handle, or touch objects or controls; and talk or hear.
 To perform this job successfully, an individual must be able to perform each essential duty satisfactorily. Reasonable accommodations may be made to enable individuals with disabilities to perform the essential functions.
**What You'll Bring**
* Bachelor’s degree in Business, Statistics, Mathematics, Economics, or a related quantitative field.
* Experience with Python and/or R as it relates to data manipulation and analysis.
* Experience with statistical methods and concepts, such as hypothesis testing, regression analysis, and probability theory.
* Experience with SQL, Power BI, and/or other query/reporting skills
* Analytical and problem\-solving skills, with the ability to translate complex data into actionable insights.
* Effective communication skills with the ability to present technical concepts to non\-technical audiences.
**What We Offer You**
* Competitive Compensation \&amp; Benefits: Includes performance bonuses, generous paid time off, and a top\-tier retirement program with 401(k) matching and additional company contributions.
* Collaborative Culture: Work alongside talented, passionate peers who value ownership and continuous learning.
* Community \&amp; Giving: Benefit from 50% charitable gift matching and paid volunteer time to support nonprofit causes.
* Great Place to Work® Certified: Join a team recognized for an environment of innovation and growth.</t>
        </is>
      </c>
    </row>
    <row r="101">
      <c r="A101" t="inlineStr">
        <is>
          <t>li-4378555652</t>
        </is>
      </c>
      <c r="B101" t="inlineStr">
        <is>
          <t>Data Scientist</t>
        </is>
      </c>
      <c r="C101" t="inlineStr">
        <is>
          <t>Memorial Hermann Health System</t>
        </is>
      </c>
      <c r="D101" t="inlineStr">
        <is>
          <t>linkedin</t>
        </is>
      </c>
      <c r="E101">
        <f>HYPERLINK("https://www.linkedin.com/jobs/view/4378555652", "https://www.linkedin.com/jobs/view/4378555652")</f>
        <v/>
      </c>
      <c r="F101" t="inlineStr"/>
      <c r="G101" t="inlineStr">
        <is>
          <t>Houston, TX</t>
        </is>
      </c>
      <c r="H101" t="inlineStr"/>
      <c r="I101" t="inlineStr">
        <is>
          <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
**Job Summary**
 Mines and analyzes complex and unstructured data sets using advanced statistical methods for use in data driven decision making. Responsible for supporting cross\-functional teams and providing in\-depth data insights for complex business problems approached with advanced analytic techniques to collect, explore, and extract insights from structured and unstructured data. This position is an ideal first step for candidates familiar with a hospital setting to transition to a data science career. Typically reports to the Manager of Data Science.
 Salary Range: $82k \- $102k Annually
**Job Description**
 Must reside in one of the following states:
* Georgia
* Louisiana
* Oklahoma
* Tennessee
* Texas
 Desired Skillset:
* Strong proficiency in Python or R (3–4/5 level) with hands\-on experience building predictive models
* Strong SQL skills (3–4/5 level) with ability to query and analyze large, complex datasets
* Experience developing custom machine learning models (not just dashboards or basic reporting)
* Solid foundation in statistics (hypothesis testing, A/B testing, regression modeling)
* Experience working with structured and unstructured data
* Familiarity with ETL processes and data validation best practices
* Ability to translate complex analytics into clear, actionable business insights
* Strong problem\-solving and analytical reasoning skills
* Experience collaborating with cross\-functional teams (clinical, finance, operations, IT)
* Healthcare analytics experience preferred; familiarity with EHR systems such as Epic Systems is a plus
* Exposure to NLP or generative AI/LLM technologies is a bonus
* Ability to manage multiple projects independently in a fast\-paced environment
**Minimum Qualifications**
**Education:** 
 Bachelor’s Degree in science, engineering, computer science, mathematics, statistics or related STEM field required. Master’s Degree in Data Science preferred.
**Licenses/Certifications:** 
 (None)
**Experience / Knowledge / Skills:**
* Demonstrated experience performing multiple projects (academic or professional) using a programing language like Python and libraries (numpy, sciPy, etc.) is required
* Professional experience in a hospital setting with medical informatics, healthcare information technology/finance/revenue cycle data management, or Electronic Health Record (EHR) data management is preferred
* Familiarity with the Extract, Transform, and Load (ETL) process, working knowledge of data bases and handling large data sets
* Ability to communicate, gather requirements, and engage in storytelling with data
* Demonstrates problem solving, analytical reasoning, and decision\-making skills
* Demonstrates ability to identify and seek needed information to perform problem/situation analysis
* Develops and applies algorithms or models to key business metrics with the goal of improving operations or answering business questions. Provides findings and analysis for use in decision making.
* Handles moderately complex issues and problems, and refers more complex issues to higher\-level staff
* Exhibits strong project management skills, with an ability to work independently on multiple projects with competing priorities and a strong commitment to meeting goals and deadlines
* Understanding of SQL database management tools
* Demonstrates interest in learning new tools and processes
* Strong written and verbal communication skills in IT and business environments; ability to communicate to technical and non\-technical audiences
* Ability to work under minimal supervision in a fast\-paced multidisciplinary environment
* Effective oral and written communication skills
**Principal Accountabilities**
* Works collaboratively with cross\-functional teams to draw insight and intelligence from large datasets and electronic medical records.
* Provides in\-depth data insights from structured and unstructured data for complex business problems through use of advanced analytics techniques, predictive modeling, data mining/visualization and pattern analysis tools.
* Performs research, analysis, and modeling on organizational data.
* Develops and tests hypotheses and communicates findings in clear, precise and actionable manner to project and leadership teams.
* Works closely with teams to identify, understand, and resolve data issues and improve efficiency, productivity and scalability of data processes.
* Assists with the evaluation of data science vendors and tools.
* Ensures safe care to patients, staff and visitors; adheres to all Memorial Hermann policies, procedures, and standards within budgetary specifications including time management, supply management, productivity and quality of service.
*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Memorial Hermann’s service standards by providing safe, caring, personalized and efficient experiences to patients and colleagues.
* Other duties as assigned.</t>
        </is>
      </c>
    </row>
    <row r="102">
      <c r="A102" t="inlineStr">
        <is>
          <t>li-4380555790</t>
        </is>
      </c>
      <c r="B102" t="inlineStr">
        <is>
          <t>Data Scientist (Hybrid)</t>
        </is>
      </c>
      <c r="C102" t="inlineStr">
        <is>
          <t>Stanford University</t>
        </is>
      </c>
      <c r="D102" t="inlineStr">
        <is>
          <t>linkedin</t>
        </is>
      </c>
      <c r="E102">
        <f>HYPERLINK("https://www.linkedin.com/jobs/view/4380555790", "https://www.linkedin.com/jobs/view/4380555790")</f>
        <v/>
      </c>
      <c r="F102" t="inlineStr"/>
      <c r="G102" t="inlineStr">
        <is>
          <t>Stanford, CA</t>
        </is>
      </c>
      <c r="H102" t="inlineStr"/>
      <c r="I102" t="inlineStr">
        <is>
          <t>Stanford University (Department of Otolaryngology\-\-Head and Neck Surgery) is seeking a Biostatistician 1 to work closely with senior statistician(s) to manage relevant databases as necessary, design studies, devise analysis plan, create analytic files, implement analysis plan and report and publish findings.
**Duties include\*:**
* Design study.
* Implement protocol for quality control.
* Create analytic files with detailed documentation.
* Implement data analysis through statistical programming.
* Present results for investigators using graphs and tables.
* Summarize findings orally and in written form.
* Participate in the preparation of papers for publication.
* \- Other duties may also be assigned.
**Education \&amp; Experience (required)**
 Master's degree in biostatistics, statistics or related field.
**Knowledge, Skills And Abilities (required)**
* Proficient in at least two of R, SAS, SPSS, or STATA.
* Skills in descriptive analysis, modeling of data, and graphic interfaces.
* Outstanding ability to communicate technical information to both technical and non\-technical audiences.
**PHYSICAL REQUIREMENTS\*:**
* Frequently perform desk based computer tasks, seated work and use light/ fine grasping.
* Occasionally stand, walk, and write by hand, lift, carry, push pull objects that weigh up to 10 pounds.
* \- Consistent with its obligations under the law, the University will provide reasonable accommodation to any employee with a disability who requires accommodation to perform the essential functions of his or her job.
**Working Conditions**
 May work extended or non\-standard hours based on project or business cycle needs.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*The expected pay range for this position is $99,974 to $113,446 per annum.*
*Stanford University provides pay ranges representing its good faith estimate of the salary or hourly wage the university reasonably expects to pay for a position upon hire.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t>
        </is>
      </c>
    </row>
    <row r="103">
      <c r="A103" t="inlineStr">
        <is>
          <t>li-4378551183</t>
        </is>
      </c>
      <c r="B103" t="inlineStr">
        <is>
          <t>Data Scientist (Hybrid)</t>
        </is>
      </c>
      <c r="C103" t="inlineStr">
        <is>
          <t>Stanford University School of Medicine</t>
        </is>
      </c>
      <c r="D103" t="inlineStr">
        <is>
          <t>linkedin</t>
        </is>
      </c>
      <c r="E103">
        <f>HYPERLINK("https://www.linkedin.com/jobs/view/4378551183", "https://www.linkedin.com/jobs/view/4378551183")</f>
        <v/>
      </c>
      <c r="F103">
        <f>HYPERLINK("https://careersearch.stanford.edu/jobs/data-scientist-hybrid-30085?utm_source=linkedin&amp;utm_medium=jobboard&amp;urlHash=9IEl", "https://careersearch.stanford.edu/jobs/data-scientist-hybrid-30085?utm_source=linkedin&amp;utm_medium=jobboard&amp;urlHash=9IEl")</f>
        <v/>
      </c>
      <c r="G103" t="inlineStr">
        <is>
          <t>Stanford, CA</t>
        </is>
      </c>
      <c r="H103" t="inlineStr"/>
      <c r="I103" t="inlineStr">
        <is>
          <t>Stanford University (Department of Otolaryngology\-\-Head and Neck Surgery) is seeking a Biostatistician 1 to work closely with senior statistician(s) to manage relevant databases as necessary, design studies, devise analysis plan, create analytic files, implement analysis plan and report and publish findings.
**Duties include\*:**
* Design study.
* Implement protocol for quality control.
* Create analytic files with detailed documentation.
* Implement data analysis through statistical programming.
* Present results for investigators using graphs and tables.
* Summarize findings orally and in written form.
* Participate in the preparation of papers for publication.
* \- Other duties may also be assigned.
**Education \&amp; Experience (required)**
 Master's degree in biostatistics, statistics or related field.
**Knowledge, Skills And Abilities (required)**
* Proficient in at least two of R, SAS, SPSS, or STATA.
* Skills in descriptive analysis, modeling of data, and graphic interfaces.
* Outstanding ability to communicate technical information to both technical and non\-technical audiences.
**PHYSICAL REQUIREMENTS\*:**
* Frequently perform desk based computer tasks, seated work and use light/ fine grasping.
* Occasionally stand, walk, and write by hand, lift, carry, push pull objects that weigh up to 10 pounds.
* \- Consistent with its obligations under the law, the University will provide reasonable accommodation to any employee with a disability who requires accommodation to perform the essential functions of his or her job.
**Working Conditions**
 May work extended or non\-standard hours based on project or business cycle needs.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
*The expected pay range for this position is $99,974 to $113,446 per annum.*
*Stanford University provides pay ranges representing its good faith estimate of the salary or hourly wage the university reasonably expects to pay for a position upon hire.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Additional Information
* Schedule: Full\-time
* Job Code: 5521
* Employee Status: Regular
* Grade: H
* Requisition ID: 108355
* Work Arrangement : Hybrid Eligible</t>
        </is>
      </c>
    </row>
    <row r="104">
      <c r="A104" t="inlineStr">
        <is>
          <t>li-4380522471</t>
        </is>
      </c>
      <c r="B104" t="inlineStr">
        <is>
          <t>Data Scientist</t>
        </is>
      </c>
      <c r="C104" t="inlineStr">
        <is>
          <t>Systems Innovation Engineering</t>
        </is>
      </c>
      <c r="D104" t="inlineStr">
        <is>
          <t>linkedin</t>
        </is>
      </c>
      <c r="E104">
        <f>HYPERLINK("https://www.linkedin.com/jobs/view/4380522471", "https://www.linkedin.com/jobs/view/4380522471")</f>
        <v/>
      </c>
      <c r="F104">
        <f>HYPERLINK("https://ats.rippling.com/accelint-holdings-llc/jobs/19e4555f-b2af-4893-9cd0-7e11307d92ae?src=LinkedIn&amp;urlHash=7Pup", "https://ats.rippling.com/accelint-holdings-llc/jobs/19e4555f-b2af-4893-9cd0-7e11307d92ae?src=LinkedIn&amp;urlHash=7Pup")</f>
        <v/>
      </c>
      <c r="G104" t="inlineStr">
        <is>
          <t>St Paul, MN</t>
        </is>
      </c>
      <c r="H104" t="inlineStr"/>
      <c r="I104" t="inlineStr">
        <is>
          <t>This is a
 ****contingent****
 position expected to be located in St. Paul, MN.
****This position requires an active U.S. national security clearance and the ability to obtain one. To learn more about the security clearance process please access this link. Additionally, travel may be required to customer and subcontractor sites as well as other office locations.****
 Accelint is a mission\-driven technology company focused on strengthening national security and supporting critical industries
 ****.****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The Data Scientist is responsible for designing, developing, testing, and maintaining software applications to provide advanced analytics for software and edge solutions team. This role focuses on developing innovative solutions driven by exploratory data analysis from complex and high\-dimensional datasets. The Data Scientist will apply knowledge of statistics, machine learning, programming, and data modeling. They use a flexible, analytical approach to design, develop, and evaluate predictive models and advanced algorithms to mine the stores of big data. They generate and test hypotheses and analyze and interpret the results of product experiments. Create data visualizations, dashboards, and reports to communicate findings. This role will involve applying AI/ML techniques to read and process technical data to include CAD models for ingestion into enterprise systems. This role will require collaboration with other data scientists and software engineers to implement algorithms and provide insights to end users. The ideal candidate has at least 2 years of experience in data science, with a demonstrated ability to collaborate with cross\-functional teams.
**Duties And Responsibilities**
* Lead the design, development, and implementation of statistical techniques and algorithms.
* Write clean, maintainable, and efficient code, and ensure best practices in coding standards.
* Research and identify areas for applications of AI/ML in support of the program.
* Work with the development team and government teams to align AI/ML efforts.
* Prepare and maintain comprehensive technical documentation related to algorithm development.
* Ensure accuracy and completeness of all documentation.
* Foster effective collaboration with cross\-functional teams to achieve project objectives.
* Communicate complex technical information clearly and effectively.
* Utilize advanced software development tools and methodologies to support project requirements.
* Integrate software development tools and methodologies into the workflow to improve efficiency and accuracy.
**Required Qualifications**
* Bachelor's degree in Computer Science, Statistics, Mathematics, Engineering, or related quantitative field.
* At least 2 years of experience in data science or related discipline.
* Experience analyzing system performance data and time series data.
* Proficiency in Python and its data science libraries (Pandas, NumPy, Scikit\-learn, etc.).
* Strong background in statistical analysis, forecasting techniques, and anomaly detection
* Experience with SQL and relational databases.
* Knowledge of data visualization tools for creating operational dashboards (Tableau, Power BI, Grafana, or similar).
* Understanding of machine learning fundamentals with a willingness to expand AI/ML implementation skills.
* Excellent problem\-solving and analytical skills.
* Superior written and verbal communication skills.
**Desired Qualifications**
* Experience working with CAD models and other technical data sets
* Experience researching, developing, and implementing machine learning algorithms and models for tasks such as classification, regression, clustering, anomaly detection, and recommendation systems
* Familiarity with stream processing of real\-time data
* Knowledge of cloud platforms (AWS, Azure, or GCP) and their monitoring services
* Experience with ML frameworks (TensorFlow, PyTorch, or similar)
* Familiarity with version control systems (Git)
* Experience with containerization and orchestration tools (Docker, Kubernetes)
* Exposure to data streaming applications (Confluent, Kafka, RabbitMQ, or similar)
* In\-depth understanding of the aerospace and defense industry.
****WORK ENVIRONMENT****
 Hybrid work environment. In\-person collaboration is required to support engagement with the software engineering team. In addition to in\-office days, employees have the flexibility to telework (with supervisor approval) on designated days or as needed, provided they adhere to established communication protocols and fulfill their work responsibilities effectively. Additionally, travel may be required to customer and subcontractor sites as well as other office locations.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
 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105,600 \- 127,100 USD per year (Saint Paul, MN)</t>
        </is>
      </c>
    </row>
    <row r="105">
      <c r="A105" t="inlineStr">
        <is>
          <t>li-4378545927</t>
        </is>
      </c>
      <c r="B105" t="inlineStr">
        <is>
          <t>Senior Data Scientist</t>
        </is>
      </c>
      <c r="C105" t="inlineStr">
        <is>
          <t>ChatGPT Jobs</t>
        </is>
      </c>
      <c r="D105" t="inlineStr">
        <is>
          <t>linkedin</t>
        </is>
      </c>
      <c r="E105">
        <f>HYPERLINK("https://www.linkedin.com/jobs/view/4378545927", "https://www.linkedin.com/jobs/view/4378545927")</f>
        <v/>
      </c>
      <c r="F105" t="inlineStr"/>
      <c r="G105" t="inlineStr">
        <is>
          <t>Richmond, VA</t>
        </is>
      </c>
      <c r="H105" t="inlineStr"/>
      <c r="I105" t="inlineStr">
        <is>
          <t>**Job Description**
 Senior Data Scientist
**Company:** 
 CEI
**Location:** 
 Richmond, VA (On\-site, Remote)
**Type:** 
 Full\-time
**Posted:** 
 13 hours ago
**Job At a Glance:**
* Location: Richmond, VA (Alternate weeks in office and remote; 5 days in office, 5 days remote, repeating. Local drive\-in candidate only; no 100% remote)
* Duration: 12 months
* Labor Type: Technical
* Business Unit: Data Analytics
* Interview Process: Teams – Camera ON
* Industry Preference: Regulated industry
**Job Description:**
 In this advanced level role, the Senior Data Science Analyst works independently on the most complex programs. Researches and applies knowledge from existing and emerging data science principles, theories and practices to identify and solve complex analytic problems using established procedures, tools and platforms. Conducts requirements gathering and design sessions and defines and documents the scope and objectives for the business use case/solution. Performs detailed analysis and feature engineering on data. Works at a high technical level in all phases of data analysis, design, development and support of analytic solutions including design and development of data structures, data integration processes and user interfaces to illustrate the analytical insights. Guides and/or leads less experienced Data Science Analysts analytic projects, as needed. Delivers oral briefs, presentations and insights from analysis performed or solutions developed. Tests, compares and validates the results from Machine Learning models before implementing the solution. Works company\-wide, in multi\-platform environments, on multiple project assignments.
**Responsibilities:**
* Research and apply knowledge from existing and emerging data science principles, theories and practices to identify and solve complex analytic problems using established procedures, tools and platforms.
* Conduct requirements gathering and design sessions and define and document the scope and objectives for the business use case/solution.
* Perform detailed analysis and feature engineering on data.
* Work at a high technical level in all phases of data analysis, design, development and support of analytic solutions including design and development of data structures, data integration processes and user interfaces to illustrate the analytical insights.
* Guide and/or lead less experienced Data Science Analysts analytic projects, as needed.
* Deliver oral briefs, presentations and insights from analysis performed or solutions developed.
* Test, compare and validate the results from Machine Learning models before implementing the solution.
* Design machine learning projects to address business problems determined by consultation with business partners.
* Work on a variety of datasets, including both structured and unstructured data.
* Create interpretable visualizations that tell a story and paint a vision.
**Qualifications:**
* MUST have 5 years of experience in Data Science using R/Python etc. on Hadoop platform.
* Strong skills in statistical application prototyping with expert knowledge in R and/or Python development.
* Deep knowledge of machine learning, data mining, statistical predictive modeling, and extensive experience applying these methods to real world problems.
* Extensive experience in Predictive Modeling and Machine Learning: Classification, Regression \&amp; Clustering.
* Experience with automated testing, versioning, and deployment workflows (e.g., MLflow, Dataiku, or similar).
* Experience with using or monitoring of ML models, including model drift detection, performance tracking, reproducibility, and scalable production architecture.
* Experience with developing reports and apps with tools like RShiny to allow stakeholders to interact with data.
* Understanding and experience working on Big Data Ecosystems is preferred: Hadoop, HDFS, Hive, Sqoop, Spark: pySpark, SparkR, SparkSQL, Jupyter \&amp; Zeppelin notebooks.
* Understanding and/or experience with data engineering is a plus.
* Experience with cloud technologies (AWS, Azure, GCP, Snowflake) is a big plus.
* Strong communication skills both verbal and written.
* Ability to lead, collaborate, or work effectively in a variety of teams, including multi\-disciplinary teams.
* Minimum of High School Diploma or Equivalency.
* Bachelors or higher preferred – Discipline: Computer Science, Information Systems, Mathematics.
**About The Client:**
 The client is a large, regulated energy organization supporting enterprise\-wide operations across generation, transmission, distribution, and corporate functions. The Data Analytics team partners with business units across the company to deliver advanced analytics, predictive modeling, and machine learning solutions that support operational reliability, regulatory compliance, and strategic decision\-making. The environment is highly structured and compliance\-driven, requiring strong documentation, validation, and governance practices within a complex, multi\-platform ecosystem.</t>
        </is>
      </c>
    </row>
    <row r="106">
      <c r="A106" t="inlineStr">
        <is>
          <t>li-4378078447</t>
        </is>
      </c>
      <c r="B106" t="inlineStr">
        <is>
          <t>Lead Data Scientist</t>
        </is>
      </c>
      <c r="C106" t="inlineStr">
        <is>
          <t>Caterpillar Inc.</t>
        </is>
      </c>
      <c r="D106" t="inlineStr">
        <is>
          <t>linkedin</t>
        </is>
      </c>
      <c r="E106">
        <f>HYPERLINK("https://www.linkedin.com/jobs/view/4378078447", "https://www.linkedin.com/jobs/view/4378078447")</f>
        <v/>
      </c>
      <c r="F106">
        <f>HYPERLINK("https://careers.caterpillar.com/en/jobs/r0000349679/lead-data-scientist/?source=LinkedIn&amp;urlHash=THxx", "https://careers.caterpillar.com/en/jobs/r0000349679/lead-data-scientist/?source=LinkedIn&amp;urlHash=THxx")</f>
        <v/>
      </c>
      <c r="G106" t="inlineStr">
        <is>
          <t>Irving, TX</t>
        </is>
      </c>
      <c r="H106" t="inlineStr"/>
      <c r="I106"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The Cybersecurity GRC – Technology \&amp; Analytics team of Caterpillar IT is seeking a Lead Data Scientist to be a technical expert, working in a team environment, to support the development, integration \&amp; enhancement for Caterpillar in Advanced Analytics and GenAI initiatives for the Technology \&amp; Analytics team.
 Significant responsibilities of this position are working with people; enhancing the team’s creativity; maintaining knowledge of approaches used in similar projects; and pushing the technical bounds of experimentation while meeting customer commitments. The Lead Data Scientist acts as a technical leader for establishing and maintaining a sound analytic approach for solving the problem at hand. This individual will develop good networks within the technical community to enable them to collaborate on technical solutions, obtain resources and cooperation needed, and remove roadblocks so that they can ensure the success of their team.
**What You Will Do**
 Key areas of accountability include participating in the design and development of Data and Analytic Solutions including GenAI as part of Strategic Cybersecurity projects and programs; providing input into technology roadmaps and application evolution plans; acting as a researcher and evaluator of new technology, information, or integration standards. The Lead Data Scientist reports to an Analytics Supervisor and bears primary responsibility for solving the business problem presented through applied analytics and directing the team technically. Individual work will primarily be directed by Manager and Stakeholders in terms of business requirements and needs.
* Conduct Data Discovery, data preparation and data processing for business intelligence and ML / AI Models.
* Exploring, promoting, and implementing semantic data capabilities through data analytics and machine learning techniques.
* Leading to define requirements and scope of data analyses; presenting and reporting possible business insights to management using data visualization technologies.
* Conducting research on data model optimization and algorithms to improve effectiveness and accuracy on data analyses.
* Plan technical deliverables and definition of done for each sprint for the Jr. Data Engineers
* Communicate and Present the Technical Deliverables to stakeholders and business in an easy\-to\-understand way.
* Demonstrate a breadth of knowledge in the application statistical methods and/or digital methods to solve business problems
* Develop, validate, train and implement statistical models, and implement digital solutions
* Participate on 3\-4 projects/products concurrently
* Demonstrate strong initiative to research and apply new methods to exceed customer expectations.
* Have a strong focus on continual learning in the Analytics field
* Possess thorough statistical and/or digital technology knowledge and the ability to solve low to medium complexity problems.
* Have very good communication skills, being able to explain conclusions to customers with limited knowledge and experience with quantitative analytical methods.
**What You Have**
* Business Statistics: Extensive experience with statistical tools, processes, and practices to describe business results in measurable scales; ability to use statistical tools and processes to assist in making business decisions.
* Machine Learning / AI: Extensive knowledge of principles, technologies and algorithms of machine learning
* Programming Languages: Extensive knowledge in the application of Python programming to solve business challenges; ability to use tools, techniques and platforms in order to write and modify programming languages.
* Database Management and Consumption: Extensive knowledge of data management systems; ability to use, support and access facilities for searching, extracting and formatting data for further use.
* Data Analysis: Posses the ability to conduct thorough data analysis and produce data mapping documents per the business requirements; extensive capabilities in SQL, data modeling, and understanding of data processing including ETL / ELT
* Requirements Analysis: Working knowledge of tools, methods, and techniques of requirement analysis; ability to elicit, analyze and record required business functionality and non\-functionality requirements to ensure the success of a system or software development project.
**Top Candidates Will Have**
* Typically Master’s degree in Applied Statistics, Data Science, Business Analytics, Business Intelligence \&amp; Analytics, Mathematics, Computer Science, Computer Science, Engineering, Informatics, Information Systems Management, Mathematics, MBA with Technical Undergrad, Predictive Analytics, Statistics, or equivalent technical degree.
* Extensive experience applying Python (NumPy, SciPy, pandas, etc) programming to solve business challenges.
* Extensive experience (typically 8 years\+) with advanced data analysis and statistical methods such as regression, hypothesis testing, ANOVA, statistical process control, etc.
* Extensive experience in practical applications of Machine Learning techniques such as Clustering, Logistic Regression, Random Forests, SVM or Neural Networks.
* Advanced experience in quantifying the costs, benefits, risks and chances for success before recommending a course of action.
* In\-depth technical and problem\-solving skills and evidence of continuous learning in the analytics field
* Extensive knowledge of techniques and tools that promote effective analysis; ability to determine the root cause of organizational problems and create alternative solutions that resolve these problems.
* Working knowledge with cloud technologies (AWS, Azure, Google Cloud, etc)
* Extensive experience with Snowflake and SQL
* Advanced experience in DevOPs and ML\-OPs
* Extensive experience with the necessity and value of accuracy; ability to complete tasks with high levels of precision.
* Good understanding of Agile Best Practices to work with Project Manager and Team to Plan, Effort Estimation, Check Quality, Document and Deliver on time with help of team.
* Must demonstrate strong initiative, interpersonal skills, and the ability to communicate effectively; Presenting technical work in small or large setting of Stakeholders and Leaders.
* Experience with GenAI is plus
**Additional Info**
* The ideal location for this role is East Peoria\-IL, Irving\-TX, Nashville\-TN
* This position may require 20% travel.
**About Caterpillar –**
 For more than a century, Caterpillar has helped build a better, more sustainable world. With 2025 sales and revenues of $67\.6 billion, Caterpillar Inc. is shaping the future as the world’s leading manufacturer of construction and mining equipment, off\-highway diesel and natural gas engines, industrial gas turbines and diesel\-electric locomotives. Backed by one of the largest independent global dealer networks and financing services through Cat Financial, the company’s primary business segments: Power \&amp; Energy, Construction Industries and Resource Industries are solving customers’ toughest challenges through commercial excellence and advanced technology, driven by a highly skilled, dedicated global team. Learn more at www.caterpillar.com.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February 26, 2026 \- March 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07">
      <c r="A107" t="inlineStr">
        <is>
          <t>li-4378570441</t>
        </is>
      </c>
      <c r="B107" t="inlineStr">
        <is>
          <t>Data Scientist Lead - AI/ML</t>
        </is>
      </c>
      <c r="C107" t="inlineStr">
        <is>
          <t>USAA</t>
        </is>
      </c>
      <c r="D107" t="inlineStr">
        <is>
          <t>linkedin</t>
        </is>
      </c>
      <c r="E107">
        <f>HYPERLINK("https://www.linkedin.com/jobs/view/4378570441", "https://www.linkedin.com/jobs/view/4378570441")</f>
        <v/>
      </c>
      <c r="F107">
        <f>HYPERLINK("https://dsp.prng.co/QSQV9Cb&amp;urlHash=7a-m", "https://dsp.prng.co/QSQV9Cb&amp;urlHash=7a-m")</f>
        <v/>
      </c>
      <c r="G107" t="inlineStr">
        <is>
          <t>Tampa, FL</t>
        </is>
      </c>
      <c r="H107" t="inlineStr"/>
      <c r="I10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 Data Scientist Lead will work closely with the Data Science Director to ensure that AI/ML modeling solutions are successfully developed and implemented. This will involve supervising multiple projects/initiatives, providing technical expertise, ensuring quality results, and mentor and leading Senior and Junior Data Scientists.
 Through cross\-team collaboration, the lead works to understand business problems to formulate and coordinate AI/ML solutions in the Consumer Lending, Bank Operations, and Automation space. A Lead Data Scientist is expected to have a consulting mentality and be a subject matter expert in model building, communication, and leadership.
 This role is remote eligible in the continental U.S. with occasional business travel. However, individuals residing within a 60\-mile radius of a USAA office will be expected to work on\-site four days per week.
 Relocation assistance is available for this position.
**What You'll Do**
* Gathers, interprets, and manipulates complex structured and unstructured data to enable advanced analytical solutions for the business.
* Leads and conducts advanced analytics leveraging machine learning, simulation, and optimization to deliver business insights and achieve business objectives.
* Guides team on selecting the appropriate modeling technique and/or technology with consideration to data limitations, application, and business needs.
* Develops and deploys models within the Model Development Control (MDC) and Model Risk Management (MRM) framework.
* Composes and peer reviews technical documents for knowledge persistence, risk management, and technical review audiences.
* Partners with business leaders from across the organization to proactively identify business needs and proposes/recommends analytical and modeling projects to generate business value. Works with business and analytics leaders to prioritize analytics and highly complex modeling. problems/research efforts.
* Leads efforts to build and maintain a robust library of reusable, production\-quality algorithms and supporting code, to ensure model development and research efforts are transparent and based on the highest quality data.
* Assists team with translating business request(s) into specific analytical questions, executing analysis and/or modeling, and communicating outcomes to non\-technical business colleagues with a focus on business action and recommendations.
* Manages project portfolio milestones, risks, and impediments. Anticipates potential issues that could limit project success or implementation and escalates as needed.
* Establishes and maintains best practices for engaging with Data Engineering and IT to deploy production\-ready analytical assets consistent with modeling best practices and model risk management standards.
* Interacts with internal and external peers and management to maintain expertise and awareness of cutting\-edge techniques. Actively seeks opportunities and materials to learn new techniques, technologies, and methodologies.
* Serves as a mentor to data scientists in modeling, analytics, computer science, business acumen, and other interpersonal skills.
* Participates in enterprise\-level efforts to drive the maintenance and transformation of data science technologies and culture.
* Ensures risks associated with business activities are effectively identified, measured, monitored, and controlled in accordance with risk and compliance policies and procedures.
**What You Have**
* Bachelor’s degree in mathematics, computer science, statistics, economics, finance, actuarial sciences, science and engineering, or other similar quantitative discipline; OR 4 years of experience in statistics, mathematics, quantitative analytics, or related experience (in addition to the minimum years of experience required) may be substituted in lieu of degree.
* 8 years of experience in a predictive analytics or data analysis OR Advanced Degree (e.g., Master’s, PhD) in mathematics, computer science, statistics, economics, finance, actuarial sciences, science and engineering, or other similar quantitative discipline and 6 years of experience in predictive analytics or data analysis.
* 6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
* Expert ability to write code that is easy to follow, well documented, and commented where necessary to explain logic (high code transparency).
* Strong experience in querying and preprocessing data from structured and/or unstructured databases using query languages such as SQL, HQL, NoSQL, etc.
* Strong experience in working with structured, semi\-structured, and unstructured data files such as delimited numeric data files, JSON/XML files, and/or text documents, images, etc.
* Excellent demonstrated skill in performing ad\-hoc analytics using descriptive, diagnostic, and inferential statistics.
* Proven ability to assess and articulate regulatory implications and expectations of distinct modeling efforts.
* Project management experience that demonstrates the ability to anticipate and appropriately manage project milestones, risks, and impediments. Demonstrated history of appropriately communicating potential issues that could limit project success or implementation.
* Expert level experience with the concepts and technologies associated with classical supervised modeling for prediction such as linear/logistic models, discriminant analysis, support vector machines, decision trees, forest models, etc.
* Expert level experience with the concepts and technologies associated with unsupervised modeling such as k\-means clustering, hierarchical/agglomerative clustering, neighbors algorithms, DBSCAN, etc.
* Demonstrated experience in guiding and mentoring junior technical staff in business interactions and model building.
* Demonstrated ability to communicate ideas with team members and/or business leaders to convey and present very technical information to an audience that may have little or no understanding of technical concepts in data science.
* A strong track record of communicating results, insights, and technical solutions to Senior Executive Management (or equivalent).
* Extensive technical skills, consulting experience, and business savvy to interface with all levels and disciplines within the organization.
**What Sets You Apart**
* Extensive model building experience (preferably in banking) covering a variety of AI/ML and traditional statistical modeling approaches.
* Extensive hands\-on experience preparing data and code for modeling.
* Experience with the entire model lifecycle, including conceptualization, development, implementation, validation, and ongoing performance monitoring.
* Experience working directly with clients, customers, or internal business partners.
* Experience leading client or customer relationships and expectations, including senior leadership.
**Compensation range:** 
 The salary range for this position is: $164,780 \- $314,960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108">
      <c r="A108" t="inlineStr">
        <is>
          <t>li-4378549209</t>
        </is>
      </c>
      <c r="B108" t="inlineStr">
        <is>
          <t>Senior Data Scientist, People Analytics</t>
        </is>
      </c>
      <c r="C108" t="inlineStr">
        <is>
          <t>Blue Origin</t>
        </is>
      </c>
      <c r="D108" t="inlineStr">
        <is>
          <t>linkedin</t>
        </is>
      </c>
      <c r="E108">
        <f>HYPERLINK("https://www.linkedin.com/jobs/view/4378549209", "https://www.linkedin.com/jobs/view/4378549209")</f>
        <v/>
      </c>
      <c r="F108">
        <f>HYPERLINK("https://blueorigin.wd5.myworkdayjobs.com/en-US/BlueOrigin/job/Greater-Seattle-Area/Senior-Data-Scientist\u002d\u002dPeople-Analytics_R61178?source=LinkedIn&amp;urlHash=jb2Z", "https://blueorigin.wd5.myworkdayjobs.com/en-US/BlueOrigin/job/Greater-Seattle-Area/Senior-Data-Scientist\u002d\u002dPeople-Analytics_R61178?source=LinkedIn&amp;urlHash=jb2Z")</f>
        <v/>
      </c>
      <c r="G108" t="inlineStr"/>
      <c r="H108" t="inlineStr"/>
      <c r="I108"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Blue Origin is assembling the team that will enable humanity's future in space. As a Sr. Data Scientist to lead HR People Analytics initiatives within our Human Resources technology team, you will serve as the subject matter expert, focusing on delivery of high\-impact solutions that enhance decision\-making processes and operational efficiency.
**Key Responsibilities**
* Partner with Human Resources and Enterprise Technology leadership to identify and prioritize data analytics opportunities.
* Drive the implementation of time\-bound data solutions aligned with project goals and stakeholder requirements.
* Apply expertise in data science, natural language processing, and Generative AI to deliver tangible solutions within our Technical Human Resources environment.
* Develop and deploy sophisticated data science models and algorithms to address specific business challenges.
* Break down complex scientific projects into manageable hypotheses and deliverable solutions.
* Collaborate across teams to ensure relevance and impact of your work.
* Provide expert guidance on Generative AI implementation best practices.
**Required Qualifications**
* 10\+ years of proven experience in data science, computer science and/or related technical field.
* Programming proficiency in Python, C/C\+\+, or other applicable languages
* 8\+ years of experience in a data science or data analytics role post\-master's degree.
* At least 7 years of direct experience developing and delivering data analytics solutions
* Demonstrated expertise in Generative AI/Natural Language Processing
* Technical master’s degree or equivalent experience
* Strong business acumen and technical vision
* Experience working in a consulting model, delivering solutions for clients/internal teams
* Ability to build trust and maintain positive professional relationships
* Strong experimental design and analytical modeling capabilities
* Ability to collaborate across multiple teams and locations
**Preferred Qualifications**
* Experience with end\-to\-end Generative AI solution development
* Demonstrated ability to work effectively with ambiguity and deliver results in complex environments
* Experience in aerospace or related technical industries
**Compensation Range For**
 WA applicants is $169,347\.00 \- $237,085\.80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09">
      <c r="A109" t="inlineStr">
        <is>
          <t>li-4380722143</t>
        </is>
      </c>
      <c r="B109" t="inlineStr">
        <is>
          <t>Data Scientist - Merchant and Loyalty Rewards Protection Analyst, AVP</t>
        </is>
      </c>
      <c r="C109" t="inlineStr">
        <is>
          <t>Lensa</t>
        </is>
      </c>
      <c r="D109" t="inlineStr">
        <is>
          <t>linkedin</t>
        </is>
      </c>
      <c r="E109">
        <f>HYPERLINK("https://www.linkedin.com/jobs/view/4380722143", "https://www.linkedin.com/jobs/view/4380722143")</f>
        <v/>
      </c>
      <c r="F109">
        <f>HYPERLINK("https://lensa.com/cgw/004cefa316fd499b9ace88a32b41fbddtjo1?jpsi=directemployers&amp;publisher_preference=easier_apply&amp;utm_campaign=Computer%20Occupations&amp;utm_medium=slot&amp;utm_source=linkedin&amp;utm_term=jse&amp;urlHash=60UT", "https://lensa.com/cgw/004cefa316fd499b9ace88a32b41fbddtjo1?jpsi=directemployers&amp;publisher_preference=easier_apply&amp;utm_campaign=Computer%20Occupations&amp;utm_medium=slot&amp;utm_source=linkedin&amp;utm_term=jse&amp;urlHash=60UT")</f>
        <v/>
      </c>
      <c r="G109" t="inlineStr">
        <is>
          <t>Jacksonville, FL</t>
        </is>
      </c>
      <c r="H109" t="inlineStr"/>
      <c r="I10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Citigroup Inc. Clicking "Apply Now" or "Read more" on Lensa redirects you to the job board/employer site. Any information collected there is subject to their terms and privacy notice.
 This role will advance detection and risk modeling strategies across merchant integrity and rewards ecosystems. This role will develop scalable behavioral models and detection frameworks that proactively identify merchant impersonation, inauthentic business activity, and loyalty/rewards exploitation.
 This individual will translate emerging risk patterns into measurable signals and deploy analytic solutions that enhance enterprise protection controls. This role will manage and execute fraud analytics and fraud detection strategies supporting Citi’s North American and global credit card and retail bank businesses.
**Responsibilities**
* Design, develop, and optimize detection models addressing merchant impersonation, inauthentic entities, synthetic or coordinated activity, loyalty/rewards accrual and redemption anomalies, and promotion exploitation.
* Develop and refined both micro\-level and macro\-level portfolio\-wide anomaly detection, linkages, and behavioral anomalies.
* Apply graph/network analytics to identify collusion or coordinated abuse patterns
* Own and optimize fraud rules, risk scores, and model thresholds.
* Monitor performance and iterate based on emerging patterns
* Translate intelligence into scalable detection logic.
* Provide quantitative recommendations to enhance controls and reduce exposure.
* Partner with Fraud Strategy, Fraud Policy, Intelligence, and Product Teams.
* Prioritize and provide a clear line of sight to the most critical work to partners and team members.
* Mentor and coach junior team members.
**Qualifications**
* Bachelor’s Degree required in statistics, mathematics, physics, economics, or other analytical or quantitative discipline.
* 3\+ years experience in analytics and modeling or relevant area
* Extensive experience working with:
* Big Data environment with hands on coding experience within various traditional (SAS, SQL, etc.) and/or open source (i.e. Python, Impala, Hive, etc.) tools.
* Traditional and advanced machine learning techniques and algorithms, such as Logistic Regression, Gradient Boosting, Random Forests, etc.
* Data visualization tools, such as Tableau
* Excellent quantitative and analytic skills; ability to derive patterns, trends and insights, and perform risk/reward trade\-off analysis
* Ability to build effective presentations to communicate analytical findings to a wide array of audiences.
* Effective cross\-functional project, resource, and stakeholder engagement and management, with ability to effectively drive collaboration across teams.
* Ability to make decisions independently with minimal guidance from management.
**Job Family Group**
 Decision Management
**Job Family**
 Business Analysis
**Time Type**
 Full time
**Primary Location:**
 Jacksonville Florida United States
**Primary Location Full Time Salary Range:**
 $87,280\.00 \- $130,920\.00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**Most Relevant Skills**
 Please see the requirements listed above.
**Other Relevant Skills**
 For complementary skills, please see above and/or contact the recruiter.
**Anticipated Posting Close Date**
 Mar 05, 2026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(https://www.citigroup.com/citi/accessibility/application\-accessibility.htm) .*
*View Citi’s EEO Policy Statement (https://www.citigroup.com/global/eeo\-aa\-policy) and the Know Your Rights (https://www.eeoc.gov/sites/default/files/2023\-06/22\-088\_EEOC\_KnowYourRights6\.12ScreenRdr.pdf) poster.*
 Citi is an equal opportunity and affirmative action employer.
 Minority/Female/Veteran/Individuals with Disabilities/Sexual Orientation/Gender Identity.
 If you have questions about this posting, please contact support@lensa.com</t>
        </is>
      </c>
    </row>
    <row r="110">
      <c r="A110" t="inlineStr">
        <is>
          <t>li-4380511711</t>
        </is>
      </c>
      <c r="B110" t="inlineStr">
        <is>
          <t>Principal Data Scientist</t>
        </is>
      </c>
      <c r="C110" t="inlineStr">
        <is>
          <t>Wärtsilä</t>
        </is>
      </c>
      <c r="D110" t="inlineStr">
        <is>
          <t>linkedin</t>
        </is>
      </c>
      <c r="E110">
        <f>HYPERLINK("https://www.linkedin.com/jobs/view/4380511711", "https://www.linkedin.com/jobs/view/4380511711")</f>
        <v/>
      </c>
      <c r="F110">
        <f>HYPERLINK("https://careers.wartsila.com/job/Herndon-Principal-Data-Scientist-VA-20170/1369741933/?feedId=355501&amp;utm_source=LinkedInJobPostings&amp;urlHash=NZLZ", "https://careers.wartsila.com/job/Herndon-Principal-Data-Scientist-VA-20170/1369741933/?feedId=355501&amp;utm_source=LinkedInJobPostings&amp;urlHash=NZLZ")</f>
        <v/>
      </c>
      <c r="G110" t="inlineStr">
        <is>
          <t>Herndon, VA</t>
        </is>
      </c>
      <c r="H110" t="inlineStr"/>
      <c r="I110" t="inlineStr">
        <is>
          <t>Wärtsilä is an innovative technology company known for being a forerunner in the Marine and Energy markets. Every day, we – Wärtsilians \- put our hearts and minds into turning Wärtsilä's purpose of enabling sustainable societies through innovation in technology and services into reality. Our ultimate aim is to provide increased value to both our customers and society. New, game\-changing ideas and continuous improvement have been part of our DNA since 1834\. Together, we can create new business opportunities and more sustainable future that we can all be proud of.
 We want to transition the world towards a decarbonised and sustainable future. By pushing the boundaries of engineering and technology, we can make it work. We are always on the lookout for future\-oriented talent – want to join the ride?
 We are seeking a highly skilled, technically detailed, and articulate Manager of Data Science to lead our battery science team. This manager will work cross functionally between the cloud applications software engineering team, the embedded software engineering team, and various commercial and technical departments to support core business objectives and product development goals. This manager will lead the development of simulation models, estimation methods, forecasting techniques, and data driven algorithms for utility scale lithium\-ion battery energy storage systems, using software development technologies such as Python and MATLAB Simulink. Additional aspects of this role include project bidding support, supply agreement support, product design support, and other business needs. Especially valued are experience in utility scale lithium\-ion battery energy storage systems, battery reliability modeling, commercial aptitude, team management, and communication. The role will be an integral part of the Simulation and Data Science team in a Research and Development role, working to accelerate the development of our software capabilities while supporting new product development initiatives in the field of advanced battery power plant automation, optimization, and data analytics.
**Essential Responsibilities**
* Lead the team that builds software products and algorithms to estimate state of charge (SoC), SoC Imbalance, SoH, Useable Energy, Round trip efficiency, and detect anomalies; including collaboration with lifecycle, product, and engineering teams
* Provide subject matter expertise to the business in the areas of vendor techno\-commercial supply agreements, fade curve warranties, beginning of life sizing, and other performance guarantee related topics
* Ensure continuity of battery cell testing, including vendor prioritization and periodic cell performance reporting
* Support other business needs on topics including ad hoc field data analytics, customer usage statistics, commissioning / capacity test support, and warranty design
* Communicate complex technical findings and concepts to both technical and non\-technical stakeholders alike
 The candidate must be able to embrace the fast and dynamic environment of a growth stage company, comfortable with adjusting quickly to changing priorities.
**Qualifications/Requirements**
* Ph.D. in battery chemistry, physics, material science, mathematics, computer science, or engineering
* Demonstrated good management experience
* Utility scale energy storage engineering experience
* Lithium\-ion battery cell testing experience
* Extensive experience with time\-series data
* Track record of a career trajectory in data science and renewable energy
* Strong Python programming level (3\-5 years)
* Can work independently and provide strong leadership
**Desired Characteristics**
* An enterprising spirit
* In\-depth understanding of LFP batteries
* Consistently bases decisions and designs on first principles
* An appreciation for Richard Feynman style communication
* Experience with data visualization tools such as Grafana, Tableau, or PowerBI
* Passion for renewable energy and energy storage
* Prior experience developing a monitoring and reporting platform
* An appreciation for solving difficult problems
* Familiar with large, distributed datasets for high\-speed computing
* Strong leadership record with active participation in renewable energy associations, forums, clubs, or groups
* Evidenced responsibility, good communication, and accountability in a remote and digital world
 Last application date: 17/03/2026
 At Wärtsilä we value, respect and embrace all our differences, and are committed to diversity, inclusion and equal employment opportunities; everyone can be their true self and succeed based on their job\-relevant merits and abilities.
 Please note that according to Wärtsilä policy, voluntary consent for a security check may be required from candidates being considered for this position, depending on the applicable country.
**This is Wärtsilä**
 Wärtsilä is a global leader in innovative technologies and lifecycle solutions for the marine and energy markets. Our team of 18,300 professionals, in more than 230 locations in 77 countries, shape the decarbonisation transformation of our industries across the globe. Read more on www.wartsila.com.</t>
        </is>
      </c>
    </row>
    <row r="111">
      <c r="A111" t="inlineStr">
        <is>
          <t>li-4378593565</t>
        </is>
      </c>
      <c r="B111" t="inlineStr">
        <is>
          <t>Data Scientist</t>
        </is>
      </c>
      <c r="C111" t="inlineStr">
        <is>
          <t>CFS</t>
        </is>
      </c>
      <c r="D111" t="inlineStr">
        <is>
          <t>linkedin</t>
        </is>
      </c>
      <c r="E111">
        <f>HYPERLINK("https://www.linkedin.com/jobs/view/4378593565", "https://www.linkedin.com/jobs/view/4378593565")</f>
        <v/>
      </c>
      <c r="F111">
        <f>HYPERLINK("https://pcrecruiter.cfstaffing.com/pcrbin/jobboard.aspx?b=HD7K3EYMTFIC3YNSUGKXINGGIZ3MWVLLC3PHUYJIFWQKUZTCWLUW7WQCS7OVXY23S47GOLUFTUZ4W&amp;action=detail&amp;apply=y&amp;src=LinkedIn&amp;urlHash=ed-H", "https://pcrecruiter.cfstaffing.com/pcrbin/jobboard.aspx?b=HD7K3EYMTFIC3YNSUGKXINGGIZ3MWVLLC3PHUYJIFWQKUZTCWLUW7WQCS7OVXY23S47GOLUFTUZ4W&amp;action=detail&amp;apply=y&amp;src=LinkedIn&amp;urlHash=ed-H")</f>
        <v/>
      </c>
      <c r="G111" t="inlineStr">
        <is>
          <t>East Lansing, MI</t>
        </is>
      </c>
      <c r="H111" t="inlineStr"/>
      <c r="I111" t="inlineStr">
        <is>
          <t>**Position:** 
 Data Scientist
**Salary:** 
 $85,000 \- 115,000
**Benefits:** 
 Free Healthcare, Retirement Plan w/ match, 3\.5 Weeks PTO, etc.
**Location:** 
 East Lansing, MI area (Onsite)
**Why You Should Apply**
* Outstanding culture with a family\-oriented feel, where technology is highly valued.
* Competitive compensation and benefits package with $0 cost healthcare options.
* Work in a modern environment with the latest tools, collaborative spaces, and a strong focus on professional growth.
**Job Summary**
 This position combines data science, analytics, and visualization to turn complex data into clear, actionable insights. You'll be using Microsoft Power BI to build dynamic data models, dashboards, and reports that help teams and leaders across the organization make informed, strategic decisions.
**Responsibilities Of The Business Intelligence Analyst**
* Develop and maintain BI data models to support performance tracking, forecasting, and strategic planning.
* Conduct in\-depth data analysis to identify trends, anomalies, and business drivers.
* Ensure data accuracy and governance across BI datasets and reporting tools.
* Design and build Power BI dashboards and reports to visualize KPIs and operational insights.
* Create advanced DAX measures and Power Query transformations for actionable analytics.
* Enable self\-service reporting for business users with real\-time, accessible insights.
* Provide decision support through scenario modeling, what\-if analysis, and strategic recommendations.
* Collaborate across teams to align BI solutions with business goals and mentor others in data visualization best practices.
**Preferred Experience Of The Business Intelligence Analyst**
* 3\+ years in business intelligence, analytics, or decision science roles.
* Proven expertise in Microsoft Power BI (DAX, Power Query, data modeling).
* Strong SQL skills creating SQL queries, stored procedures.
* Experience in BI strategy, KPI development, and enterprise reporting.
* Strong analytical and problem\-solving skills.
* Excellent data storytelling and visualization
* Ability to influence decisions through clear, evidence\-based insights.
* Collaborative mindset with focus on enabling a data\-driven culture.
**Bonus Experience Of The Business Intelligence Analyst**
* Certifications in Power BI, SQL, Machine Learning.
* Familiarity with data governance, data integration, and analytics best practices.
* Experience with Python or R.
 \#INMAR2026</t>
        </is>
      </c>
    </row>
    <row r="112">
      <c r="A112" t="inlineStr">
        <is>
          <t>li-4380757334</t>
        </is>
      </c>
      <c r="B112" t="inlineStr">
        <is>
          <t>Senior Associate - Senior Data Scientist</t>
        </is>
      </c>
      <c r="C112" t="inlineStr">
        <is>
          <t>New York Life Insurance Company</t>
        </is>
      </c>
      <c r="D112" t="inlineStr">
        <is>
          <t>linkedin</t>
        </is>
      </c>
      <c r="E112">
        <f>HYPERLINK("https://www.linkedin.com/jobs/view/4380757334", "https://www.linkedin.com/jobs/view/4380757334")</f>
        <v/>
      </c>
      <c r="F112">
        <f>HYPERLINK("https://careers.newyorklife.com/careers/job/39783520?microsite=newyorklife.com&amp;domain=newyorklife.com&amp;urlHash=jp4E", "https://careers.newyorklife.com/careers/job/39783520?microsite=newyorklife.com&amp;domain=newyorklife.com&amp;urlHash=jp4E")</f>
        <v/>
      </c>
      <c r="G112" t="inlineStr">
        <is>
          <t>New York, NY</t>
        </is>
      </c>
      <c r="H112" t="inlineStr"/>
      <c r="I112" t="inlineStr">
        <is>
          <t>**Location Designation:** 
 Hybrid \- 3 days per week
 As part of the Artificial Intelligence \&amp; Data (AI\&amp;D) organization, you will contribute to New York Life’s digital transformation by developing and deploying AI and machine learning solutions that enhance efficiency and improve client, agent, and employee experiences.
 This role focuses on Service operations (contact centers, claims, field service), where you’ll apply both Generative AI and traditional ML techniques to automate tasks, generate insights, and support decision\-making. You’ll work closely with senior data scientists, engineers, product and technology partners to deliver impactful production\-ready solutions that are safe, reliable, and aligned with business priorities.
**What You’ll Do**
* Execute AI/ML initiatives for Service operations in partnership with data, technology, product and business teams.
* Contribute to the end\-to\-end model lifecycle: data exploration, feature development, model training/validation, deployment, monitoring, and iteration.
* Develop and help operationalize models using AWS (e.g., SageMaker, Bedrock) and modern data platforms (Snowflake, Databricks), ensuring quality, security, and scalability; partner with ML engineers for large\-scale production deployment and scaling.
* Assist in designing and evaluating agentic/AI\-powered solutions that automate routine service tasks with human\-in\-the\-loop checkpoints, escalation thresholds, and safety guardrails.
* Implement and refine LLM/RAG approaches (vector stores, embeddings, retrieval optimization, prompt orchestration) with evaluators for reliability.
* Ensure AI capabilities are accessible through APIs, dashboards, and integrated workflow applications used by service teams.
* Build lightweight UI prototypes (e.g., Streamlit) to validate usability and support adoption.
* Adhere to model governance, documentation, testing, and CI/CD best practices in partnership with MLOps.
**What You’ll Bring**
* Advanced degree in Computer Science, Data Science, Engineering, Mathematics, Statistics, or a related quantitative field.
* 8\+ years of experience applying data science and AI/ML to real\-world business problems.
* Ability to communicate complex ideas simply, presenting impact, trade\-offs, and recommendations to non\-technical partners.
* Proficiency in Python and SQL; working knowledge of core software engineering concepts (version control with Git/GitHub, testing, logging).
* Experience with AWS services (e.g., SageMaker, Bedrock) and modern data ecosystems (Snowflake/Databricks).
* Working knowledge of LLMs, RAG architecture, and agent frameworks, including safe automation design and evaluation practices.
* Solid grounding in ML methods (supervised and unsupervised learning, gradient boosting exposure to deep learning), feature engineering, regularization, cross\-validation.
* Ability to translate analytical findings into clear business insights and collaborate effectively with cross\-functional partners.
* Experience in customer service or consumer finance domains is a plus.
 This role involves limited travel (\&lt;10%) to events and vendor meetings.
**Pay Transparency**
 Salary Range: $124,000\-$177,000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93306</t>
        </is>
      </c>
    </row>
    <row r="113">
      <c r="A113" t="inlineStr">
        <is>
          <t>li-4380758311</t>
        </is>
      </c>
      <c r="B113" t="inlineStr">
        <is>
          <t>Principal Data Scientist, R&amp;D Oncology</t>
        </is>
      </c>
      <c r="C113" t="inlineStr">
        <is>
          <t>Johnson &amp; Johnson Innovative Medicine</t>
        </is>
      </c>
      <c r="D113" t="inlineStr">
        <is>
          <t>linkedin</t>
        </is>
      </c>
      <c r="E113">
        <f>HYPERLINK("https://www.linkedin.com/jobs/view/4380758311", "https://www.linkedin.com/jobs/view/4380758311")</f>
        <v/>
      </c>
      <c r="F113">
        <f>HYPERLINK("https://www.careers.jnj.com/en/jobs/R-060952/?source=LinkedIn&amp;urlHash=w4W4", "https://www.careers.jnj.com/en/jobs/R-060952/?source=LinkedIn&amp;urlHash=w4W4")</f>
        <v/>
      </c>
      <c r="G113" t="inlineStr">
        <is>
          <t>Titusville, NJ</t>
        </is>
      </c>
      <c r="H113" t="inlineStr"/>
      <c r="I113"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Data Analytics \&amp; Computational Sciences
**Job Sub Function**
 Data Science
**Job Category**
 Scientific/Technology
**All Job Posting Locations:**
 Cambridge, Massachusetts, United States of America, Raritan, New Jersey, United States of America, San Diego, California, United States of America, Spring House, Pennsylvania, United States of America, Titusville, New Jersey, United States of America
**Job Description**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Johnson \&amp; Johnson Innovative Medicine is recruiting for a
 **Principal Data Scientist, R\&amp;D Oncology** 
 to join our Data Science and Digital Health team (DSDH). This position will be located at one of our offices in either Spring House PA (preferred), Cambridge MA, or San Diego CA (La Jolla area). Consideration may be given for our Titusville and Raritan, NJ locations.
 The
 **Principal Data Scientist, R\&amp;D Oncology** 
 will support how we advance data capture, build and optimize data workflows and store data by designing and implementing engineering requirements. This role will focus on applications in Oncology R\&amp;D and support data projects from across the business including Clinical, Pre\-Clinical, RWD and ‘omics platforms. This role will be a leading technical contributor and creative problem solver with developing AI\-ready data and other routinely used data applications for Oncology R\&amp;D.
**Key Responsibilities**
* Design, develop and maintain data pipelines for acquiring, managing and storing Oncology R\&amp;D data from diverse sources (e.g. biomarker labs, real\-world data sources, pre\-clinical applications)
* Work closely with Data Science and Oncology R\&amp;D partners to understand, document and prioritize business requirements. Translate these business needs in to high quality data products.
* Work closely with other technical leaders, such as Ontology and Knowledge graph Engineers to design and deliver future\-proof, AI\-ready data systems aligned with Oncology R\&amp;D business needs.
* Develop Oncology R\&amp;D\-specific data repositories by implementing standard enterprise\-level data models and create new data models as needed. Leverage cloud\-based technology platform to accomplish goals, such as building and maintaining data repositories using AWS S3\.
* Create and optimize data flows for structured and unstructured data using technologies such as Python, R, SQL, AWS services and other relevant tools.
* Implement quality and performance standards and measure KPIs to determine accuracy and consistency
* Leverage and implement data versioning and lineage tracking to support data traceability, compliance, maintaining documentation for data architectures and workflows.
* In adherence to internal standards, implement software development best practices such as Code Versioning, DevOps.
**Required Qualifications**
- Advanced degree (Master’s or equivalent) in Computer Science, Engineering, Life Sciences, or other relevant field is strongly preferred. (Bachelor’s Degree with experience equivalency may be considered.)
- 3\+ years of experience in data engineering, including data modeling and database design, preferably in the healthcare industry
- Proficiency in data engineering tools such as Python, R and SQL for data processing as well as cloud architecture (e.g. AWS services, Redshift, FSx, Glue, Lambda.
- Experience with unstructured database technologies (e.g. NoSQL) as well as other database types (e.g. Graph).
- Strong skills in analysis, problem\-solving, organizational change, project delivery, and managing external vendors.
- Proven record leading improvement initiatives with multi\-disciplinary and remote partners.
- Demonstrated stakeholder management capabilities\- including requirements gathering, business analysis and planning. Must have the capacity to translate discussions into user requirements and project plans.
- Ability to manage a numerous projects simultaneously, prioritize work, exhibit organizational skills and flexibility to deliver maximum business value.
 Willingness to conduct periodic travel (\&lt;15% of time) to conferences and internal meetings.
**Preferred Qualifications**
* Experience with healthcare data standards (e.g. CDISC, HL7, FHIR, SNOMED CT, OMOP, DICOM).
* Exposure to high dimensional data technologies and handling, including imaging.
* Familiarity with machine learning operations (MLOps) and model deployment.
 This position will be located at one of our offices in either Spring House PA (preferred), Cambridge MA, or San Diego CA (La Jolla area). Consideration may be given for our Titusville and Raritan, NJ locations. (No remote option.)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The anticipated base pay range for this position is $117,000 to $201,250\.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Holiday pay, including Floating Holidays – up to 13 days per calendar year of Work, Personal and Family Time \- up to 40 hours per calendar year
 Additional information can be found through the link below. https://www.careers.jnj.com/employee\-benefits
 The compensation and benefits information set forth in this posting applies to candidates hired in the United States. Candidates hired outside the United States will be eligible for compensation and benefits in accordance with their local market.
 \#JNJDataScience
 \#JNJIMRND\-DS
 \#JRDDS
**Required Skills**
**Preferred Skills:**
 Advanced Analytics, Coaching, Critical Thinking, Data Analysis, Data Privacy Standards, Data Quality, Data Reporting, Data Savvy, Data Science, Data Visualization, Digital Fluency, Econometric Models, Organizing, Process Improvements, Strategic Thinking, Technical Credibility, Workflow Analysis</t>
        </is>
      </c>
    </row>
    <row r="114">
      <c r="A114" t="inlineStr">
        <is>
          <t>li-4380757356</t>
        </is>
      </c>
      <c r="B114" t="inlineStr">
        <is>
          <t>Principal Data Scientist - Oncology</t>
        </is>
      </c>
      <c r="C114" t="inlineStr">
        <is>
          <t>Johnson &amp; Johnson Innovative Medicine</t>
        </is>
      </c>
      <c r="D114" t="inlineStr">
        <is>
          <t>linkedin</t>
        </is>
      </c>
      <c r="E114">
        <f>HYPERLINK("https://www.linkedin.com/jobs/view/4380757356", "https://www.linkedin.com/jobs/view/4380757356")</f>
        <v/>
      </c>
      <c r="F114">
        <f>HYPERLINK("https://www.careers.jnj.com/en/jobs/R-060937/?source=LinkedIn&amp;urlHash=xcUL", "https://www.careers.jnj.com/en/jobs/R-060937/?source=LinkedIn&amp;urlHash=xcUL")</f>
        <v/>
      </c>
      <c r="G114" t="inlineStr">
        <is>
          <t>Cambridge, MA</t>
        </is>
      </c>
      <c r="H114" t="inlineStr"/>
      <c r="I114"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Data Analytics \&amp; Computational Sciences
**Job Sub Function**
 Data Science
**Job Category**
 Scientific/Technology
**All Job Posting Locations:**
 Cambridge, Massachusetts, United States of America, Raritan, New Jersey, United States of America, San Diego, California, United States of America, Spring House, Pennsylvania, United States of America, Titusville, New Jersey, United States of America
**Job Description**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Johnson \&amp; Johnson Innovative Medicine is recruiting for a
 **Principal Data Scientist \- Oncology** 
 to join our Data Science and Digital Health team (DSDH). This position will be located at one of our offices in either Spring House PA (preferred), Cambridge MA, or San Diego CA (La Jolla area). Consideration may be given for our Titusville and Raritan, NJ locations.
 The
 **Principal Data Scientist \- Oncology,** 
 will play a pivotal role to standardize and connect biomedical and clinical data. You will be a hands\-on technical contributor with depth in semantic technologies, ontology, and graph data modeling, and strong familiarity with the life sciences domain.
 You will connect enterprise master data with R\&amp;D data across the entire product lifecycle so trusted, interoperable knowledge powers analytics, search, and AI across Johnson and Johnson Innovative Medicine.
**Primary Responsibilities**
* Be a key contributor to the design and implementation of a scalable knowledge graph infrastructure focused on data standardization and interoperability, focusing on Oncology R\&amp;D data.
* Apply graph\-based data modeling for efficient Oncology R\&amp;D organization, integration and retrieval to ensure system flexibility and long\-term maintainability.
* Work with a larger community of Data Scientists, Clinical Scientists, and Discovery Scientists to standardize, curate and create AI\-Ready datasets.
* Curate and extend ontologies for clear mapping into established biomedical ontologies and controlled terminologies using resource description framework (RDF) standards.
* Work with SPARQL/GraphQL/REST services; develop ingestion and curation pipelines to ingest, normalize and map concepts across data sources.
* Extend and curate Oncology R\&amp;D\-relevant ontologies (e.g., diseases, drugs, targets, pathways, etc.) and maintain synonyms, cross\-references, and provenance.
* Partner with cross\-functional teams to enable NLP/RAG over graphs, features for predictive modeling and terminology services for search and study design tools.
* Work with Data Science \&amp; Digital Health colleagues, IT and DevOps teams to deploy and manage the graph database infrastructure, focusing on high availability, scalability, and recovery operations specifically geared toward Oncology R\&amp;D needs and applications.
* Draft and manage documentation, such as data dictionaries, data lineage, and data flow diagrams, to facilitate understanding of the knowledge graph.
**Preferred Qualifications**
- Desired Ph.D. or Master's degree in bioengineering, computer science, IT, bioinformatics, physics, mathematics, or related fields, emphasis on semantic technologies for biomedical application.
- 5\+ years professional experience in health informatics.
- Demonstrated experience in large\-scale knowledge graphs construction, ontology development, pharmaceutical or healthcare domains integration.
- Programming background in parser combinators, natural language processing, and linked data (RDF Triple Stores and property graphs).
- Proficiency in semantic web technologies (e.g. SPARQL, RDF, OWL), familiarity with graph databases (Neo4j, Amazon Neptune).
- Proven work with complex biomedical datasets (e.g. clinical, genomics, proteomics)
- Proficiency in various data storage solutions (SQL, key\-value, column, document, graph stores) and data modeling techniques (semantic data, ontologies, taxonomies).
- Experience in CI/CD implementations, git usage, CI/CD stacks (Jenkins, GitLab, Azure DevOps), DevOps tools, metrics/monitoring, and containerization technologies (Docker, Singularity).
- Demonstrated stakeholder management capabilities\- including requirements gathering, business analysis and planning. Must have the capacity to translate discussions into user requirements and project plans.
- Ability to manage a numerous projects simultaneously, prioritize work, exhibit organizational skills and flexibility to deliver maximum business value.
 Willingness to conduct periodic travel (\&lt;15% of time) to conferences and internal meetings.
 This position will be located at one of our offices in either Spring House PA (preferred), Cambridge MA, or San Diego CA (La Jolla area). Consideration may be given for our Titusville and Raritan, NJ locations. (No remote option.)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The anticipated base pay range for this position is $117,000 to $201,250\.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Holiday pay, including Floating Holidays – up to 13 days per calendar year of Work, Personal and Family Time \- up to 40 hours per calendar year
 Additional information can be found through the link below. https://www.careers.jnj.com/employee\-benefits
 The compensation and benefits information set forth in this posting applies to candidates hired in the United States. Candidates hired outside the United States will be eligible for compensation and benefits in accordance with their local market.
 \#JNJDataScience
 \#JNJIMRND\-DS
 \#JRDDS
**Required Skills**
**Preferred Skills:**
 Advanced Analytics, Coaching, Critical Thinking, Data Analysis, Data Privacy Standards, Data Quality, Data Reporting, Data Savvy, Data Science, Data Visualization, Digital Fluency, Econometric Models, Organizing, Process Improvements, Strategic Thinking, Technical Credibility, Workflow Analysis</t>
        </is>
      </c>
    </row>
    <row r="115">
      <c r="A115" t="inlineStr">
        <is>
          <t>li-4380750489</t>
        </is>
      </c>
      <c r="B115" t="inlineStr">
        <is>
          <t>Senior Associate - Data Scientist - Technology Infrastructure &amp; Engineering</t>
        </is>
      </c>
      <c r="C115" t="inlineStr">
        <is>
          <t>New York Life Insurance Company</t>
        </is>
      </c>
      <c r="D115" t="inlineStr">
        <is>
          <t>linkedin</t>
        </is>
      </c>
      <c r="E115">
        <f>HYPERLINK("https://www.linkedin.com/jobs/view/4380750489", "https://www.linkedin.com/jobs/view/4380750489")</f>
        <v/>
      </c>
      <c r="F115" t="inlineStr"/>
      <c r="G115" t="inlineStr">
        <is>
          <t>New York, United States</t>
        </is>
      </c>
      <c r="H115" t="inlineStr"/>
      <c r="I115" t="inlineStr">
        <is>
          <t>**Location Designation:** 
 Hybrid \- 3 days per quarter
 The Data Scientist will partner with business and technical operational leaders to provide an impact by leveraging data and analytical tools, strategic thinking, and hypothesis\-based analysis on machine learning (ML)\-based projects. The data scientist is responsible for modeling and developing predictive models to address complex business problems through statistical, algorithmic, mining, and visualization techniques. Furthermore, this role is integral in supporting senior leadership in identifying and creating business insights, reports, and analyses to aid in the decision\-making process.
**What You'll Do**
* Translates business needs into analytics/reporting requirements to promote high quality code, high availability and stable systems, and autonomous operations.
* Performs large\-scale experimentation and builds data\-driven models t extractinginsights from system logs, cloud platforms, CI/CD pipelines, databases, etc.
* Researches and implements cutting\-edge techniques and tools in machine learning/deep learning/artificial intelligence to make data analysis more efficient
* Collects and preprocesses large amount of structured and unstructured data
* Conducts Exploratory Data Analysis to uncover patterns, spot anomalies, and test hypotheses
* Applies statistical analysis and visualization techniques to various data, such as hierarchical clustering, principal components analysis (PCA) machine learning
* Designs and conducts data analyses with the highest standard of rigor and scientific accuracy; this includes study design, methodology, algorithms, and statistical modeling
**What You'll Bring**
* At least six years of relevant project experience in successfully launching, planning, and executing data science projects, including statistical analysis, data engineering, and data visualization
* Proven experience in conducting statistical analysis and building models with advanced scripting languages
* Experience leading projects that apply ML and data science to business functions
* Specialization in text analytics, image recognition, graph analysis, or other specialized ML techniques, such as deep learning, is preferred
**Skills**
* Fluency in multiple programming languages and statistical analysis tools such as Python, C\+\+, JavaScript, R, SAS, Excel, SQL, MATLAB, SPSS
* Experience with Tableau and other visualization tools
* Knowledge of distributed data/computing tools such as MapReduce, Hadoop, Hive, or Kafka
* Solid understanding and experience with model evaluation and tuning techniques
* Strong understanding of AI, its potential roles in solving business problems, and the future trajectory of generative AI models
* Experience with cloud platforms (e,g, AWS, Azure, Salesforce)
* Willingness and ability to learn new technologies on the job
* Ability to communicate complex projects, models, and results to a diverse audience including non\-technical stakeholders
* Ability to work in diverse, cross\-functional teams in a dynamic business environment
* Superior presentation skills, including storytelling and other techniques to guide and inspire
**Education**
* A bachelor’s or master’s degree in computer science, data science, statistics, or a related field
* Candidates will ideally have a specialization in ML or AI
**Pay Transparency**
 Salary Range: $124,000\-$177,000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93311</t>
        </is>
      </c>
    </row>
    <row r="116">
      <c r="A116" t="inlineStr">
        <is>
          <t>li-4380754426</t>
        </is>
      </c>
      <c r="B116" t="inlineStr">
        <is>
          <t>Principal Data Scientist - Oncology</t>
        </is>
      </c>
      <c r="C116" t="inlineStr">
        <is>
          <t>Johnson &amp; Johnson Innovative Medicine</t>
        </is>
      </c>
      <c r="D116" t="inlineStr">
        <is>
          <t>linkedin</t>
        </is>
      </c>
      <c r="E116">
        <f>HYPERLINK("https://www.linkedin.com/jobs/view/4380754426", "https://www.linkedin.com/jobs/view/4380754426")</f>
        <v/>
      </c>
      <c r="F116">
        <f>HYPERLINK("https://www.careers.jnj.com/en/jobs/R-060937/?source=LinkedIn&amp;urlHash=xcUL", "https://www.careers.jnj.com/en/jobs/R-060937/?source=LinkedIn&amp;urlHash=xcUL")</f>
        <v/>
      </c>
      <c r="G116" t="inlineStr">
        <is>
          <t>Spring House, PA</t>
        </is>
      </c>
      <c r="H116" t="inlineStr"/>
      <c r="I116"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Data Analytics \&amp; Computational Sciences
**Job Sub Function**
 Data Science
**Job Category**
 Scientific/Technology
**All Job Posting Locations:**
 Cambridge, Massachusetts, United States of America, Raritan, New Jersey, United States of America, San Diego, California, United States of America, Spring House, Pennsylvania, United States of America, Titusville, New Jersey, United States of America
**Job Description**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https://www.jnj.com/innovative\-medicine
 Johnson \&amp; Johnson Innovative Medicine is recruiting for a
 **Principal Data Scientist \- Oncology** 
 to join our Data Science and Digital Health team (DSDH). This position will be located at one of our offices in either Spring House PA (preferred), Cambridge MA, or San Diego CA (La Jolla area). Consideration may be given for our Titusville and Raritan, NJ locations.
 The
 **Principal Data Scientist \- Oncology,** 
 will play a pivotal role to standardize and connect biomedical and clinical data. You will be a hands\-on technical contributor with depth in semantic technologies, ontology, and graph data modeling, and strong familiarity with the life sciences domain.
 You will connect enterprise master data with R\&amp;D data across the entire product lifecycle so trusted, interoperable knowledge powers analytics, search, and AI across Johnson and Johnson Innovative Medicine.
**Primary Responsibilities**
* Be a key contributor to the design and implementation of a scalable knowledge graph infrastructure focused on data standardization and interoperability, focusing on Oncology R\&amp;D data.
* Apply graph\-based data modeling for efficient Oncology R\&amp;D organization, integration and retrieval to ensure system flexibility and long\-term maintainability.
* Work with a larger community of Data Scientists, Clinical Scientists, and Discovery Scientists to standardize, curate and create AI\-Ready datasets.
* Curate and extend ontologies for clear mapping into established biomedical ontologies and controlled terminologies using resource description framework (RDF) standards.
* Work with SPARQL/GraphQL/REST services; develop ingestion and curation pipelines to ingest, normalize and map concepts across data sources.
* Extend and curate Oncology R\&amp;D\-relevant ontologies (e.g., diseases, drugs, targets, pathways, etc.) and maintain synonyms, cross\-references, and provenance.
* Partner with cross\-functional teams to enable NLP/RAG over graphs, features for predictive modeling and terminology services for search and study design tools.
* Work with Data Science \&amp; Digital Health colleagues, IT and DevOps teams to deploy and manage the graph database infrastructure, focusing on high availability, scalability, and recovery operations specifically geared toward Oncology R\&amp;D needs and applications.
* Draft and manage documentation, such as data dictionaries, data lineage, and data flow diagrams, to facilitate understanding of the knowledge graph.
**Preferred Qualifications**
- Desired Ph.D. or Master's degree in bioengineering, computer science, IT, bioinformatics, physics, mathematics, or related fields, emphasis on semantic technologies for biomedical application.
- 5\+ years professional experience in health informatics.
- Demonstrated experience in large\-scale knowledge graphs construction, ontology development, pharmaceutical or healthcare domains integration.
- Programming background in parser combinators, natural language processing, and linked data (RDF Triple Stores and property graphs).
- Proficiency in semantic web technologies (e.g. SPARQL, RDF, OWL), familiarity with graph databases (Neo4j, Amazon Neptune).
- Proven work with complex biomedical datasets (e.g. clinical, genomics, proteomics)
- Proficiency in various data storage solutions (SQL, key\-value, column, document, graph stores) and data modeling techniques (semantic data, ontologies, taxonomies).
- Experience in CI/CD implementations, git usage, CI/CD stacks (Jenkins, GitLab, Azure DevOps), DevOps tools, metrics/monitoring, and containerization technologies (Docker, Singularity).
- Demonstrated stakeholder management capabilities\- including requirements gathering, business analysis and planning. Must have the capacity to translate discussions into user requirements and project plans.
- Ability to manage a numerous projects simultaneously, prioritize work, exhibit organizational skills and flexibility to deliver maximum business value.
 Willingness to conduct periodic travel (\&lt;15% of time) to conferences and internal meetings.
 This position will be located at one of our offices in either Spring House PA (preferred), Cambridge MA, or San Diego CA (La Jolla area). Consideration may be given for our Titusville and Raritan, NJ locations. (No remote option.)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The anticipated base pay range for this position is $117,000 to $201,250\.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Holiday pay, including Floating Holidays – up to 13 days per calendar year of Work, Personal and Family Time \- up to 40 hours per calendar year
 Additional information can be found through the link below. https://www.careers.jnj.com/employee\-benefits
 The compensation and benefits information set forth in this posting applies to candidates hired in the United States. Candidates hired outside the United States will be eligible for compensation and benefits in accordance with their local market.
 \#JNJDataScience
 \#JNJIMRND\-DS
 \#JRDDS
**Required Skills**
**Preferred Skills:**
 Advanced Analytics, Coaching, Critical Thinking, Data Analysis, Data Privacy Standards, Data Quality, Data Reporting, Data Savvy, Data Science, Data Visualization, Digital Fluency, Econometric Models, Organizing, Process Improvements, Strategic Thinking, Technical Credibility, Workflow Analysis</t>
        </is>
      </c>
    </row>
    <row r="117">
      <c r="A117" t="inlineStr">
        <is>
          <t>li-4379614407</t>
        </is>
      </c>
      <c r="B117" t="inlineStr">
        <is>
          <t>Lead Customer Success Data Scientist - Industry Analytics</t>
        </is>
      </c>
      <c r="C117" t="inlineStr">
        <is>
          <t>Cloud Software Group</t>
        </is>
      </c>
      <c r="D117" t="inlineStr">
        <is>
          <t>linkedin</t>
        </is>
      </c>
      <c r="E117">
        <f>HYPERLINK("https://www.linkedin.com/jobs/view/4379614407", "https://www.linkedin.com/jobs/view/4379614407")</f>
        <v/>
      </c>
      <c r="F117" t="inlineStr"/>
      <c r="G117" t="inlineStr">
        <is>
          <t>Texas, United States</t>
        </is>
      </c>
      <c r="H117" t="inlineStr"/>
      <c r="I117" t="inlineStr">
        <is>
          <t>**About Spotfire**
 Spotfire is a business unit of Cloud Software Group, one of the largest enterprise software companies in the world. Spotfire combines visualizations and advanced analytics to allow experts in their field to find industry\-specific solutions the human mind or computers can’t solve alone. Our more than 10,000 customers include:
* Majority of the top 10 Energy companies in the world
* Majority of the top 10 Life Sciences companies in the world
* 7 of the world’s top 10 Manufacturing companies
* Several other major companies in banking, retail, and airlines
 We are looking for people with a passion to make a big difference by doing the job they love – dynamic individuals willing to take the risks necessary to make big ideas come to life and who are comfortable collaborating in our creative, innovation\-driven environment.
**Overview**
 Our global Customer Success team is a central part of the company strategy. The team focuses on customers, innovation, and the community of scientists, engineers, and data scientists. The team is responsible for guiding customers to successfully adopt and maximize value from their investment in Spotfire.
 Operating across several sectors, our Customer Success Data Scientists have helped improve the drilling operations of several energy companies, increase yield at some of the biggest semiconductor companies and ensured on\-time deliveries of well known global logistics companies.
 We are seeking a
 **Lead Customer Success Data Scientist** 
 to join our team in the
 **North America region** 
 . Texas, United States is preferred, and we will consider other areas in the United States except New York and California. This role is ideal for a candidate with proven expertise in
 **Manufacturing, Energy, or Life Sciences industry** 
 and a strong passion for
 **Visual Data Science.**
 In this role, you will be the driving force behind long\-term customer success for a portfolio of clients, responsible for achieving high adoption, retention, and satisfaction. You will serve as a trusted advisor to all customer stakeholders and act as the key liaison between the customer and internal Spotfire teams.
 The successful candidate will leverage their hands\-on prowess and thought leadership to significantly grow our customers' analytical capabilities using Spotfire. A key part of the role involves developing analytical deliverables, employing methods from exploratory analytics to machine learning, statistical modeling, and AI.
 Joining a highly collaborative team, you will deliver outcomes that enhance both product and account health. Furthermore, you will have exciting opportunities to represent Spotfire at industry events and contribute to our active customer and partner community.
**Responsibilities**
* Technical Strategy \- Use Spotfire and data science skills to collaborate with customers, translating their business objectives into actionable success plans. Develop a deep understanding of industry analytics use cases. Customer Success plans include onboarding, adoption, monitoring support, managing upgrades, enabling new features, and establishing a center of excellence.
* Trusted Advisor \- Aware of industry context and understanding customer needs through regular customer health assessments you can build consultative relationships and act as trusted advisor helping navigate challenges and building long\-term customer advocacy.
* Innovation \- Perform and guide R\&amp;D topics in the field of applied machine learning and AI. Translate customer business goals into technical objectives and help create custom solutions for industry use cases, providing guidance, and building prototypes. Projects include Large Language Models, digital twin, anomaly detection in time series, or mathematical modeling of manufacturing processes.
* Cross\-functional Collaboration \- Collaborate with sales, support, product management, and engineering to align strategy, improve customer outcomes, resolve escalations, find sales opportunities, and provide product roadmap input. This involves gathering detailed information, analysis, and investigation to address numerous, often undefined, problems and requests.
* Education and Community \- Actively engage with your customers in the Spotfire community to drive adoption and enablement. Contribute relevant industry and data science content. Represent the team as a speaker or instructor in industry events and external conferences.
* Personal Development \- Continue to develop expertise and monitor trends in industry analytics and visual data science tools and techniques.
* Organizational Impact \- works to achieve operational targets with major impact on the departmental results and work is performed with limited oversight.
* Leadership and Talent Management \- Some level of coaching and training of other employees within the job area will be involved.
**Qualifications**
* 6\-8\+ years of data science experience using software environments and programming languages e.g. Spotfire, Tableau, Qlikview, SPSS, KNIME, Dataiku, Azure, AWS, Databricks, Snowflake, and for program languages Python, R. Experience with other software components for data preparation and integration e.g. Data Virtualization is a plus. Knowledge of SQL, .Net, Java, IronPython, Javascript, C\+\+ and knowledge of Generative AI is a plus.
* 6\-8\+ years of experience in advanced data analytics and delivery of demonstrations, projects, engagements or deployed software applications. Problem\-solver with experience applying advanced analytics such as machine learning and optimization techniques to large, complex and disparate data sources.
* 6\-8\+ years of experience in applying analytics to the sector specific data problems in key Industry such as Manufacturing, Energy, Transportation \&amp; Logistics, Financial Services, Telecommunications and Life Sciences. Able to formulate a real\-world problem into a mathematical equivalent, propose various solutions, compare and contrast them, deploy the solutions, validate the results and present the results to stakeholders.
* Excellent communication and relationship\-building skills are essential, including the ability to pro\-actively influence and cultivate long\-term relationships with internal and external stakeholders, such as customers' senior technical personnel. Must provide compelling software demonstrations and apply domain knowledge to analytical applications, communicating complex technical concepts to non\-technical audiences using storytelling.
* Collaboration skills \- strong ability to work effectively in an internal and customer team environment and to manage multiple projects to a good final outcome.
* Master’s or higher degree in STEM (Computer Science, Statistics, Data Science, Engineering, Science, or related analytical field of study) with graduate classes in statistics and data mining.
* Language Skills: Proficiency in English is required. As this role involves interaction with customers and partners in Latin America as well, fluency in either Spanish or Portuguese is a plus.
*Please note you must have full working rights for the United States. If on a work permit or visa, please make sure the details along with expiry date are included on your application* 
 .
**About Us:**
 Cloud Software Group is one of the world’s largest cloud solution providers, serving more than 100 million users around the globe. When you join Cloud Software Group, you are making a difference for real people, each of whom count on our suite of cloud\-based products to get work done — from anywhere. Members of our team will tell you that we value passion for technology and the courage to take risks. Everyone is empowered to learn, dream, and build the future of work. We are on the brink of another Cambrian leap \-\- a moment of immense evolution and growth. And we need your expertise and experience to do it. Now is the perfect time to move your skills to the cloud.
 Cloud Software Group is firmly committed to Equal Employment Opportunity (EEO) and to compliance with all federal, state and local laws that prohibit employment discrimination. All qualified applicants will receive consideration for employment without regard to age, race, color, creed, sex or gender, sexual orientation, gender identity, gender expression, ethnicity, national origin, ancestry, citizenship, religion, genetic carrier status, disability, pregnancy, childbirth or related medical conditions (including lactation status), marital status, military service, protected veteran status, political activity or affiliation, taking or requesting statutorily protected leave and other protected classifications.
 If you need a reasonable accommodation due to a disability during any part of the application process, please contact us via the Bridge portal for assistance.</t>
        </is>
      </c>
    </row>
    <row r="118">
      <c r="A118" t="inlineStr">
        <is>
          <t>li-4379490615</t>
        </is>
      </c>
      <c r="B118" t="inlineStr">
        <is>
          <t>Data Scientist</t>
        </is>
      </c>
      <c r="C118" t="inlineStr">
        <is>
          <t>Jobs via Dice</t>
        </is>
      </c>
      <c r="D118" t="inlineStr">
        <is>
          <t>linkedin</t>
        </is>
      </c>
      <c r="E118">
        <f>HYPERLINK("https://www.linkedin.com/jobs/view/4379490615", "https://www.linkedin.com/jobs/view/4379490615")</f>
        <v/>
      </c>
      <c r="F118" t="inlineStr"/>
      <c r="G118" t="inlineStr">
        <is>
          <t>Shaker Heights, OH</t>
        </is>
      </c>
      <c r="H118" t="inlineStr"/>
      <c r="I118" t="inlineStr">
        <is>
          <t>Dice is the leading career destination for tech experts at every stage of their careers. Our client, Apex Systems, is seeking the following. Apply via Dice today!
**Job\#: 3024520**
**Job Description:**
 A Brief Overview
 The Data Scientist supports administrative and clinical leaders and teams focused on achieving the Quadruple
 Aim. The individual in this role is responsible for executing projects that require the full data science pipeline
 including data integration of disparate and centralized data into data marts, data mining, statistical model
 development, advanced analytic methods, report/dashboard visualization and results presentation in support of
 strategic objectives. The Data Scientist will work closely with senior leaders and colleagues to identify
 opportunities, set objectives, and formulate analytic strategies that result in measurable impact to University
 Hospitals.
 What You Will Do
 \\\\; Lead the discovery and requirements gathering process with key clinical and business stakeholders to
 inform analytic plans
 \\\\; Collaboratively co\-create the discovery, design, development, deployment, optimization, and
 maintenance of advanced analytics and data science techniques to enrich disparate datasets to craft
 data\-driven interventions aimed at achieving the Quadruple Aim.
 \\\\; Research, design, develop and implement statistical models, and advanced analytics to support key
 strategic initiatives.
 \\\\; Develop and deploy innovative analytic solutions for simplistic Analytics\-As\-A\-Service Business
 Intelligence dashboards, rapid\-fire flash reports directly to clinical and operational colleagues and/or
 other customized reporting distribution solutions.
 \\\\; Visualize data in creative ways that brings data and insights to life and is consumable in the business
 and operational workflow of end\-users
 \\\\; Creatively utilize diverse data sources, such as electronic health record data, insurance claims data,
 scheduling and financial data, social determinants of health data and any other relevant sources that
 help support UH Clinical Transformation and System Operations Strategy.
 \\\\; Develop purpose\-driven data marts in Alteryx and SQL environments (on premise and Microsoft Azure).
 \\\\; Assess the effectiveness and accuracy of new data sources and data gathering techniques
 \\\\; Collaborate with IT to support data architecture of diverse datasets that support clinical integration by
 converging these disparate data systems into repositories fit for algorithmic development and model
 training.
 \\\\; Evaluate business performance and dynamically monitor critical operational measures related to shared
 savings arrangements and other value\-based programs with governmental and commercial payors.
 \\\\; Propose and develop novel solutions to UH data science problems, demonstrate and evaluate the
 feasibility of these solutions and continuously adapt these solutions to integrate into the context of realworld
 clinical care.
 \\\\; Support the creation of analytics and scientific exploration related to risk modeling, financial
 performance and quality of care for managed populations.
 \\\\; Create technical interfacing to deploy simplified analytics directly to provider portal(s), / websites, or
 mobile applications to enhance the UH clinical and business processes.
 \\\\; Develop documentation, software, support tools, and technology infrastructure to enhance the ability of
 analysts and operational leaders across the clinical enterprise to effectively and rapidly extract meaning
 from health care data.
 \\\\; Develop processes and tools to monitor and analyze analytical model performance and data accuracy\\\\;
 provide ad\-hoc analysis and visualizations.
 \\\\; Engage, mentor, co\-create, cross\-train, and learn from data science and analytical colleagues to
 promote a collaborative environment with applied process learning.
 \\\\; Maintain fluency in existing and emerging data science technologies and complete online coursework or
 independent study to fill in gaps of knowledge as needed to manage and execute innovation projects.
 \\\\; Serve as the technical lead focused on creative use of diverse data sources, such as electronic health
 record data, insurance claims data, scheduling and financial data, social determinants of health data,
 and any other relevant sources that help support the UH clinical and business processes.
**Additional Responsibilities**
 \\\\; Performs other duties as assigned.
 \\\\; Complies with all policies and standards.
 \\\\; For specific duties and responsibilities, refer to documentation provided by the department during
 orientation.
 Must abide by all requirements to safely and securely maintain Protected Health Information (PHI) for
 our patients. Annual training, the UH Code of Conduct and UH policies and procedures are in place to
 address appropriate use of PHI in the workplace.
**Education Qualifications**
 \\\\; Bachelor'\\\\;s Degree Math, Statistics, Computer Science, Economics, Sociology, Public Health, or related
 Quantitative or Social Science discipline (Required)
 \\\\; Master'\\\\;s Degree in related field (Preferred) or
 \\\\; Doctorate Degree in related field (Preferred)
**Experience Qualifications**
 \\\\; 3\+ years Working with complex analytic situations or big data environments (Required)
 \\\\; Healthcare (Hospital/Health System, Payor, or Life Sciences) experience (Preferred)
**Skills And Abilities**
 \\\\; Extensive experience working with SQL/complex queries (Required proficiency)
 \\\\; Proficiency in statistical programming languages such as Python (e.g. pandas, scikit\-learn, genism,
 seaborn, tensorflow) or R (e.g. caret, dplyr, ggplot2\) (Required proficiency)
 \\\\; Experience with statistics, business intelligence development, report automation, and applied ETL
 development (Required proficiency)
 \\\\; Experience in data visualization (e.g. Tableau or PowerBI are preferred) and ability to communicate
 results to a non\-technical audience (Required proficiency)
 \\\\; Experience being part of strategic projects with high visibility and impact with many internal and
 external teams involved. (Required proficiency)
 \\\\; Experience providing insights to executive stakeholders (Required proficiency)
 \\\\; Experience managing collaborative data science projects (Required proficiency)
 \\\\; Experience providing analytics that have a major impact on company \\\\;s strategic imperatives and
 business results. (Required proficiency)
 \\\\; Self\-starter who is adept at independent decision\-,making and is ideally suited for emermging leaders in
 health data sciences (Required proficiency)
 \\\\; Ability to develop data pipelines to support AI and machine learning model development (Required
 proficiency)
 \\\\; Ability to learn new software and emerging technologies without extensive hands\-on training (Required
 proficiency)
 \\\\; Knowledge of Microsoft Azure (Required proficiency)
 \\\\; Ability to work independently and use creative approaches to problem\-solving but know when to seek
**Help From Other Team Members (Required Proficiency)**
 \\\\; Optimistic, self\-directed performer capable of complex decision making and communication (Required
 proficiency)
 \\\\; Capable of turning questions into testable hypotheses, estracting data from complex databases, creating
 and evaluating statistical models (Required proficiency)
 \\\\; Capable of gathering and validating requirements, articulating the pros and cons of different analytic
 approaches, estimating timelines for completion of work, and predicting potential challenges to
 producing accurate time estimates and analytic plans. (Required proficiency)
 \\\\; Working knowledge of emerging technology platforms (Required proficiency)
 \\\\; Experience and working knowledge of Electronic Health Records (Epic and Allscripts), claims\-based
**Reporting, And Fluency With Healthcare Coding. (Preferred Proficiency)**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119">
      <c r="A119" t="inlineStr">
        <is>
          <t>li-4366083408</t>
        </is>
      </c>
      <c r="B119" t="inlineStr">
        <is>
          <t>Applied ML Scientist, Cheminformatics (Staff / Principal)</t>
        </is>
      </c>
      <c r="C119" t="inlineStr">
        <is>
          <t>Genesis Molecular AI</t>
        </is>
      </c>
      <c r="D119" t="inlineStr">
        <is>
          <t>linkedin</t>
        </is>
      </c>
      <c r="E119">
        <f>HYPERLINK("https://www.linkedin.com/jobs/view/4366083408", "https://www.linkedin.com/jobs/view/4366083408")</f>
        <v/>
      </c>
      <c r="F119" t="inlineStr"/>
      <c r="G119" t="inlineStr">
        <is>
          <t>San Mateo, CA</t>
        </is>
      </c>
      <c r="H119" t="inlineStr"/>
      <c r="I119" t="inlineStr">
        <is>
          <t>**About The Team**
**Join a world\-class team at the forefront of AI and biochemistry.**
 At Genesis Molecular AI, we’re a tight\-knit team of proven deep learning researchers, software engineers, and drug discovery pioneers. Our shared mission is nothing short of revolutionary: to forge the next generation of AI foundation models that will unlock groundbreaking therapies for patients with severe diseases.
 We don’t just apply machine learning to biology; we are conducting fundamental research at the intersection of machine learning, physics, and computational chemistry, pushing the boundaries of each field. You will work side\-by\-side with top multidisciplinary researchers to design and build generative foundation models at scale, having access to ample compute and large\-scale simulations.
**About The Role**
 This unique role is for a scientist who is passionate about being a catalyst for applying cutting\-edge AI to solve real\-world drug discovery challenges. You will be the critical bridge between our long\-term research and our experimental drug discovery programs. Your mission is to build, evaluate, monitor, and improve our state\-of\-the\-art models directly into active drug programs, leading the charge on model validation, deployment, and analysis to guide the discovery of new medicines.
 You will act as both a translator and a strategist, ensuring our research is aimed at the most critical challenges and that our drug hunters can leverage the full power of our industry\-leading AI platform. This role requires a deep understanding of cheminformatics, computational chemistry, and experimental techniques, strong data science skills, and a talent for communicating complex ideas to a diverse, multidisciplinary team.
 Positions are available at various levels of seniority: Senior, Staff, and Principal.
**What You’ll Do**
* Work directly with project teams to assess model performance and utility, including applicability to current project needs, and collaborate with ML and engineering teams to resolve issues or add new functionality.
* Assist experimental colleagues with use and interpretation of model predictions by providing context about model quality and prediction uncertainty.
* Evaluate model quality by validating predictions against project data and internal or external benchmarks.
* Curate internal and external datasets for model training and validation (in collaboration with experimental teams).
* Contribute to design and analysis of experiments on model changes and alternative architectures.
**You are**
* A seasoned computational scientist with a proven track record of machine learning based methods to impact small molecule drug discovery projects.
* A cheminformatics expert, fluent in the language of molecular data with hands\-on mastery of tools like RDKit or OpenEye.
* A scientist who speaks the language of experimental drug discovery, with a strong familiarity with common assay types (biochemical/binding/cell\-based assays, in vivo studies, etc.) and CADD workflows (docking, virtual screening, ADME prediction, etc.).
* A rigorous data scientist, with experience inmodeling and analysis of small molecule datasets and passion for statistical validation, uncertainty quantification, and deriving clear insights from complex, noisy data.
* A hands\-on applied scientist and software engineer with strong coding skills in Python and a deep practical knowledge of the applied ML toolkit (e.g., scikit\-learn, PyTorch).
* An exceptional communicator and collaborator, able to act as the bridge between machine learning researchers and experimental scientists.
* A curious, problem\-oriented mind, excited to dive into the emerging field at the intersection of AI, physics, chemistry, and biology and make foundational contributions and discoveries.
* A true team player who thrives in highly collaborative, mission\-driven environments where science and engineering are deeply intertwined.
* Inspired by our culture of intellectual curiosity and the shared belief that breakthroughs happen when diverse perspectives and minds unite.
**Nice to have's**
* A PhD in Cheminformatics, Computational Chemistry, Computer Science, or a related field.A track record of publications applying machine learning to drug discovery challenges.
* Deep expertise in advanced modeling techniques such as graph neural networks, multitask modeling, active learning, or Bayesian optimization.
* Experience with large\-scale data management, including SQL databases and data pipelining tools.
* Strong opinions on molecule featurization and model validation.
**Compensation, Benefits, And Perks**
* Competitive compensation package that includes salary and equity.
* Comprehensive health benefits: Medical, Dental, and Vision (covered 100% for the employees).
* 401(k) plan.
* Open (unlimited) PTO policy.
* Free lunches and dinners at our offices.
* Paid family leave (maternity and paternity).
* Life and long\- and short\-term disability insurance.
**About Genesis Molecular AI**
 Genesis Molecular AI is pioneering foundation models for molecular AI to unlock a new era of drug design and development. The company’s generative and predictive AI platform, GEMS (Genesis Exploration of Molecular Space), integrates AI and physics into industry\-leading models to generate and optimize drug molecules, including the breakthrough generative diffusion model Pearl for structure prediction. Genesis has raised over $300 million from leading AI, tech and life science\-focused investors, signed multiple AI\-focused research collaborations with major pharma partners, and is deploying GEMS to advance an internal therapeutics pipeline for a variety of high\-impact targets.
 Genesis is headquartered in San Mateo, CA, with a fully integrated laboratory in San Diego. We are proud to be an inclusive workplace and an Equal Opportunity Employer.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2026-03-04T04:55:38Z</dcterms:created>
  <dcterms:modified xsi:type="dcterms:W3CDTF">2026-03-04T04:55:38Z</dcterms:modified>
</cp:coreProperties>
</file>