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65"/>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in-adf14087ddb06eb0</t>
        </is>
      </c>
      <c r="B2" t="inlineStr">
        <is>
          <t>Project/Program manager - 3 days/week onsite, Minneapolis (Govt exp preferred, locals preferred)</t>
        </is>
      </c>
      <c r="C2" t="inlineStr">
        <is>
          <t>Amplify Technologies LLC</t>
        </is>
      </c>
      <c r="D2" t="inlineStr">
        <is>
          <t>indeed</t>
        </is>
      </c>
      <c r="E2" t="inlineStr"/>
      <c r="F2" t="inlineStr"/>
      <c r="G2" t="inlineStr">
        <is>
          <t>Saint Paul, MN, US</t>
        </is>
      </c>
      <c r="H2" s="2" t="n">
        <v>46040</v>
      </c>
      <c r="I2" t="inlineStr">
        <is>
          <t>**Key Points:**
* Must have experience as Project and Program Manager.
* Government experience preferred.
* 10\+ years of relevant experience preferred.
* Must be local to Minneapolis or able to travel to downtown 3 days per week.
* Approximately 23 months contract.
**Job Summary:**
* Leads complex, multi\-department technology initiatives that strengthen accountability, transparency, and service delivery across the agency /City —particularly in support of public safety transformation and the Anency/City’s compliance with the Minnesota Department of Human Rights (MDHR) settlement agreement and the Department of Justice (DOJ) consent decree.
* Partner with a Senior IT Program manager to create and manage program and project plans that include clear outcomes, success metrics, budgets, schedules, and risk management strategies.
* Manage interdependent projects within a broader program framework, ensuring alignment, coordination, and shared accountability
* Maintain a tracking mechanism to ensure IT investments and projects meet or exceed customer expectations.
* Develop business\-centric enterprise information management solutions, derived from an assessment of business practices, culture, products, customers and objectives that meet the needs of operating units.
* Deliver IT solutions integrated into the Enterprise infrastructure and combine appropriate enabling technology, existing IT applications/infrastructure and commercial off\-the\-shelf products into proposed IT solutions.
* Operate effectively in evolving problem spaces by synthesizing information from multiple sources, identifying patterns and tradeoffs, and driving toward clear decisions and next steps through a hands\-on, “lead by doing” approach.
**Work Environment:**
* Mixture of office setting at primary location and remote work (hybrid).
* Up to 40 hours per week for the duration of the services
* A term of approximately 23 months.
**How to send your resume:** 
* Please share most competitive hourly rate and resume to Vik Jain at vpjain786@gmail.com. Please no phone calls. All emails must have your contact info and a word copy of your resume. We will contact you if we wish to move further.
Job Type: Contract
Pay: $65\.00 \- $70\.00 per hour
Expected hours: 40 per week
Work Location: Hybrid remote in Saint Paul, MN 55104</t>
        </is>
      </c>
    </row>
    <row r="3">
      <c r="A3" t="inlineStr">
        <is>
          <t>in-ef1d5325431a4386</t>
        </is>
      </c>
      <c r="B3" t="inlineStr">
        <is>
          <t>Sr. Product Manager</t>
        </is>
      </c>
      <c r="C3" t="inlineStr">
        <is>
          <t>Kraken</t>
        </is>
      </c>
      <c r="D3" t="inlineStr">
        <is>
          <t>indeed</t>
        </is>
      </c>
      <c r="E3" t="inlineStr"/>
      <c r="F3" t="inlineStr"/>
      <c r="G3" t="inlineStr">
        <is>
          <t>US</t>
        </is>
      </c>
      <c r="H3" s="2" t="n">
        <v>46039</v>
      </c>
      <c r="I3" t="inlineStr">
        <is>
          <t>Location
United States
Employment Type
Full time
Location Type
Remote
Department
Product
Compensation
$110\.4K – $220\.8K • Offers Equity • Offers Bonus
This is the target annual salary range for this role. This range is not inclusive of other additional compensation elements, such as our Bonus program, Equity program, Wellness allowance, and other benefits \[US Only] (including medical, dental, vision and 401(k)).
The compensation range provided is influenced by various factors and represents the initial target range. Our salary offerings are dynamic and we strive to ensure that our base salary and total compensation package aligns and recognizes the top talent we aim to attract and retain. The compensation package of the successful candidate is based on various factors such as their skillset, experience, and job scope.
Overview
Building the Future of Crypto
Our Krakenites are a world\-class team with crypto conviction, united by our desire to discover and unlock the potential of crypto and blockchain technology.
What makes us different?
Kraken is a mission\-focused company rooted in crypto values. As a Krakenite, you’ll join us on our mission to accelerate the global adoption of crypto, so that everyone can achieve financial freedom and inclusion. For over a decade, Kraken’s focus on our mission and crypto ethos has attracted many of the most talented crypto experts in the world.
Before you apply, please read the Kraken Culture page to learn more about our internal culture, values, and mission. We also expect candidates to familiarize themselves with the Kraken app. Learn how to create a Kraken account here.
As a fully remote company, we have Krakenites in 70\+ countries who speak over 50 languages. Krakenites are industry pioneers who develop premium crypto products for experienced traders, institutions, and newcomers to the space. Kraken is committed to industry\-leading security, crypto education, and world\-class client support through our products like Kraken Pro, Desktop, Wallet, and Kraken Futures.
Become a Krakenite and build the future of crypto!
Proof of work
The team
This role is part of the Growth team at Kraken—a cross\-functional group of Marketing, Product, Engineering, Design, and Analytics professionals focused on step\-changing user growth and revenue across our platforms.
Within the Growth organization, Product, Design, and Engineering are structured into three key groups: Acquire, Onboarding \&amp; KYC, and Engage. You’ll be a critical member of the Engage group, responsible for building long\-term product value and loyalty across our Kraken and Pro products—on both mobile and web.
The opportunity
Define the product strategy and roadmap for engagement and loyalty across Kraken and Pro, aligning it with our growth goals and business unit objectives.
Own key product metrics such retention rate, session frequency, and LTV.
Drive product development across the full lifecycle—from discovery and validation to launch and iteration—with a focus on utility, repeat usage, and behavioral reinforcement
Develop and implement growth loops and in\-product mechanics that encourage usage frequency and depth, including gamification, rewards, social features, and habit\-forming design
Collaborate with Engineering, Design, and Analytics to run A/B and multivariate tests at scale, leveraging results to make fast, data\-informed decisions
Partner with Marketing and Lifecycle teams to build targeted engagement campaigns and personalized messaging strategies (e.g., push, in\-app, email) based on behavioral insights
Design and refine client segmentation frameworks to personalize the experience and optimize journeys
Collaborate closely with Business Leads for Consumer and Pro segments to align product goals with user personas, market demands, and business objectives
Skills you should HODL
5\+ years of product management experience, with 2\+ years focused on engagement, retention, or lifecycle growth (preferably in crypto or fintech)
Strong analytical skills with a proven ability to use data to drive decision\-making
Experience in growth product management with a solid understanding of experimentation, funnel optimization, and behavioral psychology
A track record of launching successful engagement features such as notifications systems, loyalty/rewards programs, or community\-driven features
Experience working with both mobile and web apps, and comfort navigating technical conversations with engineers
Deep empathy for users combined with a strong business sense
Strong communication and stakeholder management skills; you can influence at multiple levels of the organization
Experience working with both mobile and web apps, and comfort navigating technical conversations with engineers
Enthusiasm for Bitcoin and the cryptocurrency ecosystem, with a deep belief in our mission
This job is accepting ongoing s and there is no deadline.
Please note, applicants are permitted to redact or remove information on their resume that identifies age, date of birth, or dates of attendance at or graduation from an educational institution.
We consider qualified applicants with criminal histories for employment on our team, assessing candidates in a manner consistent with the requirements of the San Francisco Fair Chance Ordinance.
Kraken is powered by people from around the world and we celebrate all Krakenites for their diverse talents, backgrounds, contributions and unique perspectives. We hire strictly based on merit, meaning we seek out the candidates with the right abilities, knowledge, and skills considered the most suitable for the job. We encourage you to apply for roles where you don't fully meet the listed requirements, especially if you're passionate or knowledgable about crypto!
As an equal opportunity employer, we don’t tolerate discrimination or harassment of any kind. Whether that’s based on race, ethnicity, age, gender identity, citizenship, religion, sexual orientation, disability, pregnancy, veteran status or any other protected characteristic as outlined by federal, state or local laws.</t>
        </is>
      </c>
    </row>
    <row r="4">
      <c r="A4" t="inlineStr">
        <is>
          <t>in-8fab9e77dff8d94a</t>
        </is>
      </c>
      <c r="B4" t="inlineStr">
        <is>
          <t>Product Manager</t>
        </is>
      </c>
      <c r="C4" t="inlineStr">
        <is>
          <t>EOS Defense Systems USA, Inc</t>
        </is>
      </c>
      <c r="D4" t="inlineStr">
        <is>
          <t>indeed</t>
        </is>
      </c>
      <c r="E4" t="inlineStr"/>
      <c r="F4" t="inlineStr"/>
      <c r="G4" t="inlineStr">
        <is>
          <t>Huntsville, AL, US</t>
        </is>
      </c>
      <c r="H4" s="2" t="n">
        <v>46039</v>
      </c>
      <c r="I4" t="inlineStr">
        <is>
          <t>**PRODUCT MANAGER**
Join our team as a Product Manager where you will help shape real solutions for our customers. Work that directly supports missions and solves meaningful problems. You will define product roadmaps, understand customer needs and partner with dedicated teams across Program Management, Engineering and Manufacturing. Keep programs on track by watching cost, schedule and performance. This role offers the chance to make a real impact!
**Minimum Requirements and Qualifications**
* Bachelor's degree in engineering, business, or related field; Master's degree preferred.
* 8\+ years of product management within the defense industry (or similar).
* Familiarity with DoD acquisition processes and contracting.
* Proven experience supporting DoD or government contracts.
* Familiarity with manufacturing processes, supply chain, and quality systems in a regulated environment.
* Active or ability to obtain and maintain a DoD security clearance.
* Ability to collaborate across technical and business disciplines.
* Strong strategic decision\-making, negotiation, and communication skills.
* Familiarity with manufacturing processes, supply chain, and quality systems in a regulated environment.
* Ability to collaborate across technical and business disciplines.
* Strong strategic decision\-making, negotiation, and communication skills.
* Excellent communication and leadership skills.
* Excellent communication and leadership skills.
* Active or ability to obtain and maintain a DoD security clearance
**Major Responsibility Areas and Duties**
* Define product vision and roadmap aligned with US and International customer priorities and the company growth strategy.
* Manage product lifecycle from concept through development and delivery.
* Ensure compliance with ITAR, DFARS, and other defense regulations.
* Collaborate with cross\-functional teams to meet cost, schedule, and performance objectives.
* Conduct market and competitive analysis research to identify capability gaps and opportunities.
* Interface with US and International customers and prime contractors to gather requirements and provide updates.
* Prepare program documentation, including Statements of Work (SOW), specifications, system design, and compliance reports.
* Monitor product performance and recommend improvements based on mission feedback.
* Monitor, manage and report project cost, schedule and performance metrics to ensure successful project execution.
* Support business development activities, including proposal preparations, pricing strategies, and compliance reviews for new opportunities.
* Other duties as assigned
EOS Defense Systems is an Equal Employment Opportunity employer to all employees and applicants for employment without regard to race, color, religion, sex (including pregnancy, gender identification and sexual orientation) or national origin in accordance with applicable federal, state, and local laws. An Equal Opportunity Employer for disabled veterans, recently separated veterans, other protected veterans, and armed forces service medal veterans. An Equal Opportunity Employer of individuals with disabilities. We participate in E\-Verify.</t>
        </is>
      </c>
    </row>
    <row r="5">
      <c r="A5" t="inlineStr">
        <is>
          <t>in-fdc68bf769dfc0bf</t>
        </is>
      </c>
      <c r="B5" t="inlineStr">
        <is>
          <t>Technical Sourcing Program Manager</t>
        </is>
      </c>
      <c r="C5" t="inlineStr">
        <is>
          <t>Medtronic</t>
        </is>
      </c>
      <c r="D5" t="inlineStr">
        <is>
          <t>indeed</t>
        </is>
      </c>
      <c r="E5" t="inlineStr"/>
      <c r="F5" t="inlineStr"/>
      <c r="G5" t="inlineStr">
        <is>
          <t>Memphis, TN, US</t>
        </is>
      </c>
      <c r="H5" s="2" t="n">
        <v>46039</v>
      </c>
      <c r="I5" t="inlineStr">
        <is>
          <t>We anticipate the application window for this opening will close on \- 26 Jan 2026  
At Medtronic you can begin a life\-long career of exploration and innovation, while helping champion healthcare access and equity for all. You’ll lead with purpose, breaking down barriers to innovation in a more connected, compassionate world.
**A Day in the Life**
=====================
Job Specific Summary
At Medtronic, we celebrate what makes you unique. Join a company that thinks differently to solve problems, make progress, and deliver meaningful innovations.
A career at Medtronic is unlike any other. We’re purposeful, committed, and driven by our mission to alleviate pain, restore health, and extend the lives of millions of people worldwide. Join our Global Technical Sourcing team as the Technical Sourcing Program Manager, where you will support the Spine and Biologics team and drive groundbreaking therapies. Be a part of revolutionizing medical technologies that transform lives worldwide!
Global Technical Sourcing (GTS) bridges Global Supply Management (GSM) with Technology and New Product Development (NPD) Project Teams, aligning Medtronic Product and Supplier Technology Roadmaps. GTS accelerates innovation through suppliers to create a sustainable competitive advantage.
As part of the GSM Project Management function, the Technical Sourcing Program Manager will lead the reduction of overall supply risk and drive the adoption of capable technologies and sources in New Product Development, ensuring predictable supply and competitiveness through full Product Launch. Technical Sourcing is responsible for the timely execution of all project deliverables in the Product Development Process (PDP).
As the Technical Sourcing Program Manager, you will be the primary liaison between the product development team and suppliers, ensuring supplier capabilities align with project needs to meet NPD milestones and timelines.
You will:
* Partner with cross\-functional team members and suppliers to identify and plan GTS deliverables needed to support all phases of the NPD program through commercial launch.
* Lead Phase Gate and Transfer to Operations Reviews with stakeholders for each NPD phase.
* Lead the identification, evaluation, and selection of suppliers aligned to program objectives and sourcing strategies.
* Optimize supply chain flow to drive cost savings and cycle time efficiency.
* Ensure material costs and program budgets align with targets through supplier negotiations while influencing design and manufacturing strategies.
* Oversee supplier DRM activities and drive early engagement with suppliers on NUDs (New, Unique, Difficult components).
* Partner with Category Management and Legal to identify and create applicable legal agreements with suppliers.
* Identify and own mitigation plans to burn down supplier and supply\-related BOM risks.
* Act as the liaison between suppliers and the project team to drive oversight and resolve supplier\-caused issues.
* Manage product orders to ensure accurate quantities and configurations arrive on time for all program development stages.
* Manage inventories in alignment with NPD inventory policies, program build needs, and commercial launch plans.
* Partner with Supplier Quality Engineering to drive PPAP qualification activities at the supplier.
* Develop and oversee supplier capacity plans to ensure product availability after commercial launch.
* Identify and capture future supplier cost\-down opportunities.
* Partner with Category Management to ensure supplier pricing agreements are in place.
* Oversee and support inventory and ERP production release activities.
* Provide hyper\-care support after commercial launch.
**Must\-Have:**
* Bachelor’s degree required.
* Minimum of 5 years of relevant technical and/or sourcing experience or advanced degree with a minimum of 3 years of relevant technical and/or sourcing experience.
**Nice to Have:**
* Bachelor’s degree in an engineering discipline.
* Experience working with suppliers across a broad range of manufacturing technologies with a preferred focus on machined tight tolerance component/assembly suppliers, OEMs, and contract manufacturers.
* Proven communication, leadership, and exceptional interpersonal and team\-building skills, fostering effective collaboration within global teams.
* Extensive experience in project management, including developing and launching medical devices; PMI\-certified professional.
* Proficient in supplier management, negotiation, and overall supply chain processes.
* Skilled in Lean and Six Sigma methodologies with expertise in Design for Reliability and Manufacturability.
* Strong business understanding and the ability to influence objectives in a matrix organization.
* Broad experience in manufacturing processes and material/component replacement initiatives.
* Knowledgeable in design, production, and supplier\-related efforts for medical device development.
* Ability to travel: 10\-25%
**Physical Job Requirements**
The above statements are intended to describe the general nature and level of work being performed by employees assigned to this position, but they are not an exhaustive list of all the required responsibilities and skills of this position.
The physical demands described within the Responsibilities section of this job description are representative of those that must be met by an employee to successfully perform the essential functions of this job. Reasonable accommodations may be made to enable individuals with disabilities to perform the essential functions. For Office Roles: While performing the duties of this job, the employee is regularly required to be independently mobile. The employee is also required to interact with a computer, and communicate with peers and co\-workers. Contact your manager or local HR to understand the Work Conditions and Physical requirements that may be specific to each role.
**Benefits \&amp; Compensation**
============================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Salary ranges for U.S (excl. PR) locations (USD):$115,200\.00 \- $172,800\.00  
This position is eligible for a short\-term incentive called the Medtronic Incentive Plan (MIP).
The base salary range is applicable across the United States, excluding Puerto Rico and specific locations in California. The offered rate complies with federal and local regulations and may vary based on factors such as experience, certification/education, market conditions, and location. Compensation and benefits information pertains solely to candidates hired within the United States (local market compensation and benefits will apply for others).
The following benefits and additional compensation are available to those regular employees who work 20\+ hours per week: Health, Dental and vision insurance , Health Savings Account , Healthcare Flexible Spending Account , Life insurance, Long\-term disability leave , Dependent daycare spending account , Tuition assistance/reimbursement , and Simple Steps (global well\-being program).  
The following benefits and additional compensation are available to all regular employees: Incentive plans, 401(k) plan plus employer contribution and match , Short\-term disability , Paid time off , Paid holidays , Employee Stock Purchase Plan , Employee Assistance Program , Non\-qualified Retirement Plan Supplement (subject to IRS earning minimums) , and Capital Accumulation Plan (available to Vice Presidents and above, or subject to IRS earning minimums).  
Regular employees are those who are not temporary, such as interns. Temporary employees are eligible for paid sick time, as required under applicable state law, and the Employee Stock Purchase Plan. Please note some of the above benefits may not apply to workers in Puerto Rico.  
Further details are available at the link below:
**About Medtronic**
===================
We lead global healthcare technology and boldly attack the most challenging health problems facing humanity by searching out and finding solutions.
Our Mission — to alleviate pain, restore health, and extend life — unites a global team of 95,000\+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
It is the policy of Medtronic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Medtronic will provide reasonable accommodations for qualified individuals with disabilities.
If you are applying to perform work for Medtronic, Inc. (“Medtronic”) in any position which will involve performing at least two (2\) hours of work on average each week within the unincorporated areas of Los Angeles County, you can find here a list of all material job duties of the specific job position which Medtronic reasonably believes that criminal history may have a direct, adverse and negative relationship potentially resulting in the withdrawal of a conditional offer of employment. Medtronic will consider for employment qualified job applicants with arrest or conviction records in accordance with the Los Angeles County Fair Chance Ordinance for Employers and the California Fair Chance Act.</t>
        </is>
      </c>
    </row>
    <row r="6">
      <c r="A6" t="inlineStr">
        <is>
          <t>in-8bd0ef75787ec3c8</t>
        </is>
      </c>
      <c r="B6" t="inlineStr">
        <is>
          <t>Product Manager</t>
        </is>
      </c>
      <c r="C6" t="inlineStr">
        <is>
          <t>Owens Corning</t>
        </is>
      </c>
      <c r="D6" t="inlineStr">
        <is>
          <t>indeed</t>
        </is>
      </c>
      <c r="E6" t="inlineStr"/>
      <c r="F6" t="inlineStr"/>
      <c r="G6" t="inlineStr">
        <is>
          <t>Tampa, FL, US</t>
        </is>
      </c>
      <c r="H6" s="2" t="n">
        <v>46039</v>
      </c>
      <c r="I6" t="inlineStr">
        <is>
          <t>PURPOSE OF THE JOB  
The Product Manager is responsible for leading product strategy, execution, and performance across building industry market segments and customers. The role drives channel\-specific product planning, innovation, and lifecycle management to ensure growth, differentiation, and operational excellence in the retail or wholesale environment.  
Ideal candidate brings a strong understanding of the building materials industry, through a market back lens and creating opportunities throughout the value chain while having a technical product knowledge and the ability to lead cross\-functional teams. **Reports to**: Director, Exterior/Interior Doors **Span of Control**: Individual Contributor  
JOB RESPONSIBILITIES  
**PRODUCT STRATEGY and LIFECYCLE MANAGEMENT*** Own the product portfolio of the doors business across retail or wholesale distribution channels
* Develop and execute channel\-specific product strategies, including new product introductions, line refreshes and discontinuations for select product category.
* Ensure alignment with brand positioning, customer needs, and competitive landscape that increases consumer willingness to pay to drive margin accretive plans.
 **CHANNEL EXECUTION*** Partner with sales, marketing, and operations to deliver compelling assortments that enhance shopper \&amp; customer journey and drive sales, while improving mix.
* Work with cross\-functional teams to ensure product setup, data accuracy, and content delivery across retail or wholesale distribution systems.
* Monitor performance metrics and drive actions to improve sales and margins.
 **CROSS\-FUNCTIONAL COLLABORATION*** Collaborate with engineering, supply chain, finance, and customer service to ensure product readiness and support.
* Work closely with marketing to develop product positioning, messaging, packaging, signage, and promotional materials tailored to each customer as needed.
* Serve as the voice of customer in product development and commercialization processes.
 **MARKET \&amp; CUSTOMER INSIGHTS*** Analyze market trends, consumer preferences, and competitive activity to inform product decisions.
* Conduct field visits, customer interviews, and performance reviews to identify opportunities and gaps.
* Translate insights into actional product enhancements and channel strategies.
JOB REQUIREMENTS **MINIMUM QUALIFICATIONS**:* Bachelor’s degree in business, marketing, or related field (MBA preferred
* 5\+ years of experience in product management, building materials or home improvement retailer
* Proven success of managing product lifecycles
* Strong analytical, project management, and organizational skills
* Ability to travel as needed to customer meetings, trade shows, manufacturing locations and field visits
 **KNOWLEDGE, SKILLS \&amp; ABILITIES**:* **Channel Knowledge**: Deep understanding of retail and/or wholesale distribution operations, systems and customer base.
* **Product Management**: Experience in managing product portfolios, launches, and lifecycle strategies.
* **Cross\-Functional Leadership**: Ability to lead and influence across sales, marketing, engineering, and operations.
* **Systems and Data Knowledge:** Familiarity with product information management systems, erp, and customer portals.
* **Customer\-Centric Mindset**: Focused on delivering value and ease of selling through retail and wholesale channels.
* **Analytical Thinking**: Strong skills in performance analysis and business case development.
\#LI\-DB1 \#LI\-ONSITE
**About Owens Corning**
Owens Corning is a residential and commercial building products leader committed to building a sustainable future through material innovation. Our products provide durable, sustainable, energy\-efficient solutions that leverage our unique capabilities and market\-leading positions to help our customers win and grow. We are global in scope, human in scale with more than 25,000 employees in 31 countries dedicated to generating value for our customers and shareholders and making a difference in the communities where we work and live. Founded in 1938 and based in Toledo, Ohio, USA, Owens Corning posted 2024 sales of $11\.0 billion. For more information, visit www.owenscorning.com.
Owens Corning is an equal opportunity employer. Except in limited circumstances such as formal apprenticeship programs, Owens Corning does not employ anyone under the age of 18\.</t>
        </is>
      </c>
    </row>
    <row r="7">
      <c r="A7" t="inlineStr">
        <is>
          <t>in-47ec973a7219d462</t>
        </is>
      </c>
      <c r="B7" t="inlineStr">
        <is>
          <t>Program Manager</t>
        </is>
      </c>
      <c r="C7" t="inlineStr">
        <is>
          <t>Tecomet</t>
        </is>
      </c>
      <c r="D7" t="inlineStr">
        <is>
          <t>indeed</t>
        </is>
      </c>
      <c r="E7" t="inlineStr"/>
      <c r="F7" t="inlineStr"/>
      <c r="G7" t="inlineStr">
        <is>
          <t>Woburn, MA, US</t>
        </is>
      </c>
      <c r="H7" s="2" t="n">
        <v>46039</v>
      </c>
      <c r="I7" t="inlineStr">
        <is>
          <t>**Program Manager**
**Position Summary**
The Program Manager will drive execution excellence and operational efficiency of a cross\-functional team responsible for delivering new product introductions (NPI) and product transfers for Tecomet's customers on time and within budget. This role manages complex projects, including capital and cost\-improvement initiatives, requiring a solid understanding of project finances and the ability to meet company performance metrics.
The role requires adherence to Tecomet's principles of continuous improvement and customer\-driven innovation, while ensuring project profitability and budget compliance.
**Principle Responsibilities**
**Execution \&amp; Financial Oversight**
* Utilizes Tecomet Stage/Gate and NPI processes to deliver projects that meet technical quality, schedule, and cost requirements.
* Ensures project results align with the approved capital and operational budgets.
* Drives assigned programs from early\-stage development through production, maintaining a focus on resource efficiency and spend management.
**Project Strategy \&amp; Documentation**
* Develops and maintains program schedules, resource plans, risk registers, and financial forecasts to ensure successful delivery.
* Organizes and updates project information for internal and external transparency, including tracking against targeted milestones.
* Completes and reports on project risk assessments, proactively identifying potential cost overruns.
* Looks for gaps in understanding between internal and customer teams and drives for clarity regarding project scope and commercial obligations.
* Completes all metric reporting, including monthly project financial health updates.
**Active Team Leadership**
* Drives project through each stage/gate review and completes required documentation, ensuring financial targets are being met at each phase.
* Schedules and leads periodic team meetings to review progress and assign tasks according to the project plan.
* Facilitates communication between engineering, supply chain, and quality teams to keep projects on track and within financial scope.
* Proactively identifies risks, develops solutions, and drives to consensus with Tecomet and customer teams.
* Utilizes Director of NPI and Site Leader for escalation purposes and the removal of barriers.
**Continuous Improvement**
* Actively identifies continuous improvement opportunities within the NPI process to reduce waste and improve margins.
* Engages in problem\-solving as a core member of the site leadership team.
**Qualification Requirements**
**Credentials/Experience:**
* PMP certification a plus.
**Experience/Educational/Training Preferred:**
* Bachelor's degree (B.A./B.S.), minimum of three years experience in program management or engineering within medical device, aerospace, or industrial manufacturing.
* Experience working with customers, sales, and operations is preferred.
* Experience in a contract manufacturer or job shop environment a plus.
**Knowledge, Skills, and Abilities:**
* Strong communication skills up and down the organization.
* Basic financial acumen, specifically in managing project budgets and forecasting costs.
* Ability to solve problems with minimal supervision and make sound decisions.
* Effectively interface with different levels of the organization to achieve goals.
* Sense of urgency evident in all aspects of work.
* Proficiency in MS Office Suite (Excel, Project, Word, PowerPoint) and ERP systems to **monitor project accounts**.
* Salesforce and Cloudcoach Experience a Plus.
**Other Requirements**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**Physical Requirements**
While performing the duties of this job, the employee could be required to stand. The employee could frequently be required to walk; use hand to finger, handle, or feel; reach with hands and arms and talk or hear. The employee could be required to sit; climb or balance and stoop, kneel, crouch, or crawl. The employee could occasionally lift and or move up to 50 pounds. Specific vision abilities required by the job could include close vision, distance vision, peripheral vision, and ability to adjust focus.
**Travel Requirements**
Up to 25%
**Americans with Disabilities Act (ADA):** Reasonable accommodations may be made to enable individuals with disabilities to perform the essential functions.
*The statements herein are intended to describe the general nature and level of work being performed by employees and are not to be construed as an exhaustive list of responsibilities, duties, and skills required of personnel so classified. Furthermore, they do not establish a contract for employment and are subject to change at the discretion of the Company.*
Pay Transparency In order to support the Fair Compensation Strategy by the US Govt., HR Dept., clients are required to adhere to "Pay Transparency Law"; in the impacted states; that have mandated the employers to list the salary ranges in Job advertisements or postings for job opportunities and Job promotions.</t>
        </is>
      </c>
    </row>
    <row r="8">
      <c r="A8" t="inlineStr">
        <is>
          <t>in-d2a190f0417048a0</t>
        </is>
      </c>
      <c r="B8" t="inlineStr">
        <is>
          <t>AI Product Manager, II</t>
        </is>
      </c>
      <c r="C8" t="inlineStr">
        <is>
          <t>Zebra Technologies</t>
        </is>
      </c>
      <c r="D8" t="inlineStr">
        <is>
          <t>indeed</t>
        </is>
      </c>
      <c r="E8" t="inlineStr"/>
      <c r="F8" t="inlineStr"/>
      <c r="G8" t="inlineStr">
        <is>
          <t>Lincolnshire, IL, US</t>
        </is>
      </c>
      <c r="H8" s="2" t="n">
        <v>46029</v>
      </c>
      <c r="I8" t="inlineStr">
        <is>
          <t>**Remote Work: Hybrid**
 **Overview:**
At Zebra, we are a community of innovators who come together to create new ways of working. United by curiosity and a culture of caring, we develop smart solutions that anticipate our customer’s and partner’s needs and solve their challenges.  
Being a part of Zebra Nation means you are seen, heard, valued, and respected. Drawing from our unique perspectives, we collaborate to deliver on our purpose. Here you are a part of a team pushing boundaries today to redefine the work of tomorrow for organizations, their employees, and those they serve.  
You'll have opportunities to learn and lead in a forward\-thinking environment, defining your path to a fulfilling career while channeling your skills toward causes you care about – locally and globally.  
Come make an impact every day at Zebra.  
We are seeking a strategic thinker to join our Product Management team, which is at the forefront of innovation. You will be responsible for helping shape the product strategy for new Generative AI\-based offerings, driving development, launch, and adoption of products to positively impact the customer experience and market share. This is a key role for a product manager passionate about emerging AI technology and solving complex problems.
 **This role is a hybrid position and requires a minimum of three days per week in one of the Zebra office locations listed below:** Zebra reserves the right to modify your work location based on business need.
* Kennesaw, GA
* Lincolnshire, IL
* Holtsville, NY
* Mississauga, Ontario CANADA
This posting is for an existing vacancy at Zebra Technologies.
 **Responsibilities:**  
* Continuously monitoring the rapidly evolving AI landscape and through deep knowledge of the market and customer requirements, defines requirements for assigned AI\-powered products and solutions.
* Contributes to development and presentation of routine business cases by completing supportive research and other tasks under the supervision of senior team members.
* Supports the quarterly Program Increment planning following Agile Scrum techniques, following the solution/product roadmap from the Sr. Product Manager to define and set development priorities.
* Supports Sr. Product Manager in executing product lifecycle activities for assigned product lines.
* Recommends complete or partial offer definitions that cross business units.
* Supports or Leads team as Product Owner following the ALM process to develop product(s) and/or solution(s) validating feature and functional requirements are met.
* Leads or supports the POC and Pilot process, with guidance from Sr. Product Manager, by identifying customer targets, developing, implementing and monitoring plan. Presents results to development and senior team members.
* Participates and/or leads product launch activities as member of cross functional team. Tasks include SKU setup, ROI model creation, marketing collateral input and feedback, conducting training and webinars.
**Qualifications:** **Minimum Qualifications:**
* Bachelor’s degree in Engineering with 2\+ years of experience in software development/ product development.
**Preferred Qualifications:**
* Master's degree in Engineering or Business Administration.
* Previous experience in Product Management, Product Marketing, Business Analyst, or related role
* Proficiency in JIRA
* Intermediate level skills in using AI assistant/ agents.
**Key Skills and Competencies**
* **Technical Acumen:** Strong understanding of complex AI systems and emerging technology trends.
* **Strategic Application:** Ability to connect technological capabilities with customer needs to identify business opportunities.
* **Analytical Problem\-Solving:** A "first principles" approach to solving problems by questioning assumptions and building solutions from the ground up.
* Intermediate Market knowledge in assigned category
* Strong familiarity with product life cycle activities. Preference to agile product development methodologies and previous launch of products.
* Strong attention to detail/quality
* Strong business acumen
* Intermediate business analyst skills to analyze project related data sets.
* Intermediate presentation skills. Some formal training in public speaking/presentation skills preferred.
* Intermediate level skills in Microsoft business applications \- PowerPoint, Excel, Word and Outlook.
**Salary: CAD** **$****60,000** **\- CAD** **$1****10,000** **yearly**
Zebra is an equal opportunity employer. All qualified candidates will receive consideration for employment without regard to race, color, religion, sex, sexual orientation, gender identify, national origin, disability, protected veteran status, or any other basis prohibited by law. If you are an individual with a disability and need assistance in applying for a position, please contact us at workplace.accommodations@zebra.com. We will ensure that individuals with disabilities are provided reasonable accommodation to participate in the job application or interview process, to perform crucial job functions, and to receive other benefits and privileges of employment.
Know Your Rights:
https://www.eeoc.gov/sites/default/files/2022\-10/EEOC\_KnowYourRights\_screen\_reader\_10\_20\.pdf
Conozca sus Derechos:
https://www.eeoc.gov/sites/default/files/2022\-10/22\-088\_EEOC\_KnowYourRightsSp\_10\_20\.pdf
We will ensure that individuals with disabilities are provided reasonable accommodation to participate in the job application or interview process, to perform crucial job functions, and to receive other benefits and privileges of employment. Please contact us to request accommodation.
Zebra is a federal contractor and is committed to an alcohol and drug free workplace. As a result, all U.S. based employees are subject to the Drug and Alcohol Free Workplace Policy and Procedure.
Zebra Technologies is committed to ensuring equal access and participation for people with disabilities. We are committed to treating people with disabilities in a way that allows them to maintain their dignity and independence. We are also committed to giving people with disabilities the same opportunity to access our services and allowing them to benefit from the same services, in the same place and in a similar way as other clients. We will do so by removing and preventing barriers to accessibility and meeting our accessibility requirements under the Accessibility for Ontarians with Disabilities Act and Ontario’s accessibility laws. In keeping with these commitments, for any applicant, employee or customer that needs accessibility assistance, kindly direct all inquiries to workplace.acc@zebra.com.
Zebra Total Rewards includes more than just pay and is structured to meet the needs of our changing global business and evolving talent. We are committed to providing our employees with a benefits program that is comprehensive and competitive – including healthcare, wellness, inclusion networks, and continued learning and development offerings. We offer community service days, in addition to the traditional insurances, compensation, parental leave, employee assistance program and paid time off offerings depending on the country where you work.
 **Salary:** USD 76600\.00 \- USD 115000\.00 Yearly
Salary offered will vary depending on your location, job\-related skills, knowledge, and experience.  
Additionally, all Zebra roles are eligible for cash incentive programs. For example, sales roles have additional opportunity to earn substantial variable compensation tied to quota achievement. In most other roles, the Zebra annual cash incentive program links Company and individual performance together. Some roles may also be eligible for long\-term incentive equity awards.
To protect candidates from falling victim to online fraudulent activity involving fake job postings and employment offers, please be aware our recruiters will always connect with you via @zebra.com email accounts. Applications are only accepted through our applicant tracking system and only accept personal identifying information through that system. Our Talent Acquisition team will not ask for you to provide personal identifying information via e\-mail or outside of the system. If you are a victim of identity theft contact your local police department.  
Zebra Technologies leverages AI technology to evaluate job applications using objective, job\-relevant criteria. This approach enhances efficiency and promotes fairness in the hiring process. However, every decision regarding interviews and hiring is made by our dedicated team, because we believe people make the best decisions about people. For more on how we use technology in hiring and how we process applicant data, see our **Zebra Privacy Policy**.</t>
        </is>
      </c>
    </row>
    <row r="9">
      <c r="A9" t="inlineStr">
        <is>
          <t>in-b1fd6380b98249cd</t>
        </is>
      </c>
      <c r="B9" t="inlineStr">
        <is>
          <t>Technical Program Manager - Music Growth Tech, Amazon Music Marketing and Growth Tech</t>
        </is>
      </c>
      <c r="C9" t="inlineStr">
        <is>
          <t>Amazon.com</t>
        </is>
      </c>
      <c r="D9" t="inlineStr">
        <is>
          <t>indeed</t>
        </is>
      </c>
      <c r="E9" t="inlineStr"/>
      <c r="F9" t="inlineStr"/>
      <c r="G9" t="inlineStr">
        <is>
          <t>Culver City, CA, US</t>
        </is>
      </c>
      <c r="H9" s="2" t="n">
        <v>45988</v>
      </c>
      <c r="I9" t="inlineStr">
        <is>
          <t>**DESCRIPTION**
---------------
Love music? Want to build consumer\-facing products that touches the lives of millions of people? Combine your passions and come reinvent music listening with us! We’re working hard, having fun, and making history here at Amazon Music.  
The Growth team is a critical driver for Amazon Music’s rise in the digital streaming space. Our team focuses on building and improving products and features that reveal the best of Amazon Music to customers globally. We are fast and nimble, scaling after we have proved merit. We experiment with hypotheses through A/B tests and build personalized features that provide a more streamlined experience for Amazon customers. We develop products throughout the customer lifecycle including customer acquisition, on\-boarding, engagement and retention. We believe in creating empowered and diverse teams where everyone can contribute to our product vision and roadmap.  
As a Technical Program Manager at Amazon Music, you will have the opportunity to work closely with product, design, software development and platform teams to implement strategy and execution. You will collaborate with the product teams to deliver the best solutions with efficient use of resources and technologies. You will make strong business cases for project prioritization and investment. You will also assess risks, anticipate bottlenecks, make tradeoffs, balance the business needs versus technical constraints and inspire risk\-taking behavior to maximize business benefit. If you enjoys solving problems in a dynamic environment and influencing business and technical leaders with your creative solutions, we want to talk to you!  
Key job responsibilities  
We are looking for an experienced Technical Program Manager (TPM) to join our CCMP/Growth team. You will partner with our Business Stakeholders, Product Owners and Software Engineering teams to ensure requirements are clearly captured, documented, designed, tested and delivered.  
Key Responsibilities  
* Delivering highly calibrated technical writing and documentation to a wide audience.
* Managing complex growth experiments and inter/intra Music product programs from start to finish
* Independently leading cross\-functional projects with disparate stakeholders, effectively balancing priorities and making smart trade\-offs.
* Delivering strategy and business review communications at the executive level and guiding discussion around them.
* Evaluating potential risks and how to address them; be able to deliver high priority projects
* Prioritizing mitigation efforts using risk management concepts.
A day in the life  
This high visibility role will require senior leadership communication and influencing while working with stakeholders across multiple organizations. You will regularly deep dive issues to determine the root cause and partner with stakeholders for resolution, including the right stakeholders as needed. This role has regular interaction with various business units across Amazon Music and requires strong interpersonal and communication skills. You will manage end\-to\-end projects, often managing multiple projects/programs at once, while demonstrating high judgement, clear communication, creative approaches, the ability to think big, and a consistent track record of delivering results.  
About the team  
About Amazon Music:  
Amazon Music is an immersive audio entertainment service that deepens connections between fans, artists, and creators. From personalized music playlists to exclusive podcasts, concert livestreams to artist merch, Amazon Music is innovating at some of the most exciting intersections of music and culture. We offer experiences that serve all listeners with our different tiers of service: Prime members get access to all the music in shuffle mode, and top ad\-free podcasts, included with their membership; customers can upgrade to Amazon Music Unlimited for unlimited, on\-demand access to 100 million songs, including millions in HD, Ultra HD, and spatial audio; and anyone can listen for free by downloading the Amazon Music app or via Alexa\-enabled devices. Join us for the opportunity to influence how Amazon Music engages fans, artists, and creators on a global scale. Learn more at https://www.amazon.com/music.**BASIC QUALIFICATIONS**
------------------------
* 3\+ years of technical product or program management experience
* 2\+ years of software development experience
* 3\+ years of project management disciplines including scope, schedule, budget, quality, along with risk and critical path management experience
* Experience managing programs across cross functional teams, building processes and coordinating release schedules
* Experience building and evaluating system\-level technical design
* Experience developing and executing/delivering product and technical roadmaps
**PREFERRED QUALIFICATIONS**
----------------------------
* 3\+ years of working directly with engineering teams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$114,500/year in our lowest geographic market up to $197,800/year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
      <c r="A10" t="inlineStr">
        <is>
          <t>in-a62513a1927f60a8</t>
        </is>
      </c>
      <c r="B10" t="inlineStr">
        <is>
          <t>Technical Program Manager - Music Growth Tech, Amazon Music Marketing and Growth Tech</t>
        </is>
      </c>
      <c r="C10" t="inlineStr">
        <is>
          <t>Amazon.com</t>
        </is>
      </c>
      <c r="D10" t="inlineStr">
        <is>
          <t>indeed</t>
        </is>
      </c>
      <c r="E10" t="inlineStr"/>
      <c r="F10" t="inlineStr"/>
      <c r="G10" t="inlineStr">
        <is>
          <t>Seattle, WA, US</t>
        </is>
      </c>
      <c r="H10" s="2" t="n">
        <v>45988</v>
      </c>
      <c r="I10" t="inlineStr">
        <is>
          <t>**DESCRIPTION**
---------------
Love music? Want to build consumer\-facing products that touches the lives of millions of people? Combine your passions and come reinvent music listening with us! We’re working hard, having fun, and making history here at Amazon Music.  
The Growth team is a critical driver for Amazon Music’s rise in the digital streaming space. Our team focuses on building and improving products and features that reveal the best of Amazon Music to customers globally. We are fast and nimble, scaling after we have proved merit. We experiment with hypotheses through A/B tests and build personalized features that provide a more streamlined experience for Amazon customers. We develop products throughout the customer lifecycle including customer acquisition, on\-boarding, engagement and retention. We believe in creating empowered and diverse teams where everyone can contribute to our product vision and roadmap.  
As a Technical Program Manager at Amazon Music, you will have the opportunity to work closely with product, design, software development and platform teams to implement strategy and execution. You will collaborate with the product teams to deliver the best solutions with efficient use of resources and technologies. You will make strong business cases for project prioritization and investment. You will also assess risks, anticipate bottlenecks, make tradeoffs, balance the business needs versus technical constraints and inspire risk\-taking behavior to maximize business benefit. If you enjoys solving problems in a dynamic environment and influencing business and technical leaders with your creative solutions, we want to talk to you!  
Key job responsibilities  
We are looking for an experienced Technical Program Manager (TPM) to join our CCMP/Growth team. You will partner with our Business Stakeholders, Product Owners and Software Engineering teams to ensure requirements are clearly captured, documented, designed, tested and delivered.  
Key Responsibilities  
* Delivering highly calibrated technical writing and documentation to a wide audience.
* Managing complex growth experiments and inter/intra Music product programs from start to finish
* Independently leading cross\-functional projects with disparate stakeholders, effectively balancing priorities and making smart trade\-offs.
* Delivering strategy and business review communications at the executive level and guiding discussion around them.
* Evaluating potential risks and how to address them; be able to deliver high priority projects
* Prioritizing mitigation efforts using risk management concepts.
A day in the life  
This high visibility role will require senior leadership communication and influencing while working with stakeholders across multiple organizations. You will regularly deep dive issues to determine the root cause and partner with stakeholders for resolution, including the right stakeholders as needed. This role has regular interaction with various business units across Amazon Music and requires strong interpersonal and communication skills. You will manage end\-to\-end projects, often managing multiple projects/programs at once, while demonstrating high judgement, clear communication, creative approaches, the ability to think big, and a consistent track record of delivering results.  
About the team  
About Amazon Music:  
Amazon Music is an immersive audio entertainment service that deepens connections between fans, artists, and creators. From personalized music playlists to exclusive podcasts, concert livestreams to artist merch, Amazon Music is innovating at some of the most exciting intersections of music and culture. We offer experiences that serve all listeners with our different tiers of service: Prime members get access to all the music in shuffle mode, and top ad\-free podcasts, included with their membership; customers can upgrade to Amazon Music Unlimited for unlimited, on\-demand access to 100 million songs, including millions in HD, Ultra HD, and spatial audio; and anyone can listen for free by downloading the Amazon Music app or via Alexa\-enabled devices. Join us for the opportunity to influence how Amazon Music engages fans, artists, and creators on a global scale. Learn more at https://www.amazon.com/music.**BASIC QUALIFICATIONS**
------------------------
* 3\+ years of technical product or program management experience
* 2\+ years of software development experience
* 3\+ years of project management disciplines including scope, schedule, budget, quality, along with risk and critical path management experience
* Experience managing programs across cross functional teams, building processes and coordinating release schedules
* Experience building and evaluating system\-level technical design
* Experience developing and executing/delivering product and technical roadmaps
**PREFERRED QUALIFICATIONS**
----------------------------
* 3\+ years of working directly with engineering teams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$114,500/year in our lowest geographic market up to $197,800/year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
      <c r="A11" t="inlineStr">
        <is>
          <t>in-921ae17109055cdf</t>
        </is>
      </c>
      <c r="B11" t="inlineStr">
        <is>
          <t>Sr. Product Manager</t>
        </is>
      </c>
      <c r="C11" t="inlineStr">
        <is>
          <t>Amazon.com</t>
        </is>
      </c>
      <c r="D11" t="inlineStr">
        <is>
          <t>indeed</t>
        </is>
      </c>
      <c r="E11" t="inlineStr"/>
      <c r="F11" t="inlineStr"/>
      <c r="G11" t="inlineStr">
        <is>
          <t>Los Angeles, CA, US</t>
        </is>
      </c>
      <c r="H11" s="2" t="n">
        <v>45979</v>
      </c>
      <c r="I1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
      <c r="A12" t="inlineStr">
        <is>
          <t>in-a7798e5c247fa9b8</t>
        </is>
      </c>
      <c r="B12" t="inlineStr">
        <is>
          <t>Sr. Product Manager</t>
        </is>
      </c>
      <c r="C12" t="inlineStr">
        <is>
          <t>Amazon.com</t>
        </is>
      </c>
      <c r="D12" t="inlineStr">
        <is>
          <t>indeed</t>
        </is>
      </c>
      <c r="E12" t="inlineStr"/>
      <c r="F12" t="inlineStr"/>
      <c r="G12" t="inlineStr">
        <is>
          <t>Irvine, CA, US</t>
        </is>
      </c>
      <c r="H12" s="2" t="n">
        <v>45979</v>
      </c>
      <c r="I1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in-f08402674bfd7f70</t>
        </is>
      </c>
      <c r="B13" t="inlineStr">
        <is>
          <t>Sr. Product Manager</t>
        </is>
      </c>
      <c r="C13" t="inlineStr">
        <is>
          <t>Amazon.com</t>
        </is>
      </c>
      <c r="D13" t="inlineStr">
        <is>
          <t>indeed</t>
        </is>
      </c>
      <c r="E13" t="inlineStr"/>
      <c r="F13" t="inlineStr"/>
      <c r="G13" t="inlineStr">
        <is>
          <t>New York, NY, US</t>
        </is>
      </c>
      <c r="H13" s="2" t="n">
        <v>45979</v>
      </c>
      <c r="I1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in-1eb6897ae1631c46</t>
        </is>
      </c>
      <c r="B14" t="inlineStr">
        <is>
          <t>Sr. Product Manager</t>
        </is>
      </c>
      <c r="C14" t="inlineStr">
        <is>
          <t>Amazon.com</t>
        </is>
      </c>
      <c r="D14" t="inlineStr">
        <is>
          <t>indeed</t>
        </is>
      </c>
      <c r="E14" t="inlineStr"/>
      <c r="F14" t="inlineStr"/>
      <c r="G14" t="inlineStr">
        <is>
          <t>San Francisco, CA, US</t>
        </is>
      </c>
      <c r="H14" s="2" t="n">
        <v>45979</v>
      </c>
      <c r="I1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in-342f10abce44a94b</t>
        </is>
      </c>
      <c r="B15" t="inlineStr">
        <is>
          <t>Sr. Product Manager</t>
        </is>
      </c>
      <c r="C15" t="inlineStr">
        <is>
          <t>Amazon.com</t>
        </is>
      </c>
      <c r="D15" t="inlineStr">
        <is>
          <t>indeed</t>
        </is>
      </c>
      <c r="E15" t="inlineStr"/>
      <c r="F15" t="inlineStr"/>
      <c r="G15" t="inlineStr">
        <is>
          <t>Seattle, WA, US</t>
        </is>
      </c>
      <c r="H15" s="2" t="n">
        <v>45979</v>
      </c>
      <c r="I1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in-970a89e24a30973b</t>
        </is>
      </c>
      <c r="B16" t="inlineStr">
        <is>
          <t>C2BMC Enterprise Management Program Manager</t>
        </is>
      </c>
      <c r="C16" t="inlineStr">
        <is>
          <t>Lockheed Martin</t>
        </is>
      </c>
      <c r="D16" t="inlineStr">
        <is>
          <t>indeed</t>
        </is>
      </c>
      <c r="E16" t="inlineStr"/>
      <c r="F16" t="inlineStr"/>
      <c r="G16" t="inlineStr">
        <is>
          <t>Colorado Springs, CO, US</t>
        </is>
      </c>
      <c r="H16" s="2" t="n">
        <v>45970</v>
      </c>
      <c r="I16" t="inlineStr">
        <is>
          <t>**Job ID:** 710479BR
**Date posted:** Nov. 10, 2025  
**Description:****WHAT WE'RE DOING**  
"Control the Chaos.  
Control the Outcome.  
C4ISR is the foundation of every mission.  
Lockheed Martin's C4ISR technologies bring clarity to global complexity. We're developing the technologies and infrastructure to detect and act with speed, precision and sureness.  
Discover how we're using advanced C4ISR results to turn abstract data into operational decidedness."  
**WHO WE ARE**  
"Our customers are world\-wide and so is our reputation for creating original solutions with the latest technologies. Our products keep our customers safe and bring them home to their families at night.  
We provide the resources, inspiration, and focus \- if you have the resourcefulness and perseverance to work hard, then we want to create a better tomorrow with you."  
**WHO YOU ARE**  
At Lockheed Martin, we are dedicated to delivering cutting\-edge defense solutions that protect national security and strengthen global stability. Our C2BMC (Command and Control, Battle Management, and Communications) team plays a vital role in supporting one of the Missile Defense Agency's (MDA) most critical missions. The C2BMC program is an IDIQ\-structured effort responsible for the design, development, deployment, integration, testing, operations, and sustainment of a software\-based Command and Control (C2\) and Battle Management system. This system provides U.S. commanders around the world with essential situational awareness and serves as the integrating element central to MDA's missile defense missions.  
**THE WORK**  
As part of the C2BMC team, the selected candidate will perform Program Manager duties for Enterprise Management where responsibilities would include management of Task Order (TO) 01 Enterprise Management CLINs and overall Lead of Risk and Opportunity, Program Plans, and Program Performance across the IDIQ contract.
The position will work closely with the C2BMC Sr. Leadership Team, Program Managers, Finance/Planning \&amp; CAM teams, and Engineering teams to ensure program performance, program plans, and risks/opportunities are effectively monitored/managed and updated.  
Responsibilities Include:  
* Leading program management activities for T01 Enterprise Management PMO and Travel CLINs and ensuring successful execution within cost, schedule, and performance objectives
* Management of overall Award Fee coordination and leading T01 inputs. Engaging with MDA stakeholders and fostering strong customer relationships.
* Coordinating with cross\-functional teams to drive mission success and operational efficiency through management of PEP and 1LMX
* Lead Enterprise Performance and Audits:
o Overall Program Performance and EVM Lead ensuring compliance to Program requirements and LM processes and policies. Lead interface to PPMC\&amp;A.  
o Manage Task Order EVM Leads and PMO CAMs as direct reports  
o Program management support and coordination for Program audits and compliance reviews. Overall tracking of actions to closure  
o Lead Program Management EVM business rhythm and management of any updates required. Rhythm to include consideration of activities for Iteration Planning and Rolling Wave  
* Lead Program Plans and own programmatic process to ensure effective management and coordinate updates as required
* Provide leadership and strategic oversight of the Risk and Opportunity management to optimize program execution
\#RMSPM  
**Basic Qualifications:**  
* Experience in program management, overseeing cost, schedule, and technical baselines for complex defense programs
* Knowledge of risk and opportunity management principles, with a track record of successful mitigation strategies
* Experience managing engineering change proposals, drafting work statements, and leading contract negotiations
* P/L skills and business acumen to include a strong understanding of EVM with demonstrated experience as a Control Account Manager (CAM)
* Experience working with EVM tools (PM Compass, Open Plan, COBRA, wInsight) and Microsoft Office applications
* Experience managing engineering change proposals, drafting work statements, and leading contract negotiations
* Familiarity with government audits (e.g., DCMA, ISO, Financial Audits)
* Experience balancing workload assignments and staffing across a team
**Desired Skills:**  
* Experienced program manager on development programs (\&gt;$10M annually)
* Earned value management (EVM) subject matter expert (SME)
* Experience with Missile Defense Agency
* Experience with large multi\-year Spiral Development and Sustainment Contracts
* Strong project/program management experience
* Experience balancing workload assignments and staffing across a team
* Energized self\-starter with outstanding team leadership and communications skills
* Experience managing program schedules and business rhythms
* Demonstrated experience with scaled AGILE framework for project execution
**Security Clearance Statement:** This position requires a government security clearance, you must be a US Citizen for consideration.  
**Clearance Level:** Secret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Part\-time Remote Telework: The employee selected for this position will work part of their work schedule remotely and part of their work schedule at a designated Lockheed Martin facility. The specific weekly schedule will be discussed during the hiring process.  
**Work Schedules:**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**Schedule for this Position:** 4x10 hour day, 3 days off per week  
**Pay Rate:** The annual base salary range for this position in California, Massachusetts, and New York (excluding most major metropolitan areas), Colorado, Hawaii, Illinois, Maryland, Minnesota, New Jersey, Vermont, Washington or Washington DC is $128,400 \- $226,435\.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**Experience Level:** Experienced Professional  
**Business Unit:** RMS  
**Relocation Available:** Possible  
**Career Area:** Program Management  
**Type:** Full\-Time  
**Shift:** First</t>
        </is>
      </c>
    </row>
    <row r="17">
      <c r="A17" t="inlineStr">
        <is>
          <t>in-74c5ee94d42f5fbe</t>
        </is>
      </c>
      <c r="B17" t="inlineStr">
        <is>
          <t>Program Manager, Executive Content and Programs, Global Executive Marketing</t>
        </is>
      </c>
      <c r="C17" t="inlineStr">
        <is>
          <t>Amazon Web Services</t>
        </is>
      </c>
      <c r="D17" t="inlineStr">
        <is>
          <t>indeed</t>
        </is>
      </c>
      <c r="E17" t="inlineStr"/>
      <c r="F17" t="inlineStr"/>
      <c r="G17" t="inlineStr">
        <is>
          <t>Arlington, VA, US</t>
        </is>
      </c>
      <c r="H17" s="2" t="n">
        <v>45970</v>
      </c>
      <c r="I17" t="inlineStr">
        <is>
          <t>**DESCRIPTION**
---------------
Global Executive Marketing (GEM) creates 1:1 and 1:many engagements between AWS leaders and executive customers through content, messaging, and digital and in\-person experiences. As part of this organization, you'll execute content operations that help forge and strengthen relationships with influential decision\-makers who are transforming their industries using AWS cloud and generative AI.  
We're seeking a Program Manager to lead execution of content strategy for select executive programs, including Executive Summit at AWS re:Invent and digital content initiatives. This role will focus on operational coordination and execution across touchpoints while supporting content development. The candidate will have hands\-on experience in content production, digital asset management, and tactical program execution. This position works on high visibility programs and interacts with a diverse group of globally distributed stakeholders.  
Key job responsibilities  
In this role, you'll:  
* Develop and execute compelling content that supports C\-suite engagement and translates strategic narratives into deliverable assets
* Implement scalable content frameworks and playbooks aligned with AWS priorities, managing day\-to\-day content operations and production workflows
* Coordinate innovative programming across multiple formats including digital, events, and experiential activations to drive executive engagement
* Provide tactical editorial support across marquee 1P executive events to ensure consistent execution and delivery
* Manage content production workflows and coordinate with agencies, vendors, and production teams
* Execute event logistics and content coordination for Executive Summit and other high\-visibility executive programs
* Coordinate digital content initiatives including executive podcasts, video content, and interactive digital experiences
* Manage content calendars, asset libraries, and version control across all executive content initiatives
* Track and report on tactical metrics that support broader engagement and business outcome measurement
A day in the life  
* Coordinate with agencies and vendors on content production timelines and deliverables for upcoming executive programs
* Manage content asset updates and maintain version control across digital platforms and event materials
* Execute logistics and coordination for Executive Summit sessions, including speaker preparation materials and technical requirements
* Collaborate with cross\-functional teams to ensure seamless delivery of digital content initiatives and event programming
* Update project trackers, manage content calendars, and provide status reports on tactical execution progress
About the team  
GEM helps architect the relationships with C\-suite customers, helping to shape the future of cloud computing and AI. Every day brings a new challenge, a chance to innovate, and an opportunity to influence decision\-maker customers.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5\+ years of program or project management experience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in-1e040089278fc293</t>
        </is>
      </c>
      <c r="B18" t="inlineStr">
        <is>
          <t>Program Manager, Executive Content and Programs, Global Executive Marketing</t>
        </is>
      </c>
      <c r="C18" t="inlineStr">
        <is>
          <t>Amazon Web Services</t>
        </is>
      </c>
      <c r="D18" t="inlineStr">
        <is>
          <t>indeed</t>
        </is>
      </c>
      <c r="E18" t="inlineStr"/>
      <c r="F18" t="inlineStr"/>
      <c r="G18" t="inlineStr">
        <is>
          <t>Seattle, WA, US</t>
        </is>
      </c>
      <c r="H18" s="2" t="n">
        <v>45970</v>
      </c>
      <c r="I18" t="inlineStr">
        <is>
          <t>**DESCRIPTION**
---------------
Global Executive Marketing (GEM) creates 1:1 and 1:many engagements between AWS leaders and executive customers through content, messaging, and digital and in\-person experiences. As part of this organization, you'll execute content operations that help forge and strengthen relationships with influential decision\-makers who are transforming their industries using AWS cloud and generative AI.  
We're seeking a Program Manager to lead execution of content strategy for select executive programs, including Executive Summit at AWS re:Invent and digital content initiatives. This role will focus on operational coordination and execution across touchpoints while supporting content development. The candidate will have hands\-on experience in content production, digital asset management, and tactical program execution. This position works on high visibility programs and interacts with a diverse group of globally distributed stakeholders.  
Key job responsibilities  
In this role, you'll:  
* Develop and execute compelling content that supports C\-suite engagement and translates strategic narratives into deliverable assets
* Implement scalable content frameworks and playbooks aligned with AWS priorities, managing day\-to\-day content operations and production workflows
* Coordinate innovative programming across multiple formats including digital, events, and experiential activations to drive executive engagement
* Provide tactical editorial support across marquee 1P executive events to ensure consistent execution and delivery
* Manage content production workflows and coordinate with agencies, vendors, and production teams
* Execute event logistics and content coordination for Executive Summit and other high\-visibility executive programs
* Coordinate digital content initiatives including executive podcasts, video content, and interactive digital experiences
* Manage content calendars, asset libraries, and version control across all executive content initiatives
* Track and report on tactical metrics that support broader engagement and business outcome measurement
A day in the life  
* Coordinate with agencies and vendors on content production timelines and deliverables for upcoming executive programs
* Manage content asset updates and maintain version control across digital platforms and event materials
* Execute logistics and coordination for Executive Summit sessions, including speaker preparation materials and technical requirements
* Collaborate with cross\-functional teams to ensure seamless delivery of digital content initiatives and event programming
* Update project trackers, manage content calendars, and provide status reports on tactical execution progress
About the team  
GEM helps architect the relationships with C\-suite customers, helping to shape the future of cloud computing and AI. Every day brings a new challenge, a chance to innovate, and an opportunity to influence decision\-maker customers.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5\+ years of program or project management experience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in-a3f22319b4076c48</t>
        </is>
      </c>
      <c r="B19" t="inlineStr">
        <is>
          <t>Sr. Product Manager, AWS Server Supply Chain</t>
        </is>
      </c>
      <c r="C19" t="inlineStr">
        <is>
          <t>Amazon.com</t>
        </is>
      </c>
      <c r="D19" t="inlineStr">
        <is>
          <t>indeed</t>
        </is>
      </c>
      <c r="E19" t="inlineStr"/>
      <c r="F19" t="inlineStr"/>
      <c r="G19" t="inlineStr">
        <is>
          <t>Austin, TX, US</t>
        </is>
      </c>
      <c r="H19" s="2" t="n">
        <v>45956</v>
      </c>
      <c r="I19"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Services \&amp; Supply Chain (AIS\-SC) organization works to deliver leading\-edge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Amazon Web Services (AWS) is seeking a highly effective candidate to identify, create, develop and integrate innovative technology to deliver the best operating, lowest cost infrastructure in the world.
This individual will lead the manufacturing operations of Integrated Circuits needed for Printed Circuit Board Assemblies that meet our customers' rapidly growing infrastructure needs. Successful candidates will bring strong knowledge of Semiconductor supply chains, semiconductor manufacturing operations, quality assurance operations, and provide oversight of outsourced manufacturing teams.
AWS serves over a million active customers in more than 190 countries. We are steadily expanding global infrastructure to help our customers achieve lower latency and higher throughput. As our customers grow their businesses, AWS will continue to provide infrastructure that meets their global requirements.  
Key job responsibilities  
* Develop and implement Printed Circuit Board (PCB) supply chain strategies for AWS hardware infrastructure.
* Understand PCB industry and technology trends.
* Identify key technology trends in the PCB industry and drive supplier product roadmaps and execute on strategic initiatives in those products.
* Negotiate and implement complex supplier agreements and contracts by working with cross\-functional stakeholders.
* Develop negotiations strategies to deliver against business objectives and achieve sustainable relationship with suppliers.
* Responsible to provide weekly team updates, deliver executive level updates on a monthly basis, and will be responsible for vendor escalations in order to resolve any issues related to his/her category.
* Present to senior leadership via written narratives.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Professional traits that are necessary for Amazon leaders:  
* Exhibits excellent judgment
* Has high standards (is never satisfied with the status quo)
* Is able to dive deep and is never out of touch with the details of the business
* Expects and requires innovation of her/his team
* Has passion and convictions and the innate ability to inspire passion in others
* Strong results orientation
* Thinks big
**BASIC QUALIFICATIONS**
------------------------
* 5\+ years of developing, negotiating and executing business agreements experience
* 5\+ years of professional or military experience
* Bachelor's degree
* 5\+ years working with the electronics industry in supply chain, operations, manufacturing, or engineering fields.
**PREFERRED QUALIFICATIONS**
----------------------------
* Experience interpreting data and making business recommendations
* Experience identifying, negotiating, and executing complex legal agreements
* 5\+ years of responding to requests for proposals (e.g., determining requirements, matching requirements to technical approach and solutions, developing solutions against requirements) experience
* 5\+ years of experience in Semiconductor and/or PC Industry development and/or manufacturing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in-130f0817633c5193</t>
        </is>
      </c>
      <c r="B20" t="inlineStr">
        <is>
          <t>Sr. Product Manager, AWS Server Supply Chain</t>
        </is>
      </c>
      <c r="C20" t="inlineStr">
        <is>
          <t>Amazon.com</t>
        </is>
      </c>
      <c r="D20" t="inlineStr">
        <is>
          <t>indeed</t>
        </is>
      </c>
      <c r="E20" t="inlineStr"/>
      <c r="F20" t="inlineStr"/>
      <c r="G20" t="inlineStr">
        <is>
          <t>Cupertino, CA, US</t>
        </is>
      </c>
      <c r="H20" s="2" t="n">
        <v>45956</v>
      </c>
      <c r="I20"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Services \&amp; Supply Chain (AIS\-SC) organization works to deliver leading\-edge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Amazon Web Services (AWS) is seeking a highly effective candidate to identify, create, develop and integrate innovative technology to deliver the best operating, lowest cost infrastructure in the world.
This individual will lead the manufacturing operations of Integrated Circuits needed for Printed Circuit Board Assemblies that meet our customers' rapidly growing infrastructure needs. Successful candidates will bring strong knowledge of Semiconductor supply chains, semiconductor manufacturing operations, quality assurance operations, and provide oversight of outsourced manufacturing teams.
AWS serves over a million active customers in more than 190 countries. We are steadily expanding global infrastructure to help our customers achieve lower latency and higher throughput. As our customers grow their businesses, AWS will continue to provide infrastructure that meets their global requirements.  
Key job responsibilities  
* Develop and implement Printed Circuit Board (PCB) supply chain strategies for AWS hardware infrastructure.
* Understand PCB industry and technology trends.
* Identify key technology trends in the PCB industry and drive supplier product roadmaps and execute on strategic initiatives in those products.
* Negotiate and implement complex supplier agreements and contracts by working with cross\-functional stakeholders.
* Develop negotiations strategies to deliver against business objectives and achieve sustainable relationship with suppliers.
* Responsible to provide weekly team updates, deliver executive level updates on a monthly basis, and will be responsible for vendor escalations in order to resolve any issues related to his/her category.
* Present to senior leadership via written narratives.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Professional traits that are necessary for Amazon leaders:  
* Exhibits excellent judgment
* Has high standards (is never satisfied with the status quo)
* Is able to dive deep and is never out of touch with the details of the business
* Expects and requires innovation of her/his team
* Has passion and convictions and the innate ability to inspire passion in others
* Strong results orientation
* Thinks big
**BASIC QUALIFICATIONS**
------------------------
* 5\+ years of developing, negotiating and executing business agreements experience
* 5\+ years of professional or military experience
* Bachelor's degree
* 5\+ years working with the electronics industry in supply chain, operations, manufacturing, or engineering fields.
**PREFERRED QUALIFICATIONS**
----------------------------
* Experience interpreting data and making business recommendations
* Experience identifying, negotiating, and executing complex legal agreements
* 5\+ years of responding to requests for proposals (e.g., determining requirements, matching requirements to technical approach and solutions, developing solutions against requirements) experience
* 5\+ years of experience in Semiconductor and/or PC Industry development and/or manufacturing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in-f2bae9a5e677dd5d</t>
        </is>
      </c>
      <c r="B21" t="inlineStr">
        <is>
          <t>Sr. Product Manager, AWS Server Supply Chain</t>
        </is>
      </c>
      <c r="C21" t="inlineStr">
        <is>
          <t>Amazon.com</t>
        </is>
      </c>
      <c r="D21" t="inlineStr">
        <is>
          <t>indeed</t>
        </is>
      </c>
      <c r="E21" t="inlineStr"/>
      <c r="F21" t="inlineStr"/>
      <c r="G21" t="inlineStr">
        <is>
          <t>Seattle, WA, US</t>
        </is>
      </c>
      <c r="H21" s="2" t="n">
        <v>45956</v>
      </c>
      <c r="I21"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Services \&amp; Supply Chain (AIS\-SC) organization works to deliver leading\-edge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Amazon Web Services (AWS) is seeking a highly effective candidate to identify, create, develop and integrate innovative technology to deliver the best operating, lowest cost infrastructure in the world.
This individual will lead the manufacturing operations of Integrated Circuits needed for Printed Circuit Board Assemblies that meet our customers' rapidly growing infrastructure needs. Successful candidates will bring strong knowledge of Semiconductor supply chains, semiconductor manufacturing operations, quality assurance operations, and provide oversight of outsourced manufacturing teams.
AWS serves over a million active customers in more than 190 countries. We are steadily expanding global infrastructure to help our customers achieve lower latency and higher throughput. As our customers grow their businesses, AWS will continue to provide infrastructure that meets their global requirements.  
Key job responsibilities  
* Develop and implement Printed Circuit Board (PCB) supply chain strategies for AWS hardware infrastructure.
* Understand PCB industry and technology trends.
* Identify key technology trends in the PCB industry and drive supplier product roadmaps and execute on strategic initiatives in those products.
* Negotiate and implement complex supplier agreements and contracts by working with cross\-functional stakeholders.
* Develop negotiations strategies to deliver against business objectives and achieve sustainable relationship with suppliers.
* Responsible to provide weekly team updates, deliver executive level updates on a monthly basis, and will be responsible for vendor escalations in order to resolve any issues related to his/her category.
* Present to senior leadership via written narratives.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Professional traits that are necessary for Amazon leaders:  
* Exhibits excellent judgment
* Has high standards (is never satisfied with the status quo)
* Is able to dive deep and is never out of touch with the details of the business
* Expects and requires innovation of her/his team
* Has passion and convictions and the innate ability to inspire passion in others
* Strong results orientation
* Thinks big
**BASIC QUALIFICATIONS**
------------------------
* 5\+ years of developing, negotiating and executing business agreements experience
* 5\+ years of professional or military experience
* Bachelor's degree
* 5\+ years working with the electronics industry in supply chain, operations, manufacturing, or engineering fields.
**PREFERRED QUALIFICATIONS**
----------------------------
* Experience interpreting data and making business recommendations
* Experience identifying, negotiating, and executing complex legal agreements
* 5\+ years of responding to requests for proposals (e.g., determining requirements, matching requirements to technical approach and solutions, developing solutions against requirements) experience
* 5\+ years of experience in Semiconductor and/or PC Industry development and/or manufacturing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in-4deda116dd221689</t>
        </is>
      </c>
      <c r="B22" t="inlineStr">
        <is>
          <t>Sr. Program Manager, Planning &amp; Automation, Global Fleet and Products Electrification and Infrastructure</t>
        </is>
      </c>
      <c r="C22" t="inlineStr">
        <is>
          <t>Amazon.com</t>
        </is>
      </c>
      <c r="D22" t="inlineStr">
        <is>
          <t>indeed</t>
        </is>
      </c>
      <c r="E22" t="inlineStr"/>
      <c r="F22" t="inlineStr"/>
      <c r="G22" t="inlineStr">
        <is>
          <t>Bellevue, WA, US</t>
        </is>
      </c>
      <c r="H22" s="2" t="n">
        <v>45949</v>
      </c>
      <c r="I22" t="inlineStr">
        <is>
          <t>**DESCRIPTION**
---------------
Amazon is committed to building a sustainable business for our employees, customers, and communities. From leading The Climate Pledge to our goal of Net Zero Carbon by 2040, Amazon continues to drive industry transformation. Deploying a fleet of 100,000 electric delivery vehicles is one of the most impactful levers we have—and the technology, automation, and intelligent systems behind that fleet are critical to our success.  
Amazon’s Global Fleet Electrification \&amp; Infrastructure (GFP E\&amp;I) team is seeking a results\-driven leader with strong business judgment and cross\-functional collaboration skills to own planning and automation initiatives for our electrification and infrastructure supply chain. Our Program Managers are high\-energy self\-starters who thrive on building scalable, tech\-enabled mechanisms that connect engineering, sourcing, logistics, and construction to deliver critical EVSE to Amazon’s fleet\-charging sites worldwide.  
As a member of the Electrification \&amp; Infrastructure Supply Chain team, you will own material readiness and end\-to\-end automation strategy across the Americas to support Amazon’s rapidly expanding fleet\-electrification network. This role’s primary focus is to design and operationalize next\-generation forecasting, AI\-supported demand\-planning models, and automated data pipelines for key electrical systems—including switchgear, transformers, rectifiers, and chargers. You will work closely with design engineering, deployment, and supplier partners to build an integrated, data\-driven planning tool that aligns global supply with real\-time demand signals.  
You will also be responsible for tracking and auditing material status from purchase order through site delivery, ensuring supply continuity, reducing latency in data handoffs, and implementing proactive, tech\-driven strategies to mitigate risk and accelerate deployment. Additionally, you will architect and implement automation workflows (including ETL pipelines, dashboarding, and exception\-handling mechanisms) to eliminate manual work, improve data quality, and increase operating efficiency across the supply chain.  
Key job responsibilities  
Lead end\-to\-end materials management for power distribution products and chargers across global projects.  
Develop and execute demand\- and supply\-planning processes ensuring on\-time equipment availability aligned with deployment schedules.  
Partner with Engineering, Sourcing, and Construction to translate design changes and forecasts into executable procurement plans.  
Manage Sales \&amp; Operations Planning (S\&amp;OP) cadence for electrification hardware, integrating supplier lead\-times and manufacturing constraints.  
Build and automate forecasting models using internal data pipelines and supplier inputs to improve accuracy and reduce inventory exposure.  
Drive supplier continuous improvement initiatives.  
Track global inventory, shipments, and at\-risk materials; mitigate disruptions through proactive allocation and supplier collaboration.  
Support business reviews and executive updates on supply continuity, delivery metrics, and cost performance.  
About the team  
We are building the largest commercial EV fleet in the world, join us for exciting and challenging infrastructure challenges at an unprecedented scale!
**BASIC QUALIFICATIONS**
------------------------
* Bachelor's degree in engineering, mechanical, operations, supply chain, business administration, or equivalent STEM field
* Experience in a highly analytical, results\-oriented environment with cross functional interactions
* Experience communicating technical details verbally and in writing
* Can work proactively and independently, meet deadlines, and deliver on projects and tasks
* 6\+ years of experience in supply chain management, material planning and/or supply planning role
* Strong Working knowledge of S\&amp;OE and S\&amp;OP with implementation experience
**PREFERRED QUALIFICATIONS**
----------------------------
* Knowledge of Microsoft Office products and applications at an advanced level
* 10\+ years of experience in Supply Chain (Forecasting, Demand Planning, Supply Planning, Inventory Planning, Materials Management, Master Planning, Scheduling, Lifecycle management)
* Tools and Advanced Planning Systems Software
* APICS and/or IBF certification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$103,900/year in our lowest geographic market up to $181,400/year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in-10b130aa1c44d755</t>
        </is>
      </c>
      <c r="B23" t="inlineStr">
        <is>
          <t>Sr. Program Manager, Planning &amp; Automation, Global Fleet and Products Electrification and Infrastructure</t>
        </is>
      </c>
      <c r="C23" t="inlineStr">
        <is>
          <t>Amazon.com</t>
        </is>
      </c>
      <c r="D23" t="inlineStr">
        <is>
          <t>indeed</t>
        </is>
      </c>
      <c r="E23" t="inlineStr"/>
      <c r="F23" t="inlineStr"/>
      <c r="G23" t="inlineStr">
        <is>
          <t>San Francisco, CA, US</t>
        </is>
      </c>
      <c r="H23" s="2" t="n">
        <v>45949</v>
      </c>
      <c r="I23" t="inlineStr">
        <is>
          <t>**DESCRIPTION**
---------------
Amazon is committed to building a sustainable business for our employees, customers, and communities. From leading The Climate Pledge to our goal of Net Zero Carbon by 2040, Amazon continues to drive industry transformation. Deploying a fleet of 100,000 electric delivery vehicles is one of the most impactful levers we have—and the technology, automation, and intelligent systems behind that fleet are critical to our success.  
Amazon’s Global Fleet Electrification \&amp; Infrastructure (GFP E\&amp;I) team is seeking a results\-driven leader with strong business judgment and cross\-functional collaboration skills to own planning and automation initiatives for our electrification and infrastructure supply chain. Our Program Managers are high\-energy self\-starters who thrive on building scalable, tech\-enabled mechanisms that connect engineering, sourcing, logistics, and construction to deliver critical EVSE to Amazon’s fleet\-charging sites worldwide.  
As a member of the Electrification \&amp; Infrastructure Supply Chain team, you will own material readiness and end\-to\-end automation strategy across the Americas to support Amazon’s rapidly expanding fleet\-electrification network. This role’s primary focus is to design and operationalize next\-generation forecasting, AI\-supported demand\-planning models, and automated data pipelines for key electrical systems—including switchgear, transformers, rectifiers, and chargers. You will work closely with design engineering, deployment, and supplier partners to build an integrated, data\-driven planning tool that aligns global supply with real\-time demand signals.  
You will also be responsible for tracking and auditing material status from purchase order through site delivery, ensuring supply continuity, reducing latency in data handoffs, and implementing proactive, tech\-driven strategies to mitigate risk and accelerate deployment. Additionally, you will architect and implement automation workflows (including ETL pipelines, dashboarding, and exception\-handling mechanisms) to eliminate manual work, improve data quality, and increase operating efficiency across the supply chain.  
Key job responsibilities  
Lead end\-to\-end materials management for power distribution products and chargers across global projects.  
Develop and execute demand\- and supply\-planning processes ensuring on\-time equipment availability aligned with deployment schedules.  
Partner with Engineering, Sourcing, and Construction to translate design changes and forecasts into executable procurement plans.  
Manage Sales \&amp; Operations Planning (S\&amp;OP) cadence for electrification hardware, integrating supplier lead\-times and manufacturing constraints.  
Build and automate forecasting models using internal data pipelines and supplier inputs to improve accuracy and reduce inventory exposure.  
Drive supplier continuous improvement initiatives.  
Track global inventory, shipments, and at\-risk materials; mitigate disruptions through proactive allocation and supplier collaboration.  
Support business reviews and executive updates on supply continuity, delivery metrics, and cost performance.  
About the team  
We are building the largest commercial EV fleet in the world, join us for exciting and challenging infrastructure challenges at an unprecedented scale!
**BASIC QUALIFICATIONS**
------------------------
* Bachelor's degree in engineering, mechanical, operations, supply chain, business administration, or equivalent STEM field
* Experience in a highly analytical, results\-oriented environment with cross functional interactions
* Experience communicating technical details verbally and in writing
* Can work proactively and independently, meet deadlines, and deliver on projects and tasks
* 6\+ years of experience in supply chain management, material planning and/or supply planning role
* Strong Working knowledge of S\&amp;OE and S\&amp;OP with implementation experience
**PREFERRED QUALIFICATIONS**
----------------------------
* Knowledge of Microsoft Office products and applications at an advanced level
* 10\+ years of experience in Supply Chain (Forecasting, Demand Planning, Supply Planning, Inventory Planning, Materials Management, Master Planning, Scheduling, Lifecycle management)
* Tools and Advanced Planning Systems Software
* APICS and/or IBF certification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$103,900/year in our lowest geographic market up to $181,400/year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in-043b515319c53199</t>
        </is>
      </c>
      <c r="B24" t="inlineStr">
        <is>
          <t>Sr. Program Manager, Planning &amp; Automation, Global Fleet and Products Electrification and Infrastructure</t>
        </is>
      </c>
      <c r="C24" t="inlineStr">
        <is>
          <t>Amazon.com</t>
        </is>
      </c>
      <c r="D24" t="inlineStr">
        <is>
          <t>indeed</t>
        </is>
      </c>
      <c r="E24" t="inlineStr"/>
      <c r="F24" t="inlineStr"/>
      <c r="G24" t="inlineStr">
        <is>
          <t>Nashville, TN, US</t>
        </is>
      </c>
      <c r="H24" s="2" t="n">
        <v>45949</v>
      </c>
      <c r="I24" t="inlineStr">
        <is>
          <t>**DESCRIPTION**
---------------
Amazon is committed to building a sustainable business for our employees, customers, and communities. From leading The Climate Pledge to our goal of Net Zero Carbon by 2040, Amazon continues to drive industry transformation. Deploying a fleet of 100,000 electric delivery vehicles is one of the most impactful levers we have—and the technology, automation, and intelligent systems behind that fleet are critical to our success.  
Amazon’s Global Fleet Electrification \&amp; Infrastructure (GFP E\&amp;I) team is seeking a results\-driven leader with strong business judgment and cross\-functional collaboration skills to own planning and automation initiatives for our electrification and infrastructure supply chain. Our Program Managers are high\-energy self\-starters who thrive on building scalable, tech\-enabled mechanisms that connect engineering, sourcing, logistics, and construction to deliver critical EVSE to Amazon’s fleet\-charging sites worldwide.  
As a member of the Electrification \&amp; Infrastructure Supply Chain team, you will own material readiness and end\-to\-end automation strategy across the Americas to support Amazon’s rapidly expanding fleet\-electrification network. This role’s primary focus is to design and operationalize next\-generation forecasting, AI\-supported demand\-planning models, and automated data pipelines for key electrical systems—including switchgear, transformers, rectifiers, and chargers. You will work closely with design engineering, deployment, and supplier partners to build an integrated, data\-driven planning tool that aligns global supply with real\-time demand signals.  
You will also be responsible for tracking and auditing material status from purchase order through site delivery, ensuring supply continuity, reducing latency in data handoffs, and implementing proactive, tech\-driven strategies to mitigate risk and accelerate deployment. Additionally, you will architect and implement automation workflows (including ETL pipelines, dashboarding, and exception\-handling mechanisms) to eliminate manual work, improve data quality, and increase operating efficiency across the supply chain.  
Key job responsibilities  
Lead end\-to\-end materials management for power distribution products and chargers across global projects.  
Develop and execute demand\- and supply\-planning processes ensuring on\-time equipment availability aligned with deployment schedules.  
Partner with Engineering, Sourcing, and Construction to translate design changes and forecasts into executable procurement plans.  
Manage Sales \&amp; Operations Planning (S\&amp;OP) cadence for electrification hardware, integrating supplier lead\-times and manufacturing constraints.  
Build and automate forecasting models using internal data pipelines and supplier inputs to improve accuracy and reduce inventory exposure.  
Drive supplier continuous improvement initiatives.  
Track global inventory, shipments, and at\-risk materials; mitigate disruptions through proactive allocation and supplier collaboration.  
Support business reviews and executive updates on supply continuity, delivery metrics, and cost performance.  
About the team  
We are building the largest commercial EV fleet in the world, join us for exciting and challenging infrastructure challenges at an unprecedented scale!
**BASIC QUALIFICATIONS**
------------------------
* Bachelor's degree in engineering, mechanical, operations, supply chain, business administration, or equivalent STEM field
* Experience in a highly analytical, results\-oriented environment with cross functional interactions
* Experience communicating technical details verbally and in writing
* Can work proactively and independently, meet deadlines, and deliver on projects and tasks
* 6\+ years of experience in supply chain management, material planning and/or supply planning role
* Strong Working knowledge of S\&amp;OE and S\&amp;OP with implementation experience
**PREFERRED QUALIFICATIONS**
----------------------------
* Knowledge of Microsoft Office products and applications at an advanced level
* 10\+ years of experience in Supply Chain (Forecasting, Demand Planning, Supply Planning, Inventory Planning, Materials Management, Master Planning, Scheduling, Lifecycle management)
* Tools and Advanced Planning Systems Software
* APICS and/or IBF certification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$103,900/year in our lowest geographic market up to $181,400/year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in-2c8a02061cffca8f</t>
        </is>
      </c>
      <c r="B25" t="inlineStr">
        <is>
          <t>Workforce Development Program Manager III, Reliability &amp; Engineering Maintenance Strategic Workforce Development (SWD) Team</t>
        </is>
      </c>
      <c r="C25" t="inlineStr">
        <is>
          <t>Amazon.com</t>
        </is>
      </c>
      <c r="D25" t="inlineStr">
        <is>
          <t>indeed</t>
        </is>
      </c>
      <c r="E25" t="inlineStr"/>
      <c r="F25" t="inlineStr"/>
      <c r="G25" t="inlineStr">
        <is>
          <t>Nashville, TN, US</t>
        </is>
      </c>
      <c r="H25" s="2" t="n">
        <v>45946</v>
      </c>
      <c r="I25" t="inlineStr">
        <is>
          <t>**DESCRIPTION**
---------------
Application deadline: Jan 27, 2026  
Are you passionate about creating, implementing, and driving the strategy to develop the workforce of the future? Do you want manage programs focused on improving the internal and external talent slate for an essential Amazon support team? The Reliability Maintenance Engineering (RME) Strategic Workforce Development Team uses data, research and internal and external partnerships to craft workforce development solutions focused on building robust talent pipelines to meet RME’s current, emerging, and future needs.
As a Strategic Workforce Development (SWD) Program Manager you will proactively identify mechanisms, process improvements, programs and partnerships which will improve Amazon RME operations and the employment outcomes for current and future Amazonians.
The SWD Program Manager will lead programs supporting Amazonians globally. This includes identifying key initiatives, developing project roadmaps, engaging vendors, internal and external partners, developing proposals, identifying and scoping data and metric requirements, and managing key stakeholder communications. This role will work directly with multiple internal businesses, technology, finance, operations, vendors, and partner teams.  
Key job responsibilities  
Identifying, developing, executing, and managing project plans  
Influencing key stakeholders throughout the evolution of a project or program
Stakeholder management and communication  
Documenting and communicating results to senior leaders  
Interpreting data for a non\-technical audience  
Develop strong relationships and have the ability to influence key internal and external stakeholders/partners across diverse roles and levels.  
Partner with multiple stakeholders to translate ambiguous requirements for execution  
A day in the life  
A Day in the Life of a SWD Program Manager  
While you will always strive towards one goal \- delighting customers \- no two days will be the same. Due to the scope and impact of this role, you will continuously find new problems to solve and be required to partner with teams across the globe to deliver innovative workforce development programs within the project timeline and budget.  
About the team  
The Reliability \&amp; Engineering Maintenance (RME) Strategic Workforce Development Team attracts, educates, and develops our workforce. We leverage science and technology as the cornerstone to support and maintain a global infrastructure. We champion organizational change when structural complexity inhibits efficient delivery of our strategic goals.
**BASIC QUALIFICATIONS**
------------------------
* 6\+ years of program or project management experience
* Experience using data and metrics to determine and drive improvements
* Experience owning program strategy, end to end delivery, and communicating results to senior leadership
**PREFERRED QUALIFICATIONS**
----------------------------
* 4\+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$115,600 \- $160,000 annually  
National $104,100 \- $185,000 annually</t>
        </is>
      </c>
    </row>
    <row r="26">
      <c r="A26" t="inlineStr">
        <is>
          <t>in-8c4ce07b0ff8e452</t>
        </is>
      </c>
      <c r="B26" t="inlineStr">
        <is>
          <t>Workforce Development Program Manager III, Reliability &amp; Engineering Maintenance Strategic Workforce Development (SWD) Team</t>
        </is>
      </c>
      <c r="C26" t="inlineStr">
        <is>
          <t>Amazon.com</t>
        </is>
      </c>
      <c r="D26" t="inlineStr">
        <is>
          <t>indeed</t>
        </is>
      </c>
      <c r="E26" t="inlineStr"/>
      <c r="F26" t="inlineStr"/>
      <c r="G26" t="inlineStr">
        <is>
          <t>Seattle, WA, US</t>
        </is>
      </c>
      <c r="H26" s="2" t="n">
        <v>45946</v>
      </c>
      <c r="I26" t="inlineStr">
        <is>
          <t>**DESCRIPTION**
---------------
Application deadline: Jan 27, 2026  
Are you passionate about creating, implementing, and driving the strategy to develop the workforce of the future? Do you want manage programs focused on improving the internal and external talent slate for an essential Amazon support team? The Reliability Maintenance Engineering (RME) Strategic Workforce Development Team uses data, research and internal and external partnerships to craft workforce development solutions focused on building robust talent pipelines to meet RME’s current, emerging, and future needs.
As a Strategic Workforce Development (SWD) Program Manager you will proactively identify mechanisms, process improvements, programs and partnerships which will improve Amazon RME operations and the employment outcomes for current and future Amazonians.
The SWD Program Manager will lead programs supporting Amazonians globally. This includes identifying key initiatives, developing project roadmaps, engaging vendors, internal and external partners, developing proposals, identifying and scoping data and metric requirements, and managing key stakeholder communications. This role will work directly with multiple internal businesses, technology, finance, operations, vendors, and partner teams.  
Key job responsibilities  
Identifying, developing, executing, and managing project plans  
Influencing key stakeholders throughout the evolution of a project or program
Stakeholder management and communication  
Documenting and communicating results to senior leaders  
Interpreting data for a non\-technical audience  
Develop strong relationships and have the ability to influence key internal and external stakeholders/partners across diverse roles and levels.  
Partner with multiple stakeholders to translate ambiguous requirements for execution  
A day in the life  
A Day in the Life of a SWD Program Manager  
While you will always strive towards one goal \- delighting customers \- no two days will be the same. Due to the scope and impact of this role, you will continuously find new problems to solve and be required to partner with teams across the globe to deliver innovative workforce development programs within the project timeline and budget.  
About the team  
The Reliability \&amp; Engineering Maintenance (RME) Strategic Workforce Development Team attracts, educates, and develops our workforce. We leverage science and technology as the cornerstone to support and maintain a global infrastructure. We champion organizational change when structural complexity inhibits efficient delivery of our strategic goals.
**BASIC QUALIFICATIONS**
------------------------
* 6\+ years of program or project management experience
* Experience using data and metrics to determine and drive improvements
* Experience owning program strategy, end to end delivery, and communicating results to senior leadership
**PREFERRED QUALIFICATIONS**
----------------------------
* 4\+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$115,600 \- $160,000 annually  
National $104,100 \- $185,000 annually</t>
        </is>
      </c>
    </row>
    <row r="27">
      <c r="A27" t="inlineStr">
        <is>
          <t>in-dabb63ad6d7b160f</t>
        </is>
      </c>
      <c r="B27" t="inlineStr">
        <is>
          <t>Workforce Development Program Manager III, Reliability &amp; Engineering Maintenance Strategic Workforce Development (SWD) Team</t>
        </is>
      </c>
      <c r="C27" t="inlineStr">
        <is>
          <t>Amazon.com</t>
        </is>
      </c>
      <c r="D27" t="inlineStr">
        <is>
          <t>indeed</t>
        </is>
      </c>
      <c r="E27" t="inlineStr"/>
      <c r="F27" t="inlineStr"/>
      <c r="G27" t="inlineStr">
        <is>
          <t>Tampa, FL, US</t>
        </is>
      </c>
      <c r="H27" s="2" t="n">
        <v>45946</v>
      </c>
      <c r="I27" t="inlineStr">
        <is>
          <t>**DESCRIPTION**
---------------
Application deadline: Jan 27, 2026  
Are you passionate about creating, implementing, and driving the strategy to develop the workforce of the future? Do you want manage programs focused on improving the internal and external talent slate for an essential Amazon support team? The Reliability Maintenance Engineering (RME) Strategic Workforce Development Team uses data, research and internal and external partnerships to craft workforce development solutions focused on building robust talent pipelines to meet RME’s current, emerging, and future needs.
As a Strategic Workforce Development (SWD) Program Manager you will proactively identify mechanisms, process improvements, programs and partnerships which will improve Amazon RME operations and the employment outcomes for current and future Amazonians.
The SWD Program Manager will lead programs supporting Amazonians globally. This includes identifying key initiatives, developing project roadmaps, engaging vendors, internal and external partners, developing proposals, identifying and scoping data and metric requirements, and managing key stakeholder communications. This role will work directly with multiple internal businesses, technology, finance, operations, vendors, and partner teams.  
Key job responsibilities  
Identifying, developing, executing, and managing project plans  
Influencing key stakeholders throughout the evolution of a project or program
Stakeholder management and communication  
Documenting and communicating results to senior leaders  
Interpreting data for a non\-technical audience  
Develop strong relationships and have the ability to influence key internal and external stakeholders/partners across diverse roles and levels.  
Partner with multiple stakeholders to translate ambiguous requirements for execution  
A day in the life  
A Day in the Life of a SWD Program Manager  
While you will always strive towards one goal \- delighting customers \- no two days will be the same. Due to the scope and impact of this role, you will continuously find new problems to solve and be required to partner with teams across the globe to deliver innovative workforce development programs within the project timeline and budget.  
About the team  
The Reliability \&amp; Engineering Maintenance (RME) Strategic Workforce Development Team attracts, educates, and develops our workforce. We leverage science and technology as the cornerstone to support and maintain a global infrastructure. We champion organizational change when structural complexity inhibits efficient delivery of our strategic goals.
**BASIC QUALIFICATIONS**
------------------------
* 6\+ years of program or project management experience
* Experience using data and metrics to determine and drive improvements
* Experience owning program strategy, end to end delivery, and communicating results to senior leadership
**PREFERRED QUALIFICATIONS**
----------------------------
* 4\+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$115,600 \- $160,000 annually  
National $104,100 \- $185,000 annually</t>
        </is>
      </c>
    </row>
    <row r="28">
      <c r="A28" t="inlineStr">
        <is>
          <t>in-f7f91be0cb3bc442</t>
        </is>
      </c>
      <c r="B28" t="inlineStr">
        <is>
          <t>Workforce Development Program Manager III, Reliability &amp; Engineering Maintenance Strategic Workforce Development (SWD) Team</t>
        </is>
      </c>
      <c r="C28" t="inlineStr">
        <is>
          <t>Amazon.com</t>
        </is>
      </c>
      <c r="D28" t="inlineStr">
        <is>
          <t>indeed</t>
        </is>
      </c>
      <c r="E28" t="inlineStr"/>
      <c r="F28" t="inlineStr"/>
      <c r="G28" t="inlineStr">
        <is>
          <t>Denver, CO, US</t>
        </is>
      </c>
      <c r="H28" s="2" t="n">
        <v>45946</v>
      </c>
      <c r="I28" t="inlineStr">
        <is>
          <t>**DESCRIPTION**
---------------
Application deadline: Jan 27, 2026  
Are you passionate about creating, implementing, and driving the strategy to develop the workforce of the future? Do you want manage programs focused on improving the internal and external talent slate for an essential Amazon support team? The Reliability Maintenance Engineering (RME) Strategic Workforce Development Team uses data, research and internal and external partnerships to craft workforce development solutions focused on building robust talent pipelines to meet RME’s current, emerging, and future needs.
As a Strategic Workforce Development (SWD) Program Manager you will proactively identify mechanisms, process improvements, programs and partnerships which will improve Amazon RME operations and the employment outcomes for current and future Amazonians.
The SWD Program Manager will lead programs supporting Amazonians globally. This includes identifying key initiatives, developing project roadmaps, engaging vendors, internal and external partners, developing proposals, identifying and scoping data and metric requirements, and managing key stakeholder communications. This role will work directly with multiple internal businesses, technology, finance, operations, vendors, and partner teams.  
Key job responsibilities  
Identifying, developing, executing, and managing project plans  
Influencing key stakeholders throughout the evolution of a project or program
Stakeholder management and communication  
Documenting and communicating results to senior leaders  
Interpreting data for a non\-technical audience  
Develop strong relationships and have the ability to influence key internal and external stakeholders/partners across diverse roles and levels.  
Partner with multiple stakeholders to translate ambiguous requirements for execution  
A day in the life  
A Day in the Life of a SWD Program Manager  
While you will always strive towards one goal \- delighting customers \- no two days will be the same. Due to the scope and impact of this role, you will continuously find new problems to solve and be required to partner with teams across the globe to deliver innovative workforce development programs within the project timeline and budget.  
About the team  
The Reliability \&amp; Engineering Maintenance (RME) Strategic Workforce Development Team attracts, educates, and develops our workforce. We leverage science and technology as the cornerstone to support and maintain a global infrastructure. We champion organizational change when structural complexity inhibits efficient delivery of our strategic goals.
**BASIC QUALIFICATIONS**
------------------------
* 6\+ years of program or project management experience
* Experience using data and metrics to determine and drive improvements
* Experience owning program strategy, end to end delivery, and communicating results to senior leadership
**PREFERRED QUALIFICATIONS**
----------------------------
* 4\+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$115,600 \- $160,000 annually  
National $104,100 \- $185,000 annually</t>
        </is>
      </c>
    </row>
    <row r="29">
      <c r="A29" t="inlineStr">
        <is>
          <t>in-c5c822159d53ebfc</t>
        </is>
      </c>
      <c r="B29" t="inlineStr">
        <is>
          <t>Workforce Development Program Manager III, Reliability &amp; Engineering Maintenance Strategic Workforce Development (SWD) Team</t>
        </is>
      </c>
      <c r="C29" t="inlineStr">
        <is>
          <t>Amazon.com</t>
        </is>
      </c>
      <c r="D29" t="inlineStr">
        <is>
          <t>indeed</t>
        </is>
      </c>
      <c r="E29" t="inlineStr"/>
      <c r="F29" t="inlineStr"/>
      <c r="G29" t="inlineStr">
        <is>
          <t>Dallas, TX, US</t>
        </is>
      </c>
      <c r="H29" s="2" t="n">
        <v>45946</v>
      </c>
      <c r="I29" t="inlineStr">
        <is>
          <t>**DESCRIPTION**
---------------
Application deadline: Jan 27, 2026  
Are you passionate about creating, implementing, and driving the strategy to develop the workforce of the future? Do you want manage programs focused on improving the internal and external talent slate for an essential Amazon support team? The Reliability Maintenance Engineering (RME) Strategic Workforce Development Team uses data, research and internal and external partnerships to craft workforce development solutions focused on building robust talent pipelines to meet RME’s current, emerging, and future needs.
As a Strategic Workforce Development (SWD) Program Manager you will proactively identify mechanisms, process improvements, programs and partnerships which will improve Amazon RME operations and the employment outcomes for current and future Amazonians.
The SWD Program Manager will lead programs supporting Amazonians globally. This includes identifying key initiatives, developing project roadmaps, engaging vendors, internal and external partners, developing proposals, identifying and scoping data and metric requirements, and managing key stakeholder communications. This role will work directly with multiple internal businesses, technology, finance, operations, vendors, and partner teams.  
Key job responsibilities  
Identifying, developing, executing, and managing project plans  
Influencing key stakeholders throughout the evolution of a project or program
Stakeholder management and communication  
Documenting and communicating results to senior leaders  
Interpreting data for a non\-technical audience  
Develop strong relationships and have the ability to influence key internal and external stakeholders/partners across diverse roles and levels.  
Partner with multiple stakeholders to translate ambiguous requirements for execution  
A day in the life  
A Day in the Life of a SWD Program Manager  
While you will always strive towards one goal \- delighting customers \- no two days will be the same. Due to the scope and impact of this role, you will continuously find new problems to solve and be required to partner with teams across the globe to deliver innovative workforce development programs within the project timeline and budget.  
About the team  
The Reliability \&amp; Engineering Maintenance (RME) Strategic Workforce Development Team attracts, educates, and develops our workforce. We leverage science and technology as the cornerstone to support and maintain a global infrastructure. We champion organizational change when structural complexity inhibits efficient delivery of our strategic goals.
**BASIC QUALIFICATIONS**
------------------------
* 6\+ years of program or project management experience
* Experience using data and metrics to determine and drive improvements
* Experience owning program strategy, end to end delivery, and communicating results to senior leadership
**PREFERRED QUALIFICATIONS**
----------------------------
* 4\+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$115,600 \- $160,000 annually  
National $104,100 \- $185,000 annually</t>
        </is>
      </c>
    </row>
    <row r="30">
      <c r="A30" t="inlineStr">
        <is>
          <t>in-fa34dad62d383659</t>
        </is>
      </c>
      <c r="B30" t="inlineStr">
        <is>
          <t>Workforce Development Program Manager III, Reliability &amp; Engineering Maintenance Strategic Workforce Development (SWD) Team</t>
        </is>
      </c>
      <c r="C30" t="inlineStr">
        <is>
          <t>Amazon.com</t>
        </is>
      </c>
      <c r="D30" t="inlineStr">
        <is>
          <t>indeed</t>
        </is>
      </c>
      <c r="E30" t="inlineStr"/>
      <c r="F30" t="inlineStr"/>
      <c r="G30" t="inlineStr">
        <is>
          <t>Indianapolis, IN, US</t>
        </is>
      </c>
      <c r="H30" s="2" t="n">
        <v>45946</v>
      </c>
      <c r="I30" t="inlineStr">
        <is>
          <t>**DESCRIPTION**
---------------
Application deadline: Jan 27, 2026  
Are you passionate about creating, implementing, and driving the strategy to develop the workforce of the future? Do you want manage programs focused on improving the internal and external talent slate for an essential Amazon support team? The Reliability Maintenance Engineering (RME) Strategic Workforce Development Team uses data, research and internal and external partnerships to craft workforce development solutions focused on building robust talent pipelines to meet RME’s current, emerging, and future needs.
As a Strategic Workforce Development (SWD) Program Manager you will proactively identify mechanisms, process improvements, programs and partnerships which will improve Amazon RME operations and the employment outcomes for current and future Amazonians.
The SWD Program Manager will lead programs supporting Amazonians globally. This includes identifying key initiatives, developing project roadmaps, engaging vendors, internal and external partners, developing proposals, identifying and scoping data and metric requirements, and managing key stakeholder communications. This role will work directly with multiple internal businesses, technology, finance, operations, vendors, and partner teams.  
Key job responsibilities  
Identifying, developing, executing, and managing project plans  
Influencing key stakeholders throughout the evolution of a project or program
Stakeholder management and communication  
Documenting and communicating results to senior leaders  
Interpreting data for a non\-technical audience  
Develop strong relationships and have the ability to influence key internal and external stakeholders/partners across diverse roles and levels.  
Partner with multiple stakeholders to translate ambiguous requirements for execution  
A day in the life  
A Day in the Life of a SWD Program Manager  
While you will always strive towards one goal \- delighting customers \- no two days will be the same. Due to the scope and impact of this role, you will continuously find new problems to solve and be required to partner with teams across the globe to deliver innovative workforce development programs within the project timeline and budget.  
About the team  
The Reliability \&amp; Engineering Maintenance (RME) Strategic Workforce Development Team attracts, educates, and develops our workforce. We leverage science and technology as the cornerstone to support and maintain a global infrastructure. We champion organizational change when structural complexity inhibits efficient delivery of our strategic goals.
**BASIC QUALIFICATIONS**
------------------------
* 6\+ years of program or project management experience
* Experience using data and metrics to determine and drive improvements
* Experience owning program strategy, end to end delivery, and communicating results to senior leadership
**PREFERRED QUALIFICATIONS**
----------------------------
* 4\+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$115,600 \- $160,000 annually  
National $104,100 \- $185,000 annually</t>
        </is>
      </c>
    </row>
    <row r="31">
      <c r="A31" t="inlineStr">
        <is>
          <t>in-645aa5e98a6fa62b</t>
        </is>
      </c>
      <c r="B31" t="inlineStr">
        <is>
          <t>Workforce Development Program Manager III, Reliability &amp; Engineering Maintenance Strategic Workforce Development (SWD) Team</t>
        </is>
      </c>
      <c r="C31" t="inlineStr">
        <is>
          <t>Amazon.com</t>
        </is>
      </c>
      <c r="D31" t="inlineStr">
        <is>
          <t>indeed</t>
        </is>
      </c>
      <c r="E31" t="inlineStr"/>
      <c r="F31" t="inlineStr"/>
      <c r="G31" t="inlineStr">
        <is>
          <t>Erlanger, KY, US</t>
        </is>
      </c>
      <c r="H31" s="2" t="n">
        <v>45946</v>
      </c>
      <c r="I31" t="inlineStr">
        <is>
          <t>**DESCRIPTION**
---------------
Application deadline: Jan 27, 2026  
Are you passionate about creating, implementing, and driving the strategy to develop the workforce of the future? Do you want manage programs focused on improving the internal and external talent slate for an essential Amazon support team? The Reliability Maintenance Engineering (RME) Strategic Workforce Development Team uses data, research and internal and external partnerships to craft workforce development solutions focused on building robust talent pipelines to meet RME’s current, emerging, and future needs.
As a Strategic Workforce Development (SWD) Program Manager you will proactively identify mechanisms, process improvements, programs and partnerships which will improve Amazon RME operations and the employment outcomes for current and future Amazonians.
The SWD Program Manager will lead programs supporting Amazonians globally. This includes identifying key initiatives, developing project roadmaps, engaging vendors, internal and external partners, developing proposals, identifying and scoping data and metric requirements, and managing key stakeholder communications. This role will work directly with multiple internal businesses, technology, finance, operations, vendors, and partner teams.  
Key job responsibilities  
Identifying, developing, executing, and managing project plans  
Influencing key stakeholders throughout the evolution of a project or program
Stakeholder management and communication  
Documenting and communicating results to senior leaders  
Interpreting data for a non\-technical audience  
Develop strong relationships and have the ability to influence key internal and external stakeholders/partners across diverse roles and levels.  
Partner with multiple stakeholders to translate ambiguous requirements for execution  
A day in the life  
A Day in the Life of a SWD Program Manager  
While you will always strive towards one goal \- delighting customers \- no two days will be the same. Due to the scope and impact of this role, you will continuously find new problems to solve and be required to partner with teams across the globe to deliver innovative workforce development programs within the project timeline and budget.  
About the team  
The Reliability \&amp; Engineering Maintenance (RME) Strategic Workforce Development Team attracts, educates, and develops our workforce. We leverage science and technology as the cornerstone to support and maintain a global infrastructure. We champion organizational change when structural complexity inhibits efficient delivery of our strategic goals.
**BASIC QUALIFICATIONS**
------------------------
* 6\+ years of program or project management experience
* Experience using data and metrics to determine and drive improvements
* Experience owning program strategy, end to end delivery, and communicating results to senior leadership
**PREFERRED QUALIFICATIONS**
----------------------------
* 4\+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$115,600 \- $160,000 annually  
National $104,100 \- $185,000 annually</t>
        </is>
      </c>
    </row>
    <row r="32">
      <c r="A32" t="inlineStr">
        <is>
          <t>in-d80ee076fc5a048b</t>
        </is>
      </c>
      <c r="B32" t="inlineStr">
        <is>
          <t>Senior Program Manager III, Planning, Amazon Leo, Global Service Compliance</t>
        </is>
      </c>
      <c r="C32" t="inlineStr">
        <is>
          <t>Amazon.com</t>
        </is>
      </c>
      <c r="D32" t="inlineStr">
        <is>
          <t>indeed</t>
        </is>
      </c>
      <c r="E32" t="inlineStr"/>
      <c r="F32" t="inlineStr"/>
      <c r="G32" t="inlineStr">
        <is>
          <t>Bellevue, WA, US</t>
        </is>
      </c>
      <c r="H32" s="2" t="n">
        <v>45939</v>
      </c>
      <c r="I32" t="inlineStr">
        <is>
          <t>**DESCRIPTION**
---------------
We are seeking a stellar Senior Program Manager with operational experience in internet service provider/telecom obligations to join the Global Service Compliance team supporting Amazon Leo.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Our Global Service Compliance (GSC) is seeking a dynamic, organized, and experienced Program Manager to guide and inform specific communications service compliance obligation workstreams. You are responsible for managing complex compliance programs, from planning through to execution, continuously surveilling the Amazon Leo business strategy and regulatory environment to plan and respond to change across one or more domains. Your role is focused primarily on revenue reporting and financial impacts.
You collaborate with business and technical teams to deliver world\-class compliance solutions that are highly scalable, secure, and flexible while maintaining a strong organizational focus. You work with stakeholders and multiple business teams to identify, define, and iterate solutions for 1 or more compliance domains. You are a deep subject matter in your assigned compliance workstreams and will be the face of the workstream to external stakeholders. You create dynamic plans and monitor performance and evolution of the workstream as the Amazon Leo business expands and changes, reporting successes, risks, and program status internally (within GSC) and externally (across Amazon Leo) as appropriate. You tailor your communications to specific audiences, communicating clearly and concisely to business, technical, business partner, and leadership audiences.  
As a GSC PM, you oversee the compliance program approach, implementation, and optimization for 1or more workstreams, while championing program management best practices across the GSC organization.
Export Control Requirement: Due to applicable export control laws and regulations, candidates must be a U.S. citizen or national, U.S. permanent resident (i.e., current Green Card holder), or lawfully admitted into the U.S. as a refugee or granted asylum.  
This position may be based in Bellevue, WA, or Arlington, VA, Earth. Some travel, domestic and international, may be required. No intergalactic travel is yet required.  
Key job responsibilities  
* Develop and implement comprehensive compliance workstream strategies aligned with Amazon Leo's global service expansion goals and objectives. This involves defining workstream scope, establishing measurable KPIs, and creating mechanisms to monitor compliance performance and efficiency.
* Own ongoing prioritization, resourcing and development of GSC's strategy and plan for assigned compliance workstreams as assigned. Monitor and plan for change against the Amazon Leo Business strategy and the regulatory landscape to scope and implement change. Anticipate and react to feedback/engagement in collaboration with GSC's execution teams to drive operational improvements.
* Plan GSC's roadmap and mechanism structure to ensure growth scales globally by leveraging foundational frameworks and automation.
* Be a subject matter expert and central point of contact for internal and cross\-functional stakeholders to accelerate deliverables. This includes providing guidance and expertise to support GSC teams and stakeholders to unblock paths forward in their deliverables across assigned compliance workstreams.
* Own administrative functions for internal coordination, including function\-based calendar management, workspace accesses, creation and maintenance of knowledge artifacts and support onboarding and training of personnel.
A day in the life  
* You handle complex initiatives, delivering critical solutions, significant improvements, new mechanisms, or deprecating processes that are no longer needed.
* You manage the plan and strategy of assigned compliance workstreams with deep subject matter expertise, requiring interfacing with external stakeholders.
* You communicate effectively with Directors and VPs, encouraging constructive dialogue and harmonize discordant views. You coordinate the resolution of contentious issues (build consensus). You partner effectively with customers, stakeholders, and engineering teams.
* Your program management practices set standards for others, defining clear goals and identifying risks before they become roadblocks.
* You are a simplifier, improving organizational efficiency by standardizing processes, eliminating unnecessary processes, and delivering automation.
* You actively participate in organizational development and mentor others.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in-c55dfa3c70c0d73a</t>
        </is>
      </c>
      <c r="B33" t="inlineStr">
        <is>
          <t>Senior Program Manager III, Planning, Amazon Leo, Global Service Compliance</t>
        </is>
      </c>
      <c r="C33" t="inlineStr">
        <is>
          <t>Amazon.com</t>
        </is>
      </c>
      <c r="D33" t="inlineStr">
        <is>
          <t>indeed</t>
        </is>
      </c>
      <c r="E33" t="inlineStr"/>
      <c r="F33" t="inlineStr"/>
      <c r="G33" t="inlineStr">
        <is>
          <t>Arlington, VA, US</t>
        </is>
      </c>
      <c r="H33" s="2" t="n">
        <v>45939</v>
      </c>
      <c r="I33" t="inlineStr">
        <is>
          <t>**DESCRIPTION**
---------------
We are seeking a stellar Senior Program Manager with operational experience in internet service provider/telecom obligations to join the Global Service Compliance team supporting Amazon Leo.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Our Global Service Compliance (GSC) is seeking a dynamic, organized, and experienced Program Manager to guide and inform specific communications service compliance obligation workstreams. You are responsible for managing complex compliance programs, from planning through to execution, continuously surveilling the Amazon Leo business strategy and regulatory environment to plan and respond to change across one or more domains. Your role is focused primarily on revenue reporting and financial impacts.
You collaborate with business and technical teams to deliver world\-class compliance solutions that are highly scalable, secure, and flexible while maintaining a strong organizational focus. You work with stakeholders and multiple business teams to identify, define, and iterate solutions for 1 or more compliance domains. You are a deep subject matter in your assigned compliance workstreams and will be the face of the workstream to external stakeholders. You create dynamic plans and monitor performance and evolution of the workstream as the Amazon Leo business expands and changes, reporting successes, risks, and program status internally (within GSC) and externally (across Amazon Leo) as appropriate. You tailor your communications to specific audiences, communicating clearly and concisely to business, technical, business partner, and leadership audiences.  
As a GSC PM, you oversee the compliance program approach, implementation, and optimization for 1or more workstreams, while championing program management best practices across the GSC organization.
Export Control Requirement: Due to applicable export control laws and regulations, candidates must be a U.S. citizen or national, U.S. permanent resident (i.e., current Green Card holder), or lawfully admitted into the U.S. as a refugee or granted asylum.  
This position may be based in Bellevue, WA, or Arlington, VA, Earth. Some travel, domestic and international, may be required. No intergalactic travel is yet required.  
Key job responsibilities  
* Develop and implement comprehensive compliance workstream strategies aligned with Amazon Leo's global service expansion goals and objectives. This involves defining workstream scope, establishing measurable KPIs, and creating mechanisms to monitor compliance performance and efficiency.
* Own ongoing prioritization, resourcing and development of GSC's strategy and plan for assigned compliance workstreams as assigned. Monitor and plan for change against the Amazon Leo Business strategy and the regulatory landscape to scope and implement change. Anticipate and react to feedback/engagement in collaboration with GSC's execution teams to drive operational improvements.
* Plan GSC's roadmap and mechanism structure to ensure growth scales globally by leveraging foundational frameworks and automation.
* Be a subject matter expert and central point of contact for internal and cross\-functional stakeholders to accelerate deliverables. This includes providing guidance and expertise to support GSC teams and stakeholders to unblock paths forward in their deliverables across assigned compliance workstreams.
* Own administrative functions for internal coordination, including function\-based calendar management, workspace accesses, creation and maintenance of knowledge artifacts and support onboarding and training of personnel.
A day in the life  
* You handle complex initiatives, delivering critical solutions, significant improvements, new mechanisms, or deprecating processes that are no longer needed.
* You manage the plan and strategy of assigned compliance workstreams with deep subject matter expertise, requiring interfacing with external stakeholders.
* You communicate effectively with Directors and VPs, encouraging constructive dialogue and harmonize discordant views. You coordinate the resolution of contentious issues (build consensus). You partner effectively with customers, stakeholders, and engineering teams.
* Your program management practices set standards for others, defining clear goals and identifying risks before they become roadblocks.
* You are a simplifier, improving organizational efficiency by standardizing processes, eliminating unnecessary processes, and delivering automation.
* You actively participate in organizational development and mentor others.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in-a11b6dcdf2d010e7</t>
        </is>
      </c>
      <c r="B34" t="inlineStr">
        <is>
          <t>Principal Product Manager, Ship with Amazon</t>
        </is>
      </c>
      <c r="C34" t="inlineStr">
        <is>
          <t>Amazon.com</t>
        </is>
      </c>
      <c r="D34" t="inlineStr">
        <is>
          <t>indeed</t>
        </is>
      </c>
      <c r="E34" t="inlineStr"/>
      <c r="F34" t="inlineStr"/>
      <c r="G34" t="inlineStr">
        <is>
          <t>Arlington, VA, US</t>
        </is>
      </c>
      <c r="H34" s="2" t="n">
        <v>45938</v>
      </c>
      <c r="I34" t="inlineStr">
        <is>
          <t>**DESCRIPTION**
---------------
Join Amazon Shipping (SWA) to build the next $100B initiative. Shape the future of shipping as a part of a new, emerging business and solve the biggest customer pain points in the small parcel logistics industry globally.  
It’s no secret that Amazon relies on its technology to deliver millions of packages every day to its customers – on time, with low cost. We, the Product and Technology organization, simplify complex software solutions that work across our shippers, vendors, and warehouses to optimize both time \&amp; cost of getting the packages delivered. Our services already handle thousands of requests per second, make business decisions impacting billions of dollars a year, integrate with a network of small and large shippers, operators and drivers worldwide, manage business rules for millions of unique products, and improve the ordering and delivery experience for millions of online shoppers. That said, this remains a fast\-growing business and our technical journey has only started. Our mission is to build the most efficient and optimal shipping solution on the planet, using our technology and engineering muscle as our biggest advantage. We aim to leverage top technologies in big data and optimization techniques to operate high volume, low latency, and high availability services.  
What will you do?  
As a Principal PM, you will be responsible for defining and owning the strategic vision and roadmap for Sales tooling products in the Amazon Shipping organization. This leader will work closely with stakeholders from Sales, Sales Ops and Marketing Ops to recommend and implement products to support the organization's strategic objectives around improving sales productivity and efficiency, customer experience, and cost optimization.  
The ideal candidate has a strong background in Sales tooling products (Salesforce, Highspot, ZoomInfo, Marketo) combined with a solid understanding of current technologies (e.g. APIs, mobile, GenAI). S/he can develop and drive high\-level strategic initiatives but also roll up their sleeves, dig in and get the job done. Maturity, strong business judgment, ability to influence cross\-functional and remote teams, a customer\-centric and creative mindset and strong analytical skills are essential. This opportunity requires excellent product management, prioritization, and communication skills, as well as the ability to navigate ambiguity.  
Key job responsibilities  
* Define the strategic vision and own the long\-term roadmap for Sales tooling products across the Shipping organization
* Partner with Sales, Sales Ops and Marketing Ops to identify and influence development of new products and services that drive productivity and efficiency
* Work directly with engineering to build exceptional products by integrating 3P products into the broader ecosystem
* Define user stories and product requirements while contributing to the technical design of new product implementation and features
* Engage with stakeholders to prioritize features and drive go\-to\-market strategies while making appropriate trade\-offs to optimize time\-to\-market, and technical and business outcomes
* Influence executive leadership and drive alignment across multiple teams on long\-term priorities
* Display self\-starter mentality and the ability to dive below the surface to uncover the "so what" rather than just the symptoms
* Up to 10% travel
**BASIC QUALIFICATIONS**
------------------------
* Bachelor's degree in Computer Science, Engineering, or a related field
* 7\+ years of end to end product delivery experience
* Experience defining roadmap strategy and prioritizing deliverables for your team products
* Experience managing competing priorities and using metrics to drive business decisions
* Experience influencing multiple stakeholders and leading cross functional teams across geographies and business units
* 10\+ years of Salesforce ecosystem experience
**PREFERRED QUALIFICATIONS**
----------------------------
* Master's degree, or MBA in management, business administration, economics, engineering, marketing
* Experience with AI/ML technologies
* One or more Salesforce certifications
* Experience in logistics, shipping, or supply chain technology industries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$145,700/year in our lowest geographic market up to $240,900/year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in-b343270d5c5d5ea1</t>
        </is>
      </c>
      <c r="B35" t="inlineStr">
        <is>
          <t>Principal Product Manager, Ship with Amazon</t>
        </is>
      </c>
      <c r="C35" t="inlineStr">
        <is>
          <t>Amazon.com</t>
        </is>
      </c>
      <c r="D35" t="inlineStr">
        <is>
          <t>indeed</t>
        </is>
      </c>
      <c r="E35" t="inlineStr"/>
      <c r="F35" t="inlineStr"/>
      <c r="G35" t="inlineStr">
        <is>
          <t>Bellevue, WA, US</t>
        </is>
      </c>
      <c r="H35" s="2" t="n">
        <v>45938</v>
      </c>
      <c r="I35" t="inlineStr">
        <is>
          <t>**DESCRIPTION**
---------------
Join Amazon Shipping (SWA) to build the next $100B initiative. Shape the future of shipping as a part of a new, emerging business and solve the biggest customer pain points in the small parcel logistics industry globally.  
It’s no secret that Amazon relies on its technology to deliver millions of packages every day to its customers – on time, with low cost. We, the Product and Technology organization, simplify complex software solutions that work across our shippers, vendors, and warehouses to optimize both time \&amp; cost of getting the packages delivered. Our services already handle thousands of requests per second, make business decisions impacting billions of dollars a year, integrate with a network of small and large shippers, operators and drivers worldwide, manage business rules for millions of unique products, and improve the ordering and delivery experience for millions of online shoppers. That said, this remains a fast\-growing business and our technical journey has only started. Our mission is to build the most efficient and optimal shipping solution on the planet, using our technology and engineering muscle as our biggest advantage. We aim to leverage top technologies in big data and optimization techniques to operate high volume, low latency, and high availability services.  
What will you do?  
As a Principal PM, you will be responsible for defining and owning the strategic vision and roadmap for Sales tooling products in the Amazon Shipping organization. This leader will work closely with stakeholders from Sales, Sales Ops and Marketing Ops to recommend and implement products to support the organization's strategic objectives around improving sales productivity and efficiency, customer experience, and cost optimization.  
The ideal candidate has a strong background in Sales tooling products (Salesforce, Highspot, ZoomInfo, Marketo) combined with a solid understanding of current technologies (e.g. APIs, mobile, GenAI). S/he can develop and drive high\-level strategic initiatives but also roll up their sleeves, dig in and get the job done. Maturity, strong business judgment, ability to influence cross\-functional and remote teams, a customer\-centric and creative mindset and strong analytical skills are essential. This opportunity requires excellent product management, prioritization, and communication skills, as well as the ability to navigate ambiguity.  
Key job responsibilities  
* Define the strategic vision and own the long\-term roadmap for Sales tooling products across the Shipping organization
* Partner with Sales, Sales Ops and Marketing Ops to identify and influence development of new products and services that drive productivity and efficiency
* Work directly with engineering to build exceptional products by integrating 3P products into the broader ecosystem
* Define user stories and product requirements while contributing to the technical design of new product implementation and features
* Engage with stakeholders to prioritize features and drive go\-to\-market strategies while making appropriate trade\-offs to optimize time\-to\-market, and technical and business outcomes
* Influence executive leadership and drive alignment across multiple teams on long\-term priorities
* Display self\-starter mentality and the ability to dive below the surface to uncover the "so what" rather than just the symptoms
* Up to 10% travel
**BASIC QUALIFICATIONS**
------------------------
* Bachelor's degree in Computer Science, Engineering, or a related field
* 7\+ years of end to end product delivery experience
* Experience defining roadmap strategy and prioritizing deliverables for your team products
* Experience managing competing priorities and using metrics to drive business decisions
* Experience influencing multiple stakeholders and leading cross functional teams across geographies and business units
* 10\+ years of Salesforce ecosystem experience
**PREFERRED QUALIFICATIONS**
----------------------------
* Master's degree, or MBA in management, business administration, economics, engineering, marketing
* Experience with AI/ML technologies
* One or more Salesforce certifications
* Experience in logistics, shipping, or supply chain technology industries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$145,700/year in our lowest geographic market up to $240,900/year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
      <c r="A36" t="inlineStr">
        <is>
          <t>in-e36e02426afda435</t>
        </is>
      </c>
      <c r="B36" t="inlineStr">
        <is>
          <t>Principal Product Manager, Ship with Amazon</t>
        </is>
      </c>
      <c r="C36" t="inlineStr">
        <is>
          <t>Amazon.com</t>
        </is>
      </c>
      <c r="D36" t="inlineStr">
        <is>
          <t>indeed</t>
        </is>
      </c>
      <c r="E36" t="inlineStr"/>
      <c r="F36" t="inlineStr"/>
      <c r="G36" t="inlineStr">
        <is>
          <t>Nashville, TN, US</t>
        </is>
      </c>
      <c r="H36" s="2" t="n">
        <v>45936</v>
      </c>
      <c r="I36" t="inlineStr">
        <is>
          <t>**DESCRIPTION**
---------------
Join Amazon Shipping (SWA) to build the next $100B initiative. Shape the future of shipping as a part of a new, emerging business and solve the biggest customer pain points in the small parcel logistics industry globally.  
It’s no secret that Amazon relies on its technology to deliver millions of packages every day to its customers – on time, with low cost. We, the Product and Technology organization, simplify complex software solutions that work across our shippers, vendors, and warehouses to optimize both time \&amp; cost of getting the packages delivered. Our services already handle thousands of requests per second, make business decisions impacting billions of dollars a year, integrate with a network of small and large shippers, operators and drivers worldwide, manage business rules for millions of unique products, and improve the ordering and delivery experience for millions of online shoppers. That said, this remains a fast\-growing business and our technical journey has only started. Our mission is to build the most efficient and optimal shipping solution on the planet, using our technology and engineering muscle as our biggest advantage. We aim to leverage top technologies in big data and optimization techniques to operate high volume, low latency, and high availability services.  
What will you do?  
As Principal Product Manager, you will architect and drive our digital product strategy across web and mobile platforms, creating exceptional user experiences for our customers. In this key leadership role, you will spearhead the vision and roadmap for our digital ecosystem, leveraging customer insights, data analysis, and user research to deliver innovative solutions. You will lead cross\-functional teams through complex product development cycles, from conception to launch, ensuring seamless integration across all digital touchpoints.
The ideal candidate has a strong logistics/supply chain and digital product management background combined with a solid understanding of current technologies. S/he can develop and drive high\-level strategic initiatives but also roll up their sleeves, dig in and get the job done. Maturity, strong business judgment, ability to influence cross\-functional and remote teams, a customer\-centric and creative mindset with strong analytical skills are essential. This opportunity requires excellent product management, prioritization, and communication skills, as well as the ability to navigate ambiguity.  
Key job responsibilities  
* Define the digital product vision and roadmap.
* Work directly with customers, stakeholders, UX and engineering to build exceptional products.
\- Partner with other teams across Amazon Shipping \- Product and Tech to identify and influence development of new products and services.  
* Anticipate bottlenecks, provide escalation management, and make tradeoffs to balance business needs versus technical or operational constraints.
* Collaborate with global stakeholders in other regions to define requirements that support international use cases.
* Define user stories and product requirements; contribute to the technical design of new product features.
* Drive adoption of features, incorporating continuous feedback for improvements based on user experiences.
* About 10% travel required.
**BASIC QUALIFICATIONS**
------------------------
* Bachelor's degree in Computer Science, Engineering, or a related field
* 10\+ years of success in digital user experience, web/mobile development or digital product management experience
* 7\+ years of end to end product delivery experience
* Experience defining roadmap strategy and prioritizing deliverables for your team products
* Experience managing competing priorities and using metrics to drive business decisions
* Experience influencing multiple stakeholders and leading cross functional teams across geographies and business units
**PREFERRED QUALIFICATIONS**
----------------------------
* MBA, or Master's degree in business, data science, public administration, finance, engineering, human resources or related field
* Experience in program management, logistics, operations, supply chain, transportation, or equivalent
* Experience with AI\-driven personalization or automation in digital experiences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$145,700/year in our lowest geographic market up to $240,900/year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
      <c r="A37" t="inlineStr">
        <is>
          <t>in-672e5f2a1ffa5df0</t>
        </is>
      </c>
      <c r="B37" t="inlineStr">
        <is>
          <t>Principal Product Manager, Ship with Amazon</t>
        </is>
      </c>
      <c r="C37" t="inlineStr">
        <is>
          <t>Amazon.com</t>
        </is>
      </c>
      <c r="D37" t="inlineStr">
        <is>
          <t>indeed</t>
        </is>
      </c>
      <c r="E37" t="inlineStr"/>
      <c r="F37" t="inlineStr"/>
      <c r="G37" t="inlineStr">
        <is>
          <t>Arlington, VA, US</t>
        </is>
      </c>
      <c r="H37" s="2" t="n">
        <v>45936</v>
      </c>
      <c r="I37" t="inlineStr">
        <is>
          <t>**DESCRIPTION**
---------------
Join Amazon Shipping (SWA) to build the next $100B initiative. Shape the future of shipping as a part of a new, emerging business and solve the biggest customer pain points in the small parcel logistics industry globally.  
It’s no secret that Amazon relies on its technology to deliver millions of packages every day to its customers – on time, with low cost. We, the Product and Technology organization, simplify complex software solutions that work across our shippers, vendors, and warehouses to optimize both time \&amp; cost of getting the packages delivered. Our services already handle thousands of requests per second, make business decisions impacting billions of dollars a year, integrate with a network of small and large shippers, operators and drivers worldwide, manage business rules for millions of unique products, and improve the ordering and delivery experience for millions of online shoppers. That said, this remains a fast\-growing business and our technical journey has only started. Our mission is to build the most efficient and optimal shipping solution on the planet, using our technology and engineering muscle as our biggest advantage. We aim to leverage top technologies in big data and optimization techniques to operate high volume, low latency, and high availability services.  
What will you do?  
As Principal Product Manager, you will architect and drive our digital product strategy across web and mobile platforms, creating exceptional user experiences for our customers. In this key leadership role, you will spearhead the vision and roadmap for our digital ecosystem, leveraging customer insights, data analysis, and user research to deliver innovative solutions. You will lead cross\-functional teams through complex product development cycles, from conception to launch, ensuring seamless integration across all digital touchpoints.
The ideal candidate has a strong logistics/supply chain and digital product management background combined with a solid understanding of current technologies. S/he can develop and drive high\-level strategic initiatives but also roll up their sleeves, dig in and get the job done. Maturity, strong business judgment, ability to influence cross\-functional and remote teams, a customer\-centric and creative mindset with strong analytical skills are essential. This opportunity requires excellent product management, prioritization, and communication skills, as well as the ability to navigate ambiguity.  
Key job responsibilities  
* Define the digital product vision and roadmap.
* Work directly with customers, stakeholders, UX and engineering to build exceptional products.
\- Partner with other teams across Amazon Shipping \- Product and Tech to identify and influence development of new products and services.  
* Anticipate bottlenecks, provide escalation management, and make tradeoffs to balance business needs versus technical or operational constraints.
* Collaborate with global stakeholders in other regions to define requirements that support international use cases.
* Define user stories and product requirements; contribute to the technical design of new product features.
* Drive adoption of features, incorporating continuous feedback for improvements based on user experiences.
* About 10% travel required.
**BASIC QUALIFICATIONS**
------------------------
* Bachelor's degree in Computer Science, Engineering, or a related field
* 10\+ years of success in digital user experience, web/mobile development or digital product management experience
* 7\+ years of end to end product delivery experience
* Experience defining roadmap strategy and prioritizing deliverables for your team products
* Experience managing competing priorities and using metrics to drive business decisions
* Experience influencing multiple stakeholders and leading cross functional teams across geographies and business units
**PREFERRED QUALIFICATIONS**
----------------------------
* MBA, or Master's degree in business, data science, public administration, finance, engineering, human resources or related field
* Experience in program management, logistics, operations, supply chain, transportation, or equivalent
* Experience with AI\-driven personalization or automation in digital experiences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$145,700/year in our lowest geographic market up to $240,900/year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
      <c r="A38" t="inlineStr">
        <is>
          <t>in-3305ac470cda9fcf</t>
        </is>
      </c>
      <c r="B38" t="inlineStr">
        <is>
          <t>Principal Product Manager, Ship with Amazon</t>
        </is>
      </c>
      <c r="C38" t="inlineStr">
        <is>
          <t>Amazon.com</t>
        </is>
      </c>
      <c r="D38" t="inlineStr">
        <is>
          <t>indeed</t>
        </is>
      </c>
      <c r="E38" t="inlineStr"/>
      <c r="F38" t="inlineStr"/>
      <c r="G38" t="inlineStr">
        <is>
          <t>Bellevue, WA, US</t>
        </is>
      </c>
      <c r="H38" s="2" t="n">
        <v>45936</v>
      </c>
      <c r="I38" t="inlineStr">
        <is>
          <t>**DESCRIPTION**
---------------
Join Amazon Shipping (SWA) to build the next $100B initiative. Shape the future of shipping as a part of a new, emerging business and solve the biggest customer pain points in the small parcel logistics industry globally.  
It’s no secret that Amazon relies on its technology to deliver millions of packages every day to its customers – on time, with low cost. We, the Product and Technology organization, simplify complex software solutions that work across our shippers, vendors, and warehouses to optimize both time \&amp; cost of getting the packages delivered. Our services already handle thousands of requests per second, make business decisions impacting billions of dollars a year, integrate with a network of small and large shippers, operators and drivers worldwide, manage business rules for millions of unique products, and improve the ordering and delivery experience for millions of online shoppers. That said, this remains a fast\-growing business and our technical journey has only started. Our mission is to build the most efficient and optimal shipping solution on the planet, using our technology and engineering muscle as our biggest advantage. We aim to leverage top technologies in big data and optimization techniques to operate high volume, low latency, and high availability services.  
What will you do?  
As Principal Product Manager, you will architect and drive our digital product strategy across web and mobile platforms, creating exceptional user experiences for our customers. In this key leadership role, you will spearhead the vision and roadmap for our digital ecosystem, leveraging customer insights, data analysis, and user research to deliver innovative solutions. You will lead cross\-functional teams through complex product development cycles, from conception to launch, ensuring seamless integration across all digital touchpoints.
The ideal candidate has a strong logistics/supply chain and digital product management background combined with a solid understanding of current technologies. S/he can develop and drive high\-level strategic initiatives but also roll up their sleeves, dig in and get the job done. Maturity, strong business judgment, ability to influence cross\-functional and remote teams, a customer\-centric and creative mindset with strong analytical skills are essential. This opportunity requires excellent product management, prioritization, and communication skills, as well as the ability to navigate ambiguity.  
Key job responsibilities  
* Define the digital product vision and roadmap.
* Work directly with customers, stakeholders, UX and engineering to build exceptional products.
\- Partner with other teams across Amazon Shipping \- Product and Tech to identify and influence development of new products and services.  
* Anticipate bottlenecks, provide escalation management, and make tradeoffs to balance business needs versus technical or operational constraints.
* Collaborate with global stakeholders in other regions to define requirements that support international use cases.
* Define user stories and product requirements; contribute to the technical design of new product features.
* Drive adoption of features, incorporating continuous feedback for improvements based on user experiences.
* About 10% travel required.
**BASIC QUALIFICATIONS**
------------------------
* Bachelor's degree in Computer Science, Engineering, or a related field
* 10\+ years of success in digital user experience, web/mobile development or digital product management experience
* 7\+ years of end to end product delivery experience
* Experience defining roadmap strategy and prioritizing deliverables for your team products
* Experience managing competing priorities and using metrics to drive business decisions
* Experience influencing multiple stakeholders and leading cross functional teams across geographies and business units
**PREFERRED QUALIFICATIONS**
----------------------------
* MBA, or Master's degree in business, data science, public administration, finance, engineering, human resources or related field
* Experience in program management, logistics, operations, supply chain, transportation, or equivalent
* Experience with AI\-driven personalization or automation in digital experiences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$145,700/year in our lowest geographic market up to $240,900/year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
      <c r="A39" t="inlineStr">
        <is>
          <t>in-23540d5f4525c439</t>
        </is>
      </c>
      <c r="B39" t="inlineStr">
        <is>
          <t>Sr. Supply Chain Product Manager, Amazon Custom Modules</t>
        </is>
      </c>
      <c r="C39" t="inlineStr">
        <is>
          <t>Amazon.com</t>
        </is>
      </c>
      <c r="D39" t="inlineStr">
        <is>
          <t>indeed</t>
        </is>
      </c>
      <c r="E39" t="inlineStr"/>
      <c r="F39" t="inlineStr"/>
      <c r="G39" t="inlineStr">
        <is>
          <t>Austin, TX, US</t>
        </is>
      </c>
      <c r="H39" s="2" t="n">
        <v>45935</v>
      </c>
      <c r="I39"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
      <c r="A40" t="inlineStr">
        <is>
          <t>in-dec8afe779a9a908</t>
        </is>
      </c>
      <c r="B40" t="inlineStr">
        <is>
          <t>Sr. Supply Chain Product Manager, Amazon Custom Modules</t>
        </is>
      </c>
      <c r="C40" t="inlineStr">
        <is>
          <t>Amazon.com</t>
        </is>
      </c>
      <c r="D40" t="inlineStr">
        <is>
          <t>indeed</t>
        </is>
      </c>
      <c r="E40" t="inlineStr"/>
      <c r="F40" t="inlineStr"/>
      <c r="G40" t="inlineStr">
        <is>
          <t>Cupertino, CA, US</t>
        </is>
      </c>
      <c r="H40" s="2" t="n">
        <v>45935</v>
      </c>
      <c r="I40"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in-3dfaf0079b90d7e6</t>
        </is>
      </c>
      <c r="B41" t="inlineStr">
        <is>
          <t>Sr. Supply Chain Product Manager, Amazon Custom Modules</t>
        </is>
      </c>
      <c r="C41" t="inlineStr">
        <is>
          <t>Amazon.com</t>
        </is>
      </c>
      <c r="D41" t="inlineStr">
        <is>
          <t>indeed</t>
        </is>
      </c>
      <c r="E41" t="inlineStr"/>
      <c r="F41" t="inlineStr"/>
      <c r="G41" t="inlineStr">
        <is>
          <t>Seattle, WA, US</t>
        </is>
      </c>
      <c r="H41" s="2" t="n">
        <v>45935</v>
      </c>
      <c r="I41"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
      <c r="A42" t="inlineStr">
        <is>
          <t>in-3ac145e1c1494768</t>
        </is>
      </c>
      <c r="B42" t="inlineStr">
        <is>
          <t>SR. Technical Program Manager, Connectivity, Connectivity SW DeviceOS</t>
        </is>
      </c>
      <c r="C42" t="inlineStr">
        <is>
          <t>Amazon.com</t>
        </is>
      </c>
      <c r="D42" t="inlineStr">
        <is>
          <t>indeed</t>
        </is>
      </c>
      <c r="E42" t="inlineStr"/>
      <c r="F42" t="inlineStr"/>
      <c r="G42" t="inlineStr">
        <is>
          <t>Sunnyvale, CA, US</t>
        </is>
      </c>
      <c r="H42" s="2" t="n">
        <v>45932</v>
      </c>
      <c r="I42" t="inlineStr">
        <is>
          <t>**DESCRIPTION**
---------------
Amazon Lab126 is an inventive research and development company that designs and engineers high\-profile consumer electronics. Lab126 began in 2004 as a subsidiary of Amazon.com, Inc., originally creating the best\-selling Kindle family of products. Since then, we have produced groundbreaking devices like Fire tablets, Fire TV and Amazon Echo.  
What will you help us create?  
The Role:  
As a Sr. Technical Program Manager, you will engage with an experienced cross\-disciplinary staff to design, manage, and deliver innovative consumer products, technologies, and tools. In this role, you will:  
Work with key stakeholders in product management and executive teams to define strategy and requirements  
Drive data\-based activities to develop insights on device and accessory performance and improvement recommendations  
Lead cross functional and full stack problem\-solving and development activities from design through delivery  
Work with global teams to deliver supporting software and services in sync with launch timelines.  
Communicate regularly with senior management on status, risks and change control  
Work with subject matter experts to lead and drive new technology initiatives and evaluations for next generation Amazon products and features  
Work with component leads to drive evaluation and adoption of new vendor technologies and HW  
Work with vendors and external partners to deliver device software and firmware technologies into our products
**BASIC QUALIFICATIONS**
------------------------
* 7\+ years of working directly with engineering teams experience
* 5\+ years of technical product or program management experience
* 3\+ years of software development experience
* 5\+ years of technical program management working directly with software engineering teams experience
* Experience managing programs across cross functional teams, building processes and coordinating release schedules
**PREFERRED QUALIFICATIONS**
----------------------------
* 5\+ years of project management disciplines including scope, schedule, budget, quality, along with risk and critical path management experience
* Experience managing projects across cross functional teams, building sustainable processes and coordinating release schedules
* Experience defining KPI's/SLA's used to drive multi\-million dollar businesses and reporting to senior leadership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$133,900/year in our lowest geographic market up to $231,400/year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
      <c r="A43" t="inlineStr">
        <is>
          <t>in-a54afa9b2c5eae64</t>
        </is>
      </c>
      <c r="B43" t="inlineStr">
        <is>
          <t>SR. Technical Program Manager, Connectivity, Connectivity SW DeviceOS</t>
        </is>
      </c>
      <c r="C43" t="inlineStr">
        <is>
          <t>Amazon.com</t>
        </is>
      </c>
      <c r="D43" t="inlineStr">
        <is>
          <t>indeed</t>
        </is>
      </c>
      <c r="E43" t="inlineStr"/>
      <c r="F43" t="inlineStr"/>
      <c r="G43" t="inlineStr">
        <is>
          <t>Irvine, CA, US</t>
        </is>
      </c>
      <c r="H43" s="2" t="n">
        <v>45932</v>
      </c>
      <c r="I43" t="inlineStr">
        <is>
          <t>**DESCRIPTION**
---------------
Amazon Lab126 is an inventive research and development company that designs and engineers high\-profile consumer electronics. Lab126 began in 2004 as a subsidiary of Amazon.com, Inc., originally creating the best\-selling Kindle family of products. Since then, we have produced groundbreaking devices like Fire tablets, Fire TV and Amazon Echo.  
What will you help us create?  
The Role:  
As a Sr. Technical Program Manager, you will engage with an experienced cross\-disciplinary staff to design, manage, and deliver innovative consumer products, technologies, and tools. In this role, you will:  
Work with key stakeholders in product management and executive teams to define strategy and requirements  
Drive data\-based activities to develop insights on device and accessory performance and improvement recommendations  
Lead cross functional and full stack problem\-solving and development activities from design through delivery  
Work with global teams to deliver supporting software and services in sync with launch timelines.  
Communicate regularly with senior management on status, risks and change control  
Work with subject matter experts to lead and drive new technology initiatives and evaluations for next generation Amazon products and features  
Work with component leads to drive evaluation and adoption of new vendor technologies and HW  
Work with vendors and external partners to deliver device software and firmware technologies into our products
**BASIC QUALIFICATIONS**
------------------------
* 7\+ years of working directly with engineering teams experience
* 5\+ years of technical product or program management experience
* 3\+ years of software development experience
* 5\+ years of technical program management working directly with software engineering teams experience
* Experience managing programs across cross functional teams, building processes and coordinating release schedules
**PREFERRED QUALIFICATIONS**
----------------------------
* 5\+ years of project management disciplines including scope, schedule, budget, quality, along with risk and critical path management experience
* Experience managing projects across cross functional teams, building sustainable processes and coordinating release schedules
* Experience defining KPI's/SLA's used to drive multi\-million dollar businesses and reporting to senior leadership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$133,900/year in our lowest geographic market up to $231,400/year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
      <c r="A44" t="inlineStr">
        <is>
          <t>in-1e5b39a10d61dce2</t>
        </is>
      </c>
      <c r="B44" t="inlineStr">
        <is>
          <t>SR. Technical Program Manager, Connectivity, Connectivity SW DeviceOS</t>
        </is>
      </c>
      <c r="C44" t="inlineStr">
        <is>
          <t>Amazon.com</t>
        </is>
      </c>
      <c r="D44" t="inlineStr">
        <is>
          <t>indeed</t>
        </is>
      </c>
      <c r="E44" t="inlineStr"/>
      <c r="F44" t="inlineStr"/>
      <c r="G44" t="inlineStr">
        <is>
          <t>Austin, TX, US</t>
        </is>
      </c>
      <c r="H44" s="2" t="n">
        <v>45932</v>
      </c>
      <c r="I44" t="inlineStr">
        <is>
          <t>**DESCRIPTION**
---------------
Amazon Lab126 is an inventive research and development company that designs and engineers high\-profile consumer electronics. Lab126 began in 2004 as a subsidiary of Amazon.com, Inc., originally creating the best\-selling Kindle family of products. Since then, we have produced groundbreaking devices like Fire tablets, Fire TV and Amazon Echo.  
What will you help us create?  
The Role:  
As a Sr. Technical Program Manager, you will engage with an experienced cross\-disciplinary staff to design, manage, and deliver innovative consumer products, technologies, and tools. In this role, you will:  
Work with key stakeholders in product management and executive teams to define strategy and requirements  
Drive data\-based activities to develop insights on device and accessory performance and improvement recommendations  
Lead cross functional and full stack problem\-solving and development activities from design through delivery  
Work with global teams to deliver supporting software and services in sync with launch timelines.  
Communicate regularly with senior management on status, risks and change control  
Work with subject matter experts to lead and drive new technology initiatives and evaluations for next generation Amazon products and features  
Work with component leads to drive evaluation and adoption of new vendor technologies and HW  
Work with vendors and external partners to deliver device software and firmware technologies into our products
**BASIC QUALIFICATIONS**
------------------------
* 7\+ years of working directly with engineering teams experience
* 5\+ years of technical product or program management experience
* 3\+ years of software development experience
* 5\+ years of technical program management working directly with software engineering teams experience
* Experience managing programs across cross functional teams, building processes and coordinating release schedules
**PREFERRED QUALIFICATIONS**
----------------------------
* 5\+ years of project management disciplines including scope, schedule, budget, quality, along with risk and critical path management experience
* Experience managing projects across cross functional teams, building sustainable processes and coordinating release schedules
* Experience defining KPI's/SLA's used to drive multi\-million dollar businesses and reporting to senior leadership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$133,900/year in our lowest geographic market up to $231,400/year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in-367bdcfa8b73f5b2</t>
        </is>
      </c>
      <c r="B45" t="inlineStr">
        <is>
          <t>Sr. Program Manager, Same Day Programs</t>
        </is>
      </c>
      <c r="C45" t="inlineStr">
        <is>
          <t>Amazon.com</t>
        </is>
      </c>
      <c r="D45" t="inlineStr">
        <is>
          <t>indeed</t>
        </is>
      </c>
      <c r="E45" t="inlineStr"/>
      <c r="F45" t="inlineStr"/>
      <c r="G45" t="inlineStr">
        <is>
          <t>Bellevue, WA, US</t>
        </is>
      </c>
      <c r="H45" s="2" t="n">
        <v>45931</v>
      </c>
      <c r="I45"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in-dda2a70852beabed</t>
        </is>
      </c>
      <c r="B46" t="inlineStr">
        <is>
          <t>Sr. Program Manager, Same Day Programs,</t>
        </is>
      </c>
      <c r="C46" t="inlineStr">
        <is>
          <t>Amazon.com</t>
        </is>
      </c>
      <c r="D46" t="inlineStr">
        <is>
          <t>indeed</t>
        </is>
      </c>
      <c r="E46" t="inlineStr"/>
      <c r="F46" t="inlineStr"/>
      <c r="G46" t="inlineStr">
        <is>
          <t>Bellevue, WA, US</t>
        </is>
      </c>
      <c r="H46" s="2" t="n">
        <v>45931</v>
      </c>
      <c r="I46"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Bachelor's degree
* 5\+ years of program or project management experience
* Experience using data and metrics to determine and drive improvements
* Experience owning program strategy, end to end delivery, and communicating results to senior leadership
* Experience with complex automated material handling equipment, packaging technologies, and systems and high\-speed manufacturing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in-5d6d92ea6fd0abac</t>
        </is>
      </c>
      <c r="B47" t="inlineStr">
        <is>
          <t>Sr. Program Manager, Same Day Programs</t>
        </is>
      </c>
      <c r="C47" t="inlineStr">
        <is>
          <t>Amazon.com</t>
        </is>
      </c>
      <c r="D47" t="inlineStr">
        <is>
          <t>indeed</t>
        </is>
      </c>
      <c r="E47" t="inlineStr"/>
      <c r="F47" t="inlineStr"/>
      <c r="G47" t="inlineStr">
        <is>
          <t>Nashville, TN, US</t>
        </is>
      </c>
      <c r="H47" s="2" t="n">
        <v>45931</v>
      </c>
      <c r="I47"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in-fc9adfa469b20073</t>
        </is>
      </c>
      <c r="B48" t="inlineStr">
        <is>
          <t>Sr. Program Manager, Same Day Programs,</t>
        </is>
      </c>
      <c r="C48" t="inlineStr">
        <is>
          <t>Amazon.com</t>
        </is>
      </c>
      <c r="D48" t="inlineStr">
        <is>
          <t>indeed</t>
        </is>
      </c>
      <c r="E48" t="inlineStr"/>
      <c r="F48" t="inlineStr"/>
      <c r="G48" t="inlineStr">
        <is>
          <t>Nashville, TN, US</t>
        </is>
      </c>
      <c r="H48" s="2" t="n">
        <v>45931</v>
      </c>
      <c r="I48"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Bachelor's degree
* 5\+ years of program or project management experience
* Experience using data and metrics to determine and drive improvements
* Experience owning program strategy, end to end delivery, and communicating results to senior leadership
* Experience with complex automated material handling equipment, packaging technologies, and systems and high\-speed manufacturing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in-cf2b9ab6fbdfef81</t>
        </is>
      </c>
      <c r="B49" t="inlineStr">
        <is>
          <t>Sr. Product Manager - Tech , AFX - Sales Planning Tools</t>
        </is>
      </c>
      <c r="C49" t="inlineStr">
        <is>
          <t>Amazon Web Services</t>
        </is>
      </c>
      <c r="D49" t="inlineStr">
        <is>
          <t>indeed</t>
        </is>
      </c>
      <c r="E49" t="inlineStr"/>
      <c r="F49" t="inlineStr"/>
      <c r="G49" t="inlineStr">
        <is>
          <t>Dallas, TX, US</t>
        </is>
      </c>
      <c r="H49" s="2" t="n">
        <v>45923</v>
      </c>
      <c r="I49" t="inlineStr">
        <is>
          <t>**DESCRIPTION**
---------------
Do you want to be part of an innovative and rapidly growing business? Are you looking for a role with ownership, autonomy, and the ability to lead teams across the globe to launch AI/ML enterprise applications?  
Then you should join the AWS Sales Marketing and Global Services (SMGS) Sales Planning Tools team. We provide the services, technology, and data to support the rapidly growing world\-wide AWS Sales organization. This includes finding inventive ways to scale the business, which will be critical for AWS to continue its strong growth. Our team manages a portfolio of complex, high\-impact, and intelligent planning tools, with an exciting multi\-year product roadmap. These are global, enterprise grade web applications that are early and mid\-stage in their lifecycle, and include both 1P and 3P products.
Our team is seeking a talented, innovative Sr. Product Manager with exceptional invent and simplify skillset, problem solving abilities, clear communication skills, think big mindset, and the ability to translate customers and business needs into inventive software solutions.
You will be responsible for onboarding the AWS Partner Organization to AWS Sales Planning, specifically owning GTM Partner Hierarchy, Partner Segmentation, and Partner Account Ownership. This entails designing and delivering a global, enterprise grade web\-based sales planning application to be used by the Partner organization for Partner Planning. The AWS Partner Organization is a rapidly growing business, and you will stand to deliver transformational value across the worldwide AWS Sales organization. You will work with a dedicated engineering pod; our product team works with a 70 person, and growing, engineering team. You will define the product’s 2\-3 year vision and strategy, including the delivery of automation and intelligent recommendations to drive a more efficient and effective Partner Sales Planning. You will be responsible for roadmap development, product requirements management, stakeholder and customer engagement, leadership reviews, user testing, and launch strategy and execution. You will partner with engineering, global sales customers, a data science team, and other application owners across the SMGS organization.  
Key job responsibilities  
* Develop product strategy and product definition.
* Define and manage multi\-year product roadmap, including introduction of AI/ML to transform AWS planning.
* Capture, document, and communicate business and technical product requirements.
* Translate requirements into features and user stories. Drive technical team understanding of requirements.
* Manage technical build against business requirements. Provide thought leadership with engineering on implementation.
* Collaborate with and influence key stakeholders from Global AWS Sales and Sales Operations teams and other System and Application teams across WWRO.
* Lead document development for leadership reviews.
* Own project status updates to customers, stakeholders, and leadership.
* Plan and conduct user testing.
* Drive change management and adoption of solution across AWS Sales and Sales Operations
* Manage post\-launch activities (user support, new feature development, etc.)
* Establish KPIs, identify gaps, and improve performance and adoption of the platform.
* Deep dive problems or opportunity areas and propose solutions to address.
* Generate new ideas to drive improvement, efficiency and automation across AWS Sales that will enable AWS to scale and grow.
A day in the life  
* Design new products and capabilities that enable business users to operate more effectively, intelligently, and efficiently.
* Engage with systems that are at the forefront of technology, pioneering new methods and approaches to delivering software, serving customers, and enabling large, distributed, worldwide sales teams.
* Work closely with engineering and other technical product/program managers to define, build, drive and measure mechanisms to enable our field sales teams
* Leverage strong communication skills and a passion for using data and software to drive business decisions at scale
About the team  
We have a team culture that encourages innovation and we expect team members and management alike to take high degree of ownership for their program vision and execution of ideas. Beyond a strong technical background and proven track record of product management, a successful candidate will have experience driving strategy and influencing executive leadership. We are looking for someone that is a self\-starter, someone that approaches complex business questions with data and curiosity, and a person that dives below the surface to identify the root cause and "so what" rather than just superficial trends.  
About AWS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About Sales, Marketing and Global Services (SMGS)  
AWS Sales, Marketing, and Global Services (SMGS) is responsible for driving revenue, adoption, and growth from the largest and fastest growing small\- and mid\-market accounts to enterprise\-level customers including public sector.**BASIC QUALIFICATIONS**
------------------------
* Bachelor's degree in a quantitative/technical field such as computer science, engineering, statistics
* 5\+ years of technical product or program management experience
* Experience with end to end product delivery
* Experience contributing to engineering discussions around technology and data decisions and strategy related to product
* Excellent verbal and written communication; able to communicate effectively with technical and non\-technical individuals
**PREFERRED QUALIFICATIONS**
----------------------------
* Master's degree
* Experience managing technical products or online services
* Experience in building and driving adoption of new tools
* Experience contributing to engineering discussions around technology decisions and strategy related to a product
* Comfort with ambiguity; demonstrated track record of independently developing creative solutions to problems
* Demonstrated ability to successfully influence and drive stakeholders to decision without formal authority
* Experience with developing products and features for the sales and marketing space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in-7b49844de929ffb4</t>
        </is>
      </c>
      <c r="B50" t="inlineStr">
        <is>
          <t>Sr. Product Manager - Tech , AFX - Sales Planning Tools</t>
        </is>
      </c>
      <c r="C50" t="inlineStr">
        <is>
          <t>Amazon Web Services</t>
        </is>
      </c>
      <c r="D50" t="inlineStr">
        <is>
          <t>indeed</t>
        </is>
      </c>
      <c r="E50" t="inlineStr"/>
      <c r="F50" t="inlineStr"/>
      <c r="G50" t="inlineStr">
        <is>
          <t>Seattle, WA, US</t>
        </is>
      </c>
      <c r="H50" s="2" t="n">
        <v>45923</v>
      </c>
      <c r="I50" t="inlineStr">
        <is>
          <t>**DESCRIPTION**
---------------
Do you want to be part of an innovative and rapidly growing business? Are you looking for a role with ownership, autonomy, and the ability to lead teams across the globe to launch AI/ML enterprise applications?  
Then you should join the AWS Sales Marketing and Global Services (SMGS) Sales Planning Tools team. We provide the services, technology, and data to support the rapidly growing world\-wide AWS Sales organization. This includes finding inventive ways to scale the business, which will be critical for AWS to continue its strong growth. Our team manages a portfolio of complex, high\-impact, and intelligent planning tools, with an exciting multi\-year product roadmap. These are global, enterprise grade web applications that are early and mid\-stage in their lifecycle, and include both 1P and 3P products.
Our team is seeking a talented, innovative Sr. Product Manager with exceptional invent and simplify skillset, problem solving abilities, clear communication skills, think big mindset, and the ability to translate customers and business needs into inventive software solutions.
You will be responsible for onboarding the AWS Partner Organization to AWS Sales Planning, specifically owning GTM Partner Hierarchy, Partner Segmentation, and Partner Account Ownership. This entails designing and delivering a global, enterprise grade web\-based sales planning application to be used by the Partner organization for Partner Planning. The AWS Partner Organization is a rapidly growing business, and you will stand to deliver transformational value across the worldwide AWS Sales organization. You will work with a dedicated engineering pod; our product team works with a 70 person, and growing, engineering team. You will define the product’s 2\-3 year vision and strategy, including the delivery of automation and intelligent recommendations to drive a more efficient and effective Partner Sales Planning. You will be responsible for roadmap development, product requirements management, stakeholder and customer engagement, leadership reviews, user testing, and launch strategy and execution. You will partner with engineering, global sales customers, a data science team, and other application owners across the SMGS organization.  
Key job responsibilities  
* Develop product strategy and product definition.
* Define and manage multi\-year product roadmap, including introduction of AI/ML to transform AWS planning.
* Capture, document, and communicate business and technical product requirements.
* Translate requirements into features and user stories. Drive technical team understanding of requirements.
* Manage technical build against business requirements. Provide thought leadership with engineering on implementation.
* Collaborate with and influence key stakeholders from Global AWS Sales and Sales Operations teams and other System and Application teams across WWRO.
* Lead document development for leadership reviews.
* Own project status updates to customers, stakeholders, and leadership.
* Plan and conduct user testing.
* Drive change management and adoption of solution across AWS Sales and Sales Operations
* Manage post\-launch activities (user support, new feature development, etc.)
* Establish KPIs, identify gaps, and improve performance and adoption of the platform.
* Deep dive problems or opportunity areas and propose solutions to address.
* Generate new ideas to drive improvement, efficiency and automation across AWS Sales that will enable AWS to scale and grow.
A day in the life  
* Design new products and capabilities that enable business users to operate more effectively, intelligently, and efficiently.
* Engage with systems that are at the forefront of technology, pioneering new methods and approaches to delivering software, serving customers, and enabling large, distributed, worldwide sales teams.
* Work closely with engineering and other technical product/program managers to define, build, drive and measure mechanisms to enable our field sales teams
* Leverage strong communication skills and a passion for using data and software to drive business decisions at scale
About the team  
We have a team culture that encourages innovation and we expect team members and management alike to take high degree of ownership for their program vision and execution of ideas. Beyond a strong technical background and proven track record of product management, a successful candidate will have experience driving strategy and influencing executive leadership. We are looking for someone that is a self\-starter, someone that approaches complex business questions with data and curiosity, and a person that dives below the surface to identify the root cause and "so what" rather than just superficial trends.  
About AWS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About Sales, Marketing and Global Services (SMGS)  
AWS Sales, Marketing, and Global Services (SMGS) is responsible for driving revenue, adoption, and growth from the largest and fastest growing small\- and mid\-market accounts to enterprise\-level customers including public sector.**BASIC QUALIFICATIONS**
------------------------
* Bachelor's degree in a quantitative/technical field such as computer science, engineering, statistics
* 5\+ years of technical product or program management experience
* Experience with end to end product delivery
* Experience contributing to engineering discussions around technology and data decisions and strategy related to product
* Excellent verbal and written communication; able to communicate effectively with technical and non\-technical individuals
**PREFERRED QUALIFICATIONS**
----------------------------
* Master's degree
* Experience managing technical products or online services
* Experience in building and driving adoption of new tools
* Experience contributing to engineering discussions around technology decisions and strategy related to a product
* Comfort with ambiguity; demonstrated track record of independently developing creative solutions to problems
* Demonstrated ability to successfully influence and drive stakeholders to decision without formal authority
* Experience with developing products and features for the sales and marketing space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in-968c2f4b0b72c0c9</t>
        </is>
      </c>
      <c r="B51" t="inlineStr">
        <is>
          <t>Amazon Last Mile Fleet Program Manager, In Life Services-Recalls, Retrofits, and Tires</t>
        </is>
      </c>
      <c r="C51" t="inlineStr">
        <is>
          <t>Amazon.com</t>
        </is>
      </c>
      <c r="D51" t="inlineStr">
        <is>
          <t>indeed</t>
        </is>
      </c>
      <c r="E51" t="inlineStr"/>
      <c r="F51" t="inlineStr"/>
      <c r="G51" t="inlineStr">
        <is>
          <t>Arlington, VA, US</t>
        </is>
      </c>
      <c r="H51" s="2" t="n">
        <v>45911</v>
      </c>
      <c r="I51"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in-23a029d2ef0303ee</t>
        </is>
      </c>
      <c r="B52" t="inlineStr">
        <is>
          <t>Amazon Last Mile Fleet Program Manager, In Life Services-Recalls, Retrofits, and Tires</t>
        </is>
      </c>
      <c r="C52" t="inlineStr">
        <is>
          <t>Amazon.com</t>
        </is>
      </c>
      <c r="D52" t="inlineStr">
        <is>
          <t>indeed</t>
        </is>
      </c>
      <c r="E52" t="inlineStr"/>
      <c r="F52" t="inlineStr"/>
      <c r="G52" t="inlineStr">
        <is>
          <t>Bellevue, WA, US</t>
        </is>
      </c>
      <c r="H52" s="2" t="n">
        <v>45911</v>
      </c>
      <c r="I52"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in-322b8639d0b824e6</t>
        </is>
      </c>
      <c r="B53" t="inlineStr">
        <is>
          <t>Amazon Last Mile Fleet Program Manager, In Life Services-Recalls, Retrofits, and Tires</t>
        </is>
      </c>
      <c r="C53" t="inlineStr">
        <is>
          <t>Amazon.com</t>
        </is>
      </c>
      <c r="D53" t="inlineStr">
        <is>
          <t>indeed</t>
        </is>
      </c>
      <c r="E53" t="inlineStr"/>
      <c r="F53" t="inlineStr"/>
      <c r="G53" t="inlineStr">
        <is>
          <t>Nashville, TN, US</t>
        </is>
      </c>
      <c r="H53" s="2" t="n">
        <v>45911</v>
      </c>
      <c r="I53"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in-47bb6d9dc513687d</t>
        </is>
      </c>
      <c r="B54" t="inlineStr">
        <is>
          <t>Sr. EHS Program Manager, Safety Learning and Development</t>
        </is>
      </c>
      <c r="C54" t="inlineStr">
        <is>
          <t>Amazon.com</t>
        </is>
      </c>
      <c r="D54" t="inlineStr">
        <is>
          <t>indeed</t>
        </is>
      </c>
      <c r="E54" t="inlineStr"/>
      <c r="F54" t="inlineStr"/>
      <c r="G54" t="inlineStr">
        <is>
          <t>Nashville, TN, US</t>
        </is>
      </c>
      <c r="H54" s="2" t="n">
        <v>45910</v>
      </c>
      <c r="I54" t="inlineStr">
        <is>
          <t>**DESCRIPTION**
---------------
Amazon is looking for an enthusiastic Sr. Program Manager to join the Workplace Health and Safety (WHS), Safety Learning and Development (SLeD) team. We are not an average company, and this is certainly not your average position. This role offers you the opportunity to revolutionize safety training delivery worldwide. SLeD seeks an experienced, self\-motivated Program Manager who excels in a fast\-paced environment and has a solid background in program management. This role will support the deployment and management of safety training programs for operations associates and leadership globally.
As a Sr. Program Manager, you will work across teams to collaborate, generate buy\-in, develop and execute to a plan. You will drive the expansion and growth of our global safety training programs, scaling globally. You will play a crucial role in devising strategies, fostering partnerships, and executing initiatives to enhance the program's reach and impact. This entails serving as the main point of contact for stakeholders in coordinating and managing strategic, cross\-functional, and business\-critical programs and projects. The ideal candidate excels in crafting large\-scale global training program strategies, encompassing training design, roadmaps, gap analyses, financial planning, communication, and launch plans in a dynamic and diverse business environment. Effective communication and program management skills are essential, enabling you to manage multiple competing priorities and coordinate work across teams. The successful candidate will be proficient at working with data to identify trends, identify improvement opportunities, and proactively define plans to realize these opportunities.
To be successful in this role, the candidate will effectively multitask and prioritize, utilize data to encourage decisions, and maintain a high level of independence. They will be comfortable working in a growing and ambiguous work environment as we constantly improve and innovate. This leader must have solid written and verbal communications skills, the ability to influence stakeholders, and willingness to dive deep into details.  
Key job responsibilities  
Key job responsibilities  
* Accountable for the overall program strategy and planning for their regions/business units, communicate program requirements, negotiate priorities, and define success metrics
* Apply project management best practices to drive plan execution, mitigate risks, and improve effectiveness to deliver results in a timely manner
* Continuously improve program components and mechanisms to drive results and provide program status communication, deliver clear and concise summaries to leadership teams and effectively answer questions
* Serve as the primary point of contact for coordinating and managing strategic, cross\-functional, and business\-critical training programs and projects
* Build partnerships with key stakeholders and organizations to promote training program adoption.
* Effectively communicate and manage multiple, competing priorities while coordinating work across teams
* Define, track, and monitor progress against success metrics and project plans. Analyze and report on overall project health using key performance indicators and success metrics, and accurately and clearly report on status against program objectives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 5\+ years of program or project management experience
* Experience using data and metrics to determine and drive improvements
* Experience owning program strategy, end to end delivery, and communicating results to senior leadership
* Bachelor's degree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in-7cce78df337073c6</t>
        </is>
      </c>
      <c r="B55" t="inlineStr">
        <is>
          <t>Sr. EHS Program Manager, Safety Learning and Development</t>
        </is>
      </c>
      <c r="C55" t="inlineStr">
        <is>
          <t>Amazon.com</t>
        </is>
      </c>
      <c r="D55" t="inlineStr">
        <is>
          <t>indeed</t>
        </is>
      </c>
      <c r="E55" t="inlineStr"/>
      <c r="F55" t="inlineStr"/>
      <c r="G55" t="inlineStr">
        <is>
          <t>Bellevue, WA, US</t>
        </is>
      </c>
      <c r="H55" s="2" t="n">
        <v>45910</v>
      </c>
      <c r="I55" t="inlineStr">
        <is>
          <t>**DESCRIPTION**
---------------
Amazon is looking for an enthusiastic Sr. Program Manager to join the Workplace Health and Safety (WHS), Safety Learning and Development (SLeD) team. We are not an average company, and this is certainly not your average position. This role offers you the opportunity to revolutionize safety training delivery worldwide. SLeD seeks an experienced, self\-motivated Program Manager who excels in a fast\-paced environment and has a solid background in program management. This role will support the deployment and management of safety training programs for operations associates and leadership globally.
As a Sr. Program Manager, you will work across teams to collaborate, generate buy\-in, develop and execute to a plan. You will drive the expansion and growth of our global safety training programs, scaling globally. You will play a crucial role in devising strategies, fostering partnerships, and executing initiatives to enhance the program's reach and impact. This entails serving as the main point of contact for stakeholders in coordinating and managing strategic, cross\-functional, and business\-critical programs and projects. The ideal candidate excels in crafting large\-scale global training program strategies, encompassing training design, roadmaps, gap analyses, financial planning, communication, and launch plans in a dynamic and diverse business environment. Effective communication and program management skills are essential, enabling you to manage multiple competing priorities and coordinate work across teams. The successful candidate will be proficient at working with data to identify trends, identify improvement opportunities, and proactively define plans to realize these opportunities.
To be successful in this role, the candidate will effectively multitask and prioritize, utilize data to encourage decisions, and maintain a high level of independence. They will be comfortable working in a growing and ambiguous work environment as we constantly improve and innovate. This leader must have solid written and verbal communications skills, the ability to influence stakeholders, and willingness to dive deep into details.  
Key job responsibilities  
Key job responsibilities  
* Accountable for the overall program strategy and planning for their regions/business units, communicate program requirements, negotiate priorities, and define success metrics
* Apply project management best practices to drive plan execution, mitigate risks, and improve effectiveness to deliver results in a timely manner
* Continuously improve program components and mechanisms to drive results and provide program status communication, deliver clear and concise summaries to leadership teams and effectively answer questions
* Serve as the primary point of contact for coordinating and managing strategic, cross\-functional, and business\-critical training programs and projects
* Build partnerships with key stakeholders and organizations to promote training program adoption.
* Effectively communicate and manage multiple, competing priorities while coordinating work across teams
* Define, track, and monitor progress against success metrics and project plans. Analyze and report on overall project health using key performance indicators and success metrics, and accurately and clearly report on status against program objectives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**BASIC QUALIFICATIONS**
------------------------
* 5\+ years of program or project management experience
* Experience using data and metrics to determine and drive improvements
* Experience owning program strategy, end to end delivery, and communicating results to senior leadership
* Bachelor's degree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in-4737ce6fe47c052c</t>
        </is>
      </c>
      <c r="B56" t="inlineStr">
        <is>
          <t>Sr Materials Program Manager, Ring Supply Chain and Operations</t>
        </is>
      </c>
      <c r="C56" t="inlineStr">
        <is>
          <t>Amazon.com</t>
        </is>
      </c>
      <c r="D56" t="inlineStr">
        <is>
          <t>indeed</t>
        </is>
      </c>
      <c r="E56" t="inlineStr"/>
      <c r="F56" t="inlineStr"/>
      <c r="G56" t="inlineStr">
        <is>
          <t>Sunnyvale, CA, US</t>
        </is>
      </c>
      <c r="H56" s="2" t="n">
        <v>45898</v>
      </c>
      <c r="I56" t="inlineStr">
        <is>
          <t>**DESCRIPTION**
---------------
The Senior Materials Program Manager (MPM) is responsible for the management and delivery of the product financial health for highly integrated consumer product. This person has a business orientation and is responsible for working within the local and remote operations, engineering and other cross\-functional teams driving development, implementation and management of the product budget and ensuring diversified continuity of supply. This person is the business voice responsible for capturing, documenting and communicating financial exposures and outlay as it relates to their product. They are involved from product concept through its mass production to ensure the achievement of all financial targets. They will support regular business and executive reviews outlining performance and status.  
Key job responsibilities  
Key job responsibilities  
In this role, you will:  
* Work with engineering and the supply chain team to set program cost targets at a commodity level for your project.
* Track the program actual costs versus target to identify program deltas and corrective actions to bring back on track.
* Attend program new product introduction meetings to understand the cost implication of engineering and/or process changes as related to your product fully loaded cost targets.
* Work with the OEM to set your product purchase order cost for the upcoming period.
* Manage purchase price variance claims resulting from engineering changes, component obsolescence or forecast variance.
* Drive the supply chain and operations team to provide detailed cost reduction forecast that enable you to meet and exceed your product goals.
* Host executive management cost reviews that deep dive through every aspect of your product cost.
* Finalize the optimum supply chain and sourcing plan for your product and drive the cross\-functional team to ensure its implementation.
A day in the life  
A day in the life of a MPM is different every day depending on the stage of the Program Development Cycle but one thing is certain, at any stage the MPM will be looking to solve problems or developing new ways to do things better. At concept stage the MPM is collaborating with the product manager, engineering and GCM teams to identify cost and performance trade\-offs, costing design alternatives and establishing product cost targets and guardrails. During development cycle is working with the multi\-functional team to identify cost opportunities and risks, establishing supplier strategy and planning ahead to mitigate cost and supply risks to launch. During mass production cycle continues seeking opportunities to reduce cost and maintain continuity of supply.  
About the team  
Since launching the first video doorbell in 2012, Ring has become the global leader in residential security. At Ring, we are committed to making home and neighborhood security accessible and effective for everyone, while working hard to bring communities together. Here, you’ll will be part of a fast\-paced team that is passionate about delivering innovative solutions to complex problems.**BASIC QUALIFICATIONS**
------------------------
* 5\+ years of developing, negotiating and executing business agreements experience
* Bachelor's degree
* Experience developing strategies that influence leadership decisions at the organizational level
* Experience managing programs across cross functional teams, building processes and coordinating release schedules
**PREFERRED QUALIFICATIONS**
----------------------------
* Experience interpreting data and making business recommendations
* Experience identifying, negotiating, and executing complex legal agreements
* 5\+ years of managing complex technology projects working directly with engineering teams
* 5\+ years in supply chain and/or manufacturing for complex systems/devices
* Excellent analytical and communication skills; meticulous attention to details
* Experience in relevant industries with a holistic view and keen business acumen
* Technical aptitude and familiarity with the design and working of complex systems
* Proven track record of complex and creative problem solving and the desire to create new processes or simplify and improve on current ones
* Proven ability to influence others, facilitate agreement among stakeholders with different interests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in-adcc42384b4ea91f</t>
        </is>
      </c>
      <c r="B57" t="inlineStr">
        <is>
          <t>Sr Materials Program Manager, Ring Supply Chain and Operations</t>
        </is>
      </c>
      <c r="C57" t="inlineStr">
        <is>
          <t>Amazon.com</t>
        </is>
      </c>
      <c r="D57" t="inlineStr">
        <is>
          <t>indeed</t>
        </is>
      </c>
      <c r="E57" t="inlineStr"/>
      <c r="F57" t="inlineStr"/>
      <c r="G57" t="inlineStr">
        <is>
          <t>Hawthorne, CA, US</t>
        </is>
      </c>
      <c r="H57" s="2" t="n">
        <v>45898</v>
      </c>
      <c r="I57" t="inlineStr">
        <is>
          <t>**DESCRIPTION**
---------------
The Senior Materials Program Manager (MPM) is responsible for the management and delivery of the product financial health for highly integrated consumer product. This person has a business orientation and is responsible for working within the local and remote operations, engineering and other cross\-functional teams driving development, implementation and management of the product budget and ensuring diversified continuity of supply. This person is the business voice responsible for capturing, documenting and communicating financial exposures and outlay as it relates to their product. They are involved from product concept through its mass production to ensure the achievement of all financial targets. They will support regular business and executive reviews outlining performance and status.  
Key job responsibilities  
Key job responsibilities  
In this role, you will:  
* Work with engineering and the supply chain team to set program cost targets at a commodity level for your project.
* Track the program actual costs versus target to identify program deltas and corrective actions to bring back on track.
* Attend program new product introduction meetings to understand the cost implication of engineering and/or process changes as related to your product fully loaded cost targets.
* Work with the OEM to set your product purchase order cost for the upcoming period.
* Manage purchase price variance claims resulting from engineering changes, component obsolescence or forecast variance.
* Drive the supply chain and operations team to provide detailed cost reduction forecast that enable you to meet and exceed your product goals.
* Host executive management cost reviews that deep dive through every aspect of your product cost.
* Finalize the optimum supply chain and sourcing plan for your product and drive the cross\-functional team to ensure its implementation.
A day in the life  
A day in the life of a MPM is different every day depending on the stage of the Program Development Cycle but one thing is certain, at any stage the MPM will be looking to solve problems or developing new ways to do things better. At concept stage the MPM is collaborating with the product manager, engineering and GCM teams to identify cost and performance trade\-offs, costing design alternatives and establishing product cost targets and guardrails. During development cycle is working with the multi\-functional team to identify cost opportunities and risks, establishing supplier strategy and planning ahead to mitigate cost and supply risks to launch. During mass production cycle continues seeking opportunities to reduce cost and maintain continuity of supply.  
About the team  
Since launching the first video doorbell in 2012, Ring has become the global leader in residential security. At Ring, we are committed to making home and neighborhood security accessible and effective for everyone, while working hard to bring communities together. Here, you’ll will be part of a fast\-paced team that is passionate about delivering innovative solutions to complex problems.**BASIC QUALIFICATIONS**
------------------------
* 5\+ years of developing, negotiating and executing business agreements experience
* Bachelor's degree
* Experience developing strategies that influence leadership decisions at the organizational level
* Experience managing programs across cross functional teams, building processes and coordinating release schedules
**PREFERRED QUALIFICATIONS**
----------------------------
* Experience interpreting data and making business recommendations
* Experience identifying, negotiating, and executing complex legal agreements
* 5\+ years of managing complex technology projects working directly with engineering teams
* 5\+ years in supply chain and/or manufacturing for complex systems/devices
* Excellent analytical and communication skills; meticulous attention to details
* Experience in relevant industries with a holistic view and keen business acumen
* Technical aptitude and familiarity with the design and working of complex systems
* Proven track record of complex and creative problem solving and the desire to create new processes or simplify and improve on current ones
* Proven ability to influence others, facilitate agreement among stakeholders with different interests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in-5b0210d4bc50dd3f</t>
        </is>
      </c>
      <c r="B58" t="inlineStr">
        <is>
          <t>Sr. Product Manager, Sub-Same Day (SSD) - DOT, SSD Delivery Ops Tech</t>
        </is>
      </c>
      <c r="C58" t="inlineStr">
        <is>
          <t>Amazon.com</t>
        </is>
      </c>
      <c r="D58" t="inlineStr">
        <is>
          <t>indeed</t>
        </is>
      </c>
      <c r="E58" t="inlineStr"/>
      <c r="F58" t="inlineStr"/>
      <c r="G58" t="inlineStr">
        <is>
          <t>Bellevue, WA, US</t>
        </is>
      </c>
      <c r="H58" s="2" t="n">
        <v>45876</v>
      </c>
      <c r="I58" t="inlineStr">
        <is>
          <t>**DESCRIPTION**
---------------
We are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product requirements and drive product and feature development from conception to launch. This role combines strategic product thinking with hands\-on execution to create scalable technology products that revolutionize delivery speed and customer experience. This role may require up to 10% travel annually.  
Key job responsibilities  
* Own and develop the product strategy and roadmap for SSD delivery technology solutions, incorporating customer needs, business requirements, and business specific or operational constraints
* Define product requirements through customer research, metric analysis, and stakeholder collaboration
* Drive product development cycles working closely with science and engineering teams, including feature prioritization and driving trade\-off decisions
* Design and implement metrics frameworks to measure product success and inform iteration cycles
* Lead cross\-functional teams to implement complex technical products across the Sub Same Day Delivery network while managing stakeholder expectations
* Identify opportunities for product innovation and optimization through data analysis and customer feedback
*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influencing senior leadership through data\-driven insights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in-95c909af2f0ef8a0</t>
        </is>
      </c>
      <c r="B59" t="inlineStr">
        <is>
          <t>Sr. Product Manager, Sub-Same Day (SSD) - DOT, SSD Delivery Ops Tech</t>
        </is>
      </c>
      <c r="C59" t="inlineStr">
        <is>
          <t>Amazon.com</t>
        </is>
      </c>
      <c r="D59" t="inlineStr">
        <is>
          <t>indeed</t>
        </is>
      </c>
      <c r="E59" t="inlineStr"/>
      <c r="F59" t="inlineStr"/>
      <c r="G59" t="inlineStr">
        <is>
          <t>New York, NY, US</t>
        </is>
      </c>
      <c r="H59" s="2" t="n">
        <v>45876</v>
      </c>
      <c r="I59" t="inlineStr">
        <is>
          <t>**DESCRIPTION**
---------------
We are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product requirements and drive product and feature development from conception to launch. This role combines strategic product thinking with hands\-on execution to create scalable technology products that revolutionize delivery speed and customer experience. This role may require up to 10% travel annually.  
Key job responsibilities  
* Own and develop the product strategy and roadmap for SSD delivery technology solutions, incorporating customer needs, business requirements, and business specific or operational constraints
* Define product requirements through customer research, metric analysis, and stakeholder collaboration
* Drive product development cycles working closely with science and engineering teams, including feature prioritization and driving trade\-off decisions
* Design and implement metrics frameworks to measure product success and inform iteration cycles
* Lead cross\-functional teams to implement complex technical products across the Sub Same Day Delivery network while managing stakeholder expectations
* Identify opportunities for product innovation and optimization through data analysis and customer feedback
*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influencing senior leadership through data\-driven insights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in-b62042086d513fab</t>
        </is>
      </c>
      <c r="B60" t="inlineStr">
        <is>
          <t>Sr. Product Manager, Sub-Same Day (SSD) - DOT, SSD Delivery Ops Tech</t>
        </is>
      </c>
      <c r="C60" t="inlineStr">
        <is>
          <t>Amazon.com</t>
        </is>
      </c>
      <c r="D60" t="inlineStr">
        <is>
          <t>indeed</t>
        </is>
      </c>
      <c r="E60" t="inlineStr"/>
      <c r="F60" t="inlineStr"/>
      <c r="G60" t="inlineStr">
        <is>
          <t>Nashville, TN, US</t>
        </is>
      </c>
      <c r="H60" s="2" t="n">
        <v>45876</v>
      </c>
      <c r="I60" t="inlineStr">
        <is>
          <t>**DESCRIPTION**
---------------
We are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product requirements and drive product and feature development from conception to launch. This role combines strategic product thinking with hands\-on execution to create scalable technology products that revolutionize delivery speed and customer experience. This role may require up to 10% travel annually.  
Key job responsibilities  
* Own and develop the product strategy and roadmap for SSD delivery technology solutions, incorporating customer needs, business requirements, and business specific or operational constraints
* Define product requirements through customer research, metric analysis, and stakeholder collaboration
* Drive product development cycles working closely with science and engineering teams, including feature prioritization and driving trade\-off decisions
* Design and implement metrics frameworks to measure product success and inform iteration cycles
* Lead cross\-functional teams to implement complex technical products across the Sub Same Day Delivery network while managing stakeholder expectations
* Identify opportunities for product innovation and optimization through data analysis and customer feedback
*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influencing senior leadership through data\-driven insights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in-7a9f864c2ff0d0b7</t>
        </is>
      </c>
      <c r="B61" t="inlineStr">
        <is>
          <t>Sr. Product Manager, Sub-Same Day (SSD) Delivery</t>
        </is>
      </c>
      <c r="C61" t="inlineStr">
        <is>
          <t>Amazon.com</t>
        </is>
      </c>
      <c r="D61" t="inlineStr">
        <is>
          <t>indeed</t>
        </is>
      </c>
      <c r="E61" t="inlineStr"/>
      <c r="F61" t="inlineStr"/>
      <c r="G61" t="inlineStr">
        <is>
          <t>New York, NY, US</t>
        </is>
      </c>
      <c r="H61" s="2" t="n">
        <v>45874</v>
      </c>
      <c r="I61" t="inlineStr">
        <is>
          <t>**DESCRIPTION**
---------------
Amazon is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business requirements into technical solutions, and drive product development from conception to launch. This role combines strategic product thinking with hands\-on execution to create scalable technology products that revolutionize delivery speed and customer experience. This role may require up to 10% travel annually.  
Key job responsibilities  
1\. Own and develop the product strategy and roadmap for SSD delivery technology solutions, incorporating customer needs, business requirements, and business specific or operational constraints  
2\. Define product requirements and technical specifications through customer research, metric analysis, and stakeholder collaboration  
3\. Drive product development cycles working closely with science and engineering teams, including feature prioritization and driving trade\-off decisions  
4\. Design and implement metrics frameworks to measure product success and inform iteration cycles  
5\. Lead cross\-functional teams to implement complex technical products across the Sub Same 6\. Day Delivery network while managing stakeholder expectations  
7\. Identify opportunities for product innovation and optimization through data analysis and customer feedback  
8\.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 influencing senior leadership through data driven insights
* Master's degree or equivalent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in-a280a5ff8f7181e1</t>
        </is>
      </c>
      <c r="B62" t="inlineStr">
        <is>
          <t>Sr. Product Manager, Sub-Same Day (SSD) Delivery</t>
        </is>
      </c>
      <c r="C62" t="inlineStr">
        <is>
          <t>Amazon.com</t>
        </is>
      </c>
      <c r="D62" t="inlineStr">
        <is>
          <t>indeed</t>
        </is>
      </c>
      <c r="E62" t="inlineStr"/>
      <c r="F62" t="inlineStr"/>
      <c r="G62" t="inlineStr">
        <is>
          <t>Bellevue, WA, US</t>
        </is>
      </c>
      <c r="H62" s="2" t="n">
        <v>45874</v>
      </c>
      <c r="I62" t="inlineStr">
        <is>
          <t>**DESCRIPTION**
---------------
Amazon is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business requirements into technical solutions, and drive product development from conception to launch. This role combines strategic product thinking with hands\-on execution to create scalable technology products that revolutionize delivery speed and customer experience. This role may require up to 10% travel annually.  
Key job responsibilities  
1\. Own and develop the product strategy and roadmap for SSD delivery technology solutions, incorporating customer needs, business requirements, and business specific or operational constraints  
2\. Define product requirements and technical specifications through customer research, metric analysis, and stakeholder collaboration  
3\. Drive product development cycles working closely with science and engineering teams, including feature prioritization and driving trade\-off decisions  
4\. Design and implement metrics frameworks to measure product success and inform iteration cycles  
5\. Lead cross\-functional teams to implement complex technical products across the Sub Same 6\. Day Delivery network while managing stakeholder expectations  
7\. Identify opportunities for product innovation and optimization through data analysis and customer feedback  
8\.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 influencing senior leadership through data driven insights
* Master's degree or equivalent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in-83f780b94e736dcf</t>
        </is>
      </c>
      <c r="B63" t="inlineStr">
        <is>
          <t>Sr. Product Manager, Sub-Same Day (SSD) Delivery</t>
        </is>
      </c>
      <c r="C63" t="inlineStr">
        <is>
          <t>Amazon.com</t>
        </is>
      </c>
      <c r="D63" t="inlineStr">
        <is>
          <t>indeed</t>
        </is>
      </c>
      <c r="E63" t="inlineStr"/>
      <c r="F63" t="inlineStr"/>
      <c r="G63" t="inlineStr">
        <is>
          <t>Nashville, TN, US</t>
        </is>
      </c>
      <c r="H63" s="2" t="n">
        <v>45874</v>
      </c>
      <c r="I63" t="inlineStr">
        <is>
          <t>**DESCRIPTION**
---------------
Amazon is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business requirements into technical solutions, and drive product development from conception to launch. This role combines strategic product thinking with hands\-on execution to create scalable technology products that revolutionize delivery speed and customer experience. This role may require up to 10% travel annually.  
Key job responsibilities  
1\. Own and develop the product strategy and roadmap for SSD delivery technology solutions, incorporating customer needs, business requirements, and business specific or operational constraints  
2\. Define product requirements and technical specifications through customer research, metric analysis, and stakeholder collaboration  
3\. Drive product development cycles working closely with science and engineering teams, including feature prioritization and driving trade\-off decisions  
4\. Design and implement metrics frameworks to measure product success and inform iteration cycles  
5\. Lead cross\-functional teams to implement complex technical products across the Sub Same 6\. Day Delivery network while managing stakeholder expectations  
7\. Identify opportunities for product innovation and optimization through data analysis and customer feedback  
8\.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 influencing senior leadership through data driven insights
* Master's degree or equivalent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in-46c7068c51d09bfc</t>
        </is>
      </c>
      <c r="B64" t="inlineStr">
        <is>
          <t>Senior Product Manager - Tech, Fire TV</t>
        </is>
      </c>
      <c r="C64" t="inlineStr">
        <is>
          <t>Amazon.com</t>
        </is>
      </c>
      <c r="D64" t="inlineStr">
        <is>
          <t>indeed</t>
        </is>
      </c>
      <c r="E64" t="inlineStr"/>
      <c r="F64" t="inlineStr"/>
      <c r="G64" t="inlineStr">
        <is>
          <t>Seattle, WA, US</t>
        </is>
      </c>
      <c r="H64" s="2" t="n">
        <v>45855</v>
      </c>
      <c r="I64" t="inlineStr">
        <is>
          <t>**DESCRIPTION**
---------------
We're seeking an experienced Senior Product Manager to lead the development and launch of Fire TV's flagship devices. In this strategic role, you'll drive innovation and product excellence while managing large cross\-functional teams to deliver innovative entertainment solutions to millions of customers globally. You'll have direct impact on Fire TV's future direction and work closely with Amazon's executive leadership.  
In this role,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This is an exceptional opportunity to shape the future of home entertainment at global scale. You'll work with emerging technology, lead innovative projects, and have significant impact on products used by millions of customers worldwide.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A day in the life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**PREFERRED QUALIFICATIONS**
----------------------------
* Experience in technical product management, program management or engineering
* Experience owning feature delivery and tradeoffs of a product
* Experience in representing and advocating for a variety of critical customers and stakeholders during executive\-level prioritization and planning
* Master's degree
* Seeking candidates with proven experience in consumer electronics, streaming media platforms, or Smart TV/streaming media player (SMP) product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in-37bb64936eeeb212</t>
        </is>
      </c>
      <c r="B65" t="inlineStr">
        <is>
          <t>Senior Product Manager - Tech, Fire TV</t>
        </is>
      </c>
      <c r="C65" t="inlineStr">
        <is>
          <t>Amazon.com</t>
        </is>
      </c>
      <c r="D65" t="inlineStr">
        <is>
          <t>indeed</t>
        </is>
      </c>
      <c r="E65" t="inlineStr"/>
      <c r="F65" t="inlineStr"/>
      <c r="G65" t="inlineStr">
        <is>
          <t>Sunnyvale, CA, US</t>
        </is>
      </c>
      <c r="H65" s="2" t="n">
        <v>45855</v>
      </c>
      <c r="I65" t="inlineStr">
        <is>
          <t>**DESCRIPTION**
---------------
We're seeking an experienced Senior Product Manager to lead the development and launch of Fire TV's flagship devices. In this strategic role, you'll drive innovation and product excellence while managing large cross\-functional teams to deliver innovative entertainment solutions to millions of customers globally. You'll have direct impact on Fire TV's future direction and work closely with Amazon's executive leadership.  
In this role,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This is an exceptional opportunity to shape the future of home entertainment at global scale. You'll work with emerging technology, lead innovative projects, and have significant impact on products used by millions of customers worldwide.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A day in the life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**PREFERRED QUALIFICATIONS**
----------------------------
* Experience in technical product management, program management or engineering
* Experience owning feature delivery and tradeoffs of a product
* Experience in representing and advocating for a variety of critical customers and stakeholders during executive\-level prioritization and planning
* Master's degree
* Seeking candidates with proven experience in consumer electronics, streaming media platforms, or Smart TV/streaming media player (SMP) product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in-7144b8a5b2326c1f</t>
        </is>
      </c>
      <c r="B66" t="inlineStr">
        <is>
          <t>Senior Product Manager - Technical, Alexa Communications</t>
        </is>
      </c>
      <c r="C66" t="inlineStr">
        <is>
          <t>Amazon.com</t>
        </is>
      </c>
      <c r="D66" t="inlineStr">
        <is>
          <t>indeed</t>
        </is>
      </c>
      <c r="E66" t="inlineStr"/>
      <c r="F66" t="inlineStr"/>
      <c r="G66" t="inlineStr">
        <is>
          <t>Sunnyvale, CA, US</t>
        </is>
      </c>
      <c r="H66" s="2" t="n">
        <v>45851</v>
      </c>
      <c r="I66"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cutting edge features for end customers.  
Come join us to invent the future of how millions of customers will communicate with and through their virtual AI assistants.  
Key job responsibilities  
As a Senior Product Manager \- Technical in Alexa Communications, you will be responsible for building Announcements, messaging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in-44a8dd8cfb53c930</t>
        </is>
      </c>
      <c r="B67" t="inlineStr">
        <is>
          <t>Senior Product Manager - Technical, Alexa Communications</t>
        </is>
      </c>
      <c r="C67" t="inlineStr">
        <is>
          <t>Amazon.com</t>
        </is>
      </c>
      <c r="D67" t="inlineStr">
        <is>
          <t>indeed</t>
        </is>
      </c>
      <c r="E67" t="inlineStr"/>
      <c r="F67" t="inlineStr"/>
      <c r="G67" t="inlineStr">
        <is>
          <t>Seattle, WA, US</t>
        </is>
      </c>
      <c r="H67" s="2" t="n">
        <v>45851</v>
      </c>
      <c r="I67"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cutting edge features for end customers.  
Come join us to invent the future of how millions of customers will communicate with and through their virtual AI assistants.  
Key job responsibilities  
As a Senior Product Manager \- Technical in Alexa Communications, you will be responsible for building Announcements, messaging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in-acdb52968a254782</t>
        </is>
      </c>
      <c r="B68" t="inlineStr">
        <is>
          <t>Principal Product Manager Tech - Devices, Fire TV Devices</t>
        </is>
      </c>
      <c r="C68" t="inlineStr">
        <is>
          <t>Amazon.com</t>
        </is>
      </c>
      <c r="D68" t="inlineStr">
        <is>
          <t>indeed</t>
        </is>
      </c>
      <c r="E68" t="inlineStr"/>
      <c r="F68" t="inlineStr"/>
      <c r="G68" t="inlineStr">
        <is>
          <t>Sunnyvale, CA, US</t>
        </is>
      </c>
      <c r="H68" s="2" t="n">
        <v>45844</v>
      </c>
      <c r="I68" t="inlineStr">
        <is>
          <t>**DESCRIPTION**
---------------
In this role, you will lead the development and launch of some of Fire TV's best selling devices as well as develop new ones. You will make high judgment decisions, present persuasive cases to executive leadership and have enduring impact on the future of Fire TV.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  
This role is a good fit for someone creative, who has strong customer focus and product sense, combined with an established track record in consumer technology products, connected devices, and a real passion for TV and mobile video entertainment.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in-fe9aebf734a69b53</t>
        </is>
      </c>
      <c r="B69" t="inlineStr">
        <is>
          <t>Principal Product Manager Tech - Devices, Fire TV Devices</t>
        </is>
      </c>
      <c r="C69" t="inlineStr">
        <is>
          <t>Amazon.com</t>
        </is>
      </c>
      <c r="D69" t="inlineStr">
        <is>
          <t>indeed</t>
        </is>
      </c>
      <c r="E69" t="inlineStr"/>
      <c r="F69" t="inlineStr"/>
      <c r="G69" t="inlineStr">
        <is>
          <t>Seattle, WA, US</t>
        </is>
      </c>
      <c r="H69" s="2" t="n">
        <v>45844</v>
      </c>
      <c r="I69" t="inlineStr">
        <is>
          <t>**DESCRIPTION**
---------------
In this role, you will lead the development and launch of some of Fire TV's best selling devices as well as develop new ones. You will make high judgment decisions, present persuasive cases to executive leadership and have enduring impact on the future of Fire TV.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  
This role is a good fit for someone creative, who has strong customer focus and product sense, combined with an established track record in consumer technology products, connected devices, and a real passion for TV and mobile video entertainment.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in-786a48eaa821e205</t>
        </is>
      </c>
      <c r="B70" t="inlineStr">
        <is>
          <t>Principal Product Manager-Technical, AGI, Artificial General Intellgence</t>
        </is>
      </c>
      <c r="C70" t="inlineStr">
        <is>
          <t>Amazon.com</t>
        </is>
      </c>
      <c r="D70" t="inlineStr">
        <is>
          <t>indeed</t>
        </is>
      </c>
      <c r="E70" t="inlineStr"/>
      <c r="F70" t="inlineStr"/>
      <c r="G70" t="inlineStr">
        <is>
          <t>Bellevue, WA, US</t>
        </is>
      </c>
      <c r="H70" s="2" t="n">
        <v>45824</v>
      </c>
      <c r="I70" t="inlineStr">
        <is>
          <t>**DESCRIPTION**
---------------
Do you want to work hard, have fun, and make history? Do you think fast, dive deep, and get things done? We are seeking a Principal Product Manager \- Technical to join our team to lead the development of core Foundational Models that enable the development of thousands of internal and external Generative AI Applications.  
We are seeking a dynamic, entrepreneurial product manager who is passionate about bringing the power of Generative AI to Amazon businesses and our customers. If you enjoy leading technical product innovation to build products used by all Amazon teams and AWS customers, then join our team. We are looking for a customer obsessed product manager who enjoys discovering the customer requirements, innovating on their behalf, and developing experiences the raise the bar for AGI Foundation Models.
Key job responsibilities  
You will be the voice of the customer and responsible for driving a product roadmap that enables Amazon to build the most powerful Foundation Models. You will have the responsibility of inventing on behalf of our customers and advocating for their needs throughout design, build, and launch. This position has a high level of visibility, so you will need to be able to communicate clearly and compellingly at all levels of the company. Additionally, you will be responsible for measuring business impact by diving deep into metrics and customer inputs. You should have a positive attitude and strong work ethic; you will work fast and smart, and adapt and iterate quickly.
**BASIC QUALIFICATIONS**
------------------------
* Bachelor's degree
* Experience effective collaborating with PR, Legal, Public Policy and technical teams
**PREFERRED QUALIFICATIONS**
----------------------------
* Experience working directly with Engineers on product enhancements
* Experience in project management methodologies, business analysis, or process improvement
* Experience implementing and enforcing policies through product design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in-69b1b771d4194a37</t>
        </is>
      </c>
      <c r="B71" t="inlineStr">
        <is>
          <t>Principal Product Manager-Technical, AGI, Artificial General Intellgence</t>
        </is>
      </c>
      <c r="C71" t="inlineStr">
        <is>
          <t>Amazon.com</t>
        </is>
      </c>
      <c r="D71" t="inlineStr">
        <is>
          <t>indeed</t>
        </is>
      </c>
      <c r="E71" t="inlineStr"/>
      <c r="F71" t="inlineStr"/>
      <c r="G71" t="inlineStr">
        <is>
          <t>Sunnyvale, CA, US</t>
        </is>
      </c>
      <c r="H71" s="2" t="n">
        <v>45824</v>
      </c>
      <c r="I71" t="inlineStr">
        <is>
          <t>**DESCRIPTION**
---------------
Do you want to work hard, have fun, and make history? Do you think fast, dive deep, and get things done? We are seeking a Principal Product Manager \- Technical to join our team to lead the development of core Foundational Models that enable the development of thousands of internal and external Generative AI Applications.  
We are seeking a dynamic, entrepreneurial product manager who is passionate about bringing the power of Generative AI to Amazon businesses and our customers. If you enjoy leading technical product innovation to build products used by all Amazon teams and AWS customers, then join our team. We are looking for a customer obsessed product manager who enjoys discovering the customer requirements, innovating on their behalf, and developing experiences the raise the bar for AGI Foundation Models.
Key job responsibilities  
You will be the voice of the customer and responsible for driving a product roadmap that enables Amazon to build the most powerful Foundation Models. You will have the responsibility of inventing on behalf of our customers and advocating for their needs throughout design, build, and launch. This position has a high level of visibility, so you will need to be able to communicate clearly and compellingly at all levels of the company. Additionally, you will be responsible for measuring business impact by diving deep into metrics and customer inputs. You should have a positive attitude and strong work ethic; you will work fast and smart, and adapt and iterate quickly.
**BASIC QUALIFICATIONS**
------------------------
* Bachelor's degree
* Experience effective collaborating with PR, Legal, Public Policy and technical teams
**PREFERRED QUALIFICATIONS**
----------------------------
* Experience working directly with Engineers on product enhancements
* Experience in project management methodologies, business analysis, or process improvement
* Experience implementing and enforcing policies through product design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in-545ea32830f2c742</t>
        </is>
      </c>
      <c r="B72" t="inlineStr">
        <is>
          <t>Principal Product Manager-Technical, AGI, Artificial General Intellgence</t>
        </is>
      </c>
      <c r="C72" t="inlineStr">
        <is>
          <t>Amazon.com</t>
        </is>
      </c>
      <c r="D72" t="inlineStr">
        <is>
          <t>indeed</t>
        </is>
      </c>
      <c r="E72" t="inlineStr"/>
      <c r="F72" t="inlineStr"/>
      <c r="G72" t="inlineStr">
        <is>
          <t>Boston, MA, US</t>
        </is>
      </c>
      <c r="H72" s="2" t="n">
        <v>45824</v>
      </c>
      <c r="I72" t="inlineStr">
        <is>
          <t>**DESCRIPTION**
---------------
Do you want to work hard, have fun, and make history? Do you think fast, dive deep, and get things done? We are seeking a Principal Product Manager \- Technical to join our team to lead the development of core Foundational Models that enable the development of thousands of internal and external Generative AI Applications.  
We are seeking a dynamic, entrepreneurial product manager who is passionate about bringing the power of Generative AI to Amazon businesses and our customers. If you enjoy leading technical product innovation to build products used by all Amazon teams and AWS customers, then join our team. We are looking for a customer obsessed product manager who enjoys discovering the customer requirements, innovating on their behalf, and developing experiences the raise the bar for AGI Foundation Models.
Key job responsibilities  
You will be the voice of the customer and responsible for driving a product roadmap that enables Amazon to build the most powerful Foundation Models. You will have the responsibility of inventing on behalf of our customers and advocating for their needs throughout design, build, and launch. This position has a high level of visibility, so you will need to be able to communicate clearly and compellingly at all levels of the company. Additionally, you will be responsible for measuring business impact by diving deep into metrics and customer inputs. You should have a positive attitude and strong work ethic; you will work fast and smart, and adapt and iterate quickly.
**BASIC QUALIFICATIONS**
------------------------
* Bachelor's degree
* Experience effective collaborating with PR, Legal, Public Policy and technical teams
**PREFERRED QUALIFICATIONS**
----------------------------
* Experience working directly with Engineers on product enhancements
* Experience in project management methodologies, business analysis, or process improvement
* Experience implementing and enforcing policies through product design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in-c5d0e8d483def63c</t>
        </is>
      </c>
      <c r="B73" t="inlineStr">
        <is>
          <t>Senior Technical Program Manager, EC2 Capacity Customer Experience</t>
        </is>
      </c>
      <c r="C73" t="inlineStr">
        <is>
          <t>Amazon Web Services</t>
        </is>
      </c>
      <c r="D73" t="inlineStr">
        <is>
          <t>indeed</t>
        </is>
      </c>
      <c r="E73" t="inlineStr"/>
      <c r="F73" t="inlineStr"/>
      <c r="G73" t="inlineStr">
        <is>
          <t>Arlington, VA, US</t>
        </is>
      </c>
      <c r="H73" s="2" t="n">
        <v>45683</v>
      </c>
      <c r="I73" t="inlineStr">
        <is>
          <t>**DESCRIPTION**
---------------
Amazon Elastic Compute Cloud (Amazon EC2\) is a web service that provides secure, resizable compute capacity in the cloud. It is designed to make web\-scale cloud computing easier and more cost effective for developers. On the EC2 Capacity Customer Experience (CCX) team within AWS, our mission is to ensure the right capacity is available for customers through forecasting, planning, guidance and execution, especially for large unpredictable scaling events.
The EC2 CCX team is searching for a passionate, driven, and talented technical program manager to plan customer capacity within our Amazon Dedicated Cloud (ADC) portfolio. This portfolio enables EC2 to deliver cloud services to government customers who have unique access control, security, and compliance requirements. This role serves as EC2’s primary POC for managing demand intake, organizing supportability scenarios to influence VP\+ business decisions, and ensuring infrastructure and EC2 teams execute against global commitments. This customer facing role includes driving key initiatives that support goals/KPIs that are measured and reported to executive leadership. You will make high velocity decisions under circumstances that can at times be ambiguous. As the business of cloud computing grows increasingly technologically complex, it also brings new opportunity to drive capital efficiency and ensure the right decisions are getting made to the delight of our customers. Additional responsibilities include driving process improvements and collaborating with engineering organizations to build new technologies that automate all aspects of EC2's capacity planning and delivery within the portfolio.  
From Day 1, Technical Program Managers are given ownership and the autonomy to think strategically and make data driven decisions, along with the ability to drive significant impact on the customer experience as well as the business. This role requires working with professionals in many different domains including Engineering, Product Management, Supply Chain, and Finance along with high visibility to senior leaders at AWS.  
This position requires that the candidate selected be a US Citizen and must currently possess and maintain an active TS/SCI security clearance with polygraph. A successful clearance crossover to AWS is required prior to a Day 1 start.  
About the team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customers who require specialized security solutions for their cloud services.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technical product or program management experience
* Experience leading highly technical programs involving infrastructure, complex systems, systems engineering
* Experience managing programs across cross functional teams, building processes and coordinating release schedules
* Current, active US Government Security Clearance of TS/SCI with Polygraph
**PREFERRED QUALIFICATIONS**
----------------------------
* 5\+ years of project management disciplines including scope, schedule, budget, quality, along with risk and critical path management experience
* Experience defining KPI's/SLA's used to drive multi\-million dollar businesses and reporting to senior leadership
* Experience in technical program management working directly with software engineering teams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$133,900/year in our lowest geographic market up to $231,400/year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in-e5857ff7ca6fce49</t>
        </is>
      </c>
      <c r="B74" t="inlineStr">
        <is>
          <t>Senior Technical Program Manager, EC2 Capacity Customer Experience</t>
        </is>
      </c>
      <c r="C74" t="inlineStr">
        <is>
          <t>Amazon Web Services</t>
        </is>
      </c>
      <c r="D74" t="inlineStr">
        <is>
          <t>indeed</t>
        </is>
      </c>
      <c r="E74" t="inlineStr"/>
      <c r="F74" t="inlineStr"/>
      <c r="G74" t="inlineStr">
        <is>
          <t>Seattle, WA, US</t>
        </is>
      </c>
      <c r="H74" s="2" t="n">
        <v>45683</v>
      </c>
      <c r="I74" t="inlineStr">
        <is>
          <t>**DESCRIPTION**
---------------
Amazon Elastic Compute Cloud (Amazon EC2\) is a web service that provides secure, resizable compute capacity in the cloud. It is designed to make web\-scale cloud computing easier and more cost effective for developers. On the EC2 Capacity Customer Experience (CCX) team within AWS, our mission is to ensure the right capacity is available for customers through forecasting, planning, guidance and execution, especially for large unpredictable scaling events.
The EC2 CCX team is searching for a passionate, driven, and talented technical program manager to plan customer capacity within our Amazon Dedicated Cloud (ADC) portfolio. This portfolio enables EC2 to deliver cloud services to government customers who have unique access control, security, and compliance requirements. This role serves as EC2’s primary POC for managing demand intake, organizing supportability scenarios to influence VP\+ business decisions, and ensuring infrastructure and EC2 teams execute against global commitments. This customer facing role includes driving key initiatives that support goals/KPIs that are measured and reported to executive leadership. You will make high velocity decisions under circumstances that can at times be ambiguous. As the business of cloud computing grows increasingly technologically complex, it also brings new opportunity to drive capital efficiency and ensure the right decisions are getting made to the delight of our customers. Additional responsibilities include driving process improvements and collaborating with engineering organizations to build new technologies that automate all aspects of EC2's capacity planning and delivery within the portfolio.  
From Day 1, Technical Program Managers are given ownership and the autonomy to think strategically and make data driven decisions, along with the ability to drive significant impact on the customer experience as well as the business. This role requires working with professionals in many different domains including Engineering, Product Management, Supply Chain, and Finance along with high visibility to senior leaders at AWS.  
This position requires that the candidate selected be a US Citizen and must currently possess and maintain an active TS/SCI security clearance with polygraph. A successful clearance crossover to AWS is required prior to a Day 1 start.  
About the team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customers who require specialized security solutions for their cloud services.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technical product or program management experience
* Experience leading highly technical programs involving infrastructure, complex systems, systems engineering
* Experience managing programs across cross functional teams, building processes and coordinating release schedules
* Current, active US Government Security Clearance of TS/SCI with Polygraph
**PREFERRED QUALIFICATIONS**
----------------------------
* 5\+ years of project management disciplines including scope, schedule, budget, quality, along with risk and critical path management experience
* Experience defining KPI's/SLA's used to drive multi\-million dollar businesses and reporting to senior leadership
* Experience in technical program management working directly with software engineering teams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$133,900/year in our lowest geographic market up to $231,400/year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in-d7e70aeb7034f1c6</t>
        </is>
      </c>
      <c r="B75" t="inlineStr">
        <is>
          <t>Senior Technical Program Manager, EC2 Capacity Customer Experience</t>
        </is>
      </c>
      <c r="C75" t="inlineStr">
        <is>
          <t>Amazon Web Services</t>
        </is>
      </c>
      <c r="D75" t="inlineStr">
        <is>
          <t>indeed</t>
        </is>
      </c>
      <c r="E75" t="inlineStr"/>
      <c r="F75" t="inlineStr"/>
      <c r="G75" t="inlineStr">
        <is>
          <t>Herndon, VA, US</t>
        </is>
      </c>
      <c r="H75" s="2" t="n">
        <v>45683</v>
      </c>
      <c r="I75" t="inlineStr">
        <is>
          <t>**DESCRIPTION**
---------------
Amazon Elastic Compute Cloud (Amazon EC2\) is a web service that provides secure, resizable compute capacity in the cloud. It is designed to make web\-scale cloud computing easier and more cost effective for developers. On the EC2 Capacity Customer Experience (CCX) team within AWS, our mission is to ensure the right capacity is available for customers through forecasting, planning, guidance and execution, especially for large unpredictable scaling events.
The EC2 CCX team is searching for a passionate, driven, and talented technical program manager to plan customer capacity within our Amazon Dedicated Cloud (ADC) portfolio. This portfolio enables EC2 to deliver cloud services to government customers who have unique access control, security, and compliance requirements. This role serves as EC2’s primary POC for managing demand intake, organizing supportability scenarios to influence VP\+ business decisions, and ensuring infrastructure and EC2 teams execute against global commitments. This customer facing role includes driving key initiatives that support goals/KPIs that are measured and reported to executive leadership. You will make high velocity decisions under circumstances that can at times be ambiguous. As the business of cloud computing grows increasingly technologically complex, it also brings new opportunity to drive capital efficiency and ensure the right decisions are getting made to the delight of our customers. Additional responsibilities include driving process improvements and collaborating with engineering organizations to build new technologies that automate all aspects of EC2's capacity planning and delivery within the portfolio.  
From Day 1, Technical Program Managers are given ownership and the autonomy to think strategically and make data driven decisions, along with the ability to drive significant impact on the customer experience as well as the business. This role requires working with professionals in many different domains including Engineering, Product Management, Supply Chain, and Finance along with high visibility to senior leaders at AWS.  
This position requires that the candidate selected be a US Citizen and must currently possess and maintain an active TS/SCI security clearance with polygraph. A successful clearance crossover to AWS is required prior to a Day 1 start.  
About the team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customers who require specialized security solutions for their cloud services.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technical product or program management experience
* Experience leading highly technical programs involving infrastructure, complex systems, systems engineering
* Experience managing programs across cross functional teams, building processes and coordinating release schedules
* Current, active US Government Security Clearance of TS/SCI with Polygraph
**PREFERRED QUALIFICATIONS**
----------------------------
* 5\+ years of project management disciplines including scope, schedule, budget, quality, along with risk and critical path management experience
* Experience defining KPI's/SLA's used to drive multi\-million dollar businesses and reporting to senior leadership
* Experience in technical program management working directly with software engineering teams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$133,900/year in our lowest geographic market up to $231,400/year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in-347cbde1d2b9782b</t>
        </is>
      </c>
      <c r="B76" t="inlineStr">
        <is>
          <t>Sr. Product Manager Technical, Deal Tooling &amp; Insights, Strategic Customer Engagements</t>
        </is>
      </c>
      <c r="C76" t="inlineStr">
        <is>
          <t>Amazon Web Services</t>
        </is>
      </c>
      <c r="D76" t="inlineStr">
        <is>
          <t>indeed</t>
        </is>
      </c>
      <c r="E76" t="inlineStr"/>
      <c r="F76" t="inlineStr"/>
      <c r="G76" t="inlineStr">
        <is>
          <t>Dallas, TX, US</t>
        </is>
      </c>
      <c r="H76" s="2" t="n">
        <v>45994</v>
      </c>
      <c r="I76"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77">
      <c r="A77" t="inlineStr">
        <is>
          <t>in-220975cc0427244e</t>
        </is>
      </c>
      <c r="B77" t="inlineStr">
        <is>
          <t>Sr. Product Manager Technical, Deal Tooling &amp; Insights, Strategic Customer Engagements</t>
        </is>
      </c>
      <c r="C77" t="inlineStr">
        <is>
          <t>Amazon Web Services</t>
        </is>
      </c>
      <c r="D77" t="inlineStr">
        <is>
          <t>indeed</t>
        </is>
      </c>
      <c r="E77" t="inlineStr"/>
      <c r="F77" t="inlineStr"/>
      <c r="G77" t="inlineStr">
        <is>
          <t>Austin, TX, US</t>
        </is>
      </c>
      <c r="H77" s="2" t="n">
        <v>45994</v>
      </c>
      <c r="I77"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78">
      <c r="A78" t="inlineStr">
        <is>
          <t>in-0b8b62b26bd59ac3</t>
        </is>
      </c>
      <c r="B78" t="inlineStr">
        <is>
          <t>Sr. Product Manager Technical, Deal Tooling &amp; Insights, Strategic Customer Engagements</t>
        </is>
      </c>
      <c r="C78" t="inlineStr">
        <is>
          <t>Amazon Web Services</t>
        </is>
      </c>
      <c r="D78" t="inlineStr">
        <is>
          <t>indeed</t>
        </is>
      </c>
      <c r="E78" t="inlineStr"/>
      <c r="F78" t="inlineStr"/>
      <c r="G78" t="inlineStr">
        <is>
          <t>Herndon, VA, US</t>
        </is>
      </c>
      <c r="H78" s="2" t="n">
        <v>45994</v>
      </c>
      <c r="I78"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79">
      <c r="A79" t="inlineStr">
        <is>
          <t>in-95bf3808ea11c366</t>
        </is>
      </c>
      <c r="B79" t="inlineStr">
        <is>
          <t>Sr. Product Manager Technical, Deal Tooling &amp; Insights, Strategic Customer Engagements</t>
        </is>
      </c>
      <c r="C79" t="inlineStr">
        <is>
          <t>Amazon Web Services</t>
        </is>
      </c>
      <c r="D79" t="inlineStr">
        <is>
          <t>indeed</t>
        </is>
      </c>
      <c r="E79" t="inlineStr"/>
      <c r="F79" t="inlineStr"/>
      <c r="G79" t="inlineStr">
        <is>
          <t>New York, NY, US</t>
        </is>
      </c>
      <c r="H79" s="2" t="n">
        <v>45994</v>
      </c>
      <c r="I79"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80">
      <c r="A80" t="inlineStr">
        <is>
          <t>in-058cfa9ceac41861</t>
        </is>
      </c>
      <c r="B80" t="inlineStr">
        <is>
          <t>Sr. Product Manager Technical, Deal Tooling &amp; Insights, Strategic Customer Engagements</t>
        </is>
      </c>
      <c r="C80" t="inlineStr">
        <is>
          <t>Amazon Web Services</t>
        </is>
      </c>
      <c r="D80" t="inlineStr">
        <is>
          <t>indeed</t>
        </is>
      </c>
      <c r="E80" t="inlineStr"/>
      <c r="F80" t="inlineStr"/>
      <c r="G80" t="inlineStr">
        <is>
          <t>Arlington, VA, US</t>
        </is>
      </c>
      <c r="H80" s="2" t="n">
        <v>45994</v>
      </c>
      <c r="I80"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81">
      <c r="A81" t="inlineStr">
        <is>
          <t>in-6951224afc890684</t>
        </is>
      </c>
      <c r="B81" t="inlineStr">
        <is>
          <t>Sr. Product Manager Technical, Deal Tooling &amp; Insights, Strategic Customer Engagements</t>
        </is>
      </c>
      <c r="C81" t="inlineStr">
        <is>
          <t>Amazon Web Services</t>
        </is>
      </c>
      <c r="D81" t="inlineStr">
        <is>
          <t>indeed</t>
        </is>
      </c>
      <c r="E81" t="inlineStr"/>
      <c r="F81" t="inlineStr"/>
      <c r="G81" t="inlineStr">
        <is>
          <t>Seattle, WA, US</t>
        </is>
      </c>
      <c r="H81" s="2" t="n">
        <v>45994</v>
      </c>
      <c r="I81"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82">
      <c r="A82" t="inlineStr">
        <is>
          <t>in-bf80aff1d971e2bc</t>
        </is>
      </c>
      <c r="B82" t="inlineStr">
        <is>
          <t>Principal Product Manager - Technical, Alexa Communications</t>
        </is>
      </c>
      <c r="C82" t="inlineStr">
        <is>
          <t>Amazon.com</t>
        </is>
      </c>
      <c r="D82" t="inlineStr">
        <is>
          <t>indeed</t>
        </is>
      </c>
      <c r="E82" t="inlineStr"/>
      <c r="F82" t="inlineStr"/>
      <c r="G82" t="inlineStr">
        <is>
          <t>Sunnyvale, CA, US</t>
        </is>
      </c>
      <c r="H82" s="2" t="n">
        <v>45993</v>
      </c>
      <c r="I82"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state of the art features for end customers.  
Come join us to invent the future of how millions of customers will communicate with and through their virtual AI assistants.  
Key job responsibilities  
As a Principal Product Manager \- Technical in Alexa Communications, you will be responsible for building calling, texting, emailing,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as a strong leader who can prioritize well, communicate clearly and effectively influence across cross\-functional teams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in-7c9d560eb50e84b4</t>
        </is>
      </c>
      <c r="B83" t="inlineStr">
        <is>
          <t>Principal Product Manager - Technical, Alexa Communications</t>
        </is>
      </c>
      <c r="C83" t="inlineStr">
        <is>
          <t>Amazon.com</t>
        </is>
      </c>
      <c r="D83" t="inlineStr">
        <is>
          <t>indeed</t>
        </is>
      </c>
      <c r="E83" t="inlineStr"/>
      <c r="F83" t="inlineStr"/>
      <c r="G83" t="inlineStr">
        <is>
          <t>Seattle, WA, US</t>
        </is>
      </c>
      <c r="H83" s="2" t="n">
        <v>45993</v>
      </c>
      <c r="I83"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state of the art features for end customers.  
Come join us to invent the future of how millions of customers will communicate with and through their virtual AI assistants.  
Key job responsibilities  
As a Principal Product Manager \- Technical in Alexa Communications, you will be responsible for building calling, texting, emailing,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as a strong leader who can prioritize well, communicate clearly and effectively influence across cross\-functional teams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in-e4635bac828b0588</t>
        </is>
      </c>
      <c r="B84" t="inlineStr">
        <is>
          <t>Principal Product Manager - Technical, Alexa Communications</t>
        </is>
      </c>
      <c r="C84" t="inlineStr">
        <is>
          <t>Amazon.com</t>
        </is>
      </c>
      <c r="D84" t="inlineStr">
        <is>
          <t>indeed</t>
        </is>
      </c>
      <c r="E84" t="inlineStr"/>
      <c r="F84" t="inlineStr"/>
      <c r="G84" t="inlineStr">
        <is>
          <t>Irvine, CA, US</t>
        </is>
      </c>
      <c r="H84" s="2" t="n">
        <v>45993</v>
      </c>
      <c r="I84"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state of the art features for end customers.  
Come join us to invent the future of how millions of customers will communicate with and through their virtual AI assistants.  
Key job responsibilities  
As a Principal Product Manager \- Technical in Alexa Communications, you will be responsible for building calling, texting, emailing,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as a strong leader who can prioritize well, communicate clearly and effectively influence across cross\-functional teams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in-b3e9ec66acfff526</t>
        </is>
      </c>
      <c r="B85" t="inlineStr">
        <is>
          <t>Principal Product Manager - Tech, Recommender Systems, Prime Video Personalization &amp; Discovery</t>
        </is>
      </c>
      <c r="C85" t="inlineStr">
        <is>
          <t>Amazon.com</t>
        </is>
      </c>
      <c r="D85" t="inlineStr">
        <is>
          <t>indeed</t>
        </is>
      </c>
      <c r="E85" t="inlineStr"/>
      <c r="F85" t="inlineStr"/>
      <c r="G85" t="inlineStr">
        <is>
          <t>Seattle, WA, US</t>
        </is>
      </c>
      <c r="H85" s="2" t="n">
        <v>45753</v>
      </c>
      <c r="I8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in-3325b1b5e25c413b</t>
        </is>
      </c>
      <c r="B86" t="inlineStr">
        <is>
          <t>Principal Product Manager - Tech, Recommender Systems, Prime Video Personalization &amp; Discovery</t>
        </is>
      </c>
      <c r="C86" t="inlineStr">
        <is>
          <t>Amazon.com</t>
        </is>
      </c>
      <c r="D86" t="inlineStr">
        <is>
          <t>indeed</t>
        </is>
      </c>
      <c r="E86" t="inlineStr"/>
      <c r="F86" t="inlineStr"/>
      <c r="G86" t="inlineStr">
        <is>
          <t>Washington, DC, US</t>
        </is>
      </c>
      <c r="H86" s="2" t="n">
        <v>45753</v>
      </c>
      <c r="I8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in-4678d7b5ef70de8e</t>
        </is>
      </c>
      <c r="B87" t="inlineStr">
        <is>
          <t>Technical Program Manager, Leo Security</t>
        </is>
      </c>
      <c r="C87" t="inlineStr">
        <is>
          <t>Amazon.com</t>
        </is>
      </c>
      <c r="D87" t="inlineStr">
        <is>
          <t>indeed</t>
        </is>
      </c>
      <c r="E87" t="inlineStr"/>
      <c r="F87" t="inlineStr"/>
      <c r="G87" t="inlineStr">
        <is>
          <t>Arlington, VA, US</t>
        </is>
      </c>
      <c r="H87" s="2" t="n">
        <v>45991</v>
      </c>
      <c r="I87" t="inlineStr">
        <is>
          <t>**DESCRIPTION**
---------------
We are open to hiring candidates to work out of one of the following locations:  
Arlington, VA, USA \| Redmond, WA, USA  
Amazon Leo is Amazon’s low Earth orbit satellite broadband network. Its mission is to deliver fast, reliable internet to customers and communities around the world, and we’ve designed the system with the capacity, flexibility, and performance to serve a wide range of customers, from individual households to schools, hospitals, businesses, government agencies, and other organizations operating in locations without reliable connectivity.  
Export Control Requirement: Due to applicable export control laws and regulations, candidates must be a U.S. citizen or national, U.S. permanent resident (i.e., current Green Card holder), or lawfully admitted into the U.S. as a refugee or granted asylum.  
LSA (Leo Security Assurance) encompasses key functions that support compliance, audit readiness, and operational efficiency. It ensures compliance through scalable programs, tested controls, and continuous monitoring, while embedding compliance into services. It enables successful audits by supporting audit planning, evidence management, and stakeholder engagement. Additionally, it enhances efficiency through GRC tooling, workflow automation, and scalable reporting to support ongoing assurance activities.  
Our team is at the forefront of enabling security and compliance at scale across Amazon Leo. We work directly with Leo’s service teams to embed security, governance, and audit\-readiness into their products and operations.
We are looking for a passionate, innovative, results oriented technical program manager. You are someone who loves managing programs and is committed to formulating and implementing wide\-ranging process improvements. As a Technical Program Manager (TPM) in the Leo Security Assurance team, you will own the successful delivery of a multi\-year program to implement Governance, Risk, and Compliance (GRC) tooling for the organization. This role requires strong program ownership, cross\-team coordination, and deep understanding of security, audit, and compliance requirements. You will ensure the GRC roadmap, prioritization, and delivery milestones align to Leo’s Security Assurance outcomes, while guiding a team of software engineers and partnering closely with compliance, security, and AWS platform teams.  
We are a multidisciplinary group of security specialists, software engineers, and program managers focused on solving complex compliance challenges. Our mission is to design and implement solutions that meet the stringent expectations of external regulators and our most security\-conscious customers.  
Key job responsibilities  
1\. Own and deliver the end\-to\-end roadmap for GRC tool implementation, ensuring all releases align with Leo Security Assurance’s long\-term audit, compliance, and risk management outcomes.  
2\. Lead multi\-workstream program planning and execution, including scope definition, prioritization, timelines, risk mitigation, and status reporting for engineering and business stakeholders.  
3\. Drive requirements gathering across compliance, audit, and security teams, ensuring requirements are clear, complete, and validated before engineering begins implementation.  
4\. Partner closely with software engineers to translate compliance/control requirements into actionable technical specifications and ensure high\-quality, secure delivery.  
5\. Coordinate integration with AWS GRC platform teams and internal platform or infrastructure teams, managing dependencies and ensuring seamless technical alignment.  
6\. Ensure the GRC tools support key compliance frameworks (e.g., SOC, SOX, ISO, FedRAMP, internal controls) and continuously refine features to meet evolving audit needs.  
7\. Proactively identify and manage risks, issues, and program blockers, driving timely decisions and escalations to maintain delivery momentum.  
8\. Lead process improvement and automation initiatives, leveraging the GRC platform to reduce manual work, improve evidence collection, and increase operational efficiency.  
9\. Provide clear, data\-driven communication to senior leadership, including program status, risks, decisions needed, and measurable impact on security assurance outcomes.  
10\. Foster strong cross\-functional relationships across engineering, compliance, legal, security, and AWS teams to ensure consistent alignment and successful delivery of the GRC roadmap.  
A day in the life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5\+ years of project management disciplines including scope, schedule, budget, quality, along with risk and critical path management experience
* Experience building and evaluating system\-level technical design
* Bachelor's degree in engineering, computer science or equivalent
* 3\+ years of software development experience, or Bachelor's degree in computer science or equivalent
* Experience managing programs across cross functional teams, building processes and coordinating release schedules
* Bachelor's degree or equivalent qualification in Math, Engineering, Science or Business
**PREFERRED QUALIFICATIONS**
----------------------------
* Experience defining KPI's/SLA's used to drive multi\-million dollar businesses and reporting to senior leadership
* Experience in any of the following: Cloud Architecture, Systems Design, Software Development, Infrastructure Architecture, Data Engineering or DevOps
* AWS certification, such as, AWS Solutions Architect, or a similar cloud certification
* Experience in security operations, risk management, and incident response
* Master's degree, or MBA in business, data science, public administration, finance, engineering, human resources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$114,500/year in our lowest geographic market up to $197,800/year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in-b0651fdc189589a8</t>
        </is>
      </c>
      <c r="B88" t="inlineStr">
        <is>
          <t>Technical Program Manager, Leo Security</t>
        </is>
      </c>
      <c r="C88" t="inlineStr">
        <is>
          <t>Amazon.com</t>
        </is>
      </c>
      <c r="D88" t="inlineStr">
        <is>
          <t>indeed</t>
        </is>
      </c>
      <c r="E88" t="inlineStr"/>
      <c r="F88" t="inlineStr"/>
      <c r="G88" t="inlineStr">
        <is>
          <t>Redmond, WA, US</t>
        </is>
      </c>
      <c r="H88" s="2" t="n">
        <v>45991</v>
      </c>
      <c r="I88" t="inlineStr">
        <is>
          <t>**DESCRIPTION**
---------------
We are open to hiring candidates to work out of one of the following locations:  
Arlington, VA, USA \| Redmond, WA, USA  
Amazon Leo is Amazon’s low Earth orbit satellite broadband network. Its mission is to deliver fast, reliable internet to customers and communities around the world, and we’ve designed the system with the capacity, flexibility, and performance to serve a wide range of customers, from individual households to schools, hospitals, businesses, government agencies, and other organizations operating in locations without reliable connectivity.  
Export Control Requirement: Due to applicable export control laws and regulations, candidates must be a U.S. citizen or national, U.S. permanent resident (i.e., current Green Card holder), or lawfully admitted into the U.S. as a refugee or granted asylum.  
LSA (Leo Security Assurance) encompasses key functions that support compliance, audit readiness, and operational efficiency. It ensures compliance through scalable programs, tested controls, and continuous monitoring, while embedding compliance into services. It enables successful audits by supporting audit planning, evidence management, and stakeholder engagement. Additionally, it enhances efficiency through GRC tooling, workflow automation, and scalable reporting to support ongoing assurance activities.  
Our team is at the forefront of enabling security and compliance at scale across Amazon Leo. We work directly with Leo’s service teams to embed security, governance, and audit\-readiness into their products and operations.
We are looking for a passionate, innovative, results oriented technical program manager. You are someone who loves managing programs and is committed to formulating and implementing wide\-ranging process improvements. As a Technical Program Manager (TPM) in the Leo Security Assurance team, you will own the successful delivery of a multi\-year program to implement Governance, Risk, and Compliance (GRC) tooling for the organization. This role requires strong program ownership, cross\-team coordination, and deep understanding of security, audit, and compliance requirements. You will ensure the GRC roadmap, prioritization, and delivery milestones align to Leo’s Security Assurance outcomes, while guiding a team of software engineers and partnering closely with compliance, security, and AWS platform teams.  
We are a multidisciplinary group of security specialists, software engineers, and program managers focused on solving complex compliance challenges. Our mission is to design and implement solutions that meet the stringent expectations of external regulators and our most security\-conscious customers.  
Key job responsibilities  
1\. Own and deliver the end\-to\-end roadmap for GRC tool implementation, ensuring all releases align with Leo Security Assurance’s long\-term audit, compliance, and risk management outcomes.  
2\. Lead multi\-workstream program planning and execution, including scope definition, prioritization, timelines, risk mitigation, and status reporting for engineering and business stakeholders.  
3\. Drive requirements gathering across compliance, audit, and security teams, ensuring requirements are clear, complete, and validated before engineering begins implementation.  
4\. Partner closely with software engineers to translate compliance/control requirements into actionable technical specifications and ensure high\-quality, secure delivery.  
5\. Coordinate integration with AWS GRC platform teams and internal platform or infrastructure teams, managing dependencies and ensuring seamless technical alignment.  
6\. Ensure the GRC tools support key compliance frameworks (e.g., SOC, SOX, ISO, FedRAMP, internal controls) and continuously refine features to meet evolving audit needs.  
7\. Proactively identify and manage risks, issues, and program blockers, driving timely decisions and escalations to maintain delivery momentum.  
8\. Lead process improvement and automation initiatives, leveraging the GRC platform to reduce manual work, improve evidence collection, and increase operational efficiency.  
9\. Provide clear, data\-driven communication to senior leadership, including program status, risks, decisions needed, and measurable impact on security assurance outcomes.  
10\. Foster strong cross\-functional relationships across engineering, compliance, legal, security, and AWS teams to ensure consistent alignment and successful delivery of the GRC roadmap.  
A day in the life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5\+ years of project management disciplines including scope, schedule, budget, quality, along with risk and critical path management experience
* Experience building and evaluating system\-level technical design
* Bachelor's degree in engineering, computer science or equivalent
* 3\+ years of software development experience, or Bachelor's degree in computer science or equivalent
* Experience managing programs across cross functional teams, building processes and coordinating release schedules
* Bachelor's degree or equivalent qualification in Math, Engineering, Science or Business
**PREFERRED QUALIFICATIONS**
----------------------------
* Experience defining KPI's/SLA's used to drive multi\-million dollar businesses and reporting to senior leadership
* Experience in any of the following: Cloud Architecture, Systems Design, Software Development, Infrastructure Architecture, Data Engineering or DevOps
* AWS certification, such as, AWS Solutions Architect, or a similar cloud certification
* Experience in security operations, risk management, and incident response
* Master's degree, or MBA in business, data science, public administration, finance, engineering, human resources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$114,500/year in our lowest geographic market up to $197,800/year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in-0873ff49d87e6f08</t>
        </is>
      </c>
      <c r="B89" t="inlineStr">
        <is>
          <t>Principal Program Manager - Sales Performance Management (SPM) SaaS Product</t>
        </is>
      </c>
      <c r="C89" t="inlineStr">
        <is>
          <t>SAP</t>
        </is>
      </c>
      <c r="D89" t="inlineStr">
        <is>
          <t>indeed</t>
        </is>
      </c>
      <c r="E89">
        <f>HYPERLINK("https://www.indeed.com/viewjob?jk=0873ff49d87e6f08", "https://www.indeed.com/viewjob?jk=0873ff49d87e6f08")</f>
        <v/>
      </c>
      <c r="F89">
        <f>HYPERLINK("https://jobs.sap.com/job/Houston-Principal-Program-Manager-Sales-Performance-Management-%28SPM%29-SaaS-Product-TX-77098/1278240701/?feedId=118200&amp;utm_source=Indeed&amp;utm_campaign=SAP_Indeed", "https://jobs.sap.com/job/Houston-Principal-Program-Manager-Sales-Performance-Management-%28SPM%29-SaaS-Product-TX-77098/1278240701/?feedId=118200&amp;utm_source=Indeed&amp;utm_campaign=SAP_Indeed")</f>
        <v/>
      </c>
      <c r="G89" t="inlineStr">
        <is>
          <t>Houston, TX, US</t>
        </is>
      </c>
      <c r="H89" s="3" t="n">
        <v>46039</v>
      </c>
      <c r="I89"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**What you’ll do**
We are seeking a Principal Program Manager for Sales Performance Management (SPM) SaaS Product to orchestrate strategic programs within the global Sales Performance Management organization at SAP. You will engage with a broad group of stakeholders across the SPM business, including Sales, marketing, services, success, and operations. You will also build/leverage a network of stakeholders within other SAP groups, partners and customers, leaning on your strong collaboration, ideation and influence skills to ensure cross team communication, transparency and awareness of all aspects of the strategic program, including scope, timelines, resources, customer and partner activities, program success measures, as well as product and engineering related deliverables. These strategic programs support our growth targets and are central to our strategic objectives across our end to end business.
 **Key responsibilities include the following:**
* Strategic Decision\-Making
	+ - Leverage your curiosity and understanding of innovative opportunities in the market to differentiate our portfolio in the market
		- Lead rigorous evaluations and recommendations for build vs. buy vs. partner choices for new features, integrations, and platform capabilities.
		- Conduct market and competitive analysis, total cost of ownership, time\-to\-market, and technical feasibility studies to inform decisions.
		- Define clear success criteria, KPIs, and acceptance plans for chosen solutions.
* Vendor \&amp; Partner Management
	+ - Evaluate and manage relationships with vendors and technology partners, including contract and SLA considerations.
		- Define integration patterns, data contracts, and operational requirements for partner\-built components.
		- Represent the company in partner negotiations and technical integrations.
* Program \&amp; Project Management
	+ - Own planning, sequencing, and delivery of cross\-functional product programs, spanning multiple planning cycles.
		- Produce detailed plans with milestones, resourcing, risk logs, dependency maps, and budgets.
		- Drive day\-to\-day program execution, remove blockers, and ensure on\-time, high\-quality delivery.
* Cross\-Functional Collaboration
	+ - Work closely with product managers, engineering leads, designers, security, and GTM teams to align requirements and trade\-offs.
		- Facilitate discovery workshops, requirements gathering, and stakeholder alignment sessions.
		- Communicate progress, risks, and outcomes to senior leadership with clear, data\-backed updates.
* In partnership with services, partners and support, deliver individual project status and risk profile for major pre\-defined milestones per implementation project
* Lead rigorous evaluations and recommendations for build vs. buy vs. partner choices for new features, integrations, and platform capabilities.
* Collaborate with services, support and engineering to track repeat project issues that require investment to permanently resolve
* Capture retrospectives with support customer success partners, services, support and partners on key implementation efforts post project close
 **What you bring**
* 10 years of experience in program management, and product development within a SaaS environment. PMP certification highly desired; Lean Six Sigma certification also desired but not required
* Proven experience leading build/buy/partner decisions for complex product initiatives and delivering cross\-functional programs.
* Positive, energetic, engaging interpersonal style
* Strong strategic thinking, analytical capability, and structured decision\-making.
* Expert program and project management skills: scoping, planning, risk management, and stakeholder communication.
* Familiarity with SaaS architecture concepts (multi\-tenancy, APIs, cloud services), and pragmatic technical fluency.
* Hands\-on with agile methodologies (Scrum, Kanban) and tools like Jira, Confluence, or Asana.
* Excellent written and verbal communication; able to influence senior stakeholders.
* Proven ability to delivery on\-time, on budget, meeting customer and internal program objectives
* Ability to influence cross\-functional teams and core team members to execute successfully
* Experience effectively collaborating with others either in a formal team setting or on dynamic project\-based teams to produce joint work products
* Cross\-functional collaboration and stakeholder management skills
* Continuous improvement mindset to iterate on work methods and work products to improve their efficiency, quality, and impact
* Ability to work and communicate with internal and external stakeholders with varying functions and seniority
* Experience with incentive strategies for revenue generating roles, sales planning, customer segmentation and/or go to market models desired
* Proficiency in Microsoft Office applications (Word, Excel, Outlook, PowerPoint)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age, gender (including pregnancy, childbirth, et al), sexual orientation, gender identity or expression, protected veteran status, or disability. **Compensation Range Transparency**: SAP believes the value of pay transparency contributes towards an honest and supportive culture and is a significant step toward demonstrating SAP’s commitment to pay equity. SAP provides the annualized compensation range inclusive of base salary and variable incentive target for the career level applicable to the posted role. The targeted combined range for this position is 164700 \- 374,200 (USD) USD. The actual amount to be offered to the successful candidate will be within that range, dependent upon the key aspects of each case which may include education, skills, experience, scope of the role, location, etc. as determined through the selection process. Any SAP variable incentive includes a targeted dollar amount and any actual payout amount is dependent on company and personal performance. Please reference this link for a summary of SAP benefits and eligibility requirements: SAP North America Benefits.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443388 \| Work Area: Solution and Product Management \| Expected Travel: 0 \- 10% \| Career Status: Professional \| Employment Type: Regular Full Time \| Additional Locations: \#LI\-Hybrid</t>
        </is>
      </c>
    </row>
    <row r="90">
      <c r="A90" t="inlineStr">
        <is>
          <t>in-108e6e4cc4bf5eb1</t>
        </is>
      </c>
      <c r="B90" t="inlineStr">
        <is>
          <t>Energy Program Manager - Infrastructure</t>
        </is>
      </c>
      <c r="C90" t="inlineStr">
        <is>
          <t>Puget Sound Energy</t>
        </is>
      </c>
      <c r="D90" t="inlineStr">
        <is>
          <t>indeed</t>
        </is>
      </c>
      <c r="E90">
        <f>HYPERLINK("https://www.indeed.com/viewjob?jk=108e6e4cc4bf5eb1", "https://www.indeed.com/viewjob?jk=108e6e4cc4bf5eb1")</f>
        <v/>
      </c>
      <c r="F90">
        <f>HYPERLINK("https://jobs.pse.com/job/Bellevue-Energy-Program-Manager-Infrastructure-WA-98004/1344193300/?feedId=291300&amp;utm_source=Indeed&amp;utm_campaign=PSE_Indeed", "https://jobs.pse.com/job/Bellevue-Energy-Program-Manager-Infrastructure-WA-98004/1344193300/?feedId=291300&amp;utm_source=Indeed&amp;utm_campaign=PSE_Indeed")</f>
        <v/>
      </c>
      <c r="G90" t="inlineStr">
        <is>
          <t>Bellevue, WA, US</t>
        </is>
      </c>
      <c r="H90" s="3" t="n">
        <v>46039</v>
      </c>
      <c r="I90" t="inlineStr">
        <is>
          <t>Puget Sound Energy is looking to grow our community with top talented individuals like you! With our rapidly growing, award winning energy efficiency programs, our pathway to an exciting and innovative future is now.
PSE's Project Delivery team is looking for qualified candidates to fill an open **Energy Program Manager \- Infrastructure** position!
Specific details regarding the work arrangements for this position will be discussed in further detail during the interview process.
**Job Description**
-------------------
Facilitates established energy programs with defined scope and moderate risk under the guidance of senior staff. Coordinates activities across multiple project development departments, third party suppliers, operations, construction, and IT to support program goals, milestones, and timeline commitments.
Monitors program performance by collecting and analyzing cost and schedule data, helping ensure alignment with budgets and business objectives. Supports regulatory activities such as rate case requirements through performance tracking, basic variance analysis, and assists in implementing corrective strategies when needed.
Works closely with project teams and department leads to maintain program execution and resolve day\-to\-day issues. Facilitates communication among stakeholders, identifies opportunities for process improvement within the program’s scope, and supports the adoption of best practices through collaborative problem\-solving and systematic documentation.
Upholds the safety compliance standards inherent in PSE’s operating and/or field procedures related to work responsibilities. Promotes and supports a culture of total safety. Demonstrates commitment to conduct business honestly, ethically and consistent with our core values and Code of Conduct. Ensures duties are performed in accordance with all regulatory compliance obligations.
This job is considered “safety sensitive” as defined in RCW 49\.44\.240 and is subject to pre\-employment drug screening that includes screening for the presence of marijuana and marijuana metabolites.
**Job Responsibilities**
------------------------
* Provides oversight and direction to team members.
* Identifies the scope of an assigned program and decides logical action to meet program requirements and deadlines.
* Communicates with and manages internal customer relationships as the primary point of contact for program execution.
* Accurately identifies internal customer needs, sets reasonable expectations, and identifies potential issues and corrective actions.
* Facilitates communication between internal teams, which may include technical support at the direction of a senior program manager.
* Applies general rules, standards and guidelines to specific technical problems.
* Reports on project and program progress as directed.
* Gathers, analyzes and summarizes data in relation to program requirements.
* Responsible for schedule and budget development, management and forecasting.
* Conducts consultations at construction and/or job sites while coordinating with PSE and third\-party construction resources.
* Supports emergency response work as requested.
* Performs other duties as assigned.
**Minimum Qualifications**
--------------------------
* Bachelor Degree in project management, engineering, business or related discipline, or equivalent combination of education and/or work experience.
* Four years relevant work experience including managing simple projects.
* Demonstrated strong written and verbal communications skills and ability to work as part of a team.
* Basic knowledge and experience in scheduling, estimating, accounting and finance principles.
* Basic knowledge in project management discipline to effectively arrange resources and manage multiple simple to medium complexity projects in a cross\-functional environment.
* Ability to remain flexible and adapt to the individual needs of each assigned program.
* Knowledge of the business issues driving the need for PSE Infrastructure programs.
**Desired Qualifications**
--------------------------
* Experience managing small projects or programs.
* Strong communication and presentation skills and techniques to bring about agreement between divergent points of view. Ability to write clear, concise and direct narrative and reports.
* Strong analytical, problem\-solving and conceptual skills for single or multiple technical areas.
* Negotiating and critical thinking skills.
* Knowledge of utility methods, techniques and procedures involved in budgeting, procurement and contract administration.
* Advanced Project Management Training and Project Management or Construction Management Certification from an accredited institution (PMI or College).
**Additional Information**
--------------------------
At PSE we value and respect our employees and provide them opportunities to excel. We offer a competitive compensation and rewards package.
The pay range for this position is $82,000\.00 \- $136,300\.00, and this position is eligible for annual goals based incentive bonuses.
PSE offers a suite of benefits to our employees. Employees are eligible for medical, dental, vision, basic life, and short\- and long\-term disability insurance. There are additional voluntary options of supplemental life insurance, accidental death and dismemberment insurance, flexible spending accounts for health care and dependent daycare, and an Employee assistance program (EAP). For long term savings, PSE offers a 401(k) investment option and a cash balance retirement plan. Employees will also receive Paid Time Off (PTO) and Paid Holidays throughout the calendar year. Detailed benefit overviews can be found on our Career page *\-* *Why Work For Us (pse.com)**.*
Families and businesses depend on PSE to provide the energy they need to pursue their dreams. Our steadfast commitment to serving Washington communities with safe, dependable and efficient energy started in 1873\. Today we're building the Northwest's energy future through efforts like our award winning energy efficiency programs and our leadership in renewable energy.
Puget Sound Energy is committed to providing equal employment opportunity to all qualified applicants. We do not discriminate on the basis of race, color, religion, sex, national origin, age, sexual orientation, gender identity, marital status, veteran status or presence of a disability that with or without reasonable accommodation does not prevent performance of the essential functions of the job, or any other category prohibited by local, state or federal law.
Should you have a disability that requires assistance and/or reasonable accommodation with the job application process, please contact the Human Resources Staffing department at jobs@pse.com or 425\-462\-3017\.</t>
        </is>
      </c>
    </row>
    <row r="91">
      <c r="A91" t="inlineStr">
        <is>
          <t>in-c48c25a59049b392</t>
        </is>
      </c>
      <c r="B91" t="inlineStr">
        <is>
          <t>Senior Energy Program Manager - Infrastructure</t>
        </is>
      </c>
      <c r="C91" t="inlineStr">
        <is>
          <t>Puget Sound Energy</t>
        </is>
      </c>
      <c r="D91" t="inlineStr">
        <is>
          <t>indeed</t>
        </is>
      </c>
      <c r="E91">
        <f>HYPERLINK("https://www.indeed.com/viewjob?jk=c48c25a59049b392", "https://www.indeed.com/viewjob?jk=c48c25a59049b392")</f>
        <v/>
      </c>
      <c r="F91">
        <f>HYPERLINK("https://jobs.pse.com/job/Bellevue-Senior-Energy-Program-Manager-Infrastructure-WA-98004/1344193200/?feedId=291300&amp;utm_source=Indeed&amp;utm_campaign=PSE_Indeed", "https://jobs.pse.com/job/Bellevue-Senior-Energy-Program-Manager-Infrastructure-WA-98004/1344193200/?feedId=291300&amp;utm_source=Indeed&amp;utm_campaign=PSE_Indeed")</f>
        <v/>
      </c>
      <c r="G91" t="inlineStr">
        <is>
          <t>Bellevue, WA, US</t>
        </is>
      </c>
      <c r="H91" s="3" t="n">
        <v>46039</v>
      </c>
      <c r="I91" t="inlineStr">
        <is>
          <t>Puget Sound Energy is looking to grow our community with top talented individuals like you! With our rapidly growing, award winning energy efficiency programs, our pathway to an exciting and innovative future is now.
PSE's Project Delivery team is looking for qualified candidates to fill an open **Senior Energy Program Manager \- Infrastructure** position!
Specific details regarding the work arrangements for this position will be discussed in further detail during the interview process.
**Job Description**
-------------------
Leads and manages energy programs with significant financial impact and execution risk, providing strategic oversight of activities under established program frameworks. Coordinates efforts across multiple project development departments, third party suppliers, operations, construction, and IT to ensure program execution aligns with governance requirements, cost and schedule expectations, and broader business goals.
Monitors program health by analyzing cost and schedule performance, supporting alignment with budget targets, rate case commitments, and corporate objectives. Develops and executes strategies to meet regulatory requirements, including progress tracking, variance reporting, root cause analysis, and implementation of corrective actions.
Provides strategic, cross\-functional leadership to project teams and departmental leaders, facilitating collaboration across stakeholder groups and driving integrated program execution. Identifies opportunities for process and performance improvement, enabling consistency, efficiency, and knowledge sharing across programs through documentation of best practices and continuous refinement of program delivery approaches.
Upholds the safety compliance standards inherent in PSE’s operating and/or field procedures related to work responsibilities. Promotes and supports a culture of total safety. Demonstrates commitment to conduct business honestly, ethically and consistent with our core values and Code of Conduct. Ensures duties are performed in accordance with all regulatory compliance obligations.
This job is considered “safety sensitive” as defined in RCW 49\.44\.240 and is subject to pre\-employment drug screening that includes screening for the presence of marijuana and marijuana metabolites.
**Job Responsibilities**
------------------------
* Leads and influences cross\-functional teams through matrixed management, providing direction, prioritization, and strategic guidance with departmental leadership of the project teams.
* Optimizes strategic priorities and resource allocation to maximize program effectiveness and advance PSE's operational objectives.
* Identifies, validates and refines the scope of assigned programs and decide logical action to meet program requirements and deadlines.
* Partners with internal collaborators to understand needs, manage expectations, and implement proactive solutions.
* Identifies and mitigates technical risks that could impact program outcomes within the framework of industry best practices and internal standards of work.
* Delivers clear, concise program updates and technical information to diverse audiences, including executive leadership.
* Gathers, analyzes and summarizes data in relation to program requirements.
* Analyzes and synthesizes program data to drive informed decision\-making.
* Oversees contract development and vendor management, including quality control, timeline adherence, and deliverable acceptance.
* Conducts consultations at construction and/or job sites while coordinating with PSE and third\-party construction resources.
* Supports emergency response work as requested.
* Performs other duties as assigned.
**Minimum Qualifications**
--------------------------
* Bachelor Degree in project management, engineering, business or related discipline, or equivalent combination of education and/or work experience.
* Eight years relevant work experience including managing complex programs or projects.
* Strong knowledge and experience in scheduling, estimating, accounting and finance principles.
* Strong knowledge in project management discipline to effectively arrange resources and manage multiple medium to high complexity projects in a cross\-functional environment.
* Ability to remain flexible and adapt to the individual needs of each assigned program.
* Knowledge of the business issues driving the need for PSE Infrastructure programs.
**Desired Qualifications**
--------------------------
* Masters Degree in business, project management, or engineering.
* Experience managing medium to large programs or projects in a utility setting.
* Strong communication and presentation skills and techniques to bring about agreement between divergent points of view.
* An ability to express complex technical concepts in business terms.
* Strong analytical, problem\-solving and conceptual skills for single or multiple technical areas.
* Knowledge of utility methods, techniques and procedures involved in budgeting, procurement and contract administration.
* Advanced Project Management Training and Project Management or Construction Management Certification from an accredited institution (PMI or College).
**Additional Information**
--------------------------
At PSE we value and respect our employees and provide them opportunities to excel. We offer a competitive compensation and rewards package.
The pay range for this position is $108,200\.00 \- $180,200\.00, and this position is eligible for annual goals based incentive bonuses.
PSE offers a suite of benefits to our employees. Employees are eligible for medical, dental, vision, basic life, and short\- and long\-term disability insurance. There are additional voluntary options of supplemental life insurance, accidental death and dismemberment insurance, flexible spending accounts for health care and dependent daycare, and an Employee assistance program (EAP). For long term savings, PSE offers a 401(k) investment option and a cash balance retirement plan. Employees will also receive Paid Time Off (PTO) and Paid Holidays throughout the calendar year. Detailed benefit overviews can be found on our Career page *\-* *Why Work For Us (pse.com)**.*
Families and businesses depend on PSE to provide the energy they need to pursue their dreams. Our steadfast commitment to serving Washington communities with safe, dependable and efficient energy started in 1873\. Today we're building the Northwest's energy future through efforts like our award winning energy efficiency programs and our leadership in renewable energy.
Puget Sound Energy is committed to providing equal employment opportunity to all qualified applicants. We do not discriminate on the basis of race, color, religion, sex, national origin, age, sexual orientation, gender identity, marital status, veteran status or presence of a disability that with or without reasonable accommodation does not prevent performance of the essential functions of the job, or any other category prohibited by local, state or federal law.
Should you have a disability that requires assistance and/or reasonable accommodation with the job application process, please contact the Human Resources Staffing department at jobs@pse.com or 425\-462\-3017\.</t>
        </is>
      </c>
    </row>
    <row r="92">
      <c r="A92" t="inlineStr">
        <is>
          <t>in-20f36c8088375c2e</t>
        </is>
      </c>
      <c r="B92" t="inlineStr">
        <is>
          <t>Sr. Product Manager</t>
        </is>
      </c>
      <c r="C92" t="inlineStr">
        <is>
          <t>Amazon.com</t>
        </is>
      </c>
      <c r="D92" t="inlineStr">
        <is>
          <t>indeed</t>
        </is>
      </c>
      <c r="E92">
        <f>HYPERLINK("https://www.indeed.com/viewjob?jk=20f36c8088375c2e", "https://www.indeed.com/viewjob?jk=20f36c8088375c2e")</f>
        <v/>
      </c>
      <c r="F92">
        <f>HYPERLINK("https://www.amazon.jobs/jobs/3129468/sr-product-manager?cmpid=DA_INAD200785B", "https://www.amazon.jobs/jobs/3129468/sr-product-manager?cmpid=DA_INAD200785B")</f>
        <v/>
      </c>
      <c r="G92" t="inlineStr">
        <is>
          <t>Irvine, CA, US</t>
        </is>
      </c>
      <c r="H92" s="3" t="n">
        <v>45979</v>
      </c>
      <c r="I9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in-4a9bc42e68e98676</t>
        </is>
      </c>
      <c r="B93" t="inlineStr">
        <is>
          <t>Sr. Product Manager</t>
        </is>
      </c>
      <c r="C93" t="inlineStr">
        <is>
          <t>Amazon.com</t>
        </is>
      </c>
      <c r="D93" t="inlineStr">
        <is>
          <t>indeed</t>
        </is>
      </c>
      <c r="E93">
        <f>HYPERLINK("https://www.indeed.com/viewjob?jk=4a9bc42e68e98676", "https://www.indeed.com/viewjob?jk=4a9bc42e68e98676")</f>
        <v/>
      </c>
      <c r="F93">
        <f>HYPERLINK("https://www.amazon.jobs/jobs/3129468/sr-product-manager?cmpid=DA_INAD200785B", "https://www.amazon.jobs/jobs/3129468/sr-product-manager?cmpid=DA_INAD200785B")</f>
        <v/>
      </c>
      <c r="G93" t="inlineStr">
        <is>
          <t>New York, NY, US</t>
        </is>
      </c>
      <c r="H93" s="3" t="n">
        <v>45979</v>
      </c>
      <c r="I9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in-44ebf19768410f14</t>
        </is>
      </c>
      <c r="B94" t="inlineStr">
        <is>
          <t>Sr. Product Manager</t>
        </is>
      </c>
      <c r="C94" t="inlineStr">
        <is>
          <t>Amazon.com</t>
        </is>
      </c>
      <c r="D94" t="inlineStr">
        <is>
          <t>indeed</t>
        </is>
      </c>
      <c r="E94">
        <f>HYPERLINK("https://www.indeed.com/viewjob?jk=44ebf19768410f14", "https://www.indeed.com/viewjob?jk=44ebf19768410f14")</f>
        <v/>
      </c>
      <c r="F94">
        <f>HYPERLINK("https://www.amazon.jobs/jobs/3129468/sr-product-manager?cmpid=DA_INAD200785B", "https://www.amazon.jobs/jobs/3129468/sr-product-manager?cmpid=DA_INAD200785B")</f>
        <v/>
      </c>
      <c r="G94" t="inlineStr">
        <is>
          <t>Los Angeles, CA, US</t>
        </is>
      </c>
      <c r="H94" s="3" t="n">
        <v>45979</v>
      </c>
      <c r="I9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in-ab1d5f123270dae0</t>
        </is>
      </c>
      <c r="B95" t="inlineStr">
        <is>
          <t>Sr. Product Manager</t>
        </is>
      </c>
      <c r="C95" t="inlineStr">
        <is>
          <t>Amazon.com</t>
        </is>
      </c>
      <c r="D95" t="inlineStr">
        <is>
          <t>indeed</t>
        </is>
      </c>
      <c r="E95">
        <f>HYPERLINK("https://www.indeed.com/viewjob?jk=ab1d5f123270dae0", "https://www.indeed.com/viewjob?jk=ab1d5f123270dae0")</f>
        <v/>
      </c>
      <c r="F95">
        <f>HYPERLINK("https://www.amazon.jobs/jobs/3129468/sr-product-manager?cmpid=DA_INAD200785B", "https://www.amazon.jobs/jobs/3129468/sr-product-manager?cmpid=DA_INAD200785B")</f>
        <v/>
      </c>
      <c r="G95" t="inlineStr">
        <is>
          <t>Seattle, WA, US</t>
        </is>
      </c>
      <c r="H95" s="3" t="n">
        <v>45979</v>
      </c>
      <c r="I9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in-26d3021fe66bc8a9</t>
        </is>
      </c>
      <c r="B96" t="inlineStr">
        <is>
          <t>Sr. Product Manager</t>
        </is>
      </c>
      <c r="C96" t="inlineStr">
        <is>
          <t>Amazon.com</t>
        </is>
      </c>
      <c r="D96" t="inlineStr">
        <is>
          <t>indeed</t>
        </is>
      </c>
      <c r="E96">
        <f>HYPERLINK("https://www.indeed.com/viewjob?jk=26d3021fe66bc8a9", "https://www.indeed.com/viewjob?jk=26d3021fe66bc8a9")</f>
        <v/>
      </c>
      <c r="F96">
        <f>HYPERLINK("https://www.amazon.jobs/jobs/3129468/sr-product-manager?cmpid=DA_INAD200785B", "https://www.amazon.jobs/jobs/3129468/sr-product-manager?cmpid=DA_INAD200785B")</f>
        <v/>
      </c>
      <c r="G96" t="inlineStr">
        <is>
          <t>San Francisco, CA, US</t>
        </is>
      </c>
      <c r="H96" s="3" t="n">
        <v>45979</v>
      </c>
      <c r="I9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in-51426330122b29cc</t>
        </is>
      </c>
      <c r="B97" t="inlineStr">
        <is>
          <t>Program Manager, Executive Content and Programs, Global Executive Marketing</t>
        </is>
      </c>
      <c r="C97" t="inlineStr">
        <is>
          <t>Amazon Web Services</t>
        </is>
      </c>
      <c r="D97" t="inlineStr">
        <is>
          <t>indeed</t>
        </is>
      </c>
      <c r="E97">
        <f>HYPERLINK("https://www.indeed.com/viewjob?jk=51426330122b29cc", "https://www.indeed.com/viewjob?jk=51426330122b29cc")</f>
        <v/>
      </c>
      <c r="F97">
        <f>HYPERLINK("https://www.amazon.jobs/jobs/3125520/program-manager-executive-content-and-programs-global-executive-marketing?cmpid=DA_INAD200785B", "https://www.amazon.jobs/jobs/3125520/program-manager-executive-content-and-programs-global-executive-marketing?cmpid=DA_INAD200785B")</f>
        <v/>
      </c>
      <c r="G97" t="inlineStr">
        <is>
          <t>Seattle, WA, US</t>
        </is>
      </c>
      <c r="H97" s="3" t="n">
        <v>45970</v>
      </c>
      <c r="I97" t="inlineStr">
        <is>
          <t>**DESCRIPTION**
---------------
Global Executive Marketing (GEM) creates 1:1 and 1:many engagements between AWS leaders and executive customers through content, messaging, and digital and in\-person experiences. As part of this organization, you'll execute content operations that help forge and strengthen relationships with influential decision\-makers who are transforming their industries using AWS cloud and generative AI.  
We're seeking a Program Manager to lead execution of content strategy for select executive programs, including Executive Summit at AWS re:Invent and digital content initiatives. This role will focus on operational coordination and execution across touchpoints while supporting content development. The candidate will have hands\-on experience in content production, digital asset management, and tactical program execution. This position works on high visibility programs and interacts with a diverse group of globally distributed stakeholders.  
Key job responsibilities  
In this role, you'll:  
* Develop and execute compelling content that supports C\-suite engagement and translates strategic narratives into deliverable assets
* Implement scalable content frameworks and playbooks aligned with AWS priorities, managing day\-to\-day content operations and production workflows
* Coordinate innovative programming across multiple formats including digital, events, and experiential activations to drive executive engagement
* Provide tactical editorial support across marquee 1P executive events to ensure consistent execution and delivery
* Manage content production workflows and coordinate with agencies, vendors, and production teams
* Execute event logistics and content coordination for Executive Summit and other high\-visibility executive programs
* Coordinate digital content initiatives including executive podcasts, video content, and interactive digital experiences
* Manage content calendars, asset libraries, and version control across all executive content initiatives
* Track and report on tactical metrics that support broader engagement and business outcome measurement
A day in the life  
* Coordinate with agencies and vendors on content production timelines and deliverables for upcoming executive programs
* Manage content asset updates and maintain version control across digital platforms and event materials
* Execute logistics and coordination for Executive Summit sessions, including speaker preparation materials and technical requirements
* Collaborate with cross\-functional teams to ensure seamless delivery of digital content initiatives and event programming
* Update project trackers, manage content calendars, and provide status reports on tactical execution progress
About the team  
GEM helps architect the relationships with C\-suite customers, helping to shape the future of cloud computing and AI. Every day brings a new challenge, a chance to innovate, and an opportunity to influence decision\-maker customers.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5\+ years of program or project management experience
* Experience using data and metrics to determine and drive improvements
* Experience working cross functionally with tech and non\-tech teams
**PREFERRED QUALIFICATIONS**
----------------------------
* 3\+ years of driving end to end delivery, and communicating results to senior leadership experience
* 3\+ years of driving process improvements experience
* Experience in stakeholder management, dealing with multiple stakeholders at varied levels of the organization
* Experience building processes, project management, and schedules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$66,800/year in our lowest geographic market up to $142,800/year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in-80ba7ba4288848f9</t>
        </is>
      </c>
      <c r="B98" t="inlineStr">
        <is>
          <t>Sr. Product Manager, AWS Server Supply Chain</t>
        </is>
      </c>
      <c r="C98" t="inlineStr">
        <is>
          <t>Amazon.com</t>
        </is>
      </c>
      <c r="D98" t="inlineStr">
        <is>
          <t>indeed</t>
        </is>
      </c>
      <c r="E98">
        <f>HYPERLINK("https://www.indeed.com/viewjob?jk=80ba7ba4288848f9", "https://www.indeed.com/viewjob?jk=80ba7ba4288848f9")</f>
        <v/>
      </c>
      <c r="F98">
        <f>HYPERLINK("https://www.amazon.jobs/jobs/3117342/sr-product-manager-aws-server-supply-chain?cmpid=DA_INAD200785B", "https://www.amazon.jobs/jobs/3117342/sr-product-manager-aws-server-supply-chain?cmpid=DA_INAD200785B")</f>
        <v/>
      </c>
      <c r="G98" t="inlineStr">
        <is>
          <t>Cupertino, CA, US</t>
        </is>
      </c>
      <c r="H98" s="3" t="n">
        <v>45956</v>
      </c>
      <c r="I98"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Services \&amp; Supply Chain (AIS\-SC) organization works to deliver leading\-edge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Amazon Web Services (AWS) is seeking a highly effective candidate to identify, create, develop and integrate innovative technology to deliver the best operating, lowest cost infrastructure in the world.
This individual will lead the manufacturing operations of Integrated Circuits needed for Printed Circuit Board Assemblies that meet our customers' rapidly growing infrastructure needs. Successful candidates will bring strong knowledge of Semiconductor supply chains, semiconductor manufacturing operations, quality assurance operations, and provide oversight of outsourced manufacturing teams.
AWS serves over a million active customers in more than 190 countries. We are steadily expanding global infrastructure to help our customers achieve lower latency and higher throughput. As our customers grow their businesses, AWS will continue to provide infrastructure that meets their global requirements.  
Key job responsibilities  
* Develop and implement Printed Circuit Board (PCB) supply chain strategies for AWS hardware infrastructure.
* Understand PCB industry and technology trends.
* Identify key technology trends in the PCB industry and drive supplier product roadmaps and execute on strategic initiatives in those products.
* Negotiate and implement complex supplier agreements and contracts by working with cross\-functional stakeholders.
* Develop negotiations strategies to deliver against business objectives and achieve sustainable relationship with suppliers.
* Responsible to provide weekly team updates, deliver executive level updates on a monthly basis, and will be responsible for vendor escalations in order to resolve any issues related to his/her category.
* Present to senior leadership via written narratives.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Professional traits that are necessary for Amazon leaders:  
* Exhibits excellent judgment
* Has high standards (is never satisfied with the status quo)
* Is able to dive deep and is never out of touch with the details of the business
* Expects and requires innovation of her/his team
* Has passion and convictions and the innate ability to inspire passion in others
* Strong results orientation
* Thinks big
**BASIC QUALIFICATIONS**
------------------------
* 5\+ years of developing, negotiating and executing business agreements experience
* 5\+ years of professional or military experience
* Bachelor's degree
* 5\+ years working with the electronics industry in supply chain, operations, manufacturing, or engineering fields.
**PREFERRED QUALIFICATIONS**
----------------------------
* Experience interpreting data and making business recommendations
* Experience identifying, negotiating, and executing complex legal agreements
* 5\+ years of responding to requests for proposals (e.g., determining requirements, matching requirements to technical approach and solutions, developing solutions against requirements) experience
* 5\+ years of experience in Semiconductor and/or PC Industry development and/or manufacturing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in-2093454957b60897</t>
        </is>
      </c>
      <c r="B99" t="inlineStr">
        <is>
          <t>Sr. Product Manager, AWS Server Supply Chain</t>
        </is>
      </c>
      <c r="C99" t="inlineStr">
        <is>
          <t>Amazon.com</t>
        </is>
      </c>
      <c r="D99" t="inlineStr">
        <is>
          <t>indeed</t>
        </is>
      </c>
      <c r="E99">
        <f>HYPERLINK("https://www.indeed.com/viewjob?jk=2093454957b60897", "https://www.indeed.com/viewjob?jk=2093454957b60897")</f>
        <v/>
      </c>
      <c r="F99">
        <f>HYPERLINK("https://www.amazon.jobs/jobs/3117342/sr-product-manager-aws-server-supply-chain?cmpid=DA_INAD200785B", "https://www.amazon.jobs/jobs/3117342/sr-product-manager-aws-server-supply-chain?cmpid=DA_INAD200785B")</f>
        <v/>
      </c>
      <c r="G99" t="inlineStr">
        <is>
          <t>Seattle, WA, US</t>
        </is>
      </c>
      <c r="H99" s="3" t="n">
        <v>45956</v>
      </c>
      <c r="I99"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Services \&amp; Supply Chain (AIS\-SC) organization works to deliver leading\-edge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Amazon Web Services (AWS) is seeking a highly effective candidate to identify, create, develop and integrate innovative technology to deliver the best operating, lowest cost infrastructure in the world.
This individual will lead the manufacturing operations of Integrated Circuits needed for Printed Circuit Board Assemblies that meet our customers' rapidly growing infrastructure needs. Successful candidates will bring strong knowledge of Semiconductor supply chains, semiconductor manufacturing operations, quality assurance operations, and provide oversight of outsourced manufacturing teams.
AWS serves over a million active customers in more than 190 countries. We are steadily expanding global infrastructure to help our customers achieve lower latency and higher throughput. As our customers grow their businesses, AWS will continue to provide infrastructure that meets their global requirements.  
Key job responsibilities  
* Develop and implement Printed Circuit Board (PCB) supply chain strategies for AWS hardware infrastructure.
* Understand PCB industry and technology trends.
* Identify key technology trends in the PCB industry and drive supplier product roadmaps and execute on strategic initiatives in those products.
* Negotiate and implement complex supplier agreements and contracts by working with cross\-functional stakeholders.
* Develop negotiations strategies to deliver against business objectives and achieve sustainable relationship with suppliers.
* Responsible to provide weekly team updates, deliver executive level updates on a monthly basis, and will be responsible for vendor escalations in order to resolve any issues related to his/her category.
* Present to senior leadership via written narratives.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Professional traits that are necessary for Amazon leaders:  
* Exhibits excellent judgment
* Has high standards (is never satisfied with the status quo)
* Is able to dive deep and is never out of touch with the details of the business
* Expects and requires innovation of her/his team
* Has passion and convictions and the innate ability to inspire passion in others
* Strong results orientation
* Thinks big
**BASIC QUALIFICATIONS**
------------------------
* 5\+ years of developing, negotiating and executing business agreements experience
* 5\+ years of professional or military experience
* Bachelor's degree
* 5\+ years working with the electronics industry in supply chain, operations, manufacturing, or engineering fields.
**PREFERRED QUALIFICATIONS**
----------------------------
* Experience interpreting data and making business recommendations
* Experience identifying, negotiating, and executing complex legal agreements
* 5\+ years of responding to requests for proposals (e.g., determining requirements, matching requirements to technical approach and solutions, developing solutions against requirements) experience
* 5\+ years of experience in Semiconductor and/or PC Industry development and/or manufacturing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0">
      <c r="A100" t="inlineStr">
        <is>
          <t>in-53d7796f740b05ea</t>
        </is>
      </c>
      <c r="B100" t="inlineStr">
        <is>
          <t>Sr. Product Manager, AWS Server Supply Chain</t>
        </is>
      </c>
      <c r="C100" t="inlineStr">
        <is>
          <t>Amazon.com</t>
        </is>
      </c>
      <c r="D100" t="inlineStr">
        <is>
          <t>indeed</t>
        </is>
      </c>
      <c r="E100">
        <f>HYPERLINK("https://www.indeed.com/viewjob?jk=53d7796f740b05ea", "https://www.indeed.com/viewjob?jk=53d7796f740b05ea")</f>
        <v/>
      </c>
      <c r="F100">
        <f>HYPERLINK("https://www.amazon.jobs/jobs/3117342/sr-product-manager-aws-server-supply-chain?cmpid=DA_INAD200785B", "https://www.amazon.jobs/jobs/3117342/sr-product-manager-aws-server-supply-chain?cmpid=DA_INAD200785B")</f>
        <v/>
      </c>
      <c r="G100" t="inlineStr">
        <is>
          <t>Austin, TX, US</t>
        </is>
      </c>
      <c r="H100" s="3" t="n">
        <v>45956</v>
      </c>
      <c r="I100"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Services \&amp; Supply Chain (AIS\-SC) organization works to deliver leading\-edge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Amazon Web Services (AWS) is seeking a highly effective candidate to identify, create, develop and integrate innovative technology to deliver the best operating, lowest cost infrastructure in the world.
This individual will lead the manufacturing operations of Integrated Circuits needed for Printed Circuit Board Assemblies that meet our customers' rapidly growing infrastructure needs. Successful candidates will bring strong knowledge of Semiconductor supply chains, semiconductor manufacturing operations, quality assurance operations, and provide oversight of outsourced manufacturing teams.
AWS serves over a million active customers in more than 190 countries. We are steadily expanding global infrastructure to help our customers achieve lower latency and higher throughput. As our customers grow their businesses, AWS will continue to provide infrastructure that meets their global requirements.  
Key job responsibilities  
* Develop and implement Printed Circuit Board (PCB) supply chain strategies for AWS hardware infrastructure.
* Understand PCB industry and technology trends.
* Identify key technology trends in the PCB industry and drive supplier product roadmaps and execute on strategic initiatives in those products.
* Negotiate and implement complex supplier agreements and contracts by working with cross\-functional stakeholders.
* Develop negotiations strategies to deliver against business objectives and achieve sustainable relationship with suppliers.
* Responsible to provide weekly team updates, deliver executive level updates on a monthly basis, and will be responsible for vendor escalations in order to resolve any issues related to his/her category.
* Present to senior leadership via written narratives.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Professional traits that are necessary for Amazon leaders:  
* Exhibits excellent judgment
* Has high standards (is never satisfied with the status quo)
* Is able to dive deep and is never out of touch with the details of the business
* Expects and requires innovation of her/his team
* Has passion and convictions and the innate ability to inspire passion in others
* Strong results orientation
* Thinks big
**BASIC QUALIFICATIONS**
------------------------
* 5\+ years of developing, negotiating and executing business agreements experience
* 5\+ years of professional or military experience
* Bachelor's degree
* 5\+ years working with the electronics industry in supply chain, operations, manufacturing, or engineering fields.
**PREFERRED QUALIFICATIONS**
----------------------------
* Experience interpreting data and making business recommendations
* Experience identifying, negotiating, and executing complex legal agreements
* 5\+ years of responding to requests for proposals (e.g., determining requirements, matching requirements to technical approach and solutions, developing solutions against requirements) experience
* 5\+ years of experience in Semiconductor and/or PC Industry development and/or manufacturing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1">
      <c r="A101" t="inlineStr">
        <is>
          <t>in-33c46f5ebdd10ed9</t>
        </is>
      </c>
      <c r="B101" t="inlineStr">
        <is>
          <t>Sr. Program Manager, Planning &amp; Automation, Global Fleet and Products Electrification and Infrastructure</t>
        </is>
      </c>
      <c r="C101" t="inlineStr">
        <is>
          <t>Amazon.com</t>
        </is>
      </c>
      <c r="D101" t="inlineStr">
        <is>
          <t>indeed</t>
        </is>
      </c>
      <c r="E101">
        <f>HYPERLINK("https://www.indeed.com/viewjob?jk=33c46f5ebdd10ed9", "https://www.indeed.com/viewjob?jk=33c46f5ebdd10ed9")</f>
        <v/>
      </c>
      <c r="F101">
        <f>HYPERLINK("https://www.amazon.jobs/jobs/3126463/sr-program-manager-planning--automation-global-fleet-and-products-electrification-and-infrastructure?cmpid=DA_INAD200785B", "https://www.amazon.jobs/jobs/3126463/sr-program-manager-planning--automation-global-fleet-and-products-electrification-and-infrastructure?cmpid=DA_INAD200785B")</f>
        <v/>
      </c>
      <c r="G101" t="inlineStr">
        <is>
          <t>San Francisco, CA, US</t>
        </is>
      </c>
      <c r="H101" s="3" t="n">
        <v>45949</v>
      </c>
      <c r="I101" t="inlineStr">
        <is>
          <t>**DESCRIPTION**
---------------
Amazon is committed to building a sustainable business for our employees, customers, and communities. From leading The Climate Pledge to our goal of Net Zero Carbon by 2040, Amazon continues to drive industry transformation. Deploying a fleet of 100,000 electric delivery vehicles is one of the most impactful levers we have—and the technology, automation, and intelligent systems behind that fleet are critical to our success.  
Amazon’s Global Fleet Electrification \&amp; Infrastructure (GFP E\&amp;I) team is seeking a results\-driven leader with strong business judgment and cross\-functional collaboration skills to own planning and automation initiatives for our electrification and infrastructure supply chain. Our Program Managers are high\-energy self\-starters who thrive on building scalable, tech\-enabled mechanisms that connect engineering, sourcing, logistics, and construction to deliver critical EVSE to Amazon’s fleet\-charging sites worldwide.  
As a member of the Electrification \&amp; Infrastructure Supply Chain team, you will own material readiness and end\-to\-end automation strategy across the Americas to support Amazon’s rapidly expanding fleet\-electrification network. This role’s primary focus is to design and operationalize next\-generation forecasting, AI\-supported demand\-planning models, and automated data pipelines for key electrical systems—including switchgear, transformers, rectifiers, and chargers. You will work closely with design engineering, deployment, and supplier partners to build an integrated, data\-driven planning tool that aligns global supply with real\-time demand signals.  
You will also be responsible for tracking and auditing material status from purchase order through site delivery, ensuring supply continuity, reducing latency in data handoffs, and implementing proactive, tech\-driven strategies to mitigate risk and accelerate deployment. Additionally, you will architect and implement automation workflows (including ETL pipelines, dashboarding, and exception\-handling mechanisms) to eliminate manual work, improve data quality, and increase operating efficiency across the supply chain.  
Key job responsibilities  
Lead end\-to\-end materials management for power distribution products and chargers across global projects.  
Develop and execute demand\- and supply\-planning processes ensuring on\-time equipment availability aligned with deployment schedules.  
Partner with Engineering, Sourcing, and Construction to translate design changes and forecasts into executable procurement plans.  
Manage Sales \&amp; Operations Planning (S\&amp;OP) cadence for electrification hardware, integrating supplier lead\-times and manufacturing constraints.  
Build and automate forecasting models using internal data pipelines and supplier inputs to improve accuracy and reduce inventory exposure.  
Drive supplier continuous improvement initiatives.  
Track global inventory, shipments, and at\-risk materials; mitigate disruptions through proactive allocation and supplier collaboration.  
Support business reviews and executive updates on supply continuity, delivery metrics, and cost performance.  
About the team  
We are building the largest commercial EV fleet in the world, join us for exciting and challenging infrastructure challenges at an unprecedented scale!
**BASIC QUALIFICATIONS**
------------------------
* Bachelor's degree in engineering, mechanical, operations, supply chain, business administration, or equivalent STEM field
* Experience in a highly analytical, results\-oriented environment with cross functional interactions
* Experience communicating technical details verbally and in writing
* Can work proactively and independently, meet deadlines, and deliver on projects and tasks
* 6\+ years of experience in supply chain management, material planning and/or supply planning role
* Strong Working knowledge of S\&amp;OE and S\&amp;OP with implementation experience
**PREFERRED QUALIFICATIONS**
----------------------------
* Knowledge of Microsoft Office products and applications at an advanced level
* 10\+ years of experience in Supply Chain (Forecasting, Demand Planning, Supply Planning, Inventory Planning, Materials Management, Master Planning, Scheduling, Lifecycle management)
* Tools and Advanced Planning Systems Software
* APICS and/or IBF certification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$103,900/year in our lowest geographic market up to $181,400/year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in-486f99a2b3e44424</t>
        </is>
      </c>
      <c r="B102" t="inlineStr">
        <is>
          <t>Sr. Program Manager, Planning &amp; Automation, Global Fleet and Products Electrification and Infrastructure</t>
        </is>
      </c>
      <c r="C102" t="inlineStr">
        <is>
          <t>Amazon.com</t>
        </is>
      </c>
      <c r="D102" t="inlineStr">
        <is>
          <t>indeed</t>
        </is>
      </c>
      <c r="E102">
        <f>HYPERLINK("https://www.indeed.com/viewjob?jk=486f99a2b3e44424", "https://www.indeed.com/viewjob?jk=486f99a2b3e44424")</f>
        <v/>
      </c>
      <c r="F102">
        <f>HYPERLINK("https://www.amazon.jobs/jobs/3126463/sr-program-manager-planning--automation-global-fleet-and-products-electrification-and-infrastructure?cmpid=DA_INAD200785B", "https://www.amazon.jobs/jobs/3126463/sr-program-manager-planning--automation-global-fleet-and-products-electrification-and-infrastructure?cmpid=DA_INAD200785B")</f>
        <v/>
      </c>
      <c r="G102" t="inlineStr">
        <is>
          <t>Bellevue, WA, US</t>
        </is>
      </c>
      <c r="H102" s="3" t="n">
        <v>45949</v>
      </c>
      <c r="I102" t="inlineStr">
        <is>
          <t>**DESCRIPTION**
---------------
Amazon is committed to building a sustainable business for our employees, customers, and communities. From leading The Climate Pledge to our goal of Net Zero Carbon by 2040, Amazon continues to drive industry transformation. Deploying a fleet of 100,000 electric delivery vehicles is one of the most impactful levers we have—and the technology, automation, and intelligent systems behind that fleet are critical to our success.  
Amazon’s Global Fleet Electrification \&amp; Infrastructure (GFP E\&amp;I) team is seeking a results\-driven leader with strong business judgment and cross\-functional collaboration skills to own planning and automation initiatives for our electrification and infrastructure supply chain. Our Program Managers are high\-energy self\-starters who thrive on building scalable, tech\-enabled mechanisms that connect engineering, sourcing, logistics, and construction to deliver critical EVSE to Amazon’s fleet\-charging sites worldwide.  
As a member of the Electrification \&amp; Infrastructure Supply Chain team, you will own material readiness and end\-to\-end automation strategy across the Americas to support Amazon’s rapidly expanding fleet\-electrification network. This role’s primary focus is to design and operationalize next\-generation forecasting, AI\-supported demand\-planning models, and automated data pipelines for key electrical systems—including switchgear, transformers, rectifiers, and chargers. You will work closely with design engineering, deployment, and supplier partners to build an integrated, data\-driven planning tool that aligns global supply with real\-time demand signals.  
You will also be responsible for tracking and auditing material status from purchase order through site delivery, ensuring supply continuity, reducing latency in data handoffs, and implementing proactive, tech\-driven strategies to mitigate risk and accelerate deployment. Additionally, you will architect and implement automation workflows (including ETL pipelines, dashboarding, and exception\-handling mechanisms) to eliminate manual work, improve data quality, and increase operating efficiency across the supply chain.  
Key job responsibilities  
Lead end\-to\-end materials management for power distribution products and chargers across global projects.  
Develop and execute demand\- and supply\-planning processes ensuring on\-time equipment availability aligned with deployment schedules.  
Partner with Engineering, Sourcing, and Construction to translate design changes and forecasts into executable procurement plans.  
Manage Sales \&amp; Operations Planning (S\&amp;OP) cadence for electrification hardware, integrating supplier lead\-times and manufacturing constraints.  
Build and automate forecasting models using internal data pipelines and supplier inputs to improve accuracy and reduce inventory exposure.  
Drive supplier continuous improvement initiatives.  
Track global inventory, shipments, and at\-risk materials; mitigate disruptions through proactive allocation and supplier collaboration.  
Support business reviews and executive updates on supply continuity, delivery metrics, and cost performance.  
About the team  
We are building the largest commercial EV fleet in the world, join us for exciting and challenging infrastructure challenges at an unprecedented scale!
**BASIC QUALIFICATIONS**
------------------------
* Bachelor's degree in engineering, mechanical, operations, supply chain, business administration, or equivalent STEM field
* Experience in a highly analytical, results\-oriented environment with cross functional interactions
* Experience communicating technical details verbally and in writing
* Can work proactively and independently, meet deadlines, and deliver on projects and tasks
* 6\+ years of experience in supply chain management, material planning and/or supply planning role
* Strong Working knowledge of S\&amp;OE and S\&amp;OP with implementation experience
**PREFERRED QUALIFICATIONS**
----------------------------
* Knowledge of Microsoft Office products and applications at an advanced level
* 10\+ years of experience in Supply Chain (Forecasting, Demand Planning, Supply Planning, Inventory Planning, Materials Management, Master Planning, Scheduling, Lifecycle management)
* Tools and Advanced Planning Systems Software
* APICS and/or IBF certification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$103,900/year in our lowest geographic market up to $181,400/year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in-782baea303b74438</t>
        </is>
      </c>
      <c r="B103" t="inlineStr">
        <is>
          <t>Sr. Program Manager, Planning &amp; Automation, Global Fleet and Products Electrification and Infrastructure</t>
        </is>
      </c>
      <c r="C103" t="inlineStr">
        <is>
          <t>Amazon.com</t>
        </is>
      </c>
      <c r="D103" t="inlineStr">
        <is>
          <t>indeed</t>
        </is>
      </c>
      <c r="E103">
        <f>HYPERLINK("https://www.indeed.com/viewjob?jk=782baea303b74438", "https://www.indeed.com/viewjob?jk=782baea303b74438")</f>
        <v/>
      </c>
      <c r="F103">
        <f>HYPERLINK("https://www.amazon.jobs/jobs/3126463/sr-program-manager-planning--automation-global-fleet-and-products-electrification-and-infrastructure?cmpid=DA_INAD200785B", "https://www.amazon.jobs/jobs/3126463/sr-program-manager-planning--automation-global-fleet-and-products-electrification-and-infrastructure?cmpid=DA_INAD200785B")</f>
        <v/>
      </c>
      <c r="G103" t="inlineStr">
        <is>
          <t>Nashville, TN, US</t>
        </is>
      </c>
      <c r="H103" s="3" t="n">
        <v>45949</v>
      </c>
      <c r="I103" t="inlineStr">
        <is>
          <t>**DESCRIPTION**
---------------
Amazon is committed to building a sustainable business for our employees, customers, and communities. From leading The Climate Pledge to our goal of Net Zero Carbon by 2040, Amazon continues to drive industry transformation. Deploying a fleet of 100,000 electric delivery vehicles is one of the most impactful levers we have—and the technology, automation, and intelligent systems behind that fleet are critical to our success.  
Amazon’s Global Fleet Electrification \&amp; Infrastructure (GFP E\&amp;I) team is seeking a results\-driven leader with strong business judgment and cross\-functional collaboration skills to own planning and automation initiatives for our electrification and infrastructure supply chain. Our Program Managers are high\-energy self\-starters who thrive on building scalable, tech\-enabled mechanisms that connect engineering, sourcing, logistics, and construction to deliver critical EVSE to Amazon’s fleet\-charging sites worldwide.  
As a member of the Electrification \&amp; Infrastructure Supply Chain team, you will own material readiness and end\-to\-end automation strategy across the Americas to support Amazon’s rapidly expanding fleet\-electrification network. This role’s primary focus is to design and operationalize next\-generation forecasting, AI\-supported demand\-planning models, and automated data pipelines for key electrical systems—including switchgear, transformers, rectifiers, and chargers. You will work closely with design engineering, deployment, and supplier partners to build an integrated, data\-driven planning tool that aligns global supply with real\-time demand signals.  
You will also be responsible for tracking and auditing material status from purchase order through site delivery, ensuring supply continuity, reducing latency in data handoffs, and implementing proactive, tech\-driven strategies to mitigate risk and accelerate deployment. Additionally, you will architect and implement automation workflows (including ETL pipelines, dashboarding, and exception\-handling mechanisms) to eliminate manual work, improve data quality, and increase operating efficiency across the supply chain.  
Key job responsibilities  
Lead end\-to\-end materials management for power distribution products and chargers across global projects.  
Develop and execute demand\- and supply\-planning processes ensuring on\-time equipment availability aligned with deployment schedules.  
Partner with Engineering, Sourcing, and Construction to translate design changes and forecasts into executable procurement plans.  
Manage Sales \&amp; Operations Planning (S\&amp;OP) cadence for electrification hardware, integrating supplier lead\-times and manufacturing constraints.  
Build and automate forecasting models using internal data pipelines and supplier inputs to improve accuracy and reduce inventory exposure.  
Drive supplier continuous improvement initiatives.  
Track global inventory, shipments, and at\-risk materials; mitigate disruptions through proactive allocation and supplier collaboration.  
Support business reviews and executive updates on supply continuity, delivery metrics, and cost performance.  
About the team  
We are building the largest commercial EV fleet in the world, join us for exciting and challenging infrastructure challenges at an unprecedented scale!
**BASIC QUALIFICATIONS**
------------------------
* Bachelor's degree in engineering, mechanical, operations, supply chain, business administration, or equivalent STEM field
* Experience in a highly analytical, results\-oriented environment with cross functional interactions
* Experience communicating technical details verbally and in writing
* Can work proactively and independently, meet deadlines, and deliver on projects and tasks
* 6\+ years of experience in supply chain management, material planning and/or supply planning role
* Strong Working knowledge of S\&amp;OE and S\&amp;OP with implementation experience
**PREFERRED QUALIFICATIONS**
----------------------------
* Knowledge of Microsoft Office products and applications at an advanced level
* 10\+ years of experience in Supply Chain (Forecasting, Demand Planning, Supply Planning, Inventory Planning, Materials Management, Master Planning, Scheduling, Lifecycle management)
* Tools and Advanced Planning Systems Software
* APICS and/or IBF certification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$103,900/year in our lowest geographic market up to $181,400/year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in-6147421d6c734654</t>
        </is>
      </c>
      <c r="B104" t="inlineStr">
        <is>
          <t>Workforce Development Program Manager III, Reliability &amp; Engineering Maintenance Strategic Workforce Development (SWD) Team</t>
        </is>
      </c>
      <c r="C104" t="inlineStr">
        <is>
          <t>Amazon.com</t>
        </is>
      </c>
      <c r="D104" t="inlineStr">
        <is>
          <t>indeed</t>
        </is>
      </c>
      <c r="E104">
        <f>HYPERLINK("https://www.indeed.com/viewjob?jk=6147421d6c734654", "https://www.indeed.com/viewjob?jk=6147421d6c734654")</f>
        <v/>
      </c>
      <c r="F104">
        <f>HYPERLINK("https://www.amazon.jobs/jobs/3124057/workforce-development-program-manager-iii-reliability--engineering-maintenance--strategic-workforce-development-swd-team?cmpid=DA_INAD200785B", "https://www.amazon.jobs/jobs/3124057/workforce-development-program-manager-iii-reliability--engineering-maintenance--strategic-workforce-development-swd-team?cmpid=DA_INAD200785B")</f>
        <v/>
      </c>
      <c r="G104" t="inlineStr">
        <is>
          <t>Denver, CO, US</t>
        </is>
      </c>
      <c r="H104" s="3" t="n">
        <v>45946</v>
      </c>
      <c r="I104" t="inlineStr">
        <is>
          <t>**DESCRIPTION**
---------------
Application deadline: Jan 27, 2026  
Are you passionate about creating, implementing, and driving the strategy to develop the workforce of the future? Do you want manage programs focused on improving the internal and external talent slate for an essential Amazon support team? The Reliability Maintenance Engineering (RME) Strategic Workforce Development Team uses data, research and internal and external partnerships to craft workforce development solutions focused on building robust talent pipelines to meet RME’s current, emerging, and future needs.
As a Strategic Workforce Development (SWD) Program Manager you will proactively identify mechanisms, process improvements, programs and partnerships which will improve Amazon RME operations and the employment outcomes for current and future Amazonians.
The SWD Program Manager will lead programs supporting Amazonians globally. This includes identifying key initiatives, developing project roadmaps, engaging vendors, internal and external partners, developing proposals, identifying and scoping data and metric requirements, and managing key stakeholder communications. This role will work directly with multiple internal businesses, technology, finance, operations, vendors, and partner teams.  
Key job responsibilities  
Identifying, developing, executing, and managing project plans  
Influencing key stakeholders throughout the evolution of a project or program
Stakeholder management and communication  
Documenting and communicating results to senior leaders  
Interpreting data for a non\-technical audience  
Develop strong relationships and have the ability to influence key internal and external stakeholders/partners across diverse roles and levels.  
Partner with multiple stakeholders to translate ambiguous requirements for execution  
A day in the life  
A Day in the Life of a SWD Program Manager  
While you will always strive towards one goal \- delighting customers \- no two days will be the same. Due to the scope and impact of this role, you will continuously find new problems to solve and be required to partner with teams across the globe to deliver innovative workforce development programs within the project timeline and budget.  
About the team  
The Reliability \&amp; Engineering Maintenance (RME) Strategic Workforce Development Team attracts, educates, and develops our workforce. We leverage science and technology as the cornerstone to support and maintain a global infrastructure. We champion organizational change when structural complexity inhibits efficient delivery of our strategic goals.
**BASIC QUALIFICATIONS**
------------------------
* 6\+ years of program or project management experience
* Experience using data and metrics to determine and drive improvements
* Experience owning program strategy, end to end delivery, and communicating results to senior leadership
**PREFERRED QUALIFICATIONS**
----------------------------
* 4\+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$115,600 \- $160,000 annually  
National $104,100 \- $185,000 annually</t>
        </is>
      </c>
    </row>
    <row r="105">
      <c r="A105" t="inlineStr">
        <is>
          <t>in-b2d75e99a7ccfb78</t>
        </is>
      </c>
      <c r="B105" t="inlineStr">
        <is>
          <t>Workforce Development Program Manager III, Reliability &amp; Engineering Maintenance Strategic Workforce Development (SWD) Team</t>
        </is>
      </c>
      <c r="C105" t="inlineStr">
        <is>
          <t>Amazon.com</t>
        </is>
      </c>
      <c r="D105" t="inlineStr">
        <is>
          <t>indeed</t>
        </is>
      </c>
      <c r="E105">
        <f>HYPERLINK("https://www.indeed.com/viewjob?jk=b2d75e99a7ccfb78", "https://www.indeed.com/viewjob?jk=b2d75e99a7ccfb78")</f>
        <v/>
      </c>
      <c r="F105">
        <f>HYPERLINK("https://www.amazon.jobs/jobs/3124057/workforce-development-program-manager-iii-reliability--engineering-maintenance--strategic-workforce-development-swd-team?cmpid=DA_INAD200785B", "https://www.amazon.jobs/jobs/3124057/workforce-development-program-manager-iii-reliability--engineering-maintenance--strategic-workforce-development-swd-team?cmpid=DA_INAD200785B")</f>
        <v/>
      </c>
      <c r="G105" t="inlineStr">
        <is>
          <t>Seattle, WA, US</t>
        </is>
      </c>
      <c r="H105" s="3" t="n">
        <v>45946</v>
      </c>
      <c r="I105" t="inlineStr">
        <is>
          <t>**DESCRIPTION**
---------------
Application deadline: Jan 27, 2026  
Are you passionate about creating, implementing, and driving the strategy to develop the workforce of the future? Do you want manage programs focused on improving the internal and external talent slate for an essential Amazon support team? The Reliability Maintenance Engineering (RME) Strategic Workforce Development Team uses data, research and internal and external partnerships to craft workforce development solutions focused on building robust talent pipelines to meet RME’s current, emerging, and future needs.
As a Strategic Workforce Development (SWD) Program Manager you will proactively identify mechanisms, process improvements, programs and partnerships which will improve Amazon RME operations and the employment outcomes for current and future Amazonians.
The SWD Program Manager will lead programs supporting Amazonians globally. This includes identifying key initiatives, developing project roadmaps, engaging vendors, internal and external partners, developing proposals, identifying and scoping data and metric requirements, and managing key stakeholder communications. This role will work directly with multiple internal businesses, technology, finance, operations, vendors, and partner teams.  
Key job responsibilities  
Identifying, developing, executing, and managing project plans  
Influencing key stakeholders throughout the evolution of a project or program
Stakeholder management and communication  
Documenting and communicating results to senior leaders  
Interpreting data for a non\-technical audience  
Develop strong relationships and have the ability to influence key internal and external stakeholders/partners across diverse roles and levels.  
Partner with multiple stakeholders to translate ambiguous requirements for execution  
A day in the life  
A Day in the Life of a SWD Program Manager  
While you will always strive towards one goal \- delighting customers \- no two days will be the same. Due to the scope and impact of this role, you will continuously find new problems to solve and be required to partner with teams across the globe to deliver innovative workforce development programs within the project timeline and budget.  
About the team  
The Reliability \&amp; Engineering Maintenance (RME) Strategic Workforce Development Team attracts, educates, and develops our workforce. We leverage science and technology as the cornerstone to support and maintain a global infrastructure. We champion organizational change when structural complexity inhibits efficient delivery of our strategic goals.
**BASIC QUALIFICATIONS**
------------------------
* 6\+ years of program or project management experience
* Experience using data and metrics to determine and drive improvements
* Experience owning program strategy, end to end delivery, and communicating results to senior leadership
**PREFERRED QUALIFICATIONS**
----------------------------
* 4\+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$115,600 \- $160,000 annually  
National $104,100 \- $185,000 annually</t>
        </is>
      </c>
    </row>
    <row r="106">
      <c r="A106" t="inlineStr">
        <is>
          <t>in-eda3d16f3aee7a38</t>
        </is>
      </c>
      <c r="B106" t="inlineStr">
        <is>
          <t>Workforce Development Program Manager III, Reliability &amp; Engineering Maintenance Strategic Workforce Development (SWD) Team</t>
        </is>
      </c>
      <c r="C106" t="inlineStr">
        <is>
          <t>Amazon.com</t>
        </is>
      </c>
      <c r="D106" t="inlineStr">
        <is>
          <t>indeed</t>
        </is>
      </c>
      <c r="E106">
        <f>HYPERLINK("https://www.indeed.com/viewjob?jk=eda3d16f3aee7a38", "https://www.indeed.com/viewjob?jk=eda3d16f3aee7a38")</f>
        <v/>
      </c>
      <c r="F106">
        <f>HYPERLINK("https://www.amazon.jobs/jobs/3124057/workforce-development-program-manager-iii-reliability--engineering-maintenance--strategic-workforce-development-swd-team?cmpid=DA_INAD200785B", "https://www.amazon.jobs/jobs/3124057/workforce-development-program-manager-iii-reliability--engineering-maintenance--strategic-workforce-development-swd-team?cmpid=DA_INAD200785B")</f>
        <v/>
      </c>
      <c r="G106" t="inlineStr">
        <is>
          <t>Dallas, TX, US</t>
        </is>
      </c>
      <c r="H106" s="3" t="n">
        <v>45946</v>
      </c>
      <c r="I106" t="inlineStr">
        <is>
          <t>**DESCRIPTION**
---------------
Application deadline: Jan 27, 2026  
Are you passionate about creating, implementing, and driving the strategy to develop the workforce of the future? Do you want manage programs focused on improving the internal and external talent slate for an essential Amazon support team? The Reliability Maintenance Engineering (RME) Strategic Workforce Development Team uses data, research and internal and external partnerships to craft workforce development solutions focused on building robust talent pipelines to meet RME’s current, emerging, and future needs.
As a Strategic Workforce Development (SWD) Program Manager you will proactively identify mechanisms, process improvements, programs and partnerships which will improve Amazon RME operations and the employment outcomes for current and future Amazonians.
The SWD Program Manager will lead programs supporting Amazonians globally. This includes identifying key initiatives, developing project roadmaps, engaging vendors, internal and external partners, developing proposals, identifying and scoping data and metric requirements, and managing key stakeholder communications. This role will work directly with multiple internal businesses, technology, finance, operations, vendors, and partner teams.  
Key job responsibilities  
Identifying, developing, executing, and managing project plans  
Influencing key stakeholders throughout the evolution of a project or program
Stakeholder management and communication  
Documenting and communicating results to senior leaders  
Interpreting data for a non\-technical audience  
Develop strong relationships and have the ability to influence key internal and external stakeholders/partners across diverse roles and levels.  
Partner with multiple stakeholders to translate ambiguous requirements for execution  
A day in the life  
A Day in the Life of a SWD Program Manager  
While you will always strive towards one goal \- delighting customers \- no two days will be the same. Due to the scope and impact of this role, you will continuously find new problems to solve and be required to partner with teams across the globe to deliver innovative workforce development programs within the project timeline and budget.  
About the team  
The Reliability \&amp; Engineering Maintenance (RME) Strategic Workforce Development Team attracts, educates, and develops our workforce. We leverage science and technology as the cornerstone to support and maintain a global infrastructure. We champion organizational change when structural complexity inhibits efficient delivery of our strategic goals.
**BASIC QUALIFICATIONS**
------------------------
* 6\+ years of program or project management experience
* Experience using data and metrics to determine and drive improvements
* Experience owning program strategy, end to end delivery, and communicating results to senior leadership
**PREFERRED QUALIFICATIONS**
----------------------------
* 4\+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$115,600 \- $160,000 annually  
National $104,100 \- $185,000 annually</t>
        </is>
      </c>
    </row>
    <row r="107">
      <c r="A107" t="inlineStr">
        <is>
          <t>in-7754dc3d1d1980dd</t>
        </is>
      </c>
      <c r="B107" t="inlineStr">
        <is>
          <t>Workforce Development Program Manager III, Reliability &amp; Engineering Maintenance Strategic Workforce Development (SWD) Team</t>
        </is>
      </c>
      <c r="C107" t="inlineStr">
        <is>
          <t>Amazon.com</t>
        </is>
      </c>
      <c r="D107" t="inlineStr">
        <is>
          <t>indeed</t>
        </is>
      </c>
      <c r="E107">
        <f>HYPERLINK("https://www.indeed.com/viewjob?jk=7754dc3d1d1980dd", "https://www.indeed.com/viewjob?jk=7754dc3d1d1980dd")</f>
        <v/>
      </c>
      <c r="F107">
        <f>HYPERLINK("https://www.amazon.jobs/jobs/3124057/workforce-development-program-manager-iii-reliability--engineering-maintenance--strategic-workforce-development-swd-team?cmpid=DA_INAD200785B", "https://www.amazon.jobs/jobs/3124057/workforce-development-program-manager-iii-reliability--engineering-maintenance--strategic-workforce-development-swd-team?cmpid=DA_INAD200785B")</f>
        <v/>
      </c>
      <c r="G107" t="inlineStr">
        <is>
          <t>Tampa, FL, US</t>
        </is>
      </c>
      <c r="H107" s="3" t="n">
        <v>45946</v>
      </c>
      <c r="I107" t="inlineStr">
        <is>
          <t>**DESCRIPTION**
---------------
Application deadline: Jan 27, 2026  
Are you passionate about creating, implementing, and driving the strategy to develop the workforce of the future? Do you want manage programs focused on improving the internal and external talent slate for an essential Amazon support team? The Reliability Maintenance Engineering (RME) Strategic Workforce Development Team uses data, research and internal and external partnerships to craft workforce development solutions focused on building robust talent pipelines to meet RME’s current, emerging, and future needs.
As a Strategic Workforce Development (SWD) Program Manager you will proactively identify mechanisms, process improvements, programs and partnerships which will improve Amazon RME operations and the employment outcomes for current and future Amazonians.
The SWD Program Manager will lead programs supporting Amazonians globally. This includes identifying key initiatives, developing project roadmaps, engaging vendors, internal and external partners, developing proposals, identifying and scoping data and metric requirements, and managing key stakeholder communications. This role will work directly with multiple internal businesses, technology, finance, operations, vendors, and partner teams.  
Key job responsibilities  
Identifying, developing, executing, and managing project plans  
Influencing key stakeholders throughout the evolution of a project or program
Stakeholder management and communication  
Documenting and communicating results to senior leaders  
Interpreting data for a non\-technical audience  
Develop strong relationships and have the ability to influence key internal and external stakeholders/partners across diverse roles and levels.  
Partner with multiple stakeholders to translate ambiguous requirements for execution  
A day in the life  
A Day in the Life of a SWD Program Manager  
While you will always strive towards one goal \- delighting customers \- no two days will be the same. Due to the scope and impact of this role, you will continuously find new problems to solve and be required to partner with teams across the globe to deliver innovative workforce development programs within the project timeline and budget.  
About the team  
The Reliability \&amp; Engineering Maintenance (RME) Strategic Workforce Development Team attracts, educates, and develops our workforce. We leverage science and technology as the cornerstone to support and maintain a global infrastructure. We champion organizational change when structural complexity inhibits efficient delivery of our strategic goals.
**BASIC QUALIFICATIONS**
------------------------
* 6\+ years of program or project management experience
* Experience using data and metrics to determine and drive improvements
* Experience owning program strategy, end to end delivery, and communicating results to senior leadership
**PREFERRED QUALIFICATIONS**
----------------------------
* 4\+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$115,600 \- $160,000 annually  
National $104,100 \- $185,000 annually</t>
        </is>
      </c>
    </row>
    <row r="108">
      <c r="A108" t="inlineStr">
        <is>
          <t>in-7dda18f9c55451ad</t>
        </is>
      </c>
      <c r="B108" t="inlineStr">
        <is>
          <t>Workforce Development Program Manager III, Reliability &amp; Engineering Maintenance Strategic Workforce Development (SWD) Team</t>
        </is>
      </c>
      <c r="C108" t="inlineStr">
        <is>
          <t>Amazon.com</t>
        </is>
      </c>
      <c r="D108" t="inlineStr">
        <is>
          <t>indeed</t>
        </is>
      </c>
      <c r="E108">
        <f>HYPERLINK("https://www.indeed.com/viewjob?jk=7dda18f9c55451ad", "https://www.indeed.com/viewjob?jk=7dda18f9c55451ad")</f>
        <v/>
      </c>
      <c r="F108">
        <f>HYPERLINK("https://www.amazon.jobs/jobs/3124057/workforce-development-program-manager-iii-reliability--engineering-maintenance--strategic-workforce-development-swd-team?cmpid=DA_INAD200785B", "https://www.amazon.jobs/jobs/3124057/workforce-development-program-manager-iii-reliability--engineering-maintenance--strategic-workforce-development-swd-team?cmpid=DA_INAD200785B")</f>
        <v/>
      </c>
      <c r="G108" t="inlineStr">
        <is>
          <t>Indianapolis, IN, US</t>
        </is>
      </c>
      <c r="H108" s="3" t="n">
        <v>45946</v>
      </c>
      <c r="I108" t="inlineStr">
        <is>
          <t>**DESCRIPTION**
---------------
Application deadline: Jan 27, 2026  
Are you passionate about creating, implementing, and driving the strategy to develop the workforce of the future? Do you want manage programs focused on improving the internal and external talent slate for an essential Amazon support team? The Reliability Maintenance Engineering (RME) Strategic Workforce Development Team uses data, research and internal and external partnerships to craft workforce development solutions focused on building robust talent pipelines to meet RME’s current, emerging, and future needs.
As a Strategic Workforce Development (SWD) Program Manager you will proactively identify mechanisms, process improvements, programs and partnerships which will improve Amazon RME operations and the employment outcomes for current and future Amazonians.
The SWD Program Manager will lead programs supporting Amazonians globally. This includes identifying key initiatives, developing project roadmaps, engaging vendors, internal and external partners, developing proposals, identifying and scoping data and metric requirements, and managing key stakeholder communications. This role will work directly with multiple internal businesses, technology, finance, operations, vendors, and partner teams.  
Key job responsibilities  
Identifying, developing, executing, and managing project plans  
Influencing key stakeholders throughout the evolution of a project or program
Stakeholder management and communication  
Documenting and communicating results to senior leaders  
Interpreting data for a non\-technical audience  
Develop strong relationships and have the ability to influence key internal and external stakeholders/partners across diverse roles and levels.  
Partner with multiple stakeholders to translate ambiguous requirements for execution  
A day in the life  
A Day in the Life of a SWD Program Manager  
While you will always strive towards one goal \- delighting customers \- no two days will be the same. Due to the scope and impact of this role, you will continuously find new problems to solve and be required to partner with teams across the globe to deliver innovative workforce development programs within the project timeline and budget.  
About the team  
The Reliability \&amp; Engineering Maintenance (RME) Strategic Workforce Development Team attracts, educates, and develops our workforce. We leverage science and technology as the cornerstone to support and maintain a global infrastructure. We champion organizational change when structural complexity inhibits efficient delivery of our strategic goals.
**BASIC QUALIFICATIONS**
------------------------
* 6\+ years of program or project management experience
* Experience using data and metrics to determine and drive improvements
* Experience owning program strategy, end to end delivery, and communicating results to senior leadership
**PREFERRED QUALIFICATIONS**
----------------------------
* 4\+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$115,600 \- $160,000 annually  
National $104,100 \- $185,000 annually</t>
        </is>
      </c>
    </row>
    <row r="109">
      <c r="A109" t="inlineStr">
        <is>
          <t>in-0ef77795f3fdf9b9</t>
        </is>
      </c>
      <c r="B109" t="inlineStr">
        <is>
          <t>Workforce Development Program Manager III, Reliability &amp; Engineering Maintenance Strategic Workforce Development (SWD) Team</t>
        </is>
      </c>
      <c r="C109" t="inlineStr">
        <is>
          <t>Amazon.com</t>
        </is>
      </c>
      <c r="D109" t="inlineStr">
        <is>
          <t>indeed</t>
        </is>
      </c>
      <c r="E109">
        <f>HYPERLINK("https://www.indeed.com/viewjob?jk=0ef77795f3fdf9b9", "https://www.indeed.com/viewjob?jk=0ef77795f3fdf9b9")</f>
        <v/>
      </c>
      <c r="F109">
        <f>HYPERLINK("https://www.amazon.jobs/jobs/3124057/workforce-development-program-manager-iii-reliability--engineering-maintenance--strategic-workforce-development-swd-team?cmpid=DA_INAD200785B", "https://www.amazon.jobs/jobs/3124057/workforce-development-program-manager-iii-reliability--engineering-maintenance--strategic-workforce-development-swd-team?cmpid=DA_INAD200785B")</f>
        <v/>
      </c>
      <c r="G109" t="inlineStr">
        <is>
          <t>Erlanger, KY, US</t>
        </is>
      </c>
      <c r="H109" s="3" t="n">
        <v>45946</v>
      </c>
      <c r="I109" t="inlineStr">
        <is>
          <t>**DESCRIPTION**
---------------
Application deadline: Jan 27, 2026  
Are you passionate about creating, implementing, and driving the strategy to develop the workforce of the future? Do you want manage programs focused on improving the internal and external talent slate for an essential Amazon support team? The Reliability Maintenance Engineering (RME) Strategic Workforce Development Team uses data, research and internal and external partnerships to craft workforce development solutions focused on building robust talent pipelines to meet RME’s current, emerging, and future needs.
As a Strategic Workforce Development (SWD) Program Manager you will proactively identify mechanisms, process improvements, programs and partnerships which will improve Amazon RME operations and the employment outcomes for current and future Amazonians.
The SWD Program Manager will lead programs supporting Amazonians globally. This includes identifying key initiatives, developing project roadmaps, engaging vendors, internal and external partners, developing proposals, identifying and scoping data and metric requirements, and managing key stakeholder communications. This role will work directly with multiple internal businesses, technology, finance, operations, vendors, and partner teams.  
Key job responsibilities  
Identifying, developing, executing, and managing project plans  
Influencing key stakeholders throughout the evolution of a project or program
Stakeholder management and communication  
Documenting and communicating results to senior leaders  
Interpreting data for a non\-technical audience  
Develop strong relationships and have the ability to influence key internal and external stakeholders/partners across diverse roles and levels.  
Partner with multiple stakeholders to translate ambiguous requirements for execution  
A day in the life  
A Day in the Life of a SWD Program Manager  
While you will always strive towards one goal \- delighting customers \- no two days will be the same. Due to the scope and impact of this role, you will continuously find new problems to solve and be required to partner with teams across the globe to deliver innovative workforce development programs within the project timeline and budget.  
About the team  
The Reliability \&amp; Engineering Maintenance (RME) Strategic Workforce Development Team attracts, educates, and develops our workforce. We leverage science and technology as the cornerstone to support and maintain a global infrastructure. We champion organizational change when structural complexity inhibits efficient delivery of our strategic goals.
**BASIC QUALIFICATIONS**
------------------------
* 6\+ years of program or project management experience
* Experience using data and metrics to determine and drive improvements
* Experience owning program strategy, end to end delivery, and communicating results to senior leadership
**PREFERRED QUALIFICATIONS**
----------------------------
* 4\+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$115,600 \- $160,000 annually  
National $104,100 \- $185,000 annually</t>
        </is>
      </c>
    </row>
    <row r="110">
      <c r="A110" t="inlineStr">
        <is>
          <t>in-1e396b533e8f0d88</t>
        </is>
      </c>
      <c r="B110" t="inlineStr">
        <is>
          <t>Workforce Development Program Manager III, Reliability &amp; Engineering Maintenance Strategic Workforce Development (SWD) Team</t>
        </is>
      </c>
      <c r="C110" t="inlineStr">
        <is>
          <t>Amazon.com</t>
        </is>
      </c>
      <c r="D110" t="inlineStr">
        <is>
          <t>indeed</t>
        </is>
      </c>
      <c r="E110">
        <f>HYPERLINK("https://www.indeed.com/viewjob?jk=1e396b533e8f0d88", "https://www.indeed.com/viewjob?jk=1e396b533e8f0d88")</f>
        <v/>
      </c>
      <c r="F110">
        <f>HYPERLINK("https://www.amazon.jobs/jobs/3124057/workforce-development-program-manager-iii-reliability--engineering-maintenance--strategic-workforce-development-swd-team?cmpid=DA_INAD200785B", "https://www.amazon.jobs/jobs/3124057/workforce-development-program-manager-iii-reliability--engineering-maintenance--strategic-workforce-development-swd-team?cmpid=DA_INAD200785B")</f>
        <v/>
      </c>
      <c r="G110" t="inlineStr">
        <is>
          <t>Nashville, TN, US</t>
        </is>
      </c>
      <c r="H110" s="3" t="n">
        <v>45946</v>
      </c>
      <c r="I110" t="inlineStr">
        <is>
          <t>**DESCRIPTION**
---------------
Application deadline: Jan 27, 2026  
Are you passionate about creating, implementing, and driving the strategy to develop the workforce of the future? Do you want manage programs focused on improving the internal and external talent slate for an essential Amazon support team? The Reliability Maintenance Engineering (RME) Strategic Workforce Development Team uses data, research and internal and external partnerships to craft workforce development solutions focused on building robust talent pipelines to meet RME’s current, emerging, and future needs.
As a Strategic Workforce Development (SWD) Program Manager you will proactively identify mechanisms, process improvements, programs and partnerships which will improve Amazon RME operations and the employment outcomes for current and future Amazonians.
The SWD Program Manager will lead programs supporting Amazonians globally. This includes identifying key initiatives, developing project roadmaps, engaging vendors, internal and external partners, developing proposals, identifying and scoping data and metric requirements, and managing key stakeholder communications. This role will work directly with multiple internal businesses, technology, finance, operations, vendors, and partner teams.  
Key job responsibilities  
Identifying, developing, executing, and managing project plans  
Influencing key stakeholders throughout the evolution of a project or program
Stakeholder management and communication  
Documenting and communicating results to senior leaders  
Interpreting data for a non\-technical audience  
Develop strong relationships and have the ability to influence key internal and external stakeholders/partners across diverse roles and levels.  
Partner with multiple stakeholders to translate ambiguous requirements for execution  
A day in the life  
A Day in the Life of a SWD Program Manager  
While you will always strive towards one goal \- delighting customers \- no two days will be the same. Due to the scope and impact of this role, you will continuously find new problems to solve and be required to partner with teams across the globe to deliver innovative workforce development programs within the project timeline and budget.  
About the team  
The Reliability \&amp; Engineering Maintenance (RME) Strategic Workforce Development Team attracts, educates, and develops our workforce. We leverage science and technology as the cornerstone to support and maintain a global infrastructure. We champion organizational change when structural complexity inhibits efficient delivery of our strategic goals.
**BASIC QUALIFICATIONS**
------------------------
* 6\+ years of program or project management experience
* Experience using data and metrics to determine and drive improvements
* Experience owning program strategy, end to end delivery, and communicating results to senior leadership
**PREFERRED QUALIFICATIONS**
----------------------------
* 4\+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$115,600 \- $160,000 annually  
National $104,100 \- $185,000 annually</t>
        </is>
      </c>
    </row>
    <row r="111">
      <c r="A111" t="inlineStr">
        <is>
          <t>in-e3ff8e9b82084f8d</t>
        </is>
      </c>
      <c r="B111" t="inlineStr">
        <is>
          <t>Senior Program Manager III, Planning, Amazon Leo, Global Service Compliance</t>
        </is>
      </c>
      <c r="C111" t="inlineStr">
        <is>
          <t>Amazon.com</t>
        </is>
      </c>
      <c r="D111" t="inlineStr">
        <is>
          <t>indeed</t>
        </is>
      </c>
      <c r="E111">
        <f>HYPERLINK("https://www.indeed.com/viewjob?jk=e3ff8e9b82084f8d", "https://www.indeed.com/viewjob?jk=e3ff8e9b82084f8d")</f>
        <v/>
      </c>
      <c r="F111">
        <f>HYPERLINK("https://www.amazon.jobs/jobs/3106118/senior-program-manager-iii-planning-amazon-leo-global-service-compliance?cmpid=DA_INAD200785B", "https://www.amazon.jobs/jobs/3106118/senior-program-manager-iii-planning-amazon-leo-global-service-compliance?cmpid=DA_INAD200785B")</f>
        <v/>
      </c>
      <c r="G111" t="inlineStr">
        <is>
          <t>Arlington, VA, US</t>
        </is>
      </c>
      <c r="H111" s="3" t="n">
        <v>45939</v>
      </c>
      <c r="I111" t="inlineStr">
        <is>
          <t>**DESCRIPTION**
---------------
We are seeking a stellar Senior Program Manager with operational experience in internet service provider/telecom obligations to join the Global Service Compliance team supporting Amazon Leo.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Our Global Service Compliance (GSC) is seeking a dynamic, organized, and experienced Program Manager to guide and inform specific communications service compliance obligation workstreams. You are responsible for managing complex compliance programs, from planning through to execution, continuously surveilling the Amazon Leo business strategy and regulatory environment to plan and respond to change across one or more domains. Your role is focused primarily on revenue reporting and financial impacts.
You collaborate with business and technical teams to deliver world\-class compliance solutions that are highly scalable, secure, and flexible while maintaining a strong organizational focus. You work with stakeholders and multiple business teams to identify, define, and iterate solutions for 1 or more compliance domains. You are a deep subject matter in your assigned compliance workstreams and will be the face of the workstream to external stakeholders. You create dynamic plans and monitor performance and evolution of the workstream as the Amazon Leo business expands and changes, reporting successes, risks, and program status internally (within GSC) and externally (across Amazon Leo) as appropriate. You tailor your communications to specific audiences, communicating clearly and concisely to business, technical, business partner, and leadership audiences.  
As a GSC PM, you oversee the compliance program approach, implementation, and optimization for 1or more workstreams, while championing program management best practices across the GSC organization.
Export Control Requirement: Due to applicable export control laws and regulations, candidates must be a U.S. citizen or national, U.S. permanent resident (i.e., current Green Card holder), or lawfully admitted into the U.S. as a refugee or granted asylum.  
This position may be based in Bellevue, WA, or Arlington, VA, Earth. Some travel, domestic and international, may be required. No intergalactic travel is yet required.  
Key job responsibilities  
* Develop and implement comprehensive compliance workstream strategies aligned with Amazon Leo's global service expansion goals and objectives. This involves defining workstream scope, establishing measurable KPIs, and creating mechanisms to monitor compliance performance and efficiency.
* Own ongoing prioritization, resourcing and development of GSC's strategy and plan for assigned compliance workstreams as assigned. Monitor and plan for change against the Amazon Leo Business strategy and the regulatory landscape to scope and implement change. Anticipate and react to feedback/engagement in collaboration with GSC's execution teams to drive operational improvements.
* Plan GSC's roadmap and mechanism structure to ensure growth scales globally by leveraging foundational frameworks and automation.
* Be a subject matter expert and central point of contact for internal and cross\-functional stakeholders to accelerate deliverables. This includes providing guidance and expertise to support GSC teams and stakeholders to unblock paths forward in their deliverables across assigned compliance workstreams.
* Own administrative functions for internal coordination, including function\-based calendar management, workspace accesses, creation and maintenance of knowledge artifacts and support onboarding and training of personnel.
A day in the life  
* You handle complex initiatives, delivering critical solutions, significant improvements, new mechanisms, or deprecating processes that are no longer needed.
* You manage the plan and strategy of assigned compliance workstreams with deep subject matter expertise, requiring interfacing with external stakeholders.
* You communicate effectively with Directors and VPs, encouraging constructive dialogue and harmonize discordant views. You coordinate the resolution of contentious issues (build consensus). You partner effectively with customers, stakeholders, and engineering teams.
* Your program management practices set standards for others, defining clear goals and identifying risks before they become roadblocks.
* You are a simplifier, improving organizational efficiency by standardizing processes, eliminating unnecessary processes, and delivering automation.
* You actively participate in organizational development and mentor others.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2">
      <c r="A112" t="inlineStr">
        <is>
          <t>in-ea1f0cf00dac21e9</t>
        </is>
      </c>
      <c r="B112" t="inlineStr">
        <is>
          <t>Senior Program Manager III, Planning, Amazon Leo, Global Service Compliance</t>
        </is>
      </c>
      <c r="C112" t="inlineStr">
        <is>
          <t>Amazon.com</t>
        </is>
      </c>
      <c r="D112" t="inlineStr">
        <is>
          <t>indeed</t>
        </is>
      </c>
      <c r="E112">
        <f>HYPERLINK("https://www.indeed.com/viewjob?jk=ea1f0cf00dac21e9", "https://www.indeed.com/viewjob?jk=ea1f0cf00dac21e9")</f>
        <v/>
      </c>
      <c r="F112">
        <f>HYPERLINK("https://www.amazon.jobs/jobs/3106118/senior-program-manager-iii-planning-amazon-leo-global-service-compliance?cmpid=DA_INAD200785B", "https://www.amazon.jobs/jobs/3106118/senior-program-manager-iii-planning-amazon-leo-global-service-compliance?cmpid=DA_INAD200785B")</f>
        <v/>
      </c>
      <c r="G112" t="inlineStr">
        <is>
          <t>Bellevue, WA, US</t>
        </is>
      </c>
      <c r="H112" s="3" t="n">
        <v>45939</v>
      </c>
      <c r="I112" t="inlineStr">
        <is>
          <t>**DESCRIPTION**
---------------
We are seeking a stellar Senior Program Manager with operational experience in internet service provider/telecom obligations to join the Global Service Compliance team supporting Amazon Leo.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Our Global Service Compliance (GSC) is seeking a dynamic, organized, and experienced Program Manager to guide and inform specific communications service compliance obligation workstreams. You are responsible for managing complex compliance programs, from planning through to execution, continuously surveilling the Amazon Leo business strategy and regulatory environment to plan and respond to change across one or more domains. Your role is focused primarily on revenue reporting and financial impacts.
You collaborate with business and technical teams to deliver world\-class compliance solutions that are highly scalable, secure, and flexible while maintaining a strong organizational focus. You work with stakeholders and multiple business teams to identify, define, and iterate solutions for 1 or more compliance domains. You are a deep subject matter in your assigned compliance workstreams and will be the face of the workstream to external stakeholders. You create dynamic plans and monitor performance and evolution of the workstream as the Amazon Leo business expands and changes, reporting successes, risks, and program status internally (within GSC) and externally (across Amazon Leo) as appropriate. You tailor your communications to specific audiences, communicating clearly and concisely to business, technical, business partner, and leadership audiences.  
As a GSC PM, you oversee the compliance program approach, implementation, and optimization for 1or more workstreams, while championing program management best practices across the GSC organization.
Export Control Requirement: Due to applicable export control laws and regulations, candidates must be a U.S. citizen or national, U.S. permanent resident (i.e., current Green Card holder), or lawfully admitted into the U.S. as a refugee or granted asylum.  
This position may be based in Bellevue, WA, or Arlington, VA, Earth. Some travel, domestic and international, may be required. No intergalactic travel is yet required.  
Key job responsibilities  
* Develop and implement comprehensive compliance workstream strategies aligned with Amazon Leo's global service expansion goals and objectives. This involves defining workstream scope, establishing measurable KPIs, and creating mechanisms to monitor compliance performance and efficiency.
* Own ongoing prioritization, resourcing and development of GSC's strategy and plan for assigned compliance workstreams as assigned. Monitor and plan for change against the Amazon Leo Business strategy and the regulatory landscape to scope and implement change. Anticipate and react to feedback/engagement in collaboration with GSC's execution teams to drive operational improvements.
* Plan GSC's roadmap and mechanism structure to ensure growth scales globally by leveraging foundational frameworks and automation.
* Be a subject matter expert and central point of contact for internal and cross\-functional stakeholders to accelerate deliverables. This includes providing guidance and expertise to support GSC teams and stakeholders to unblock paths forward in their deliverables across assigned compliance workstreams.
* Own administrative functions for internal coordination, including function\-based calendar management, workspace accesses, creation and maintenance of knowledge artifacts and support onboarding and training of personnel.
A day in the life  
* You handle complex initiatives, delivering critical solutions, significant improvements, new mechanisms, or deprecating processes that are no longer needed.
* You manage the plan and strategy of assigned compliance workstreams with deep subject matter expertise, requiring interfacing with external stakeholders.
* You communicate effectively with Directors and VPs, encouraging constructive dialogue and harmonize discordant views. You coordinate the resolution of contentious issues (build consensus). You partner effectively with customers, stakeholders, and engineering teams.
* Your program management practices set standards for others, defining clear goals and identifying risks before they become roadblocks.
* You are a simplifier, improving organizational efficiency by standardizing processes, eliminating unnecessary processes, and delivering automation.
* You actively participate in organizational development and mentor others.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3">
      <c r="A113" t="inlineStr">
        <is>
          <t>in-6ee68ec594ceb88c</t>
        </is>
      </c>
      <c r="B113" t="inlineStr">
        <is>
          <t>Principal Product Manager, Ship with Amazon</t>
        </is>
      </c>
      <c r="C113" t="inlineStr">
        <is>
          <t>Amazon.com</t>
        </is>
      </c>
      <c r="D113" t="inlineStr">
        <is>
          <t>indeed</t>
        </is>
      </c>
      <c r="E113">
        <f>HYPERLINK("https://www.indeed.com/viewjob?jk=6ee68ec594ceb88c", "https://www.indeed.com/viewjob?jk=6ee68ec594ceb88c")</f>
        <v/>
      </c>
      <c r="F113">
        <f>HYPERLINK("https://www.amazon.jobs/jobs/3107449/principal-product-manager-ship-with-amazon?cmpid=DA_INAD200785B", "https://www.amazon.jobs/jobs/3107449/principal-product-manager-ship-with-amazon?cmpid=DA_INAD200785B")</f>
        <v/>
      </c>
      <c r="G113" t="inlineStr">
        <is>
          <t>Arlington, VA, US</t>
        </is>
      </c>
      <c r="H113" s="3" t="n">
        <v>45938</v>
      </c>
      <c r="I113" t="inlineStr">
        <is>
          <t>**DESCRIPTION**
---------------
Join Amazon Shipping (SWA) to build the next $100B initiative. Shape the future of shipping as a part of a new, emerging business and solve the biggest customer pain points in the small parcel logistics industry globally.  
It’s no secret that Amazon relies on its technology to deliver millions of packages every day to its customers – on time, with low cost. We, the Product and Technology organization, simplify complex software solutions that work across our shippers, vendors, and warehouses to optimize both time \&amp; cost of getting the packages delivered. Our services already handle thousands of requests per second, make business decisions impacting billions of dollars a year, integrate with a network of small and large shippers, operators and drivers worldwide, manage business rules for millions of unique products, and improve the ordering and delivery experience for millions of online shoppers. That said, this remains a fast\-growing business and our technical journey has only started. Our mission is to build the most efficient and optimal shipping solution on the planet, using our technology and engineering muscle as our biggest advantage. We aim to leverage top technologies in big data and optimization techniques to operate high volume, low latency, and high availability services.  
What will you do?  
As a Principal PM, you will be responsible for defining and owning the strategic vision and roadmap for Sales tooling products in the Amazon Shipping organization. This leader will work closely with stakeholders from Sales, Sales Ops and Marketing Ops to recommend and implement products to support the organization's strategic objectives around improving sales productivity and efficiency, customer experience, and cost optimization.  
The ideal candidate has a strong background in Sales tooling products (Salesforce, Highspot, ZoomInfo, Marketo) combined with a solid understanding of current technologies (e.g. APIs, mobile, GenAI). S/he can develop and drive high\-level strategic initiatives but also roll up their sleeves, dig in and get the job done. Maturity, strong business judgment, ability to influence cross\-functional and remote teams, a customer\-centric and creative mindset and strong analytical skills are essential. This opportunity requires excellent product management, prioritization, and communication skills, as well as the ability to navigate ambiguity.  
Key job responsibilities  
* Define the strategic vision and own the long\-term roadmap for Sales tooling products across the Shipping organization
* Partner with Sales, Sales Ops and Marketing Ops to identify and influence development of new products and services that drive productivity and efficiency
* Work directly with engineering to build exceptional products by integrating 3P products into the broader ecosystem
* Define user stories and product requirements while contributing to the technical design of new product implementation and features
* Engage with stakeholders to prioritize features and drive go\-to\-market strategies while making appropriate trade\-offs to optimize time\-to\-market, and technical and business outcomes
* Influence executive leadership and drive alignment across multiple teams on long\-term priorities
* Display self\-starter mentality and the ability to dive below the surface to uncover the "so what" rather than just the symptoms
* Up to 10% travel
**BASIC QUALIFICATIONS**
------------------------
* Bachelor's degree in Computer Science, Engineering, or a related field
* 7\+ years of end to end product delivery experience
* Experience defining roadmap strategy and prioritizing deliverables for your team products
* Experience managing competing priorities and using metrics to drive business decisions
* Experience influencing multiple stakeholders and leading cross functional teams across geographies and business units
* 10\+ years of Salesforce ecosystem experience
**PREFERRED QUALIFICATIONS**
----------------------------
* Master's degree, or MBA in management, business administration, economics, engineering, marketing
* Experience with AI/ML technologies
* One or more Salesforce certifications
* Experience in logistics, shipping, or supply chain technology industries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$145,700/year in our lowest geographic market up to $240,900/year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4">
      <c r="A114" t="inlineStr">
        <is>
          <t>in-2be5975b52afb2c1</t>
        </is>
      </c>
      <c r="B114" t="inlineStr">
        <is>
          <t>Principal Product Manager, Ship with Amazon</t>
        </is>
      </c>
      <c r="C114" t="inlineStr">
        <is>
          <t>Amazon.com</t>
        </is>
      </c>
      <c r="D114" t="inlineStr">
        <is>
          <t>indeed</t>
        </is>
      </c>
      <c r="E114">
        <f>HYPERLINK("https://www.indeed.com/viewjob?jk=2be5975b52afb2c1", "https://www.indeed.com/viewjob?jk=2be5975b52afb2c1")</f>
        <v/>
      </c>
      <c r="F114">
        <f>HYPERLINK("https://www.amazon.jobs/jobs/3107449/principal-product-manager-ship-with-amazon?cmpid=DA_INAD200785B", "https://www.amazon.jobs/jobs/3107449/principal-product-manager-ship-with-amazon?cmpid=DA_INAD200785B")</f>
        <v/>
      </c>
      <c r="G114" t="inlineStr">
        <is>
          <t>Bellevue, WA, US</t>
        </is>
      </c>
      <c r="H114" s="3" t="n">
        <v>45938</v>
      </c>
      <c r="I114" t="inlineStr">
        <is>
          <t>**DESCRIPTION**
---------------
Join Amazon Shipping (SWA) to build the next $100B initiative. Shape the future of shipping as a part of a new, emerging business and solve the biggest customer pain points in the small parcel logistics industry globally.  
It’s no secret that Amazon relies on its technology to deliver millions of packages every day to its customers – on time, with low cost. We, the Product and Technology organization, simplify complex software solutions that work across our shippers, vendors, and warehouses to optimize both time \&amp; cost of getting the packages delivered. Our services already handle thousands of requests per second, make business decisions impacting billions of dollars a year, integrate with a network of small and large shippers, operators and drivers worldwide, manage business rules for millions of unique products, and improve the ordering and delivery experience for millions of online shoppers. That said, this remains a fast\-growing business and our technical journey has only started. Our mission is to build the most efficient and optimal shipping solution on the planet, using our technology and engineering muscle as our biggest advantage. We aim to leverage top technologies in big data and optimization techniques to operate high volume, low latency, and high availability services.  
What will you do?  
As a Principal PM, you will be responsible for defining and owning the strategic vision and roadmap for Sales tooling products in the Amazon Shipping organization. This leader will work closely with stakeholders from Sales, Sales Ops and Marketing Ops to recommend and implement products to support the organization's strategic objectives around improving sales productivity and efficiency, customer experience, and cost optimization.  
The ideal candidate has a strong background in Sales tooling products (Salesforce, Highspot, ZoomInfo, Marketo) combined with a solid understanding of current technologies (e.g. APIs, mobile, GenAI). S/he can develop and drive high\-level strategic initiatives but also roll up their sleeves, dig in and get the job done. Maturity, strong business judgment, ability to influence cross\-functional and remote teams, a customer\-centric and creative mindset and strong analytical skills are essential. This opportunity requires excellent product management, prioritization, and communication skills, as well as the ability to navigate ambiguity.  
Key job responsibilities  
* Define the strategic vision and own the long\-term roadmap for Sales tooling products across the Shipping organization
* Partner with Sales, Sales Ops and Marketing Ops to identify and influence development of new products and services that drive productivity and efficiency
* Work directly with engineering to build exceptional products by integrating 3P products into the broader ecosystem
* Define user stories and product requirements while contributing to the technical design of new product implementation and features
* Engage with stakeholders to prioritize features and drive go\-to\-market strategies while making appropriate trade\-offs to optimize time\-to\-market, and technical and business outcomes
* Influence executive leadership and drive alignment across multiple teams on long\-term priorities
* Display self\-starter mentality and the ability to dive below the surface to uncover the "so what" rather than just the symptoms
* Up to 10% travel
**BASIC QUALIFICATIONS**
------------------------
* Bachelor's degree in Computer Science, Engineering, or a related field
* 7\+ years of end to end product delivery experience
* Experience defining roadmap strategy and prioritizing deliverables for your team products
* Experience managing competing priorities and using metrics to drive business decisions
* Experience influencing multiple stakeholders and leading cross functional teams across geographies and business units
* 10\+ years of Salesforce ecosystem experience
**PREFERRED QUALIFICATIONS**
----------------------------
* Master's degree, or MBA in management, business administration, economics, engineering, marketing
* Experience with AI/ML technologies
* One or more Salesforce certifications
* Experience in logistics, shipping, or supply chain technology industries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$145,700/year in our lowest geographic market up to $240,900/year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5">
      <c r="A115" t="inlineStr">
        <is>
          <t>in-420b12f70c0daa89</t>
        </is>
      </c>
      <c r="B115" t="inlineStr">
        <is>
          <t>Principal Product Manager, Ship with Amazon</t>
        </is>
      </c>
      <c r="C115" t="inlineStr">
        <is>
          <t>Amazon.com</t>
        </is>
      </c>
      <c r="D115" t="inlineStr">
        <is>
          <t>indeed</t>
        </is>
      </c>
      <c r="E115">
        <f>HYPERLINK("https://www.indeed.com/viewjob?jk=420b12f70c0daa89", "https://www.indeed.com/viewjob?jk=420b12f70c0daa89")</f>
        <v/>
      </c>
      <c r="F115">
        <f>HYPERLINK("https://www.amazon.jobs/jobs/3107447/principal-product-manager-ship-with-amazon?cmpid=DA_INAD200785B", "https://www.amazon.jobs/jobs/3107447/principal-product-manager-ship-with-amazon?cmpid=DA_INAD200785B")</f>
        <v/>
      </c>
      <c r="G115" t="inlineStr">
        <is>
          <t>Arlington, VA, US</t>
        </is>
      </c>
      <c r="H115" s="3" t="n">
        <v>45936</v>
      </c>
      <c r="I115" t="inlineStr">
        <is>
          <t>**DESCRIPTION**
---------------
Join Amazon Shipping (SWA) to build the next $100B initiative. Shape the future of shipping as a part of a new, emerging business and solve the biggest customer pain points in the small parcel logistics industry globally.  
It’s no secret that Amazon relies on its technology to deliver millions of packages every day to its customers – on time, with low cost. We, the Product and Technology organization, simplify complex software solutions that work across our shippers, vendors, and warehouses to optimize both time \&amp; cost of getting the packages delivered. Our services already handle thousands of requests per second, make business decisions impacting billions of dollars a year, integrate with a network of small and large shippers, operators and drivers worldwide, manage business rules for millions of unique products, and improve the ordering and delivery experience for millions of online shoppers. That said, this remains a fast\-growing business and our technical journey has only started. Our mission is to build the most efficient and optimal shipping solution on the planet, using our technology and engineering muscle as our biggest advantage. We aim to leverage top technologies in big data and optimization techniques to operate high volume, low latency, and high availability services.  
What will you do?  
As Principal Product Manager, you will architect and drive our digital product strategy across web and mobile platforms, creating exceptional user experiences for our customers. In this key leadership role, you will spearhead the vision and roadmap for our digital ecosystem, leveraging customer insights, data analysis, and user research to deliver innovative solutions. You will lead cross\-functional teams through complex product development cycles, from conception to launch, ensuring seamless integration across all digital touchpoints.
The ideal candidate has a strong logistics/supply chain and digital product management background combined with a solid understanding of current technologies. S/he can develop and drive high\-level strategic initiatives but also roll up their sleeves, dig in and get the job done. Maturity, strong business judgment, ability to influence cross\-functional and remote teams, a customer\-centric and creative mindset with strong analytical skills are essential. This opportunity requires excellent product management, prioritization, and communication skills, as well as the ability to navigate ambiguity.  
Key job responsibilities  
* Define the digital product vision and roadmap.
* Work directly with customers, stakeholders, UX and engineering to build exceptional products.
\- Partner with other teams across Amazon Shipping \- Product and Tech to identify and influence development of new products and services.  
* Anticipate bottlenecks, provide escalation management, and make tradeoffs to balance business needs versus technical or operational constraints.
* Collaborate with global stakeholders in other regions to define requirements that support international use cases.
* Define user stories and product requirements; contribute to the technical design of new product features.
* Drive adoption of features, incorporating continuous feedback for improvements based on user experiences.
* About 10% travel required.
**BASIC QUALIFICATIONS**
------------------------
* Bachelor's degree in Computer Science, Engineering, or a related field
* 10\+ years of success in digital user experience, web/mobile development or digital product management experience
* 7\+ years of end to end product delivery experience
* Experience defining roadmap strategy and prioritizing deliverables for your team products
* Experience managing competing priorities and using metrics to drive business decisions
* Experience influencing multiple stakeholders and leading cross functional teams across geographies and business units
**PREFERRED QUALIFICATIONS**
----------------------------
* MBA, or Master's degree in business, data science, public administration, finance, engineering, human resources or related field
* Experience in program management, logistics, operations, supply chain, transportation, or equivalent
* Experience with AI\-driven personalization or automation in digital experiences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$145,700/year in our lowest geographic market up to $240,900/year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6">
      <c r="A116" t="inlineStr">
        <is>
          <t>in-6d098dfa26f87136</t>
        </is>
      </c>
      <c r="B116" t="inlineStr">
        <is>
          <t>Principal Product Manager, Ship with Amazon</t>
        </is>
      </c>
      <c r="C116" t="inlineStr">
        <is>
          <t>Amazon.com</t>
        </is>
      </c>
      <c r="D116" t="inlineStr">
        <is>
          <t>indeed</t>
        </is>
      </c>
      <c r="E116">
        <f>HYPERLINK("https://www.indeed.com/viewjob?jk=6d098dfa26f87136", "https://www.indeed.com/viewjob?jk=6d098dfa26f87136")</f>
        <v/>
      </c>
      <c r="F116">
        <f>HYPERLINK("https://www.amazon.jobs/jobs/3107447/principal-product-manager-ship-with-amazon?cmpid=DA_INAD200785B", "https://www.amazon.jobs/jobs/3107447/principal-product-manager-ship-with-amazon?cmpid=DA_INAD200785B")</f>
        <v/>
      </c>
      <c r="G116" t="inlineStr">
        <is>
          <t>Bellevue, WA, US</t>
        </is>
      </c>
      <c r="H116" s="3" t="n">
        <v>45936</v>
      </c>
      <c r="I116" t="inlineStr">
        <is>
          <t>**DESCRIPTION**
---------------
Join Amazon Shipping (SWA) to build the next $100B initiative. Shape the future of shipping as a part of a new, emerging business and solve the biggest customer pain points in the small parcel logistics industry globally.  
It’s no secret that Amazon relies on its technology to deliver millions of packages every day to its customers – on time, with low cost. We, the Product and Technology organization, simplify complex software solutions that work across our shippers, vendors, and warehouses to optimize both time \&amp; cost of getting the packages delivered. Our services already handle thousands of requests per second, make business decisions impacting billions of dollars a year, integrate with a network of small and large shippers, operators and drivers worldwide, manage business rules for millions of unique products, and improve the ordering and delivery experience for millions of online shoppers. That said, this remains a fast\-growing business and our technical journey has only started. Our mission is to build the most efficient and optimal shipping solution on the planet, using our technology and engineering muscle as our biggest advantage. We aim to leverage top technologies in big data and optimization techniques to operate high volume, low latency, and high availability services.  
What will you do?  
As Principal Product Manager, you will architect and drive our digital product strategy across web and mobile platforms, creating exceptional user experiences for our customers. In this key leadership role, you will spearhead the vision and roadmap for our digital ecosystem, leveraging customer insights, data analysis, and user research to deliver innovative solutions. You will lead cross\-functional teams through complex product development cycles, from conception to launch, ensuring seamless integration across all digital touchpoints.
The ideal candidate has a strong logistics/supply chain and digital product management background combined with a solid understanding of current technologies. S/he can develop and drive high\-level strategic initiatives but also roll up their sleeves, dig in and get the job done. Maturity, strong business judgment, ability to influence cross\-functional and remote teams, a customer\-centric and creative mindset with strong analytical skills are essential. This opportunity requires excellent product management, prioritization, and communication skills, as well as the ability to navigate ambiguity.  
Key job responsibilities  
* Define the digital product vision and roadmap.
* Work directly with customers, stakeholders, UX and engineering to build exceptional products.
\- Partner with other teams across Amazon Shipping \- Product and Tech to identify and influence development of new products and services.  
* Anticipate bottlenecks, provide escalation management, and make tradeoffs to balance business needs versus technical or operational constraints.
* Collaborate with global stakeholders in other regions to define requirements that support international use cases.
* Define user stories and product requirements; contribute to the technical design of new product features.
* Drive adoption of features, incorporating continuous feedback for improvements based on user experiences.
* About 10% travel required.
**BASIC QUALIFICATIONS**
------------------------
* Bachelor's degree in Computer Science, Engineering, or a related field
* 10\+ years of success in digital user experience, web/mobile development or digital product management experience
* 7\+ years of end to end product delivery experience
* Experience defining roadmap strategy and prioritizing deliverables for your team products
* Experience managing competing priorities and using metrics to drive business decisions
* Experience influencing multiple stakeholders and leading cross functional teams across geographies and business units
**PREFERRED QUALIFICATIONS**
----------------------------
* MBA, or Master's degree in business, data science, public administration, finance, engineering, human resources or related field
* Experience in program management, logistics, operations, supply chain, transportation, or equivalent
* Experience with AI\-driven personalization or automation in digital experiences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$145,700/year in our lowest geographic market up to $240,900/year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7">
      <c r="A117" t="inlineStr">
        <is>
          <t>in-08cb38568018247f</t>
        </is>
      </c>
      <c r="B117" t="inlineStr">
        <is>
          <t>Principal Product Manager, Ship with Amazon</t>
        </is>
      </c>
      <c r="C117" t="inlineStr">
        <is>
          <t>Amazon.com</t>
        </is>
      </c>
      <c r="D117" t="inlineStr">
        <is>
          <t>indeed</t>
        </is>
      </c>
      <c r="E117">
        <f>HYPERLINK("https://www.indeed.com/viewjob?jk=08cb38568018247f", "https://www.indeed.com/viewjob?jk=08cb38568018247f")</f>
        <v/>
      </c>
      <c r="F117">
        <f>HYPERLINK("https://www.amazon.jobs/jobs/3107447/principal-product-manager-ship-with-amazon?cmpid=DA_INAD200785B", "https://www.amazon.jobs/jobs/3107447/principal-product-manager-ship-with-amazon?cmpid=DA_INAD200785B")</f>
        <v/>
      </c>
      <c r="G117" t="inlineStr">
        <is>
          <t>Nashville, TN, US</t>
        </is>
      </c>
      <c r="H117" s="3" t="n">
        <v>45936</v>
      </c>
      <c r="I117" t="inlineStr">
        <is>
          <t>**DESCRIPTION**
---------------
Join Amazon Shipping (SWA) to build the next $100B initiative. Shape the future of shipping as a part of a new, emerging business and solve the biggest customer pain points in the small parcel logistics industry globally.  
It’s no secret that Amazon relies on its technology to deliver millions of packages every day to its customers – on time, with low cost. We, the Product and Technology organization, simplify complex software solutions that work across our shippers, vendors, and warehouses to optimize both time \&amp; cost of getting the packages delivered. Our services already handle thousands of requests per second, make business decisions impacting billions of dollars a year, integrate with a network of small and large shippers, operators and drivers worldwide, manage business rules for millions of unique products, and improve the ordering and delivery experience for millions of online shoppers. That said, this remains a fast\-growing business and our technical journey has only started. Our mission is to build the most efficient and optimal shipping solution on the planet, using our technology and engineering muscle as our biggest advantage. We aim to leverage top technologies in big data and optimization techniques to operate high volume, low latency, and high availability services.  
What will you do?  
As Principal Product Manager, you will architect and drive our digital product strategy across web and mobile platforms, creating exceptional user experiences for our customers. In this key leadership role, you will spearhead the vision and roadmap for our digital ecosystem, leveraging customer insights, data analysis, and user research to deliver innovative solutions. You will lead cross\-functional teams through complex product development cycles, from conception to launch, ensuring seamless integration across all digital touchpoints.
The ideal candidate has a strong logistics/supply chain and digital product management background combined with a solid understanding of current technologies. S/he can develop and drive high\-level strategic initiatives but also roll up their sleeves, dig in and get the job done. Maturity, strong business judgment, ability to influence cross\-functional and remote teams, a customer\-centric and creative mindset with strong analytical skills are essential. This opportunity requires excellent product management, prioritization, and communication skills, as well as the ability to navigate ambiguity.  
Key job responsibilities  
* Define the digital product vision and roadmap.
* Work directly with customers, stakeholders, UX and engineering to build exceptional products.
\- Partner with other teams across Amazon Shipping \- Product and Tech to identify and influence development of new products and services.  
* Anticipate bottlenecks, provide escalation management, and make tradeoffs to balance business needs versus technical or operational constraints.
* Collaborate with global stakeholders in other regions to define requirements that support international use cases.
* Define user stories and product requirements; contribute to the technical design of new product features.
* Drive adoption of features, incorporating continuous feedback for improvements based on user experiences.
* About 10% travel required.
**BASIC QUALIFICATIONS**
------------------------
* Bachelor's degree in Computer Science, Engineering, or a related field
* 10\+ years of success in digital user experience, web/mobile development or digital product management experience
* 7\+ years of end to end product delivery experience
* Experience defining roadmap strategy and prioritizing deliverables for your team products
* Experience managing competing priorities and using metrics to drive business decisions
* Experience influencing multiple stakeholders and leading cross functional teams across geographies and business units
**PREFERRED QUALIFICATIONS**
----------------------------
* MBA, or Master's degree in business, data science, public administration, finance, engineering, human resources or related field
* Experience in program management, logistics, operations, supply chain, transportation, or equivalent
* Experience with AI\-driven personalization or automation in digital experiences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$145,700/year in our lowest geographic market up to $240,900/year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8">
      <c r="A118" t="inlineStr">
        <is>
          <t>in-6ee305230396c5f6</t>
        </is>
      </c>
      <c r="B118" t="inlineStr">
        <is>
          <t>Sr. Supply Chain Product Manager, Amazon Custom Modules</t>
        </is>
      </c>
      <c r="C118" t="inlineStr">
        <is>
          <t>Amazon.com</t>
        </is>
      </c>
      <c r="D118" t="inlineStr">
        <is>
          <t>indeed</t>
        </is>
      </c>
      <c r="E118">
        <f>HYPERLINK("https://www.indeed.com/viewjob?jk=6ee305230396c5f6", "https://www.indeed.com/viewjob?jk=6ee305230396c5f6")</f>
        <v/>
      </c>
      <c r="F118">
        <f>HYPERLINK("https://www.amazon.jobs/jobs/3109372/sr-supply-chain-product-manager-amazon-custom-modules?cmpid=DA_INAD200785B", "https://www.amazon.jobs/jobs/3109372/sr-supply-chain-product-manager-amazon-custom-modules?cmpid=DA_INAD200785B")</f>
        <v/>
      </c>
      <c r="G118" t="inlineStr">
        <is>
          <t>Seattle, WA, US</t>
        </is>
      </c>
      <c r="H118" s="3" t="n">
        <v>45935</v>
      </c>
      <c r="I118"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9">
      <c r="A119" t="inlineStr">
        <is>
          <t>in-7efd12271fdc90c5</t>
        </is>
      </c>
      <c r="B119" t="inlineStr">
        <is>
          <t>Sr. Supply Chain Product Manager, Amazon Custom Modules</t>
        </is>
      </c>
      <c r="C119" t="inlineStr">
        <is>
          <t>Amazon.com</t>
        </is>
      </c>
      <c r="D119" t="inlineStr">
        <is>
          <t>indeed</t>
        </is>
      </c>
      <c r="E119">
        <f>HYPERLINK("https://www.indeed.com/viewjob?jk=7efd12271fdc90c5", "https://www.indeed.com/viewjob?jk=7efd12271fdc90c5")</f>
        <v/>
      </c>
      <c r="F119">
        <f>HYPERLINK("https://www.amazon.jobs/jobs/3109372/sr-supply-chain-product-manager-amazon-custom-modules?cmpid=DA_INAD200785B", "https://www.amazon.jobs/jobs/3109372/sr-supply-chain-product-manager-amazon-custom-modules?cmpid=DA_INAD200785B")</f>
        <v/>
      </c>
      <c r="G119" t="inlineStr">
        <is>
          <t>Austin, TX, US</t>
        </is>
      </c>
      <c r="H119" s="3" t="n">
        <v>45935</v>
      </c>
      <c r="I119"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0">
      <c r="A120" t="inlineStr">
        <is>
          <t>in-84787cc1c1535e80</t>
        </is>
      </c>
      <c r="B120" t="inlineStr">
        <is>
          <t>Sr. Supply Chain Product Manager, Amazon Custom Modules</t>
        </is>
      </c>
      <c r="C120" t="inlineStr">
        <is>
          <t>Amazon.com</t>
        </is>
      </c>
      <c r="D120" t="inlineStr">
        <is>
          <t>indeed</t>
        </is>
      </c>
      <c r="E120">
        <f>HYPERLINK("https://www.indeed.com/viewjob?jk=84787cc1c1535e80", "https://www.indeed.com/viewjob?jk=84787cc1c1535e80")</f>
        <v/>
      </c>
      <c r="F120">
        <f>HYPERLINK("https://www.amazon.jobs/jobs/3109372/sr-supply-chain-product-manager-amazon-custom-modules?cmpid=DA_INAD200785B", "https://www.amazon.jobs/jobs/3109372/sr-supply-chain-product-manager-amazon-custom-modules?cmpid=DA_INAD200785B")</f>
        <v/>
      </c>
      <c r="G120" t="inlineStr">
        <is>
          <t>Cupertino, CA, US</t>
        </is>
      </c>
      <c r="H120" s="3" t="n">
        <v>45935</v>
      </c>
      <c r="I120"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1">
      <c r="A121" t="inlineStr">
        <is>
          <t>in-774d95d36dd7d766</t>
        </is>
      </c>
      <c r="B121" t="inlineStr">
        <is>
          <t>SR. Technical Program Manager, Connectivity, Connectivity SW DeviceOS</t>
        </is>
      </c>
      <c r="C121" t="inlineStr">
        <is>
          <t>Amazon.com</t>
        </is>
      </c>
      <c r="D121" t="inlineStr">
        <is>
          <t>indeed</t>
        </is>
      </c>
      <c r="E121">
        <f>HYPERLINK("https://www.indeed.com/viewjob?jk=774d95d36dd7d766", "https://www.indeed.com/viewjob?jk=774d95d36dd7d766")</f>
        <v/>
      </c>
      <c r="F121">
        <f>HYPERLINK("https://www.amazon.jobs/jobs/3102471/sr-technical-program-manager-connectivity-connectivity-sw-deviceos?cmpid=DA_INAD200785B", "https://www.amazon.jobs/jobs/3102471/sr-technical-program-manager-connectivity-connectivity-sw-deviceos?cmpid=DA_INAD200785B")</f>
        <v/>
      </c>
      <c r="G121" t="inlineStr">
        <is>
          <t>Sunnyvale, CA, US</t>
        </is>
      </c>
      <c r="H121" s="3" t="n">
        <v>45932</v>
      </c>
      <c r="I121" t="inlineStr">
        <is>
          <t>**DESCRIPTION**
---------------
Amazon Lab126 is an inventive research and development company that designs and engineers high\-profile consumer electronics. Lab126 began in 2004 as a subsidiary of Amazon.com, Inc., originally creating the best\-selling Kindle family of products. Since then, we have produced groundbreaking devices like Fire tablets, Fire TV and Amazon Echo.  
What will you help us create?  
The Role:  
As a Sr. Technical Program Manager, you will engage with an experienced cross\-disciplinary staff to design, manage, and deliver innovative consumer products, technologies, and tools. In this role, you will:  
Work with key stakeholders in product management and executive teams to define strategy and requirements  
Drive data\-based activities to develop insights on device and accessory performance and improvement recommendations  
Lead cross functional and full stack problem\-solving and development activities from design through delivery  
Work with global teams to deliver supporting software and services in sync with launch timelines.  
Communicate regularly with senior management on status, risks and change control  
Work with subject matter experts to lead and drive new technology initiatives and evaluations for next generation Amazon products and features  
Work with component leads to drive evaluation and adoption of new vendor technologies and HW  
Work with vendors and external partners to deliver device software and firmware technologies into our products
**BASIC QUALIFICATIONS**
------------------------
* 7\+ years of working directly with engineering teams experience
* 5\+ years of technical product or program management experience
* 3\+ years of software development experience
* 5\+ years of technical program management working directly with software engineering teams experience
* Experience managing programs across cross functional teams, building processes and coordinating release schedules
**PREFERRED QUALIFICATIONS**
----------------------------
* 5\+ years of project management disciplines including scope, schedule, budget, quality, along with risk and critical path management experience
* Experience managing projects across cross functional teams, building sustainable processes and coordinating release schedules
* Experience defining KPI's/SLA's used to drive multi\-million dollar businesses and reporting to senior leadership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$133,900/year in our lowest geographic market up to $231,400/year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2">
      <c r="A122" t="inlineStr">
        <is>
          <t>in-936e0ae4ca167567</t>
        </is>
      </c>
      <c r="B122" t="inlineStr">
        <is>
          <t>SR. Technical Program Manager, Connectivity, Connectivity SW DeviceOS</t>
        </is>
      </c>
      <c r="C122" t="inlineStr">
        <is>
          <t>Amazon.com</t>
        </is>
      </c>
      <c r="D122" t="inlineStr">
        <is>
          <t>indeed</t>
        </is>
      </c>
      <c r="E122">
        <f>HYPERLINK("https://www.indeed.com/viewjob?jk=936e0ae4ca167567", "https://www.indeed.com/viewjob?jk=936e0ae4ca167567")</f>
        <v/>
      </c>
      <c r="F122">
        <f>HYPERLINK("https://www.amazon.jobs/jobs/3102471/sr-technical-program-manager-connectivity-connectivity-sw-deviceos?cmpid=DA_INAD200785B", "https://www.amazon.jobs/jobs/3102471/sr-technical-program-manager-connectivity-connectivity-sw-deviceos?cmpid=DA_INAD200785B")</f>
        <v/>
      </c>
      <c r="G122" t="inlineStr">
        <is>
          <t>Austin, TX, US</t>
        </is>
      </c>
      <c r="H122" s="3" t="n">
        <v>45932</v>
      </c>
      <c r="I122" t="inlineStr">
        <is>
          <t>**DESCRIPTION**
---------------
Amazon Lab126 is an inventive research and development company that designs and engineers high\-profile consumer electronics. Lab126 began in 2004 as a subsidiary of Amazon.com, Inc., originally creating the best\-selling Kindle family of products. Since then, we have produced groundbreaking devices like Fire tablets, Fire TV and Amazon Echo.  
What will you help us create?  
The Role:  
As a Sr. Technical Program Manager, you will engage with an experienced cross\-disciplinary staff to design, manage, and deliver innovative consumer products, technologies, and tools. In this role, you will:  
Work with key stakeholders in product management and executive teams to define strategy and requirements  
Drive data\-based activities to develop insights on device and accessory performance and improvement recommendations  
Lead cross functional and full stack problem\-solving and development activities from design through delivery  
Work with global teams to deliver supporting software and services in sync with launch timelines.  
Communicate regularly with senior management on status, risks and change control  
Work with subject matter experts to lead and drive new technology initiatives and evaluations for next generation Amazon products and features  
Work with component leads to drive evaluation and adoption of new vendor technologies and HW  
Work with vendors and external partners to deliver device software and firmware technologies into our products
**BASIC QUALIFICATIONS**
------------------------
* 7\+ years of working directly with engineering teams experience
* 5\+ years of technical product or program management experience
* 3\+ years of software development experience
* 5\+ years of technical program management working directly with software engineering teams experience
* Experience managing programs across cross functional teams, building processes and coordinating release schedules
**PREFERRED QUALIFICATIONS**
----------------------------
* 5\+ years of project management disciplines including scope, schedule, budget, quality, along with risk and critical path management experience
* Experience managing projects across cross functional teams, building sustainable processes and coordinating release schedules
* Experience defining KPI's/SLA's used to drive multi\-million dollar businesses and reporting to senior leadership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$133,900/year in our lowest geographic market up to $231,400/year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3">
      <c r="A123" t="inlineStr">
        <is>
          <t>in-82cf1acaa00b74c4</t>
        </is>
      </c>
      <c r="B123" t="inlineStr">
        <is>
          <t>SR. Technical Program Manager, Connectivity, Connectivity SW DeviceOS</t>
        </is>
      </c>
      <c r="C123" t="inlineStr">
        <is>
          <t>Amazon.com</t>
        </is>
      </c>
      <c r="D123" t="inlineStr">
        <is>
          <t>indeed</t>
        </is>
      </c>
      <c r="E123">
        <f>HYPERLINK("https://www.indeed.com/viewjob?jk=82cf1acaa00b74c4", "https://www.indeed.com/viewjob?jk=82cf1acaa00b74c4")</f>
        <v/>
      </c>
      <c r="F123">
        <f>HYPERLINK("https://www.amazon.jobs/jobs/3102471/sr-technical-program-manager-connectivity-connectivity-sw-deviceos?cmpid=DA_INAD200785B", "https://www.amazon.jobs/jobs/3102471/sr-technical-program-manager-connectivity-connectivity-sw-deviceos?cmpid=DA_INAD200785B")</f>
        <v/>
      </c>
      <c r="G123" t="inlineStr">
        <is>
          <t>Irvine, CA, US</t>
        </is>
      </c>
      <c r="H123" s="3" t="n">
        <v>45932</v>
      </c>
      <c r="I123" t="inlineStr">
        <is>
          <t>**DESCRIPTION**
---------------
Amazon Lab126 is an inventive research and development company that designs and engineers high\-profile consumer electronics. Lab126 began in 2004 as a subsidiary of Amazon.com, Inc., originally creating the best\-selling Kindle family of products. Since then, we have produced groundbreaking devices like Fire tablets, Fire TV and Amazon Echo.  
What will you help us create?  
The Role:  
As a Sr. Technical Program Manager, you will engage with an experienced cross\-disciplinary staff to design, manage, and deliver innovative consumer products, technologies, and tools. In this role, you will:  
Work with key stakeholders in product management and executive teams to define strategy and requirements  
Drive data\-based activities to develop insights on device and accessory performance and improvement recommendations  
Lead cross functional and full stack problem\-solving and development activities from design through delivery  
Work with global teams to deliver supporting software and services in sync with launch timelines.  
Communicate regularly with senior management on status, risks and change control  
Work with subject matter experts to lead and drive new technology initiatives and evaluations for next generation Amazon products and features  
Work with component leads to drive evaluation and adoption of new vendor technologies and HW  
Work with vendors and external partners to deliver device software and firmware technologies into our products
**BASIC QUALIFICATIONS**
------------------------
* 7\+ years of working directly with engineering teams experience
* 5\+ years of technical product or program management experience
* 3\+ years of software development experience
* 5\+ years of technical program management working directly with software engineering teams experience
* Experience managing programs across cross functional teams, building processes and coordinating release schedules
**PREFERRED QUALIFICATIONS**
----------------------------
* 5\+ years of project management disciplines including scope, schedule, budget, quality, along with risk and critical path management experience
* Experience managing projects across cross functional teams, building sustainable processes and coordinating release schedules
* Experience defining KPI's/SLA's used to drive multi\-million dollar businesses and reporting to senior leadership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$133,900/year in our lowest geographic market up to $231,400/year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4">
      <c r="A124" t="inlineStr">
        <is>
          <t>in-9aa5a567a083608c</t>
        </is>
      </c>
      <c r="B124" t="inlineStr">
        <is>
          <t>Sr. Program Manager, Same Day Programs</t>
        </is>
      </c>
      <c r="C124" t="inlineStr">
        <is>
          <t>Amazon.com</t>
        </is>
      </c>
      <c r="D124" t="inlineStr">
        <is>
          <t>indeed</t>
        </is>
      </c>
      <c r="E124">
        <f>HYPERLINK("https://www.indeed.com/viewjob?jk=9aa5a567a083608c", "https://www.indeed.com/viewjob?jk=9aa5a567a083608c")</f>
        <v/>
      </c>
      <c r="F124">
        <f>HYPERLINK("https://www.amazon.jobs/jobs/3106355/sr-program-manager-same-day-programs?cmpid=DA_INAD200785B", "https://www.amazon.jobs/jobs/3106355/sr-program-manager-same-day-programs?cmpid=DA_INAD200785B")</f>
        <v/>
      </c>
      <c r="G124" t="inlineStr">
        <is>
          <t>Nashville, TN, US</t>
        </is>
      </c>
      <c r="H124" s="3" t="n">
        <v>45931</v>
      </c>
      <c r="I124"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5">
      <c r="A125" t="inlineStr">
        <is>
          <t>in-2ace20fe88063ba9</t>
        </is>
      </c>
      <c r="B125" t="inlineStr">
        <is>
          <t>Sr. Program Manager, Same Day Programs</t>
        </is>
      </c>
      <c r="C125" t="inlineStr">
        <is>
          <t>Amazon.com</t>
        </is>
      </c>
      <c r="D125" t="inlineStr">
        <is>
          <t>indeed</t>
        </is>
      </c>
      <c r="E125">
        <f>HYPERLINK("https://www.indeed.com/viewjob?jk=2ace20fe88063ba9", "https://www.indeed.com/viewjob?jk=2ace20fe88063ba9")</f>
        <v/>
      </c>
      <c r="F125">
        <f>HYPERLINK("https://www.amazon.jobs/jobs/3106355/sr-program-manager-same-day-programs?cmpid=DA_INAD200785B", "https://www.amazon.jobs/jobs/3106355/sr-program-manager-same-day-programs?cmpid=DA_INAD200785B")</f>
        <v/>
      </c>
      <c r="G125" t="inlineStr">
        <is>
          <t>Bellevue, WA, US</t>
        </is>
      </c>
      <c r="H125" s="3" t="n">
        <v>45931</v>
      </c>
      <c r="I125"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6">
      <c r="A126" t="inlineStr">
        <is>
          <t>in-456004a53b0cc820</t>
        </is>
      </c>
      <c r="B126" t="inlineStr">
        <is>
          <t>Sr. Program Manager, Same Day Programs,</t>
        </is>
      </c>
      <c r="C126" t="inlineStr">
        <is>
          <t>Amazon.com</t>
        </is>
      </c>
      <c r="D126" t="inlineStr">
        <is>
          <t>indeed</t>
        </is>
      </c>
      <c r="E126">
        <f>HYPERLINK("https://www.indeed.com/viewjob?jk=456004a53b0cc820", "https://www.indeed.com/viewjob?jk=456004a53b0cc820")</f>
        <v/>
      </c>
      <c r="F126">
        <f>HYPERLINK("https://www.amazon.jobs/jobs/3106368/sr-program-manager-same-day-programs--?cmpid=DA_INAD200785B", "https://www.amazon.jobs/jobs/3106368/sr-program-manager-same-day-programs--?cmpid=DA_INAD200785B")</f>
        <v/>
      </c>
      <c r="G126" t="inlineStr">
        <is>
          <t>Bellevue, WA, US</t>
        </is>
      </c>
      <c r="H126" s="3" t="n">
        <v>45931</v>
      </c>
      <c r="I126"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Bachelor's degree
* 5\+ years of program or project management experience
* Experience using data and metrics to determine and drive improvements
* Experience owning program strategy, end to end delivery, and communicating results to senior leadership
* Experience with complex automated material handling equipment, packaging technologies, and systems and high\-speed manufacturing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7">
      <c r="A127" t="inlineStr">
        <is>
          <t>in-72197c2e36cdb883</t>
        </is>
      </c>
      <c r="B127" t="inlineStr">
        <is>
          <t>Sr. Program Manager, Same Day Programs,</t>
        </is>
      </c>
      <c r="C127" t="inlineStr">
        <is>
          <t>Amazon.com</t>
        </is>
      </c>
      <c r="D127" t="inlineStr">
        <is>
          <t>indeed</t>
        </is>
      </c>
      <c r="E127">
        <f>HYPERLINK("https://www.indeed.com/viewjob?jk=72197c2e36cdb883", "https://www.indeed.com/viewjob?jk=72197c2e36cdb883")</f>
        <v/>
      </c>
      <c r="F127">
        <f>HYPERLINK("https://www.amazon.jobs/jobs/3106368/sr-program-manager-same-day-programs--?cmpid=DA_INAD200785B", "https://www.amazon.jobs/jobs/3106368/sr-program-manager-same-day-programs--?cmpid=DA_INAD200785B")</f>
        <v/>
      </c>
      <c r="G127" t="inlineStr">
        <is>
          <t>Nashville, TN, US</t>
        </is>
      </c>
      <c r="H127" s="3" t="n">
        <v>45931</v>
      </c>
      <c r="I127"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Bachelor's degree
* 5\+ years of program or project management experience
* Experience using data and metrics to determine and drive improvements
* Experience owning program strategy, end to end delivery, and communicating results to senior leadership
* Experience with complex automated material handling equipment, packaging technologies, and systems and high\-speed manufacturing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8">
      <c r="A128" t="inlineStr">
        <is>
          <t>in-784062a867b5acd3</t>
        </is>
      </c>
      <c r="B128" t="inlineStr">
        <is>
          <t>Sr. Product Manager - Tech , AFX - Sales Planning Tools</t>
        </is>
      </c>
      <c r="C128" t="inlineStr">
        <is>
          <t>Amazon Web Services</t>
        </is>
      </c>
      <c r="D128" t="inlineStr">
        <is>
          <t>indeed</t>
        </is>
      </c>
      <c r="E128">
        <f>HYPERLINK("https://www.indeed.com/viewjob?jk=784062a867b5acd3", "https://www.indeed.com/viewjob?jk=784062a867b5acd3")</f>
        <v/>
      </c>
      <c r="F128">
        <f>HYPERLINK("https://www.amazon.jobs/jobs/3104992/sr-product-manager--tech--afx--sales-planning-tools?cmpid=DA_INAD200785B", "https://www.amazon.jobs/jobs/3104992/sr-product-manager--tech--afx--sales-planning-tools?cmpid=DA_INAD200785B")</f>
        <v/>
      </c>
      <c r="G128" t="inlineStr">
        <is>
          <t>Dallas, TX, US</t>
        </is>
      </c>
      <c r="H128" s="3" t="n">
        <v>45923</v>
      </c>
      <c r="I128" t="inlineStr">
        <is>
          <t>**DESCRIPTION**
---------------
Do you want to be part of an innovative and rapidly growing business? Are you looking for a role with ownership, autonomy, and the ability to lead teams across the globe to launch AI/ML enterprise applications?  
Then you should join the AWS Sales Marketing and Global Services (SMGS) Sales Planning Tools team. We provide the services, technology, and data to support the rapidly growing world\-wide AWS Sales organization. This includes finding inventive ways to scale the business, which will be critical for AWS to continue its strong growth. Our team manages a portfolio of complex, high\-impact, and intelligent planning tools, with an exciting multi\-year product roadmap. These are global, enterprise grade web applications that are early and mid\-stage in their lifecycle, and include both 1P and 3P products.
Our team is seeking a talented, innovative Sr. Product Manager with exceptional invent and simplify skillset, problem solving abilities, clear communication skills, think big mindset, and the ability to translate customers and business needs into inventive software solutions.
You will be responsible for onboarding the AWS Partner Organization to AWS Sales Planning, specifically owning GTM Partner Hierarchy, Partner Segmentation, and Partner Account Ownership. This entails designing and delivering a global, enterprise grade web\-based sales planning application to be used by the Partner organization for Partner Planning. The AWS Partner Organization is a rapidly growing business, and you will stand to deliver transformational value across the worldwide AWS Sales organization. You will work with a dedicated engineering pod; our product team works with a 70 person, and growing, engineering team. You will define the product’s 2\-3 year vision and strategy, including the delivery of automation and intelligent recommendations to drive a more efficient and effective Partner Sales Planning. You will be responsible for roadmap development, product requirements management, stakeholder and customer engagement, leadership reviews, user testing, and launch strategy and execution. You will partner with engineering, global sales customers, a data science team, and other application owners across the SMGS organization.  
Key job responsibilities  
* Develop product strategy and product definition.
* Define and manage multi\-year product roadmap, including introduction of AI/ML to transform AWS planning.
* Capture, document, and communicate business and technical product requirements.
* Translate requirements into features and user stories. Drive technical team understanding of requirements.
* Manage technical build against business requirements. Provide thought leadership with engineering on implementation.
* Collaborate with and influence key stakeholders from Global AWS Sales and Sales Operations teams and other System and Application teams across WWRO.
* Lead document development for leadership reviews.
* Own project status updates to customers, stakeholders, and leadership.
* Plan and conduct user testing.
* Drive change management and adoption of solution across AWS Sales and Sales Operations
* Manage post\-launch activities (user support, new feature development, etc.)
* Establish KPIs, identify gaps, and improve performance and adoption of the platform.
* Deep dive problems or opportunity areas and propose solutions to address.
* Generate new ideas to drive improvement, efficiency and automation across AWS Sales that will enable AWS to scale and grow.
A day in the life  
* Design new products and capabilities that enable business users to operate more effectively, intelligently, and efficiently.
* Engage with systems that are at the forefront of technology, pioneering new methods and approaches to delivering software, serving customers, and enabling large, distributed, worldwide sales teams.
* Work closely with engineering and other technical product/program managers to define, build, drive and measure mechanisms to enable our field sales teams
* Leverage strong communication skills and a passion for using data and software to drive business decisions at scale
About the team  
We have a team culture that encourages innovation and we expect team members and management alike to take high degree of ownership for their program vision and execution of ideas. Beyond a strong technical background and proven track record of product management, a successful candidate will have experience driving strategy and influencing executive leadership. We are looking for someone that is a self\-starter, someone that approaches complex business questions with data and curiosity, and a person that dives below the surface to identify the root cause and "so what" rather than just superficial trends.  
About AWS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About Sales, Marketing and Global Services (SMGS)  
AWS Sales, Marketing, and Global Services (SMGS) is responsible for driving revenue, adoption, and growth from the largest and fastest growing small\- and mid\-market accounts to enterprise\-level customers including public sector.**BASIC QUALIFICATIONS**
------------------------
* Bachelor's degree in a quantitative/technical field such as computer science, engineering, statistics
* 5\+ years of technical product or program management experience
* Experience with end to end product delivery
* Experience contributing to engineering discussions around technology and data decisions and strategy related to product
* Excellent verbal and written communication; able to communicate effectively with technical and non\-technical individuals
**PREFERRED QUALIFICATIONS**
----------------------------
* Master's degree
* Experience managing technical products or online services
* Experience in building and driving adoption of new tools
* Experience contributing to engineering discussions around technology decisions and strategy related to a product
* Comfort with ambiguity; demonstrated track record of independently developing creative solutions to problems
* Demonstrated ability to successfully influence and drive stakeholders to decision without formal authority
* Experience with developing products and features for the sales and marketing space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9">
      <c r="A129" t="inlineStr">
        <is>
          <t>in-b66715f96b9c726c</t>
        </is>
      </c>
      <c r="B129" t="inlineStr">
        <is>
          <t>Sr. Product Manager - Tech , AFX - Sales Planning Tools</t>
        </is>
      </c>
      <c r="C129" t="inlineStr">
        <is>
          <t>Amazon Web Services</t>
        </is>
      </c>
      <c r="D129" t="inlineStr">
        <is>
          <t>indeed</t>
        </is>
      </c>
      <c r="E129">
        <f>HYPERLINK("https://www.indeed.com/viewjob?jk=b66715f96b9c726c", "https://www.indeed.com/viewjob?jk=b66715f96b9c726c")</f>
        <v/>
      </c>
      <c r="F129">
        <f>HYPERLINK("https://www.amazon.jobs/jobs/3104992/sr-product-manager--tech--afx--sales-planning-tools?cmpid=DA_INAD200785B", "https://www.amazon.jobs/jobs/3104992/sr-product-manager--tech--afx--sales-planning-tools?cmpid=DA_INAD200785B")</f>
        <v/>
      </c>
      <c r="G129" t="inlineStr">
        <is>
          <t>Seattle, WA, US</t>
        </is>
      </c>
      <c r="H129" s="3" t="n">
        <v>45923</v>
      </c>
      <c r="I129" t="inlineStr">
        <is>
          <t>**DESCRIPTION**
---------------
Do you want to be part of an innovative and rapidly growing business? Are you looking for a role with ownership, autonomy, and the ability to lead teams across the globe to launch AI/ML enterprise applications?  
Then you should join the AWS Sales Marketing and Global Services (SMGS) Sales Planning Tools team. We provide the services, technology, and data to support the rapidly growing world\-wide AWS Sales organization. This includes finding inventive ways to scale the business, which will be critical for AWS to continue its strong growth. Our team manages a portfolio of complex, high\-impact, and intelligent planning tools, with an exciting multi\-year product roadmap. These are global, enterprise grade web applications that are early and mid\-stage in their lifecycle, and include both 1P and 3P products.
Our team is seeking a talented, innovative Sr. Product Manager with exceptional invent and simplify skillset, problem solving abilities, clear communication skills, think big mindset, and the ability to translate customers and business needs into inventive software solutions.
You will be responsible for onboarding the AWS Partner Organization to AWS Sales Planning, specifically owning GTM Partner Hierarchy, Partner Segmentation, and Partner Account Ownership. This entails designing and delivering a global, enterprise grade web\-based sales planning application to be used by the Partner organization for Partner Planning. The AWS Partner Organization is a rapidly growing business, and you will stand to deliver transformational value across the worldwide AWS Sales organization. You will work with a dedicated engineering pod; our product team works with a 70 person, and growing, engineering team. You will define the product’s 2\-3 year vision and strategy, including the delivery of automation and intelligent recommendations to drive a more efficient and effective Partner Sales Planning. You will be responsible for roadmap development, product requirements management, stakeholder and customer engagement, leadership reviews, user testing, and launch strategy and execution. You will partner with engineering, global sales customers, a data science team, and other application owners across the SMGS organization.  
Key job responsibilities  
* Develop product strategy and product definition.
* Define and manage multi\-year product roadmap, including introduction of AI/ML to transform AWS planning.
* Capture, document, and communicate business and technical product requirements.
* Translate requirements into features and user stories. Drive technical team understanding of requirements.
* Manage technical build against business requirements. Provide thought leadership with engineering on implementation.
* Collaborate with and influence key stakeholders from Global AWS Sales and Sales Operations teams and other System and Application teams across WWRO.
* Lead document development for leadership reviews.
* Own project status updates to customers, stakeholders, and leadership.
* Plan and conduct user testing.
* Drive change management and adoption of solution across AWS Sales and Sales Operations
* Manage post\-launch activities (user support, new feature development, etc.)
* Establish KPIs, identify gaps, and improve performance and adoption of the platform.
* Deep dive problems or opportunity areas and propose solutions to address.
* Generate new ideas to drive improvement, efficiency and automation across AWS Sales that will enable AWS to scale and grow.
A day in the life  
* Design new products and capabilities that enable business users to operate more effectively, intelligently, and efficiently.
* Engage with systems that are at the forefront of technology, pioneering new methods and approaches to delivering software, serving customers, and enabling large, distributed, worldwide sales teams.
* Work closely with engineering and other technical product/program managers to define, build, drive and measure mechanisms to enable our field sales teams
* Leverage strong communication skills and a passion for using data and software to drive business decisions at scale
About the team  
We have a team culture that encourages innovation and we expect team members and management alike to take high degree of ownership for their program vision and execution of ideas. Beyond a strong technical background and proven track record of product management, a successful candidate will have experience driving strategy and influencing executive leadership. We are looking for someone that is a self\-starter, someone that approaches complex business questions with data and curiosity, and a person that dives below the surface to identify the root cause and "so what" rather than just superficial trends.  
About AWS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About Sales, Marketing and Global Services (SMGS)  
AWS Sales, Marketing, and Global Services (SMGS) is responsible for driving revenue, adoption, and growth from the largest and fastest growing small\- and mid\-market accounts to enterprise\-level customers including public sector.**BASIC QUALIFICATIONS**
------------------------
* Bachelor's degree in a quantitative/technical field such as computer science, engineering, statistics
* 5\+ years of technical product or program management experience
* Experience with end to end product delivery
* Experience contributing to engineering discussions around technology and data decisions and strategy related to product
* Excellent verbal and written communication; able to communicate effectively with technical and non\-technical individuals
**PREFERRED QUALIFICATIONS**
----------------------------
* Master's degree
* Experience managing technical products or online services
* Experience in building and driving adoption of new tools
* Experience contributing to engineering discussions around technology decisions and strategy related to a product
* Comfort with ambiguity; demonstrated track record of independently developing creative solutions to problems
* Demonstrated ability to successfully influence and drive stakeholders to decision without formal authority
* Experience with developing products and features for the sales and marketing space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0">
      <c r="A130" t="inlineStr">
        <is>
          <t>in-a2a5cde02e58d800</t>
        </is>
      </c>
      <c r="B130" t="inlineStr">
        <is>
          <t>Amazon Last Mile Fleet Program Manager, In Life Services-Recalls, Retrofits, and Tires</t>
        </is>
      </c>
      <c r="C130" t="inlineStr">
        <is>
          <t>Amazon.com</t>
        </is>
      </c>
      <c r="D130" t="inlineStr">
        <is>
          <t>indeed</t>
        </is>
      </c>
      <c r="E130">
        <f>HYPERLINK("https://www.indeed.com/viewjob?jk=a2a5cde02e58d800", "https://www.indeed.com/viewjob?jk=a2a5cde02e58d800")</f>
        <v/>
      </c>
      <c r="F130">
        <f>HYPERLINK("https://www.amazon.jobs/jobs/3083275/amazon-last-mile-fleet-program-manager-in-life-servicesrecalls-retrofits-and-tires?cmpid=DA_INAD200785B", "https://www.amazon.jobs/jobs/3083275/amazon-last-mile-fleet-program-manager-in-life-servicesrecalls-retrofits-and-tires?cmpid=DA_INAD200785B")</f>
        <v/>
      </c>
      <c r="G130" t="inlineStr">
        <is>
          <t>Arlington, VA, US</t>
        </is>
      </c>
      <c r="H130" s="3" t="n">
        <v>45911</v>
      </c>
      <c r="I130"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1">
      <c r="A131" t="inlineStr">
        <is>
          <t>in-d33a959910d06e5a</t>
        </is>
      </c>
      <c r="B131" t="inlineStr">
        <is>
          <t>Amazon Last Mile Fleet Program Manager, In Life Services-Recalls, Retrofits, and Tires</t>
        </is>
      </c>
      <c r="C131" t="inlineStr">
        <is>
          <t>Amazon.com</t>
        </is>
      </c>
      <c r="D131" t="inlineStr">
        <is>
          <t>indeed</t>
        </is>
      </c>
      <c r="E131">
        <f>HYPERLINK("https://www.indeed.com/viewjob?jk=d33a959910d06e5a", "https://www.indeed.com/viewjob?jk=d33a959910d06e5a")</f>
        <v/>
      </c>
      <c r="F131">
        <f>HYPERLINK("https://www.amazon.jobs/jobs/3083275/amazon-last-mile-fleet-program-manager-in-life-servicesrecalls-retrofits-and-tires?cmpid=DA_INAD200785B", "https://www.amazon.jobs/jobs/3083275/amazon-last-mile-fleet-program-manager-in-life-servicesrecalls-retrofits-and-tires?cmpid=DA_INAD200785B")</f>
        <v/>
      </c>
      <c r="G131" t="inlineStr">
        <is>
          <t>Nashville, TN, US</t>
        </is>
      </c>
      <c r="H131" s="3" t="n">
        <v>45911</v>
      </c>
      <c r="I131"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2">
      <c r="A132" t="inlineStr">
        <is>
          <t>in-8fead0ab6f5f4115</t>
        </is>
      </c>
      <c r="B132" t="inlineStr">
        <is>
          <t>Amazon Last Mile Fleet Program Manager, In Life Services-Recalls, Retrofits, and Tires</t>
        </is>
      </c>
      <c r="C132" t="inlineStr">
        <is>
          <t>Amazon.com</t>
        </is>
      </c>
      <c r="D132" t="inlineStr">
        <is>
          <t>indeed</t>
        </is>
      </c>
      <c r="E132">
        <f>HYPERLINK("https://www.indeed.com/viewjob?jk=8fead0ab6f5f4115", "https://www.indeed.com/viewjob?jk=8fead0ab6f5f4115")</f>
        <v/>
      </c>
      <c r="F132">
        <f>HYPERLINK("https://www.amazon.jobs/jobs/3083275/amazon-last-mile-fleet-program-manager-in-life-servicesrecalls-retrofits-and-tires?cmpid=DA_INAD200785B", "https://www.amazon.jobs/jobs/3083275/amazon-last-mile-fleet-program-manager-in-life-servicesrecalls-retrofits-and-tires?cmpid=DA_INAD200785B")</f>
        <v/>
      </c>
      <c r="G132" t="inlineStr">
        <is>
          <t>Bellevue, WA, US</t>
        </is>
      </c>
      <c r="H132" s="3" t="n">
        <v>45911</v>
      </c>
      <c r="I132"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3">
      <c r="A133" t="inlineStr">
        <is>
          <t>in-30a5dc9d51328c57</t>
        </is>
      </c>
      <c r="B133" t="inlineStr">
        <is>
          <t>Sr Materials Program Manager, Ring Supply Chain and Operations</t>
        </is>
      </c>
      <c r="C133" t="inlineStr">
        <is>
          <t>Amazon.com</t>
        </is>
      </c>
      <c r="D133" t="inlineStr">
        <is>
          <t>indeed</t>
        </is>
      </c>
      <c r="E133">
        <f>HYPERLINK("https://www.indeed.com/viewjob?jk=30a5dc9d51328c57", "https://www.indeed.com/viewjob?jk=30a5dc9d51328c57")</f>
        <v/>
      </c>
      <c r="F133">
        <f>HYPERLINK("https://www.amazon.jobs/jobs/3076487/sr-materials-program-manager-ring-supply-chain-and-operations?cmpid=DA_INAD200785B", "https://www.amazon.jobs/jobs/3076487/sr-materials-program-manager-ring-supply-chain-and-operations?cmpid=DA_INAD200785B")</f>
        <v/>
      </c>
      <c r="G133" t="inlineStr">
        <is>
          <t>Hawthorne, CA, US</t>
        </is>
      </c>
      <c r="H133" s="3" t="n">
        <v>45898</v>
      </c>
      <c r="I133" t="inlineStr">
        <is>
          <t>**DESCRIPTION**
---------------
The Senior Materials Program Manager (MPM) is responsible for the management and delivery of the product financial health for highly integrated consumer product. This person has a business orientation and is responsible for working within the local and remote operations, engineering and other cross\-functional teams driving development, implementation and management of the product budget and ensuring diversified continuity of supply. This person is the business voice responsible for capturing, documenting and communicating financial exposures and outlay as it relates to their product. They are involved from product concept through its mass production to ensure the achievement of all financial targets. They will support regular business and executive reviews outlining performance and status.  
Key job responsibilities  
Key job responsibilities  
In this role, you will:  
* Work with engineering and the supply chain team to set program cost targets at a commodity level for your project.
* Track the program actual costs versus target to identify program deltas and corrective actions to bring back on track.
* Attend program new product introduction meetings to understand the cost implication of engineering and/or process changes as related to your product fully loaded cost targets.
* Work with the OEM to set your product purchase order cost for the upcoming period.
* Manage purchase price variance claims resulting from engineering changes, component obsolescence or forecast variance.
* Drive the supply chain and operations team to provide detailed cost reduction forecast that enable you to meet and exceed your product goals.
* Host executive management cost reviews that deep dive through every aspect of your product cost.
* Finalize the optimum supply chain and sourcing plan for your product and drive the cross\-functional team to ensure its implementation.
A day in the life  
A day in the life of a MPM is different every day depending on the stage of the Program Development Cycle but one thing is certain, at any stage the MPM will be looking to solve problems or developing new ways to do things better. At concept stage the MPM is collaborating with the product manager, engineering and GCM teams to identify cost and performance trade\-offs, costing design alternatives and establishing product cost targets and guardrails. During development cycle is working with the multi\-functional team to identify cost opportunities and risks, establishing supplier strategy and planning ahead to mitigate cost and supply risks to launch. During mass production cycle continues seeking opportunities to reduce cost and maintain continuity of supply.  
About the team  
Since launching the first video doorbell in 2012, Ring has become the global leader in residential security. At Ring, we are committed to making home and neighborhood security accessible and effective for everyone, while working hard to bring communities together. Here, you’ll will be part of a fast\-paced team that is passionate about delivering innovative solutions to complex problems.**BASIC QUALIFICATIONS**
------------------------
* 5\+ years of developing, negotiating and executing business agreements experience
* Bachelor's degree
* Experience developing strategies that influence leadership decisions at the organizational level
* Experience managing programs across cross functional teams, building processes and coordinating release schedules
**PREFERRED QUALIFICATIONS**
----------------------------
* Experience interpreting data and making business recommendations
* Experience identifying, negotiating, and executing complex legal agreements
* 5\+ years of managing complex technology projects working directly with engineering teams
* 5\+ years in supply chain and/or manufacturing for complex systems/devices
* Excellent analytical and communication skills; meticulous attention to details
* Experience in relevant industries with a holistic view and keen business acumen
* Technical aptitude and familiarity with the design and working of complex systems
* Proven track record of complex and creative problem solving and the desire to create new processes or simplify and improve on current ones
* Proven ability to influence others, facilitate agreement among stakeholders with different interests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4">
      <c r="A134" t="inlineStr">
        <is>
          <t>in-42b17c98721ce2d8</t>
        </is>
      </c>
      <c r="B134" t="inlineStr">
        <is>
          <t>Sr Materials Program Manager, Ring Supply Chain and Operations</t>
        </is>
      </c>
      <c r="C134" t="inlineStr">
        <is>
          <t>Amazon.com</t>
        </is>
      </c>
      <c r="D134" t="inlineStr">
        <is>
          <t>indeed</t>
        </is>
      </c>
      <c r="E134">
        <f>HYPERLINK("https://www.indeed.com/viewjob?jk=42b17c98721ce2d8", "https://www.indeed.com/viewjob?jk=42b17c98721ce2d8")</f>
        <v/>
      </c>
      <c r="F134">
        <f>HYPERLINK("https://www.amazon.jobs/jobs/3076487/sr-materials-program-manager-ring-supply-chain-and-operations?cmpid=DA_INAD200785B", "https://www.amazon.jobs/jobs/3076487/sr-materials-program-manager-ring-supply-chain-and-operations?cmpid=DA_INAD200785B")</f>
        <v/>
      </c>
      <c r="G134" t="inlineStr">
        <is>
          <t>Sunnyvale, CA, US</t>
        </is>
      </c>
      <c r="H134" s="3" t="n">
        <v>45898</v>
      </c>
      <c r="I134" t="inlineStr">
        <is>
          <t>**DESCRIPTION**
---------------
The Senior Materials Program Manager (MPM) is responsible for the management and delivery of the product financial health for highly integrated consumer product. This person has a business orientation and is responsible for working within the local and remote operations, engineering and other cross\-functional teams driving development, implementation and management of the product budget and ensuring diversified continuity of supply. This person is the business voice responsible for capturing, documenting and communicating financial exposures and outlay as it relates to their product. They are involved from product concept through its mass production to ensure the achievement of all financial targets. They will support regular business and executive reviews outlining performance and status.  
Key job responsibilities  
Key job responsibilities  
In this role, you will:  
* Work with engineering and the supply chain team to set program cost targets at a commodity level for your project.
* Track the program actual costs versus target to identify program deltas and corrective actions to bring back on track.
* Attend program new product introduction meetings to understand the cost implication of engineering and/or process changes as related to your product fully loaded cost targets.
* Work with the OEM to set your product purchase order cost for the upcoming period.
* Manage purchase price variance claims resulting from engineering changes, component obsolescence or forecast variance.
* Drive the supply chain and operations team to provide detailed cost reduction forecast that enable you to meet and exceed your product goals.
* Host executive management cost reviews that deep dive through every aspect of your product cost.
* Finalize the optimum supply chain and sourcing plan for your product and drive the cross\-functional team to ensure its implementation.
A day in the life  
A day in the life of a MPM is different every day depending on the stage of the Program Development Cycle but one thing is certain, at any stage the MPM will be looking to solve problems or developing new ways to do things better. At concept stage the MPM is collaborating with the product manager, engineering and GCM teams to identify cost and performance trade\-offs, costing design alternatives and establishing product cost targets and guardrails. During development cycle is working with the multi\-functional team to identify cost opportunities and risks, establishing supplier strategy and planning ahead to mitigate cost and supply risks to launch. During mass production cycle continues seeking opportunities to reduce cost and maintain continuity of supply.  
About the team  
Since launching the first video doorbell in 2012, Ring has become the global leader in residential security. At Ring, we are committed to making home and neighborhood security accessible and effective for everyone, while working hard to bring communities together. Here, you’ll will be part of a fast\-paced team that is passionate about delivering innovative solutions to complex problems.**BASIC QUALIFICATIONS**
------------------------
* 5\+ years of developing, negotiating and executing business agreements experience
* Bachelor's degree
* Experience developing strategies that influence leadership decisions at the organizational level
* Experience managing programs across cross functional teams, building processes and coordinating release schedules
**PREFERRED QUALIFICATIONS**
----------------------------
* Experience interpreting data and making business recommendations
* Experience identifying, negotiating, and executing complex legal agreements
* 5\+ years of managing complex technology projects working directly with engineering teams
* 5\+ years in supply chain and/or manufacturing for complex systems/devices
* Excellent analytical and communication skills; meticulous attention to details
* Experience in relevant industries with a holistic view and keen business acumen
* Technical aptitude and familiarity with the design and working of complex systems
* Proven track record of complex and creative problem solving and the desire to create new processes or simplify and improve on current ones
* Proven ability to influence others, facilitate agreement among stakeholders with different interests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5">
      <c r="A135" t="inlineStr">
        <is>
          <t>in-178acd5cf36da7d1</t>
        </is>
      </c>
      <c r="B135" t="inlineStr">
        <is>
          <t>Sr. Product Manager, Sub-Same Day (SSD) - DOT, SSD Delivery Ops Tech</t>
        </is>
      </c>
      <c r="C135" t="inlineStr">
        <is>
          <t>Amazon.com</t>
        </is>
      </c>
      <c r="D135" t="inlineStr">
        <is>
          <t>indeed</t>
        </is>
      </c>
      <c r="E135">
        <f>HYPERLINK("https://www.indeed.com/viewjob?jk=178acd5cf36da7d1", "https://www.indeed.com/viewjob?jk=178acd5cf36da7d1")</f>
        <v/>
      </c>
      <c r="F135">
        <f>HYPERLINK("https://www.amazon.jobs/jobs/3063966/sr-product-manager-subsame-day-ssd--dot-ssd-delivery-ops-tech?cmpid=DA_INAD200785B", "https://www.amazon.jobs/jobs/3063966/sr-product-manager-subsame-day-ssd--dot-ssd-delivery-ops-tech?cmpid=DA_INAD200785B")</f>
        <v/>
      </c>
      <c r="G135" t="inlineStr">
        <is>
          <t>New York, NY, US</t>
        </is>
      </c>
      <c r="H135" s="3" t="n">
        <v>45876</v>
      </c>
      <c r="I135" t="inlineStr">
        <is>
          <t>**DESCRIPTION**
---------------
We are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product requirements and drive product and feature development from conception to launch. This role combines strategic product thinking with hands\-on execution to create scalable technology products that revolutionize delivery speed and customer experience. This role may require up to 10% travel annually.  
Key job responsibilities  
* Own and develop the product strategy and roadmap for SSD delivery technology solutions, incorporating customer needs, business requirements, and business specific or operational constraints
* Define product requirements through customer research, metric analysis, and stakeholder collaboration
* Drive product development cycles working closely with science and engineering teams, including feature prioritization and driving trade\-off decisions
* Design and implement metrics frameworks to measure product success and inform iteration cycles
* Lead cross\-functional teams to implement complex technical products across the Sub Same Day Delivery network while managing stakeholder expectations
* Identify opportunities for product innovation and optimization through data analysis and customer feedback
*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influencing senior leadership through data\-driven insights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6">
      <c r="A136" t="inlineStr">
        <is>
          <t>in-1261cb20786d1bd6</t>
        </is>
      </c>
      <c r="B136" t="inlineStr">
        <is>
          <t>Sr. Product Manager, Sub-Same Day (SSD) - DOT, SSD Delivery Ops Tech</t>
        </is>
      </c>
      <c r="C136" t="inlineStr">
        <is>
          <t>Amazon.com</t>
        </is>
      </c>
      <c r="D136" t="inlineStr">
        <is>
          <t>indeed</t>
        </is>
      </c>
      <c r="E136">
        <f>HYPERLINK("https://www.indeed.com/viewjob?jk=1261cb20786d1bd6", "https://www.indeed.com/viewjob?jk=1261cb20786d1bd6")</f>
        <v/>
      </c>
      <c r="F136">
        <f>HYPERLINK("https://www.amazon.jobs/jobs/3063966/sr-product-manager-subsame-day-ssd--dot-ssd-delivery-ops-tech?cmpid=DA_INAD200785B", "https://www.amazon.jobs/jobs/3063966/sr-product-manager-subsame-day-ssd--dot-ssd-delivery-ops-tech?cmpid=DA_INAD200785B")</f>
        <v/>
      </c>
      <c r="G136" t="inlineStr">
        <is>
          <t>Bellevue, WA, US</t>
        </is>
      </c>
      <c r="H136" s="3" t="n">
        <v>45876</v>
      </c>
      <c r="I136" t="inlineStr">
        <is>
          <t>**DESCRIPTION**
---------------
We are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product requirements and drive product and feature development from conception to launch. This role combines strategic product thinking with hands\-on execution to create scalable technology products that revolutionize delivery speed and customer experience. This role may require up to 10% travel annually.  
Key job responsibilities  
* Own and develop the product strategy and roadmap for SSD delivery technology solutions, incorporating customer needs, business requirements, and business specific or operational constraints
* Define product requirements through customer research, metric analysis, and stakeholder collaboration
* Drive product development cycles working closely with science and engineering teams, including feature prioritization and driving trade\-off decisions
* Design and implement metrics frameworks to measure product success and inform iteration cycles
* Lead cross\-functional teams to implement complex technical products across the Sub Same Day Delivery network while managing stakeholder expectations
* Identify opportunities for product innovation and optimization through data analysis and customer feedback
*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influencing senior leadership through data\-driven insights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7">
      <c r="A137" t="inlineStr">
        <is>
          <t>in-659906347a393d44</t>
        </is>
      </c>
      <c r="B137" t="inlineStr">
        <is>
          <t>Sr. Product Manager, Sub-Same Day (SSD) - DOT, SSD Delivery Ops Tech</t>
        </is>
      </c>
      <c r="C137" t="inlineStr">
        <is>
          <t>Amazon.com</t>
        </is>
      </c>
      <c r="D137" t="inlineStr">
        <is>
          <t>indeed</t>
        </is>
      </c>
      <c r="E137">
        <f>HYPERLINK("https://www.indeed.com/viewjob?jk=659906347a393d44", "https://www.indeed.com/viewjob?jk=659906347a393d44")</f>
        <v/>
      </c>
      <c r="F137">
        <f>HYPERLINK("https://www.amazon.jobs/jobs/3063966/sr-product-manager-subsame-day-ssd--dot-ssd-delivery-ops-tech?cmpid=DA_INAD200785B", "https://www.amazon.jobs/jobs/3063966/sr-product-manager-subsame-day-ssd--dot-ssd-delivery-ops-tech?cmpid=DA_INAD200785B")</f>
        <v/>
      </c>
      <c r="G137" t="inlineStr">
        <is>
          <t>Nashville, TN, US</t>
        </is>
      </c>
      <c r="H137" s="3" t="n">
        <v>45876</v>
      </c>
      <c r="I137" t="inlineStr">
        <is>
          <t>**DESCRIPTION**
---------------
We are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product requirements and drive product and feature development from conception to launch. This role combines strategic product thinking with hands\-on execution to create scalable technology products that revolutionize delivery speed and customer experience. This role may require up to 10% travel annually.  
Key job responsibilities  
* Own and develop the product strategy and roadmap for SSD delivery technology solutions, incorporating customer needs, business requirements, and business specific or operational constraints
* Define product requirements through customer research, metric analysis, and stakeholder collaboration
* Drive product development cycles working closely with science and engineering teams, including feature prioritization and driving trade\-off decisions
* Design and implement metrics frameworks to measure product success and inform iteration cycles
* Lead cross\-functional teams to implement complex technical products across the Sub Same Day Delivery network while managing stakeholder expectations
* Identify opportunities for product innovation and optimization through data analysis and customer feedback
*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influencing senior leadership through data\-driven insights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8">
      <c r="A138" t="inlineStr">
        <is>
          <t>in-3d570cbb15d2cbce</t>
        </is>
      </c>
      <c r="B138" t="inlineStr">
        <is>
          <t>Sr. Product Manager, Sub-Same Day (SSD) Delivery</t>
        </is>
      </c>
      <c r="C138" t="inlineStr">
        <is>
          <t>Amazon.com</t>
        </is>
      </c>
      <c r="D138" t="inlineStr">
        <is>
          <t>indeed</t>
        </is>
      </c>
      <c r="E138">
        <f>HYPERLINK("https://www.indeed.com/viewjob?jk=3d570cbb15d2cbce", "https://www.indeed.com/viewjob?jk=3d570cbb15d2cbce")</f>
        <v/>
      </c>
      <c r="F138">
        <f>HYPERLINK("https://www.amazon.jobs/jobs/3062157/sr-product-manager-subsame-day-ssd-delivery?cmpid=DA_INAD200785B", "https://www.amazon.jobs/jobs/3062157/sr-product-manager-subsame-day-ssd-delivery?cmpid=DA_INAD200785B")</f>
        <v/>
      </c>
      <c r="G138" t="inlineStr">
        <is>
          <t>New York, NY, US</t>
        </is>
      </c>
      <c r="H138" s="3" t="n">
        <v>45874</v>
      </c>
      <c r="I138" t="inlineStr">
        <is>
          <t>**DESCRIPTION**
---------------
Amazon is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business requirements into technical solutions, and drive product development from conception to launch. This role combines strategic product thinking with hands\-on execution to create scalable technology products that revolutionize delivery speed and customer experience. This role may require up to 10% travel annually.  
Key job responsibilities  
1\. Own and develop the product strategy and roadmap for SSD delivery technology solutions, incorporating customer needs, business requirements, and business specific or operational constraints  
2\. Define product requirements and technical specifications through customer research, metric analysis, and stakeholder collaboration  
3\. Drive product development cycles working closely with science and engineering teams, including feature prioritization and driving trade\-off decisions  
4\. Design and implement metrics frameworks to measure product success and inform iteration cycles  
5\. Lead cross\-functional teams to implement complex technical products across the Sub Same 6\. Day Delivery network while managing stakeholder expectations  
7\. Identify opportunities for product innovation and optimization through data analysis and customer feedback  
8\.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 influencing senior leadership through data driven insights
* Master's degree or equivalent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9">
      <c r="A139" t="inlineStr">
        <is>
          <t>in-33c6620275443495</t>
        </is>
      </c>
      <c r="B139" t="inlineStr">
        <is>
          <t>Sr. Product Manager, Sub-Same Day (SSD) Delivery</t>
        </is>
      </c>
      <c r="C139" t="inlineStr">
        <is>
          <t>Amazon.com</t>
        </is>
      </c>
      <c r="D139" t="inlineStr">
        <is>
          <t>indeed</t>
        </is>
      </c>
      <c r="E139">
        <f>HYPERLINK("https://www.indeed.com/viewjob?jk=33c6620275443495", "https://www.indeed.com/viewjob?jk=33c6620275443495")</f>
        <v/>
      </c>
      <c r="F139">
        <f>HYPERLINK("https://www.amazon.jobs/jobs/3062157/sr-product-manager-subsame-day-ssd-delivery?cmpid=DA_INAD200785B", "https://www.amazon.jobs/jobs/3062157/sr-product-manager-subsame-day-ssd-delivery?cmpid=DA_INAD200785B")</f>
        <v/>
      </c>
      <c r="G139" t="inlineStr">
        <is>
          <t>Bellevue, WA, US</t>
        </is>
      </c>
      <c r="H139" s="3" t="n">
        <v>45874</v>
      </c>
      <c r="I139" t="inlineStr">
        <is>
          <t>**DESCRIPTION**
---------------
Amazon is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business requirements into technical solutions, and drive product development from conception to launch. This role combines strategic product thinking with hands\-on execution to create scalable technology products that revolutionize delivery speed and customer experience. This role may require up to 10% travel annually.  
Key job responsibilities  
1\. Own and develop the product strategy and roadmap for SSD delivery technology solutions, incorporating customer needs, business requirements, and business specific or operational constraints  
2\. Define product requirements and technical specifications through customer research, metric analysis, and stakeholder collaboration  
3\. Drive product development cycles working closely with science and engineering teams, including feature prioritization and driving trade\-off decisions  
4\. Design and implement metrics frameworks to measure product success and inform iteration cycles  
5\. Lead cross\-functional teams to implement complex technical products across the Sub Same 6\. Day Delivery network while managing stakeholder expectations  
7\. Identify opportunities for product innovation and optimization through data analysis and customer feedback  
8\.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 influencing senior leadership through data driven insights
* Master's degree or equivalent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0">
      <c r="A140" t="inlineStr">
        <is>
          <t>in-73d65fadcbe9bc34</t>
        </is>
      </c>
      <c r="B140" t="inlineStr">
        <is>
          <t>Sr. Product Manager, Sub-Same Day (SSD) Delivery</t>
        </is>
      </c>
      <c r="C140" t="inlineStr">
        <is>
          <t>Amazon.com</t>
        </is>
      </c>
      <c r="D140" t="inlineStr">
        <is>
          <t>indeed</t>
        </is>
      </c>
      <c r="E140">
        <f>HYPERLINK("https://www.indeed.com/viewjob?jk=73d65fadcbe9bc34", "https://www.indeed.com/viewjob?jk=73d65fadcbe9bc34")</f>
        <v/>
      </c>
      <c r="F140">
        <f>HYPERLINK("https://www.amazon.jobs/jobs/3062157/sr-product-manager-subsame-day-ssd-delivery?cmpid=DA_INAD200785B", "https://www.amazon.jobs/jobs/3062157/sr-product-manager-subsame-day-ssd-delivery?cmpid=DA_INAD200785B")</f>
        <v/>
      </c>
      <c r="G140" t="inlineStr">
        <is>
          <t>Nashville, TN, US</t>
        </is>
      </c>
      <c r="H140" s="3" t="n">
        <v>45874</v>
      </c>
      <c r="I140" t="inlineStr">
        <is>
          <t>**DESCRIPTION**
---------------
Amazon is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business requirements into technical solutions, and drive product development from conception to launch. This role combines strategic product thinking with hands\-on execution to create scalable technology products that revolutionize delivery speed and customer experience. This role may require up to 10% travel annually.  
Key job responsibilities  
1\. Own and develop the product strategy and roadmap for SSD delivery technology solutions, incorporating customer needs, business requirements, and business specific or operational constraints  
2\. Define product requirements and technical specifications through customer research, metric analysis, and stakeholder collaboration  
3\. Drive product development cycles working closely with science and engineering teams, including feature prioritization and driving trade\-off decisions  
4\. Design and implement metrics frameworks to measure product success and inform iteration cycles  
5\. Lead cross\-functional teams to implement complex technical products across the Sub Same 6\. Day Delivery network while managing stakeholder expectations  
7\. Identify opportunities for product innovation and optimization through data analysis and customer feedback  
8\.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 influencing senior leadership through data driven insights
* Master's degree or equivalent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1">
      <c r="A141" t="inlineStr">
        <is>
          <t>in-8b7a9fc7eee5274a</t>
        </is>
      </c>
      <c r="B141" t="inlineStr">
        <is>
          <t>Senior Product Manager - Tech, Fire TV</t>
        </is>
      </c>
      <c r="C141" t="inlineStr">
        <is>
          <t>Amazon.com</t>
        </is>
      </c>
      <c r="D141" t="inlineStr">
        <is>
          <t>indeed</t>
        </is>
      </c>
      <c r="E141">
        <f>HYPERLINK("https://www.indeed.com/viewjob?jk=8b7a9fc7eee5274a", "https://www.indeed.com/viewjob?jk=8b7a9fc7eee5274a")</f>
        <v/>
      </c>
      <c r="F141">
        <f>HYPERLINK("https://www.amazon.jobs/jobs/3058473/senior-product-manager--tech-fire-tv?cmpid=DA_INAD200785B", "https://www.amazon.jobs/jobs/3058473/senior-product-manager--tech-fire-tv?cmpid=DA_INAD200785B")</f>
        <v/>
      </c>
      <c r="G141" t="inlineStr">
        <is>
          <t>Sunnyvale, CA, US</t>
        </is>
      </c>
      <c r="H141" s="3" t="n">
        <v>45855</v>
      </c>
      <c r="I141" t="inlineStr">
        <is>
          <t>**DESCRIPTION**
---------------
We're seeking an experienced Senior Product Manager to lead the development and launch of Fire TV's flagship devices. In this strategic role, you'll drive innovation and product excellence while managing large cross\-functional teams to deliver innovative entertainment solutions to millions of customers globally. You'll have direct impact on Fire TV's future direction and work closely with Amazon's executive leadership.  
In this role,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This is an exceptional opportunity to shape the future of home entertainment at global scale. You'll work with emerging technology, lead innovative projects, and have significant impact on products used by millions of customers worldwide.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A day in the life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**PREFERRED QUALIFICATIONS**
----------------------------
* Experience in technical product management, program management or engineering
* Experience owning feature delivery and tradeoffs of a product
* Experience in representing and advocating for a variety of critical customers and stakeholders during executive\-level prioritization and planning
* Master's degree
* Seeking candidates with proven experience in consumer electronics, streaming media platforms, or Smart TV/streaming media player (SMP) product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2">
      <c r="A142" t="inlineStr">
        <is>
          <t>in-a9da96bea7d1fadd</t>
        </is>
      </c>
      <c r="B142" t="inlineStr">
        <is>
          <t>Senior Product Manager - Tech, Fire TV</t>
        </is>
      </c>
      <c r="C142" t="inlineStr">
        <is>
          <t>Amazon.com</t>
        </is>
      </c>
      <c r="D142" t="inlineStr">
        <is>
          <t>indeed</t>
        </is>
      </c>
      <c r="E142">
        <f>HYPERLINK("https://www.indeed.com/viewjob?jk=a9da96bea7d1fadd", "https://www.indeed.com/viewjob?jk=a9da96bea7d1fadd")</f>
        <v/>
      </c>
      <c r="F142">
        <f>HYPERLINK("https://www.amazon.jobs/jobs/3058473/senior-product-manager--tech-fire-tv?cmpid=DA_INAD200785B", "https://www.amazon.jobs/jobs/3058473/senior-product-manager--tech-fire-tv?cmpid=DA_INAD200785B")</f>
        <v/>
      </c>
      <c r="G142" t="inlineStr">
        <is>
          <t>Seattle, WA, US</t>
        </is>
      </c>
      <c r="H142" s="3" t="n">
        <v>45855</v>
      </c>
      <c r="I142" t="inlineStr">
        <is>
          <t>**DESCRIPTION**
---------------
We're seeking an experienced Senior Product Manager to lead the development and launch of Fire TV's flagship devices. In this strategic role, you'll drive innovation and product excellence while managing large cross\-functional teams to deliver innovative entertainment solutions to millions of customers globally. You'll have direct impact on Fire TV's future direction and work closely with Amazon's executive leadership.  
In this role,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This is an exceptional opportunity to shape the future of home entertainment at global scale. You'll work with emerging technology, lead innovative projects, and have significant impact on products used by millions of customers worldwide.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A day in the life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**PREFERRED QUALIFICATIONS**
----------------------------
* Experience in technical product management, program management or engineering
* Experience owning feature delivery and tradeoffs of a product
* Experience in representing and advocating for a variety of critical customers and stakeholders during executive\-level prioritization and planning
* Master's degree
* Seeking candidates with proven experience in consumer electronics, streaming media platforms, or Smart TV/streaming media player (SMP) product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3">
      <c r="A143" t="inlineStr">
        <is>
          <t>in-dd4eec6697467662</t>
        </is>
      </c>
      <c r="B143" t="inlineStr">
        <is>
          <t>Senior Product Manager - Technical, Alexa Communications</t>
        </is>
      </c>
      <c r="C143" t="inlineStr">
        <is>
          <t>Amazon.com</t>
        </is>
      </c>
      <c r="D143" t="inlineStr">
        <is>
          <t>indeed</t>
        </is>
      </c>
      <c r="E143">
        <f>HYPERLINK("https://www.indeed.com/viewjob?jk=dd4eec6697467662", "https://www.indeed.com/viewjob?jk=dd4eec6697467662")</f>
        <v/>
      </c>
      <c r="F143">
        <f>HYPERLINK("https://www.amazon.jobs/jobs/3034220/senior-product-manager--technical-alexa-communications?cmpid=DA_INAD200785B", "https://www.amazon.jobs/jobs/3034220/senior-product-manager--technical-alexa-communications?cmpid=DA_INAD200785B")</f>
        <v/>
      </c>
      <c r="G143" t="inlineStr">
        <is>
          <t>Seattle, WA, US</t>
        </is>
      </c>
      <c r="H143" s="3" t="n">
        <v>45851</v>
      </c>
      <c r="I143"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cutting edge features for end customers.  
Come join us to invent the future of how millions of customers will communicate with and through their virtual AI assistants.  
Key job responsibilities  
As a Senior Product Manager \- Technical in Alexa Communications, you will be responsible for building Announcements, messaging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4">
      <c r="A144" t="inlineStr">
        <is>
          <t>in-1adf68357f1b716c</t>
        </is>
      </c>
      <c r="B144" t="inlineStr">
        <is>
          <t>Senior Product Manager - Technical, Alexa Communications</t>
        </is>
      </c>
      <c r="C144" t="inlineStr">
        <is>
          <t>Amazon.com</t>
        </is>
      </c>
      <c r="D144" t="inlineStr">
        <is>
          <t>indeed</t>
        </is>
      </c>
      <c r="E144">
        <f>HYPERLINK("https://www.indeed.com/viewjob?jk=1adf68357f1b716c", "https://www.indeed.com/viewjob?jk=1adf68357f1b716c")</f>
        <v/>
      </c>
      <c r="F144">
        <f>HYPERLINK("https://www.amazon.jobs/jobs/3034220/senior-product-manager--technical-alexa-communications?cmpid=DA_INAD200785B", "https://www.amazon.jobs/jobs/3034220/senior-product-manager--technical-alexa-communications?cmpid=DA_INAD200785B")</f>
        <v/>
      </c>
      <c r="G144" t="inlineStr">
        <is>
          <t>Sunnyvale, CA, US</t>
        </is>
      </c>
      <c r="H144" s="3" t="n">
        <v>45851</v>
      </c>
      <c r="I144"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cutting edge features for end customers.  
Come join us to invent the future of how millions of customers will communicate with and through their virtual AI assistants.  
Key job responsibilities  
As a Senior Product Manager \- Technical in Alexa Communications, you will be responsible for building Announcements, messaging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5">
      <c r="A145" t="inlineStr">
        <is>
          <t>in-ed4cec5a2e8e26af</t>
        </is>
      </c>
      <c r="B145" t="inlineStr">
        <is>
          <t>Principal Product Manager Tech - Devices, Fire TV Devices</t>
        </is>
      </c>
      <c r="C145" t="inlineStr">
        <is>
          <t>Amazon.com</t>
        </is>
      </c>
      <c r="D145" t="inlineStr">
        <is>
          <t>indeed</t>
        </is>
      </c>
      <c r="E145">
        <f>HYPERLINK("https://www.indeed.com/viewjob?jk=ed4cec5a2e8e26af", "https://www.indeed.com/viewjob?jk=ed4cec5a2e8e26af")</f>
        <v/>
      </c>
      <c r="F145">
        <f>HYPERLINK("https://www.amazon.jobs/jobs/3029783/principal-product-manager-tech--devices-fire-tv-devices?cmpid=DA_INAD200785B", "https://www.amazon.jobs/jobs/3029783/principal-product-manager-tech--devices-fire-tv-devices?cmpid=DA_INAD200785B")</f>
        <v/>
      </c>
      <c r="G145" t="inlineStr">
        <is>
          <t>Sunnyvale, CA, US</t>
        </is>
      </c>
      <c r="H145" s="3" t="n">
        <v>45844</v>
      </c>
      <c r="I145" t="inlineStr">
        <is>
          <t>**DESCRIPTION**
---------------
In this role, you will lead the development and launch of some of Fire TV's best selling devices as well as develop new ones. You will make high judgment decisions, present persuasive cases to executive leadership and have enduring impact on the future of Fire TV.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  
This role is a good fit for someone creative, who has strong customer focus and product sense, combined with an established track record in consumer technology products, connected devices, and a real passion for TV and mobile video entertainment.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6">
      <c r="A146" t="inlineStr">
        <is>
          <t>in-f01caacb7f7301f4</t>
        </is>
      </c>
      <c r="B146" t="inlineStr">
        <is>
          <t>Principal Product Manager Tech - Devices, Fire TV Devices</t>
        </is>
      </c>
      <c r="C146" t="inlineStr">
        <is>
          <t>Amazon.com</t>
        </is>
      </c>
      <c r="D146" t="inlineStr">
        <is>
          <t>indeed</t>
        </is>
      </c>
      <c r="E146">
        <f>HYPERLINK("https://www.indeed.com/viewjob?jk=f01caacb7f7301f4", "https://www.indeed.com/viewjob?jk=f01caacb7f7301f4")</f>
        <v/>
      </c>
      <c r="F146">
        <f>HYPERLINK("https://www.amazon.jobs/jobs/3029783/principal-product-manager-tech--devices-fire-tv-devices?cmpid=DA_INAD200785B", "https://www.amazon.jobs/jobs/3029783/principal-product-manager-tech--devices-fire-tv-devices?cmpid=DA_INAD200785B")</f>
        <v/>
      </c>
      <c r="G146" t="inlineStr">
        <is>
          <t>Seattle, WA, US</t>
        </is>
      </c>
      <c r="H146" s="3" t="n">
        <v>45844</v>
      </c>
      <c r="I146" t="inlineStr">
        <is>
          <t>**DESCRIPTION**
---------------
In this role, you will lead the development and launch of some of Fire TV's best selling devices as well as develop new ones. You will make high judgment decisions, present persuasive cases to executive leadership and have enduring impact on the future of Fire TV.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  
This role is a good fit for someone creative, who has strong customer focus and product sense, combined with an established track record in consumer technology products, connected devices, and a real passion for TV and mobile video entertainment.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7">
      <c r="A147" t="inlineStr">
        <is>
          <t>in-5cbc0dbdc4d0462c</t>
        </is>
      </c>
      <c r="B147" t="inlineStr">
        <is>
          <t>Principal Product Manager-Technical, AGI, Artificial General Intellgence</t>
        </is>
      </c>
      <c r="C147" t="inlineStr">
        <is>
          <t>Amazon.com</t>
        </is>
      </c>
      <c r="D147" t="inlineStr">
        <is>
          <t>indeed</t>
        </is>
      </c>
      <c r="E147">
        <f>HYPERLINK("https://www.indeed.com/viewjob?jk=5cbc0dbdc4d0462c", "https://www.indeed.com/viewjob?jk=5cbc0dbdc4d0462c")</f>
        <v/>
      </c>
      <c r="F147">
        <f>HYPERLINK("https://www.amazon.jobs/jobs/3017572/principal-product-managertechnical-agi-artificial-general-intellgence?cmpid=DA_INAD200785B", "https://www.amazon.jobs/jobs/3017572/principal-product-managertechnical-agi-artificial-general-intellgence?cmpid=DA_INAD200785B")</f>
        <v/>
      </c>
      <c r="G147" t="inlineStr">
        <is>
          <t>Boston, MA, US</t>
        </is>
      </c>
      <c r="H147" s="3" t="n">
        <v>45824</v>
      </c>
      <c r="I147" t="inlineStr">
        <is>
          <t>**DESCRIPTION**
---------------
Do you want to work hard, have fun, and make history? Do you think fast, dive deep, and get things done? We are seeking a Principal Product Manager \- Technical to join our team to lead the development of core Foundational Models that enable the development of thousands of internal and external Generative AI Applications.  
We are seeking a dynamic, entrepreneurial product manager who is passionate about bringing the power of Generative AI to Amazon businesses and our customers. If you enjoy leading technical product innovation to build products used by all Amazon teams and AWS customers, then join our team. We are looking for a customer obsessed product manager who enjoys discovering the customer requirements, innovating on their behalf, and developing experiences the raise the bar for AGI Foundation Models.
Key job responsibilities  
You will be the voice of the customer and responsible for driving a product roadmap that enables Amazon to build the most powerful Foundation Models. You will have the responsibility of inventing on behalf of our customers and advocating for their needs throughout design, build, and launch. This position has a high level of visibility, so you will need to be able to communicate clearly and compellingly at all levels of the company. Additionally, you will be responsible for measuring business impact by diving deep into metrics and customer inputs. You should have a positive attitude and strong work ethic; you will work fast and smart, and adapt and iterate quickly.
**BASIC QUALIFICATIONS**
------------------------
* Bachelor's degree
* Experience effective collaborating with PR, Legal, Public Policy and technical teams
**PREFERRED QUALIFICATIONS**
----------------------------
* Experience working directly with Engineers on product enhancements
* Experience in project management methodologies, business analysis, or process improvement
* Experience implementing and enforcing policies through product design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8">
      <c r="A148" t="inlineStr">
        <is>
          <t>in-b29b889828889002</t>
        </is>
      </c>
      <c r="B148" t="inlineStr">
        <is>
          <t>Principal Product Manager-Technical, AGI, Artificial General Intellgence</t>
        </is>
      </c>
      <c r="C148" t="inlineStr">
        <is>
          <t>Amazon.com</t>
        </is>
      </c>
      <c r="D148" t="inlineStr">
        <is>
          <t>indeed</t>
        </is>
      </c>
      <c r="E148">
        <f>HYPERLINK("https://www.indeed.com/viewjob?jk=b29b889828889002", "https://www.indeed.com/viewjob?jk=b29b889828889002")</f>
        <v/>
      </c>
      <c r="F148">
        <f>HYPERLINK("https://www.amazon.jobs/jobs/3017572/principal-product-managertechnical-agi-artificial-general-intellgence?cmpid=DA_INAD200785B", "https://www.amazon.jobs/jobs/3017572/principal-product-managertechnical-agi-artificial-general-intellgence?cmpid=DA_INAD200785B")</f>
        <v/>
      </c>
      <c r="G148" t="inlineStr">
        <is>
          <t>Bellevue, WA, US</t>
        </is>
      </c>
      <c r="H148" s="3" t="n">
        <v>45824</v>
      </c>
      <c r="I148" t="inlineStr">
        <is>
          <t>**DESCRIPTION**
---------------
Do you want to work hard, have fun, and make history? Do you think fast, dive deep, and get things done? We are seeking a Principal Product Manager \- Technical to join our team to lead the development of core Foundational Models that enable the development of thousands of internal and external Generative AI Applications.  
We are seeking a dynamic, entrepreneurial product manager who is passionate about bringing the power of Generative AI to Amazon businesses and our customers. If you enjoy leading technical product innovation to build products used by all Amazon teams and AWS customers, then join our team. We are looking for a customer obsessed product manager who enjoys discovering the customer requirements, innovating on their behalf, and developing experiences the raise the bar for AGI Foundation Models.
Key job responsibilities  
You will be the voice of the customer and responsible for driving a product roadmap that enables Amazon to build the most powerful Foundation Models. You will have the responsibility of inventing on behalf of our customers and advocating for their needs throughout design, build, and launch. This position has a high level of visibility, so you will need to be able to communicate clearly and compellingly at all levels of the company. Additionally, you will be responsible for measuring business impact by diving deep into metrics and customer inputs. You should have a positive attitude and strong work ethic; you will work fast and smart, and adapt and iterate quickly.
**BASIC QUALIFICATIONS**
------------------------
* Bachelor's degree
* Experience effective collaborating with PR, Legal, Public Policy and technical teams
**PREFERRED QUALIFICATIONS**
----------------------------
* Experience working directly with Engineers on product enhancements
* Experience in project management methodologies, business analysis, or process improvement
* Experience implementing and enforcing policies through product design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9">
      <c r="A149" t="inlineStr">
        <is>
          <t>in-bf393e3d4fe38a19</t>
        </is>
      </c>
      <c r="B149" t="inlineStr">
        <is>
          <t>Principal Product Manager-Technical, AGI, Artificial General Intellgence</t>
        </is>
      </c>
      <c r="C149" t="inlineStr">
        <is>
          <t>Amazon.com</t>
        </is>
      </c>
      <c r="D149" t="inlineStr">
        <is>
          <t>indeed</t>
        </is>
      </c>
      <c r="E149">
        <f>HYPERLINK("https://www.indeed.com/viewjob?jk=bf393e3d4fe38a19", "https://www.indeed.com/viewjob?jk=bf393e3d4fe38a19")</f>
        <v/>
      </c>
      <c r="F149">
        <f>HYPERLINK("https://www.amazon.jobs/jobs/3017572/principal-product-managertechnical-agi-artificial-general-intellgence?cmpid=DA_INAD200785B", "https://www.amazon.jobs/jobs/3017572/principal-product-managertechnical-agi-artificial-general-intellgence?cmpid=DA_INAD200785B")</f>
        <v/>
      </c>
      <c r="G149" t="inlineStr">
        <is>
          <t>Sunnyvale, CA, US</t>
        </is>
      </c>
      <c r="H149" s="3" t="n">
        <v>45824</v>
      </c>
      <c r="I149" t="inlineStr">
        <is>
          <t>**DESCRIPTION**
---------------
Do you want to work hard, have fun, and make history? Do you think fast, dive deep, and get things done? We are seeking a Principal Product Manager \- Technical to join our team to lead the development of core Foundational Models that enable the development of thousands of internal and external Generative AI Applications.  
We are seeking a dynamic, entrepreneurial product manager who is passionate about bringing the power of Generative AI to Amazon businesses and our customers. If you enjoy leading technical product innovation to build products used by all Amazon teams and AWS customers, then join our team. We are looking for a customer obsessed product manager who enjoys discovering the customer requirements, innovating on their behalf, and developing experiences the raise the bar for AGI Foundation Models.
Key job responsibilities  
You will be the voice of the customer and responsible for driving a product roadmap that enables Amazon to build the most powerful Foundation Models. You will have the responsibility of inventing on behalf of our customers and advocating for their needs throughout design, build, and launch. This position has a high level of visibility, so you will need to be able to communicate clearly and compellingly at all levels of the company. Additionally, you will be responsible for measuring business impact by diving deep into metrics and customer inputs. You should have a positive attitude and strong work ethic; you will work fast and smart, and adapt and iterate quickly.
**BASIC QUALIFICATIONS**
------------------------
* Bachelor's degree
* Experience effective collaborating with PR, Legal, Public Policy and technical teams
**PREFERRED QUALIFICATIONS**
----------------------------
* Experience working directly with Engineers on product enhancements
* Experience in project management methodologies, business analysis, or process improvement
* Experience implementing and enforcing policies through product design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0">
      <c r="A150" t="inlineStr">
        <is>
          <t>in-6de32a159e7482c0</t>
        </is>
      </c>
      <c r="B150" t="inlineStr">
        <is>
          <t>Senior Technical Program Manager, EC2 Capacity Customer Experience</t>
        </is>
      </c>
      <c r="C150" t="inlineStr">
        <is>
          <t>Amazon Web Services</t>
        </is>
      </c>
      <c r="D150" t="inlineStr">
        <is>
          <t>indeed</t>
        </is>
      </c>
      <c r="E150">
        <f>HYPERLINK("https://www.indeed.com/viewjob?jk=6de32a159e7482c0", "https://www.indeed.com/viewjob?jk=6de32a159e7482c0")</f>
        <v/>
      </c>
      <c r="F150">
        <f>HYPERLINK("https://www.amazon.jobs/jobs/2884625/senior-technical-program-manager-ec-capacity-customer-experience?cmpid=DA_INAD200785B", "https://www.amazon.jobs/jobs/2884625/senior-technical-program-manager-ec-capacity-customer-experience?cmpid=DA_INAD200785B")</f>
        <v/>
      </c>
      <c r="G150" t="inlineStr">
        <is>
          <t>Herndon, VA, US</t>
        </is>
      </c>
      <c r="H150" s="3" t="n">
        <v>45683</v>
      </c>
      <c r="I150" t="inlineStr">
        <is>
          <t>**DESCRIPTION**
---------------
Amazon Elastic Compute Cloud (Amazon EC2\) is a web service that provides secure, resizable compute capacity in the cloud. It is designed to make web\-scale cloud computing easier and more cost effective for developers. On the EC2 Capacity Customer Experience (CCX) team within AWS, our mission is to ensure the right capacity is available for customers through forecasting, planning, guidance and execution, especially for large unpredictable scaling events.
The EC2 CCX team is searching for a passionate, driven, and talented technical program manager to plan customer capacity within our Amazon Dedicated Cloud (ADC) portfolio. This portfolio enables EC2 to deliver cloud services to government customers who have unique access control, security, and compliance requirements. This role serves as EC2’s primary POC for managing demand intake, organizing supportability scenarios to influence VP\+ business decisions, and ensuring infrastructure and EC2 teams execute against global commitments. This customer facing role includes driving key initiatives that support goals/KPIs that are measured and reported to executive leadership. You will make high velocity decisions under circumstances that can at times be ambiguous. As the business of cloud computing grows increasingly technologically complex, it also brings new opportunity to drive capital efficiency and ensure the right decisions are getting made to the delight of our customers. Additional responsibilities include driving process improvements and collaborating with engineering organizations to build new technologies that automate all aspects of EC2's capacity planning and delivery within the portfolio.  
From Day 1, Technical Program Managers are given ownership and the autonomy to think strategically and make data driven decisions, along with the ability to drive significant impact on the customer experience as well as the business. This role requires working with professionals in many different domains including Engineering, Product Management, Supply Chain, and Finance along with high visibility to senior leaders at AWS.  
This position requires that the candidate selected be a US Citizen and must currently possess and maintain an active TS/SCI security clearance with polygraph. A successful clearance crossover to AWS is required prior to a Day 1 start.  
About the team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customers who require specialized security solutions for their cloud services.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technical product or program management experience
* Experience leading highly technical programs involving infrastructure, complex systems, systems engineering
* Experience managing programs across cross functional teams, building processes and coordinating release schedules
* Current, active US Government Security Clearance of TS/SCI with Polygraph
**PREFERRED QUALIFICATIONS**
----------------------------
* 5\+ years of project management disciplines including scope, schedule, budget, quality, along with risk and critical path management experience
* Experience defining KPI's/SLA's used to drive multi\-million dollar businesses and reporting to senior leadership
* Experience in technical program management working directly with software engineering teams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$133,900/year in our lowest geographic market up to $231,400/year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1">
      <c r="A151" t="inlineStr">
        <is>
          <t>in-c229eba575c7954c</t>
        </is>
      </c>
      <c r="B151" t="inlineStr">
        <is>
          <t>Senior Technical Program Manager, EC2 Capacity Customer Experience</t>
        </is>
      </c>
      <c r="C151" t="inlineStr">
        <is>
          <t>Amazon Web Services</t>
        </is>
      </c>
      <c r="D151" t="inlineStr">
        <is>
          <t>indeed</t>
        </is>
      </c>
      <c r="E151">
        <f>HYPERLINK("https://www.indeed.com/viewjob?jk=c229eba575c7954c", "https://www.indeed.com/viewjob?jk=c229eba575c7954c")</f>
        <v/>
      </c>
      <c r="F151">
        <f>HYPERLINK("https://www.amazon.jobs/jobs/2884625/senior-technical-program-manager-ec-capacity-customer-experience?cmpid=DA_INAD200785B", "https://www.amazon.jobs/jobs/2884625/senior-technical-program-manager-ec-capacity-customer-experience?cmpid=DA_INAD200785B")</f>
        <v/>
      </c>
      <c r="G151" t="inlineStr">
        <is>
          <t>Seattle, WA, US</t>
        </is>
      </c>
      <c r="H151" s="3" t="n">
        <v>45683</v>
      </c>
      <c r="I151" t="inlineStr">
        <is>
          <t>**DESCRIPTION**
---------------
Amazon Elastic Compute Cloud (Amazon EC2\) is a web service that provides secure, resizable compute capacity in the cloud. It is designed to make web\-scale cloud computing easier and more cost effective for developers. On the EC2 Capacity Customer Experience (CCX) team within AWS, our mission is to ensure the right capacity is available for customers through forecasting, planning, guidance and execution, especially for large unpredictable scaling events.
The EC2 CCX team is searching for a passionate, driven, and talented technical program manager to plan customer capacity within our Amazon Dedicated Cloud (ADC) portfolio. This portfolio enables EC2 to deliver cloud services to government customers who have unique access control, security, and compliance requirements. This role serves as EC2’s primary POC for managing demand intake, organizing supportability scenarios to influence VP\+ business decisions, and ensuring infrastructure and EC2 teams execute against global commitments. This customer facing role includes driving key initiatives that support goals/KPIs that are measured and reported to executive leadership. You will make high velocity decisions under circumstances that can at times be ambiguous. As the business of cloud computing grows increasingly technologically complex, it also brings new opportunity to drive capital efficiency and ensure the right decisions are getting made to the delight of our customers. Additional responsibilities include driving process improvements and collaborating with engineering organizations to build new technologies that automate all aspects of EC2's capacity planning and delivery within the portfolio.  
From Day 1, Technical Program Managers are given ownership and the autonomy to think strategically and make data driven decisions, along with the ability to drive significant impact on the customer experience as well as the business. This role requires working with professionals in many different domains including Engineering, Product Management, Supply Chain, and Finance along with high visibility to senior leaders at AWS.  
This position requires that the candidate selected be a US Citizen and must currently possess and maintain an active TS/SCI security clearance with polygraph. A successful clearance crossover to AWS is required prior to a Day 1 start.  
About the team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customers who require specialized security solutions for their cloud services.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technical product or program management experience
* Experience leading highly technical programs involving infrastructure, complex systems, systems engineering
* Experience managing programs across cross functional teams, building processes and coordinating release schedules
* Current, active US Government Security Clearance of TS/SCI with Polygraph
**PREFERRED QUALIFICATIONS**
----------------------------
* 5\+ years of project management disciplines including scope, schedule, budget, quality, along with risk and critical path management experience
* Experience defining KPI's/SLA's used to drive multi\-million dollar businesses and reporting to senior leadership
* Experience in technical program management working directly with software engineering teams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$133,900/year in our lowest geographic market up to $231,400/year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2">
      <c r="A152" t="inlineStr">
        <is>
          <t>in-5f6fb6c98b58aa4a</t>
        </is>
      </c>
      <c r="B152" t="inlineStr">
        <is>
          <t>Senior Technical Program Manager, EC2 Capacity Customer Experience</t>
        </is>
      </c>
      <c r="C152" t="inlineStr">
        <is>
          <t>Amazon Web Services</t>
        </is>
      </c>
      <c r="D152" t="inlineStr">
        <is>
          <t>indeed</t>
        </is>
      </c>
      <c r="E152">
        <f>HYPERLINK("https://www.indeed.com/viewjob?jk=5f6fb6c98b58aa4a", "https://www.indeed.com/viewjob?jk=5f6fb6c98b58aa4a")</f>
        <v/>
      </c>
      <c r="F152">
        <f>HYPERLINK("https://www.amazon.jobs/jobs/2884625/senior-technical-program-manager-ec-capacity-customer-experience?cmpid=DA_INAD200785B", "https://www.amazon.jobs/jobs/2884625/senior-technical-program-manager-ec-capacity-customer-experience?cmpid=DA_INAD200785B")</f>
        <v/>
      </c>
      <c r="G152" t="inlineStr">
        <is>
          <t>Arlington, VA, US</t>
        </is>
      </c>
      <c r="H152" s="3" t="n">
        <v>45683</v>
      </c>
      <c r="I152" t="inlineStr">
        <is>
          <t>**DESCRIPTION**
---------------
Amazon Elastic Compute Cloud (Amazon EC2\) is a web service that provides secure, resizable compute capacity in the cloud. It is designed to make web\-scale cloud computing easier and more cost effective for developers. On the EC2 Capacity Customer Experience (CCX) team within AWS, our mission is to ensure the right capacity is available for customers through forecasting, planning, guidance and execution, especially for large unpredictable scaling events.
The EC2 CCX team is searching for a passionate, driven, and talented technical program manager to plan customer capacity within our Amazon Dedicated Cloud (ADC) portfolio. This portfolio enables EC2 to deliver cloud services to government customers who have unique access control, security, and compliance requirements. This role serves as EC2’s primary POC for managing demand intake, organizing supportability scenarios to influence VP\+ business decisions, and ensuring infrastructure and EC2 teams execute against global commitments. This customer facing role includes driving key initiatives that support goals/KPIs that are measured and reported to executive leadership. You will make high velocity decisions under circumstances that can at times be ambiguous. As the business of cloud computing grows increasingly technologically complex, it also brings new opportunity to drive capital efficiency and ensure the right decisions are getting made to the delight of our customers. Additional responsibilities include driving process improvements and collaborating with engineering organizations to build new technologies that automate all aspects of EC2's capacity planning and delivery within the portfolio.  
From Day 1, Technical Program Managers are given ownership and the autonomy to think strategically and make data driven decisions, along with the ability to drive significant impact on the customer experience as well as the business. This role requires working with professionals in many different domains including Engineering, Product Management, Supply Chain, and Finance along with high visibility to senior leaders at AWS.  
This position requires that the candidate selected be a US Citizen and must currently possess and maintain an active TS/SCI security clearance with polygraph. A successful clearance crossover to AWS is required prior to a Day 1 start.  
About the team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customers who require specialized security solutions for their cloud services.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technical product or program management experience
* Experience leading highly technical programs involving infrastructure, complex systems, systems engineering
* Experience managing programs across cross functional teams, building processes and coordinating release schedules
* Current, active US Government Security Clearance of TS/SCI with Polygraph
**PREFERRED QUALIFICATIONS**
----------------------------
* 5\+ years of project management disciplines including scope, schedule, budget, quality, along with risk and critical path management experience
* Experience defining KPI's/SLA's used to drive multi\-million dollar businesses and reporting to senior leadership
* Experience in technical program management working directly with software engineering teams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$133,900/year in our lowest geographic market up to $231,400/year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3">
      <c r="A153" t="inlineStr">
        <is>
          <t>in-f3c5d92c867e8cdf</t>
        </is>
      </c>
      <c r="B153" t="inlineStr">
        <is>
          <t>Sr. Product Manager Technical, Deal Tooling &amp; Insights, Strategic Customer Engagements</t>
        </is>
      </c>
      <c r="C153" t="inlineStr">
        <is>
          <t>Amazon Web Services</t>
        </is>
      </c>
      <c r="D153" t="inlineStr">
        <is>
          <t>indeed</t>
        </is>
      </c>
      <c r="E153">
        <f>HYPERLINK("https://www.indeed.com/viewjob?jk=f3c5d92c867e8cdf", "https://www.indeed.com/viewjob?jk=f3c5d92c867e8cdf")</f>
        <v/>
      </c>
      <c r="F153">
        <f>HYPERLINK("https://www.amazon.jobs/jobs/3138889/sr-product-manager-technical-deal-tooling--insights-strategic-customer-engagements?cmpid=DA_INAD200785B", "https://www.amazon.jobs/jobs/3138889/sr-product-manager-technical-deal-tooling--insights-strategic-customer-engagements?cmpid=DA_INAD200785B")</f>
        <v/>
      </c>
      <c r="G153" t="inlineStr">
        <is>
          <t>Dallas, TX, US</t>
        </is>
      </c>
      <c r="H153" s="3" t="n">
        <v>45994</v>
      </c>
      <c r="I153"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54">
      <c r="A154" t="inlineStr">
        <is>
          <t>in-16ca63f47549e8e2</t>
        </is>
      </c>
      <c r="B154" t="inlineStr">
        <is>
          <t>Sr. Product Manager Technical, Deal Tooling &amp; Insights, Strategic Customer Engagements</t>
        </is>
      </c>
      <c r="C154" t="inlineStr">
        <is>
          <t>Amazon Web Services</t>
        </is>
      </c>
      <c r="D154" t="inlineStr">
        <is>
          <t>indeed</t>
        </is>
      </c>
      <c r="E154">
        <f>HYPERLINK("https://www.indeed.com/viewjob?jk=16ca63f47549e8e2", "https://www.indeed.com/viewjob?jk=16ca63f47549e8e2")</f>
        <v/>
      </c>
      <c r="F154">
        <f>HYPERLINK("https://www.amazon.jobs/jobs/3138889/sr-product-manager-technical-deal-tooling--insights-strategic-customer-engagements?cmpid=DA_INAD200785B", "https://www.amazon.jobs/jobs/3138889/sr-product-manager-technical-deal-tooling--insights-strategic-customer-engagements?cmpid=DA_INAD200785B")</f>
        <v/>
      </c>
      <c r="G154" t="inlineStr">
        <is>
          <t>Arlington, VA, US</t>
        </is>
      </c>
      <c r="H154" s="3" t="n">
        <v>45994</v>
      </c>
      <c r="I154"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55">
      <c r="A155" t="inlineStr">
        <is>
          <t>in-40aabaeff18487e2</t>
        </is>
      </c>
      <c r="B155" t="inlineStr">
        <is>
          <t>Sr. Product Manager Technical, Deal Tooling &amp; Insights, Strategic Customer Engagements</t>
        </is>
      </c>
      <c r="C155" t="inlineStr">
        <is>
          <t>Amazon Web Services</t>
        </is>
      </c>
      <c r="D155" t="inlineStr">
        <is>
          <t>indeed</t>
        </is>
      </c>
      <c r="E155">
        <f>HYPERLINK("https://www.indeed.com/viewjob?jk=40aabaeff18487e2", "https://www.indeed.com/viewjob?jk=40aabaeff18487e2")</f>
        <v/>
      </c>
      <c r="F155">
        <f>HYPERLINK("https://www.amazon.jobs/jobs/3138889/sr-product-manager-technical-deal-tooling--insights-strategic-customer-engagements?cmpid=DA_INAD200785B", "https://www.amazon.jobs/jobs/3138889/sr-product-manager-technical-deal-tooling--insights-strategic-customer-engagements?cmpid=DA_INAD200785B")</f>
        <v/>
      </c>
      <c r="G155" t="inlineStr">
        <is>
          <t>Austin, TX, US</t>
        </is>
      </c>
      <c r="H155" s="3" t="n">
        <v>45994</v>
      </c>
      <c r="I155"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56">
      <c r="A156" t="inlineStr">
        <is>
          <t>in-d855da3d867fd051</t>
        </is>
      </c>
      <c r="B156" t="inlineStr">
        <is>
          <t>Sr. Product Manager Technical, Deal Tooling &amp; Insights, Strategic Customer Engagements</t>
        </is>
      </c>
      <c r="C156" t="inlineStr">
        <is>
          <t>Amazon Web Services</t>
        </is>
      </c>
      <c r="D156" t="inlineStr">
        <is>
          <t>indeed</t>
        </is>
      </c>
      <c r="E156">
        <f>HYPERLINK("https://www.indeed.com/viewjob?jk=d855da3d867fd051", "https://www.indeed.com/viewjob?jk=d855da3d867fd051")</f>
        <v/>
      </c>
      <c r="F156">
        <f>HYPERLINK("https://www.amazon.jobs/jobs/3138889/sr-product-manager-technical-deal-tooling--insights-strategic-customer-engagements?cmpid=DA_INAD200785B", "https://www.amazon.jobs/jobs/3138889/sr-product-manager-technical-deal-tooling--insights-strategic-customer-engagements?cmpid=DA_INAD200785B")</f>
        <v/>
      </c>
      <c r="G156" t="inlineStr">
        <is>
          <t>Herndon, VA, US</t>
        </is>
      </c>
      <c r="H156" s="3" t="n">
        <v>45994</v>
      </c>
      <c r="I156"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57">
      <c r="A157" t="inlineStr">
        <is>
          <t>in-04634faa51ad36e6</t>
        </is>
      </c>
      <c r="B157" t="inlineStr">
        <is>
          <t>Sr. Product Manager Technical, Deal Tooling &amp; Insights, Strategic Customer Engagements</t>
        </is>
      </c>
      <c r="C157" t="inlineStr">
        <is>
          <t>Amazon Web Services</t>
        </is>
      </c>
      <c r="D157" t="inlineStr">
        <is>
          <t>indeed</t>
        </is>
      </c>
      <c r="E157">
        <f>HYPERLINK("https://www.indeed.com/viewjob?jk=04634faa51ad36e6", "https://www.indeed.com/viewjob?jk=04634faa51ad36e6")</f>
        <v/>
      </c>
      <c r="F157">
        <f>HYPERLINK("https://www.amazon.jobs/jobs/3138889/sr-product-manager-technical-deal-tooling--insights-strategic-customer-engagements?cmpid=DA_INAD200785B", "https://www.amazon.jobs/jobs/3138889/sr-product-manager-technical-deal-tooling--insights-strategic-customer-engagements?cmpid=DA_INAD200785B")</f>
        <v/>
      </c>
      <c r="G157" t="inlineStr">
        <is>
          <t>Seattle, WA, US</t>
        </is>
      </c>
      <c r="H157" s="3" t="n">
        <v>45994</v>
      </c>
      <c r="I157"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58">
      <c r="A158" t="inlineStr">
        <is>
          <t>in-603b6e6a7e41c03a</t>
        </is>
      </c>
      <c r="B158" t="inlineStr">
        <is>
          <t>Sr. Product Manager Technical, Deal Tooling &amp; Insights, Strategic Customer Engagements</t>
        </is>
      </c>
      <c r="C158" t="inlineStr">
        <is>
          <t>Amazon Web Services</t>
        </is>
      </c>
      <c r="D158" t="inlineStr">
        <is>
          <t>indeed</t>
        </is>
      </c>
      <c r="E158">
        <f>HYPERLINK("https://www.indeed.com/viewjob?jk=603b6e6a7e41c03a", "https://www.indeed.com/viewjob?jk=603b6e6a7e41c03a")</f>
        <v/>
      </c>
      <c r="F158">
        <f>HYPERLINK("https://www.amazon.jobs/jobs/3138889/sr-product-manager-technical-deal-tooling--insights-strategic-customer-engagements?cmpid=DA_INAD200785B", "https://www.amazon.jobs/jobs/3138889/sr-product-manager-technical-deal-tooling--insights-strategic-customer-engagements?cmpid=DA_INAD200785B")</f>
        <v/>
      </c>
      <c r="G158" t="inlineStr">
        <is>
          <t>New York, NY, US</t>
        </is>
      </c>
      <c r="H158" s="3" t="n">
        <v>45994</v>
      </c>
      <c r="I158"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159">
      <c r="A159" t="inlineStr">
        <is>
          <t>in-dbf0730f6dc88410</t>
        </is>
      </c>
      <c r="B159" t="inlineStr">
        <is>
          <t>Principal Product Manager - Technical, Alexa Communications</t>
        </is>
      </c>
      <c r="C159" t="inlineStr">
        <is>
          <t>Amazon.com</t>
        </is>
      </c>
      <c r="D159" t="inlineStr">
        <is>
          <t>indeed</t>
        </is>
      </c>
      <c r="E159">
        <f>HYPERLINK("https://www.indeed.com/viewjob?jk=dbf0730f6dc88410", "https://www.indeed.com/viewjob?jk=dbf0730f6dc88410")</f>
        <v/>
      </c>
      <c r="F159">
        <f>HYPERLINK("https://www.amazon.jobs/jobs/3137022/principal-product-manager--technical-alexa-communications?cmpid=DA_INAD200785B", "https://www.amazon.jobs/jobs/3137022/principal-product-manager--technical-alexa-communications?cmpid=DA_INAD200785B")</f>
        <v/>
      </c>
      <c r="G159" t="inlineStr">
        <is>
          <t>Seattle, WA, US</t>
        </is>
      </c>
      <c r="H159" s="3" t="n">
        <v>45993</v>
      </c>
      <c r="I159"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state of the art features for end customers.  
Come join us to invent the future of how millions of customers will communicate with and through their virtual AI assistants.  
Key job responsibilities  
As a Principal Product Manager \- Technical in Alexa Communications, you will be responsible for building calling, texting, emailing,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as a strong leader who can prioritize well, communicate clearly and effectively influence across cross\-functional teams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0">
      <c r="A160" t="inlineStr">
        <is>
          <t>in-9af9acdd31ec2a59</t>
        </is>
      </c>
      <c r="B160" t="inlineStr">
        <is>
          <t>Principal Product Manager - Technical, Alexa Communications</t>
        </is>
      </c>
      <c r="C160" t="inlineStr">
        <is>
          <t>Amazon.com</t>
        </is>
      </c>
      <c r="D160" t="inlineStr">
        <is>
          <t>indeed</t>
        </is>
      </c>
      <c r="E160">
        <f>HYPERLINK("https://www.indeed.com/viewjob?jk=9af9acdd31ec2a59", "https://www.indeed.com/viewjob?jk=9af9acdd31ec2a59")</f>
        <v/>
      </c>
      <c r="F160">
        <f>HYPERLINK("https://www.amazon.jobs/jobs/3137022/principal-product-manager--technical-alexa-communications?cmpid=DA_INAD200785B", "https://www.amazon.jobs/jobs/3137022/principal-product-manager--technical-alexa-communications?cmpid=DA_INAD200785B")</f>
        <v/>
      </c>
      <c r="G160" t="inlineStr">
        <is>
          <t>Irvine, CA, US</t>
        </is>
      </c>
      <c r="H160" s="3" t="n">
        <v>45993</v>
      </c>
      <c r="I160"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state of the art features for end customers.  
Come join us to invent the future of how millions of customers will communicate with and through their virtual AI assistants.  
Key job responsibilities  
As a Principal Product Manager \- Technical in Alexa Communications, you will be responsible for building calling, texting, emailing,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as a strong leader who can prioritize well, communicate clearly and effectively influence across cross\-functional teams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1">
      <c r="A161" t="inlineStr">
        <is>
          <t>in-e59db909c686a65e</t>
        </is>
      </c>
      <c r="B161" t="inlineStr">
        <is>
          <t>Principal Product Manager - Technical, Alexa Communications</t>
        </is>
      </c>
      <c r="C161" t="inlineStr">
        <is>
          <t>Amazon.com</t>
        </is>
      </c>
      <c r="D161" t="inlineStr">
        <is>
          <t>indeed</t>
        </is>
      </c>
      <c r="E161">
        <f>HYPERLINK("https://www.indeed.com/viewjob?jk=e59db909c686a65e", "https://www.indeed.com/viewjob?jk=e59db909c686a65e")</f>
        <v/>
      </c>
      <c r="F161">
        <f>HYPERLINK("https://www.amazon.jobs/jobs/3137022/principal-product-manager--technical-alexa-communications?cmpid=DA_INAD200785B", "https://www.amazon.jobs/jobs/3137022/principal-product-manager--technical-alexa-communications?cmpid=DA_INAD200785B")</f>
        <v/>
      </c>
      <c r="G161" t="inlineStr">
        <is>
          <t>Sunnyvale, CA, US</t>
        </is>
      </c>
      <c r="H161" s="3" t="n">
        <v>45993</v>
      </c>
      <c r="I161"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state of the art features for end customers.  
Come join us to invent the future of how millions of customers will communicate with and through their virtual AI assistants.  
Key job responsibilities  
As a Principal Product Manager \- Technical in Alexa Communications, you will be responsible for building calling, texting, emailing,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as a strong leader who can prioritize well, communicate clearly and effectively influence across cross\-functional teams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2">
      <c r="A162" t="inlineStr">
        <is>
          <t>in-b612d0318f5b0771</t>
        </is>
      </c>
      <c r="B162" t="inlineStr">
        <is>
          <t>Principal Product Manager - Tech, Recommender Systems, Prime Video Personalization &amp; Discovery</t>
        </is>
      </c>
      <c r="C162" t="inlineStr">
        <is>
          <t>Amazon.com</t>
        </is>
      </c>
      <c r="D162" t="inlineStr">
        <is>
          <t>indeed</t>
        </is>
      </c>
      <c r="E162">
        <f>HYPERLINK("https://www.indeed.com/viewjob?jk=b612d0318f5b0771", "https://www.indeed.com/viewjob?jk=b612d0318f5b0771")</f>
        <v/>
      </c>
      <c r="F162">
        <f>HYPERLINK("https://www.amazon.jobs/jobs/2956622/principal-product-manager--tech-recommender-systems-prime-video-personalization--discovery-?cmpid=DA_INAD200785B", "https://www.amazon.jobs/jobs/2956622/principal-product-manager--tech-recommender-systems-prime-video-personalization--discovery-?cmpid=DA_INAD200785B")</f>
        <v/>
      </c>
      <c r="G162" t="inlineStr">
        <is>
          <t>Washington, DC, US</t>
        </is>
      </c>
      <c r="H162" s="3" t="n">
        <v>45753</v>
      </c>
      <c r="I16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3">
      <c r="A163" t="inlineStr">
        <is>
          <t>in-f07fbdf73e11b9f1</t>
        </is>
      </c>
      <c r="B163" t="inlineStr">
        <is>
          <t>Principal Product Manager - Tech, Recommender Systems, Prime Video Personalization &amp; Discovery</t>
        </is>
      </c>
      <c r="C163" t="inlineStr">
        <is>
          <t>Amazon.com</t>
        </is>
      </c>
      <c r="D163" t="inlineStr">
        <is>
          <t>indeed</t>
        </is>
      </c>
      <c r="E163">
        <f>HYPERLINK("https://www.indeed.com/viewjob?jk=f07fbdf73e11b9f1", "https://www.indeed.com/viewjob?jk=f07fbdf73e11b9f1")</f>
        <v/>
      </c>
      <c r="F163">
        <f>HYPERLINK("https://www.amazon.jobs/jobs/2956622/principal-product-manager--tech-recommender-systems-prime-video-personalization--discovery-?cmpid=DA_INAD200785B", "https://www.amazon.jobs/jobs/2956622/principal-product-manager--tech-recommender-systems-prime-video-personalization--discovery-?cmpid=DA_INAD200785B")</f>
        <v/>
      </c>
      <c r="G163" t="inlineStr">
        <is>
          <t>Seattle, WA, US</t>
        </is>
      </c>
      <c r="H163" s="3" t="n">
        <v>45753</v>
      </c>
      <c r="I16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4">
      <c r="A164" t="inlineStr">
        <is>
          <t>in-af4631863688806e</t>
        </is>
      </c>
      <c r="B164" t="inlineStr">
        <is>
          <t>Technical Program Manager, Leo Security</t>
        </is>
      </c>
      <c r="C164" t="inlineStr">
        <is>
          <t>Amazon.com</t>
        </is>
      </c>
      <c r="D164" t="inlineStr">
        <is>
          <t>indeed</t>
        </is>
      </c>
      <c r="E164">
        <f>HYPERLINK("https://www.indeed.com/viewjob?jk=af4631863688806e", "https://www.indeed.com/viewjob?jk=af4631863688806e")</f>
        <v/>
      </c>
      <c r="F164">
        <f>HYPERLINK("https://www.amazon.jobs/jobs/3142213/technical-program-manager-leo-security?cmpid=DA_INAD200785B", "https://www.amazon.jobs/jobs/3142213/technical-program-manager-leo-security?cmpid=DA_INAD200785B")</f>
        <v/>
      </c>
      <c r="G164" t="inlineStr">
        <is>
          <t>Arlington, VA, US</t>
        </is>
      </c>
      <c r="H164" s="3" t="n">
        <v>45991</v>
      </c>
      <c r="I164" t="inlineStr">
        <is>
          <t>**DESCRIPTION**
---------------
We are open to hiring candidates to work out of one of the following locations:  
Arlington, VA, USA \| Redmond, WA, USA  
Amazon Leo is Amazon’s low Earth orbit satellite broadband network. Its mission is to deliver fast, reliable internet to customers and communities around the world, and we’ve designed the system with the capacity, flexibility, and performance to serve a wide range of customers, from individual households to schools, hospitals, businesses, government agencies, and other organizations operating in locations without reliable connectivity.  
Export Control Requirement: Due to applicable export control laws and regulations, candidates must be a U.S. citizen or national, U.S. permanent resident (i.e., current Green Card holder), or lawfully admitted into the U.S. as a refugee or granted asylum.  
LSA (Leo Security Assurance) encompasses key functions that support compliance, audit readiness, and operational efficiency. It ensures compliance through scalable programs, tested controls, and continuous monitoring, while embedding compliance into services. It enables successful audits by supporting audit planning, evidence management, and stakeholder engagement. Additionally, it enhances efficiency through GRC tooling, workflow automation, and scalable reporting to support ongoing assurance activities.  
Our team is at the forefront of enabling security and compliance at scale across Amazon Leo. We work directly with Leo’s service teams to embed security, governance, and audit\-readiness into their products and operations.
We are looking for a passionate, innovative, results oriented technical program manager. You are someone who loves managing programs and is committed to formulating and implementing wide\-ranging process improvements. As a Technical Program Manager (TPM) in the Leo Security Assurance team, you will own the successful delivery of a multi\-year program to implement Governance, Risk, and Compliance (GRC) tooling for the organization. This role requires strong program ownership, cross\-team coordination, and deep understanding of security, audit, and compliance requirements. You will ensure the GRC roadmap, prioritization, and delivery milestones align to Leo’s Security Assurance outcomes, while guiding a team of software engineers and partnering closely with compliance, security, and AWS platform teams.  
We are a multidisciplinary group of security specialists, software engineers, and program managers focused on solving complex compliance challenges. Our mission is to design and implement solutions that meet the stringent expectations of external regulators and our most security\-conscious customers.  
Key job responsibilities  
1\. Own and deliver the end\-to\-end roadmap for GRC tool implementation, ensuring all releases align with Leo Security Assurance’s long\-term audit, compliance, and risk management outcomes.  
2\. Lead multi\-workstream program planning and execution, including scope definition, prioritization, timelines, risk mitigation, and status reporting for engineering and business stakeholders.  
3\. Drive requirements gathering across compliance, audit, and security teams, ensuring requirements are clear, complete, and validated before engineering begins implementation.  
4\. Partner closely with software engineers to translate compliance/control requirements into actionable technical specifications and ensure high\-quality, secure delivery.  
5\. Coordinate integration with AWS GRC platform teams and internal platform or infrastructure teams, managing dependencies and ensuring seamless technical alignment.  
6\. Ensure the GRC tools support key compliance frameworks (e.g., SOC, SOX, ISO, FedRAMP, internal controls) and continuously refine features to meet evolving audit needs.  
7\. Proactively identify and manage risks, issues, and program blockers, driving timely decisions and escalations to maintain delivery momentum.  
8\. Lead process improvement and automation initiatives, leveraging the GRC platform to reduce manual work, improve evidence collection, and increase operational efficiency.  
9\. Provide clear, data\-driven communication to senior leadership, including program status, risks, decisions needed, and measurable impact on security assurance outcomes.  
10\. Foster strong cross\-functional relationships across engineering, compliance, legal, security, and AWS teams to ensure consistent alignment and successful delivery of the GRC roadmap.  
A day in the life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5\+ years of project management disciplines including scope, schedule, budget, quality, along with risk and critical path management experience
* Experience building and evaluating system\-level technical design
* Bachelor's degree in engineering, computer science or equivalent
* 3\+ years of software development experience, or Bachelor's degree in computer science or equivalent
* Experience managing programs across cross functional teams, building processes and coordinating release schedules
* Bachelor's degree or equivalent qualification in Math, Engineering, Science or Business
**PREFERRED QUALIFICATIONS**
----------------------------
* Experience defining KPI's/SLA's used to drive multi\-million dollar businesses and reporting to senior leadership
* Experience in any of the following: Cloud Architecture, Systems Design, Software Development, Infrastructure Architecture, Data Engineering or DevOps
* AWS certification, such as, AWS Solutions Architect, or a similar cloud certification
* Experience in security operations, risk management, and incident response
* Master's degree, or MBA in business, data science, public administration, finance, engineering, human resources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$114,500/year in our lowest geographic market up to $197,800/year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5">
      <c r="A165" t="inlineStr">
        <is>
          <t>in-ae22b777f7b3847e</t>
        </is>
      </c>
      <c r="B165" t="inlineStr">
        <is>
          <t>Technical Program Manager, Leo Security</t>
        </is>
      </c>
      <c r="C165" t="inlineStr">
        <is>
          <t>Amazon.com</t>
        </is>
      </c>
      <c r="D165" t="inlineStr">
        <is>
          <t>indeed</t>
        </is>
      </c>
      <c r="E165">
        <f>HYPERLINK("https://www.indeed.com/viewjob?jk=ae22b777f7b3847e", "https://www.indeed.com/viewjob?jk=ae22b777f7b3847e")</f>
        <v/>
      </c>
      <c r="F165">
        <f>HYPERLINK("https://www.amazon.jobs/jobs/3142213/technical-program-manager-leo-security?cmpid=DA_INAD200785B", "https://www.amazon.jobs/jobs/3142213/technical-program-manager-leo-security?cmpid=DA_INAD200785B")</f>
        <v/>
      </c>
      <c r="G165" t="inlineStr">
        <is>
          <t>Redmond, WA, US</t>
        </is>
      </c>
      <c r="H165" s="3" t="n">
        <v>45991</v>
      </c>
      <c r="I165" t="inlineStr">
        <is>
          <t>**DESCRIPTION**
---------------
We are open to hiring candidates to work out of one of the following locations:  
Arlington, VA, USA \| Redmond, WA, USA  
Amazon Leo is Amazon’s low Earth orbit satellite broadband network. Its mission is to deliver fast, reliable internet to customers and communities around the world, and we’ve designed the system with the capacity, flexibility, and performance to serve a wide range of customers, from individual households to schools, hospitals, businesses, government agencies, and other organizations operating in locations without reliable connectivity.  
Export Control Requirement: Due to applicable export control laws and regulations, candidates must be a U.S. citizen or national, U.S. permanent resident (i.e., current Green Card holder), or lawfully admitted into the U.S. as a refugee or granted asylum.  
LSA (Leo Security Assurance) encompasses key functions that support compliance, audit readiness, and operational efficiency. It ensures compliance through scalable programs, tested controls, and continuous monitoring, while embedding compliance into services. It enables successful audits by supporting audit planning, evidence management, and stakeholder engagement. Additionally, it enhances efficiency through GRC tooling, workflow automation, and scalable reporting to support ongoing assurance activities.  
Our team is at the forefront of enabling security and compliance at scale across Amazon Leo. We work directly with Leo’s service teams to embed security, governance, and audit\-readiness into their products and operations.
We are looking for a passionate, innovative, results oriented technical program manager. You are someone who loves managing programs and is committed to formulating and implementing wide\-ranging process improvements. As a Technical Program Manager (TPM) in the Leo Security Assurance team, you will own the successful delivery of a multi\-year program to implement Governance, Risk, and Compliance (GRC) tooling for the organization. This role requires strong program ownership, cross\-team coordination, and deep understanding of security, audit, and compliance requirements. You will ensure the GRC roadmap, prioritization, and delivery milestones align to Leo’s Security Assurance outcomes, while guiding a team of software engineers and partnering closely with compliance, security, and AWS platform teams.  
We are a multidisciplinary group of security specialists, software engineers, and program managers focused on solving complex compliance challenges. Our mission is to design and implement solutions that meet the stringent expectations of external regulators and our most security\-conscious customers.  
Key job responsibilities  
1\. Own and deliver the end\-to\-end roadmap for GRC tool implementation, ensuring all releases align with Leo Security Assurance’s long\-term audit, compliance, and risk management outcomes.  
2\. Lead multi\-workstream program planning and execution, including scope definition, prioritization, timelines, risk mitigation, and status reporting for engineering and business stakeholders.  
3\. Drive requirements gathering across compliance, audit, and security teams, ensuring requirements are clear, complete, and validated before engineering begins implementation.  
4\. Partner closely with software engineers to translate compliance/control requirements into actionable technical specifications and ensure high\-quality, secure delivery.  
5\. Coordinate integration with AWS GRC platform teams and internal platform or infrastructure teams, managing dependencies and ensuring seamless technical alignment.  
6\. Ensure the GRC tools support key compliance frameworks (e.g., SOC, SOX, ISO, FedRAMP, internal controls) and continuously refine features to meet evolving audit needs.  
7\. Proactively identify and manage risks, issues, and program blockers, driving timely decisions and escalations to maintain delivery momentum.  
8\. Lead process improvement and automation initiatives, leveraging the GRC platform to reduce manual work, improve evidence collection, and increase operational efficiency.  
9\. Provide clear, data\-driven communication to senior leadership, including program status, risks, decisions needed, and measurable impact on security assurance outcomes.  
10\. Foster strong cross\-functional relationships across engineering, compliance, legal, security, and AWS teams to ensure consistent alignment and successful delivery of the GRC roadmap.  
A day in the life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5\+ years of project management disciplines including scope, schedule, budget, quality, along with risk and critical path management experience
* Experience building and evaluating system\-level technical design
* Bachelor's degree in engineering, computer science or equivalent
* 3\+ years of software development experience, or Bachelor's degree in computer science or equivalent
* Experience managing programs across cross functional teams, building processes and coordinating release schedules
* Bachelor's degree or equivalent qualification in Math, Engineering, Science or Business
**PREFERRED QUALIFICATIONS**
----------------------------
* Experience defining KPI's/SLA's used to drive multi\-million dollar businesses and reporting to senior leadership
* Experience in any of the following: Cloud Architecture, Systems Design, Software Development, Infrastructure Architecture, Data Engineering or DevOps
* AWS certification, such as, AWS Solutions Architect, or a similar cloud certification
* Experience in security operations, risk management, and incident response
* Master's degree, or MBA in business, data science, public administration, finance, engineering, human resources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$114,500/year in our lowest geographic market up to $197,800/year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3"/>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li-4340544936</t>
        </is>
      </c>
      <c r="B2" t="inlineStr">
        <is>
          <t>Product Manager, Promotions</t>
        </is>
      </c>
      <c r="C2" t="inlineStr">
        <is>
          <t>FanDuel</t>
        </is>
      </c>
      <c r="D2" t="inlineStr">
        <is>
          <t>linkedin</t>
        </is>
      </c>
      <c r="E2" t="inlineStr"/>
      <c r="F2" t="inlineStr"/>
      <c r="G2" t="inlineStr">
        <is>
          <t>Atlanta, GA</t>
        </is>
      </c>
      <c r="H2" t="inlineStr"/>
      <c r="I2" t="inlineStr">
        <is>
          <t>**THE POSITION**
 Our roster has an opening with your name on it
 We are seeking a
 **Product Manager** 
 to help design and deliver scalable platform capabilities for our flywheel and new ventures businesses. This role will play a key part in shaping our generosity strategy across a suite of 6\+ products, ensuring consistency, alignment, and customer\-centric execution across our diverse portfolio.
 As a Product Manager, you will be working closely with our Senior and Lead Product Managers of FNV Platforms and product teams from our FNV products to develop our generosity strategy and break that down into key deliverables and features to create a clear and defined roadmap. This role with work closely with the engineering teams to define requirements, deliver reusable and scalable solutions, and optimize customer experiences. This role will be responsible for translating our product vision into actionable roadmaps and shipping impactful products that unlock the power of our generosity capabilities.
 Generosity is one of the key drivers of our business and at the core of FanDuel’s differentiated value proposition, especially in flywheel and new ventures, making this role central to delivering meaningful impact and value to the FanDuel business.
 This role requires strong collaboration and influence, as you will partner with other product managers, technology teams, marketing, legal/compliance, and business stakeholders to drive execution and alignment. Success depends on your ability to balance diverse business objectives, craft clear requirements, and deliver with speed and quality.
 The ideal candidate thrives in execution\-focused environments, is highly detail\-oriented, and can bridge the gap between high\-level business goals and hands\-on product delivery. By building scalable capabilities, standardizing approaches where beneficial, and ensuring seamless cross\-product experiences, this role will accelerate growth and enhance customer experiences across multiple platforms.
 In addition to the specific responsibilities outlined above, employees may be required to perform other such duties as assigned by the Company. This ensures operational flexibility and allows the Company to meet evolving business needs.
**THE GAME PLAN**
 Everyone on our team has a part to play
* Take a hands\-on role in performing discovery, shaping requirements and driving the execution of product initiatives that align with company goals and customer needs; emphasis on managing dependencies with other internal product groups
* Establish, track and report objectively on product performance metrics.
* Work closely with senior product, marketing and commercial leadership to contribute to a medium to long term product strategy and vision that encapsulates customer needs and wants, for all applicable Flywheel Products.
* Define, maintain, socialize and gain approvals for the product roadmap
* Work closely with the marketing, commercial, design, engineering, security, fraud, and support teams to ensure successful integration execution and go\-to\-market strategies
* Monitor product performance and ensure that the product roadmap delivers measurable and meaningful business and customer impacts with an ability to deliver both strategic and tactical initiatives.
* Track and report objectively on product performance to senior leadership on a regular basis; define and optimize tracking specs and capabilities when necessary
* Maintain a prioritized list of UX research to be done to inform and enhance the product roadmap
* Identify, prioritize, and execute post\-launch optimizations and improvements
* Establish and maintain domain expertise on the product, market, and competitors
**THE STATS**
 What we're looking for in our next teammate
* Minimum 2 years’ experience in digital Product Management or similar role required.
* Experience working with marketing technologies and in particular promotional capabilities preferred
* Ability to handle multiple simultaneous projects while effectively balancing scope, resourcing, time, and quality.
* Demonstrated success cross\-functionally influencing teams without formal authority.
* A strong sense of ownership and accountability for goals and deliverables.
* Strong commercial acumen and critical thinking skills.
* Exceptional written and verbal communication skills
**About Fanduel**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 pet insurance, and more \- check out all our benefits here:
 **FanDuel Total Rewards** 
 .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any other characteristic protected by state, local or federal law. We believe FanDuel is strongest and best able to compete if all employees feel valued, respected, and included.
**For US\-based roles:** 
***The applicable salary range for this position is $79,000 \- $108,900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 Benefits@fanduel.com.***
***It is unlawful in Massachusetts to require or administer a lie detector test as a condition of employment or continued employment. An employer who violates this law shall be subject to criminal penalties and civil liability.***</t>
        </is>
      </c>
    </row>
    <row r="3">
      <c r="A3" t="inlineStr">
        <is>
          <t>li-4363829503</t>
        </is>
      </c>
      <c r="B3" t="inlineStr">
        <is>
          <t>Product Manager</t>
        </is>
      </c>
      <c r="C3" t="inlineStr">
        <is>
          <t>Swooped</t>
        </is>
      </c>
      <c r="D3" t="inlineStr">
        <is>
          <t>linkedin</t>
        </is>
      </c>
      <c r="E3" t="inlineStr"/>
      <c r="F3" t="inlineStr"/>
      <c r="G3" t="inlineStr"/>
      <c r="H3" t="inlineStr"/>
      <c r="I3" t="inlineStr">
        <is>
          <t>**About Our Client** 
 Our client is a B2B SaaS startup. Its product helps clients turn inbound leads into qualified meetings instantly, assisting revenue teams in connecting with buyers faster. It is a fully remote global team dedicated to solving interesting problems, helping others, and having fun.
 The organization is growing rapidly and is ready to expand its reach.
*Currently only hiring in PST \- GMT\+3* 
**About The Role** 
 This role is seeking a
 **Senior Product Manager** 
 who loves building complex, enterprise\-grade products that users genuinely love. In this position, an individual will own a core product area within the platform, acting as the primary decision\-maker for product direction, prioritization, and outcomes.
 The individual will be responsible for identifying high\-impact problems, shaping product strategy, and working closely with Engineering, Design, Sales, and Marketing to deliver solutions that create meaningful customer and business impact. This role requires strong judgment, comfort with ambiguity, and the ability to translate complex data and workflows into clear, actionable product decisions.
 The individual will play a key role in evolving the platform, ensuring its products create raving fans while solving real problems for sophisticated marketing and revenue teams.
**Key Responsibilities** 
* Own and manage a complex product area end\-to\-end, from discovery through delivery, iteration, and long\-term evolution.
* Define product strategy and roadmap for the area, balancing customer needs, business impact, and technical constraints.
* Translate highly complex data, workflows, and customer needs into clear product direction and actionable insights.
* Partner closely with Engineering and Design to empower teams, align on solutions, and deliver high\-quality experiences.
* Define success metrics for the product area and continuously evaluate performance to inform prioritization and iteration.
* Align with Sales and Marketing to ensure products reach the right customers and deliver on their intended value.
* Drive prioritization and make informed tradeoffs in ambiguous, enterprise\-grade problem spaces.
* Maintain a high bar for product quality, usability, and attention to detail.
**What is Being Looked For** 
* Senior\-level experience managing complex B2B products, with clear ownership over product areas or major initiatives.
* Strong product judgment, with the ability to define problems worth solving and make informed tradeoffs in ambiguous environments.
* Proven ability to simplify complexity and translate data, customer insights, and constraints into clear product decisions.
* Deep curiosity and commitment to continuously improving product quality, craft, and outcomes.
* Experience collaborating closely with Engineering, Design, Sales, and Marketing in a cross\-functional environment.
* Comfort operating in evolving problem spaces where priorities may shift and requirements are not always fully defined.
* Passion for building products that engage users, create long\-term value, and turn customers into advocates.
**Bonus** 
* Experience with CRMs and/or Marketing Automation platforms.
* Familiarity with enterprise\-grade SaaS products and data\-rich workflows.
* Experience building or evolving platform capabilities that support multiple customer use cases.
**Values Alignment** 
* Passion for helping customers succeed.
* Desire to innovate while maintaining pragmatic execution.
* Commitment to collaboration, learning, and having fun while doing meaningful work.
**Additional Information** 
*Why you'll love being a part of this team:* 
* Work with an immensely talented global team.
* Work in a business that’s run fairly and transparently.
* Competitive pay based on market rate wherever you live.
* Leading by example—showing industry peers and leaders how to innovate, improve, and grow—while having fun.
*How this team works:* 
* **Freedom and flexibility.** 
 This is a 100% distributed team working from around the world, and it has been fully remote since 2016\. Team members can work from wherever they want in the world, as long as they show up on the weekly all hands meeting on Zoom.
* **Solve interesting problems.** 
 The software landscape has exploded. There are dozens of solutions for each problem. The goal is to be different. Coming up with new angles on existing problems or inventing better solutions to help companies with their sales and marketing. Then turning these ideas into beautiful, smart software.
* **Autonomy and ownership.** 
 Working on a distributed team means there isn’t someone micromanaging or looking over your shoulder to make sure you’re getting things done. It is a team of do\-ers who take full ownership for their results.
* **Be helpful.** 
 The first value as a company is help. Help customers be successful. Help prospects get the right information and make the right decision whether or not it includes the products. Help team members reach their full potential.
**The perks:** 
* Unlimited vacation (and it is meant and taken!)
* Generous health, dental, and vision insurance
* Any equipment/software/tech that is needed to do the job
* Annual professional development stipend of $2,000 USD
* Equity \- all team members receive stock options
* Annual company retreat for a week of bonding and adventure (previous retreat locations include Paris, Morocco, Tulum, Iceland, Ibiza, and India!)
**Note:** 
 “We are not the EOR (Employer of Record) for this position. Our role in this specific opportunity is to connect outstanding candidates with a top\-tier employer. Swooped helps candidates around the world to discover and stay focused on the jobs they want until they can complete a full application in the hiring company career page/ATS.”</t>
        </is>
      </c>
    </row>
    <row r="4">
      <c r="A4" t="inlineStr">
        <is>
          <t>li-4308512675</t>
        </is>
      </c>
      <c r="B4" t="inlineStr">
        <is>
          <t>Senior Product Manager</t>
        </is>
      </c>
      <c r="C4" t="inlineStr">
        <is>
          <t>Above Lending</t>
        </is>
      </c>
      <c r="D4" t="inlineStr">
        <is>
          <t>linkedin</t>
        </is>
      </c>
      <c r="E4" t="inlineStr"/>
      <c r="F4" t="inlineStr"/>
      <c r="G4" t="inlineStr">
        <is>
          <t>Chicago, IL</t>
        </is>
      </c>
      <c r="H4" t="inlineStr"/>
      <c r="I4" t="inlineStr">
        <is>
          <t>Above Lending is a next\-generation financial services company. We provide simple and transparent products aimed at helping our clients achieve their personal finance goals. With competitive rates and personalized support, our mission is to simplify the lending process and help borrowers attain financial well\-being. We are committed to making credit more affordable and accessible.
**About the Role
 Above Lending is seeking a Senior Product Manager to join our team. As a Senior Product Manager, you will be responsible for the customer experience, employee experience, and business KPIs for your product area. You will work closely with the engineering team, operations team, strategy team, as well as the executive team to drive the product roadmap and deliver innovative solutions to our customers and employees. The ideal candidate is a motivated self\-starter with a passion for fintech and a desire to learn and grow within the organization.
 This is a hybrid role in Downtown Chicago.
**You Will:** 
* Develop a product strategy and roadmap that supports product and business objectives
* Identifying new opportunities for expansion and growth while balancing the importance of system maintenance
* Build business cases for new integrated products, services, and features. Lead product discovery, data analysis, and user research efforts. Define and track key performance indicators (KPIs) to measure the success and effectiveness of changes
* Work closely with engineering, sales, operations, and analytics teams to define requirements and build PRDs
* Collaborate with cross\-functional teams (engineering, operations, analytics, sales, and design)  to ensure successful product launches and changes
* Conduct A/B tests and other experiments to optimize business performance and user experience
* Ensure that products meet regulatory and compliance requirementsAssist with the creation and maintenance of product documentation, including user guides and release notes
**You Have:** 
* 6\+ years of related experience in product management
* Bachelor’s degree in computer science, human\-computer interaction, mathematics, statistics, physics, engineering, or similar (quantitative)
* Data fluency and demonstrated data\-driven decision\-making abilities, with strong analytical and quantitative skills, utilizing data and metrics to support assumptions, recommendations, drive action, and monitor product health, including experience with SQL using queries
* Excellent communication and presentation skills, with the ability to distill complex ideas into clear and concise messaging
* Ability to work independently and take ownership of projects
* A demonstrated track record of high\-quality execution, and of originating opportunities that drive business and user impact.
* A proven ability to influence outcomes and people without direct reporting lines
* Fintech or growth experience is a plus
**We Offer:** 
* Considerable employer contributions for health, dental and vision programs
* Flexible time\-off policy
* 401(K) match with immediate 100% vesting
* Merit advancement opportunities
 Join our dynamic team and contribute to Above Lending’s success as we continue to provide innovative lending solutions to our customers.
*Under the California Consumer Privacy Act (“CCPA”), Above Lending is informing California residents who are our job applicants, contractors or prospective employees (together “job applicants”) about the categories of personal information we collect about you and the purposes for which we will use this information. This notice and our Privacy Policy contain important information relating to the CCPA and apply only to personal information that is subject to the CCPA. Please see our website for the full CCPA statement.* 
 \*Above Lending is an equal opportunity Employer\*
*Above Lending does not accept unsolicited resumes from individual recruiters or third\-party recruiting agencies in response to job positions.  No fee will be paid to their parties who submit unsolicited candidates directly to Above Lending employees or the Above Lending Finance and HR teams.  No placement fee will be paid to any third party unless such a request has been made by the Above Lending HR team.*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This role is eligible for additional incentives, including an annual bonus. These rewards are allocated based on level, impact and performance in the role. The compensation range is based on the level outlined in the job posting, and compensation decisions are dependent on each applicant's experience, skills and abilities.**</t>
        </is>
      </c>
    </row>
    <row r="5">
      <c r="A5" t="inlineStr">
        <is>
          <t>li-4353762865</t>
        </is>
      </c>
      <c r="B5" t="inlineStr">
        <is>
          <t>Product Manager</t>
        </is>
      </c>
      <c r="C5" t="inlineStr">
        <is>
          <t>Jobot</t>
        </is>
      </c>
      <c r="D5" t="inlineStr">
        <is>
          <t>linkedin</t>
        </is>
      </c>
      <c r="E5" t="inlineStr"/>
      <c r="F5" t="inlineStr"/>
      <c r="G5" t="inlineStr">
        <is>
          <t>Atlanta, GA</t>
        </is>
      </c>
      <c r="H5" t="inlineStr"/>
      <c r="I5" t="inlineStr">
        <is>
          <t>Want to learn more about this role and Jobot? Click our Jobot logo and follow our LinkedIn page!
 Job details
**Remote Role \- Drive innovation in spend risk analytics with a leading AI\-powered SaaS company!**
 This Jobot Job is hosted by Kat Lawrence
 Are you a fit? Easy Apply now by clicking the "Easy Apply" button and sending us your resume.
 Salary $140,000 \- $165,000 per year
**A Bit About Us**
 We are a fast\-growing technology company delivering advanced solutions that help organizations manage financial risk and optimize spend. Our platform leverages AI and machine learning to analyze billions of transactions, providing actionable insights that prevent fraud, waste, and misuse. We pride ourselves on creating tools that empower enterprises to strengthen compliance and improve operational efficiency. Our collaborative culture values innovation, data\-driven decision\-making, and continuous improvement.
****Why join us?****
* Comprehensive benefits package including health, dental, and vision coverage
* Generous paid time off and flexible remote work options
* Opportunity to work with cutting\-edge AI/ML technology in a dynamic, growth\-oriented environment
**Job Details**
**Responsibilities**
* Define and execute product roadmap for data\-driven solutions, ensuring alignment with business goals
* Collaborate with engineering, UX, and data science teams to deliver intuitive, user\-centric features
* Translate business challenges into actionable product requirements and functional specifications
* Conduct user research and analyze feedback to prioritize enhancements and improve adoption
* Partner with marketing and sales teams to support product launches and go\-to\-market strategies
* Monitor competitive landscape and identify opportunities to maintain product advantage
* Manage backlog prioritization using quantitative and qualitative inputs
**Qualifications**
* Bachelor’s degree in Science, Engineering, Math, Finance, Business, Economics, or similar area of study; Master's preferred
* 3\+ years of product management experience with a B2B SaaS
* Preferred experience with data\-driven or AI/ML\-enabled software products
* Experience with B2B SaaS products through full development lifecycle
* Familiarity with UX principles and ability to apply them to product design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row>
    <row r="6">
      <c r="A6" t="inlineStr">
        <is>
          <t>li-4363899256</t>
        </is>
      </c>
      <c r="B6" t="inlineStr">
        <is>
          <t>Product Manager - Aftermarket Parts</t>
        </is>
      </c>
      <c r="C6" t="inlineStr">
        <is>
          <t>Rehlko</t>
        </is>
      </c>
      <c r="D6" t="inlineStr">
        <is>
          <t>linkedin</t>
        </is>
      </c>
      <c r="E6" t="inlineStr"/>
      <c r="F6" t="inlineStr"/>
      <c r="G6" t="inlineStr">
        <is>
          <t>Kohler, WI</t>
        </is>
      </c>
      <c r="H6" t="inlineStr"/>
      <c r="I6" t="inlineStr">
        <is>
          <t>JOB REQUIREMENTS: Why Work at Rehlko Our work is guided by our purpose:
 creating an energy\-resilient world for a better future. This purpose
 embodies the legacy we bring, with more than 100 years as the global
 leader in energy resilience, delivering solutions critical to sustain
 and improve life. Our teams have the opportunity to provide a critical
 resource \- energy \- that ensures safety, security, and independence for
 people around the world. Our team members are focused on pushing
 boundaries, continuing to innovate in an ever\-changing landscape, and
 keeping up with the pace required to create solutions for today\\'s world
 demands. Our product range includes engines, generators, power
 conversion, UPS systems, EV components and electrification solutions,
 microgrid controls and management, and clean energy solutions that serve
 a broad spectrum of OEM, residential, industrial, and commercial
 customers. At Rehlko, you have the freedom to identify, create, and
 deliver solutions \- large and small \- that help people and communities
 thrive in the moments that matter. At Rehlko, our team members are the
 essential energy that powers our organization\\'s success. We are
 committed to fostering a safe and sustainable work environment where
 safety is everyone\\'s responsibility. We empower every team member to
 actively participate in our Zero Is Possible safety culture by
 encouraging open communication, proactively reporting hazards, following
 protocols, and suggesting improvements. Join us in creating an energy
 resilient world for a better future! What We Offer At Rehlko, our Total
 Rewards programs are designed to accelerate growth, energize
 performance, and support a culture of inclusion at every stage of life
 and work. We offer total rewards that are easily understood, recognize
 results, enable career mobility, and reflect our commitment to valuing
 diverse needs in a fast\-moving world. We provide: \\\* Competitive
 compensation and benefits \\\* Work\-life flexibility \\\* Recognition and
 rewards \\\* Development and career opportunities \\\* A safe and inclusive
 workplace Why You Will Love this Job The Product Manager \- Aftermarket
 Solutions combines strategic vision with the ability to implement
 tactical strategies for profitable growth. The Product Manager \-
 Aftermarket Solutions will develop an all\-make aftermarket parts product
 portfolio; conducting market research; generating product requirements;
 determining specifications, production timetables, pricing, and
 time\-integrated plans for product introduction; developing marketing
 strategies. Work mode: Remote or Hybrid (2\-4 days onsite) if within 50
 miles of Kohler WI Travel: 20% travel US and Global Applicants must be
 authorized to work in the US without requiring sponsorship now or in the
 future. Responsibilities: \\\* Manages the product development of
 all\-makes aftermarket parts product portfolio to support Rehlko
 Industrial service organizations. \\\* Data analysis is used to develop
 global strategic goals. \\\* Direct the implementation of the global
 product line strategic plan to prioritize and maximize company and
 product line profitability and investments. \\\* Determines customers\\'
 needs and desires by specifying the research needed to obtain market
 information. \\\* Assesses market competition by comparing the company\\'s
 product to competitors\\' products. \\\* Drives the highest value products
 into the market at maximum profit and sales. \\\* Prepares and coaches the
 parts and service organizations on product application information,
 product initiatives, and profitability equations. \\\* Recommends the
 nature and scope of all\-make product categories by reviewing product
 specifications and requireme To view the full job description please use
 the link below.
 https://www.aplitrak.com/?adid\=YmJnZW5lcmljLjY1OTgzLjg3NzBAa29obGVyZW5lcmd5Y29tcC5hcGxpdHJhay5jb20
 \\\*\\\*\\\*\\\*\\\* APPLICATION INSTRUCTIONS: Apply Online:
 https://www.aplitrak.com/?adid\=YmJnZW5lc ljLjY1OTgzLjg3NzBAa29obGVyZW5lcmd5Y29tcC5hcGxpdHJhay5jb20</t>
        </is>
      </c>
    </row>
    <row r="7">
      <c r="A7" t="inlineStr">
        <is>
          <t>li-4360272504</t>
        </is>
      </c>
      <c r="B7" t="inlineStr">
        <is>
          <t>EverHealth - Product Manager: Document Management</t>
        </is>
      </c>
      <c r="C7" t="inlineStr">
        <is>
          <t>RemoteHunter</t>
        </is>
      </c>
      <c r="D7" t="inlineStr">
        <is>
          <t>linkedin</t>
        </is>
      </c>
      <c r="E7" t="inlineStr"/>
      <c r="F7" t="inlineStr"/>
      <c r="G7" t="inlineStr"/>
      <c r="H7" t="inlineStr"/>
      <c r="I7" t="inlineStr">
        <is>
          <t>About the Opportunity:
 Medical practices spend significant uncompensated time managing inbound and outbound documents—reviewing faxes, filing records, routing tasks, and coordinating approvals. This work is essential, fragmented, and largely manual.
 As the Product Manager overseeing Document Management functions, you are responsible for improving how practices ingest, understand, route, and act on documents, reducing unnecessary human steps and cognitive load. Your work supports the organization’s goal of reducing uncompensated time around a visit, currently estimated at about eight minutes per visit.
 This is an individual contributor role with end\-to\-end ownership of the document management product area across the portfolio.
 The ideal candidate will bridge the gap between technical teams, business stakeholders, and clinical users to deliver secure, efficient, and user\-friendly document management systems that improve patient care and operational efficiency.
 Responsibilities:
 • Own the vision, outcomes, and roadmap for document management.
 • Collaborate with design and engineering to deliver solutions that reduce manual document handling; translate requirements into user stories and work within an Agile environment.
 • Apply automation and AI to classify and summarize documents, file them correctly, and trigger downstream workflows such as tasking, routing, and provider sign\-off.
 • Ensure solutions are scalable and extensible across products. Define clear success metrics and be accountable for results.
 Requirements:
 • Five or more years of product management experience.
 • Proven ability to own complex, workflow\-driven product areas and deliver measurable outcomes.
 • Strong product discovery skills and comfort operating in ambiguity.
 • Experience with healthcare workflows or EHRs preferred.
 • Track record of shipping practical solutions adopted by teams and customers.
 • Basic foundational knowledge of AI and LLMs preferred.
 Benefits \&amp; Perks:
 • Flexibility to work in\-office, remote, or hybrid within the country of employment
 • Robust health and wellness benefits, including an annual wellness stipend
 • Professional development investment through Udemy
 • 401k or RRSP with company match
 • Flexible and generous paid time off
 • Employee Stock Purchase Program
 Compensation:
 • The annual base salary range for this position is $110,000 to $125,000 USD per year.
 • Salary range is a general guideline combining distinct labor markets within the US.
 • Compensation decisions consider position scope, candidate experience, location, education, skills, internal equity, market data, and business considerations.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8">
      <c r="A8" t="inlineStr">
        <is>
          <t>li-4334951551</t>
        </is>
      </c>
      <c r="B8" t="inlineStr">
        <is>
          <t>Product Owner II - IT (Memphis, TN)</t>
        </is>
      </c>
      <c r="C8" t="inlineStr">
        <is>
          <t>St. Jude Children's Research Hospital - ALSAC</t>
        </is>
      </c>
      <c r="D8" t="inlineStr">
        <is>
          <t>linkedin</t>
        </is>
      </c>
      <c r="E8" t="inlineStr"/>
      <c r="F8" t="inlineStr"/>
      <c r="G8" t="inlineStr">
        <is>
          <t>Memphis, TN</t>
        </is>
      </c>
      <c r="H8" t="inlineStr"/>
      <c r="I8" t="inlineStr">
        <is>
          <t>****At ALSAC you do more than make a living; you make a difference.****
***We like people who are different…because we’re different, too. As one of the world’s most iconic and respected nonprofits, we know what it’s like to stand out. That’s why we’re looking at you. Your background, perspective, and desire to make an impact set you apart. As we work to help St. Jude cure childhood cancer, we're calling on the game\-changers, innovators and visionaries to join our family. Not just for the kids of St. Jude, but also for you. Because at ALSAC, we develop and celebrate our employees. So, bring your whole, authentic self and become part of our shared mission: Finding cures. Saving children.®***
**Job Description**
 Are you a visionary Product Owner with a passion for driving innovation and delivering exceptional value? Join our dynamic team as a
 **Product Owner II** 
 , where you’ll lead a cross\-functional product team to shape the future of our platform capabilities. You’ll be at the forefront of strategic planning, agile execution, and stakeholder engagement—translating complex technical requirements into impactful business solutions.
**What You’ll Do**
* Strategic Leadership: Define and drive the product vision, 3\-year roadmap, release plans, and backlog in collaboration with senior leadership and key stakeholders.
* Product Lifecycle Management: Own the end\-to\-end product lifecycle—from concept to delivery—ensuring quality, security, and alignment with enterprise architecture.
* Agile Execution: Champion agile methodologies, including Scrum, to enhance team performance and deliver user\-centered solutions.
* Stakeholder Engagement: Translate technical concepts into business value. Lead training sessions and develop documentation to ensure stakeholders understand and adopt new features.
* User Experience \&amp; Design: Define user stories, wireframes, and requirements. Collaborate with UX teams and participate in usability testing to ensure intuitive and impactful product experiences.
* Platform Oversight: Manage day\-to\-day platform operations, software releases, vendor relationships, and internal reporting. Conduct competitive analysis and respond to RFPs.
* Cross\-Functional Collaboration: Work closely with Architecture, Security, and other ITS departments to ensure product alignment with organizational goals and compliance standards.
**What You Bring**
* Bachelor’s degree in Engineering, Product Development, or related field
* 6–8 years of experience in information technology or product management
* Proven expertise in agile development methodologies
* Strong technical acumen in software engineering principles, internet protocols, and system architecture
* Exceptional communication skills with the ability to bridge technical and business domains
* Experience with third\-party databases, APIs, and usability testing
* Agile Product Owner certification (preferred)
 This position will be based at our national executive office in Memphis, TN and eligible for hybrid working schedule.
**Benefits \&amp; Perks**
*The following Benefits \&amp; Perks apply to Full\-Time Roles Only
 **.***
*We’re dedicated to ensuring children and their families have every opportunity to enjoy life’s special moments. We’re also committed to giving our staff excellent benefits so they can do the same.*
* Core Medical Coverage: (low cost low deductible Medical, Dental, and Vison Insurance plans)
* 401K Retirement Plan with 7% Employer Contribution
* Exceptional Paid Time Off
* Maternity / Paternity Leave
* Infertility Treatment Program
* Adoption Assistance
* Education Assistance
* Enterprise Learning and Development
* And more
**ALSAC is an equal employment opportunity employer.**
 ALSAC does not discriminate against any individual with regard to race, color, religion, sex, national origin, age, sexual orientation, gender identity, transgender status, disability, veteran status, genetic information or other protected status.
**No Search Firms**
 ALSAC does not accept unsolicited assistance from search firms for employment opportunities. All resumes submitted by search firms to any ALSAC employee or ALSAC representative via email, the internet or in any form and/or method without being contacted and approved by our Employee Experience team and without a valid written search agreement in place will result in no fee being paid if a referred candidate is hired by ALSAC.</t>
        </is>
      </c>
    </row>
    <row r="9">
      <c r="A9" t="inlineStr">
        <is>
          <t>li-4308264869</t>
        </is>
      </c>
      <c r="B9" t="inlineStr">
        <is>
          <t>Software Product Manager</t>
        </is>
      </c>
      <c r="C9" t="inlineStr">
        <is>
          <t>Hologic, Inc.</t>
        </is>
      </c>
      <c r="D9" t="inlineStr">
        <is>
          <t>linkedin</t>
        </is>
      </c>
      <c r="E9" t="inlineStr"/>
      <c r="F9" t="inlineStr"/>
      <c r="G9" t="inlineStr">
        <is>
          <t>Marlborough, MA</t>
        </is>
      </c>
      <c r="H9" t="inlineStr"/>
      <c r="I9" t="inlineStr">
        <is>
          <t>As a Software Product Manager at Hologic, you will drive the vision, strategy, and execution of innovative software solutions within our Breast and Skeletal Health portfolio. You will collaborate cross\-functionally to define product requirements, prioritize features, and ensure timely, high\-quality product releases that address critical needs in medical imaging and healthcare IT. Your leadership will directly impact patient outcomes and support Hologic’s mission to advance women’s health through technology.
**Knowledge**
* Deep understanding of product management principles and the full software product lifecycle, from ideation to launch and post\-market support
* Expertise in software development methodologies (Agile, Scrum, Kanban) and best practices for delivering scalable, secure, and compliant healthcare solutions
* Familiarity with radiology clinic IT environments, medical imaging workflows, and regulatory requirements (e.g., FDA, HIPAA)
* Strong grasp of cloud\-based technologies, SaaS models, and integration with healthcare information systems (PACS, RIS, EMR)
* Proficiency in market analysis, competitive intelligence, and user research to inform product strategy and roadmap
* Knowledge of data privacy, cybersecurity, and interoperability standards relevant to healthcare software
* Experience with product analytics, KPIs, and metrics to drive continuous improvement
* Awareness of emerging trends in digital health, AI/ML applications, and patient\-centric software design
**Skills**
* Exceptional analytical and problem\-solving skills, with the ability to translate complex user needs into actionable product requirements
* Proficient in project management tools (e.g., Jira, Confluence) and techniques for managing cross\-functional teams and timelines
* Strong communication and presentation skills, capable of engaging both technical and non\-technical stakeholders
* Demonstrated ability to lead product launches, including go\-to\-market planning, training, and post\-launch support
* Effective prioritization and time management skills, balancing multiple projects in a fast\-paced environment
* Advanced data analysis and interpretation skills to inform decision\-making and product enhancements
* Experience in gathering and synthesizing user feedback to drive product improvements
* Ability to manage vendor and partner relationships to support product development and integration
**Behavior**
* Strategic thinker with a passion for innovation and continuous improvement
* Collaborative leader who fosters teamwork and cross\-functional alignment
* Decisive and resilient, able to make tough decisions under pressure and adapt to changing priorities
* Customer\-centric mindset, always advocating for the needs of clinicians and patients
* High level of accountability, ownership, and integrity in all aspects of work
* Proactive communicator who ensures transparency and alignment across teams
* Empathetic and inclusive, promoting a positive and diverse team culture
* Results\-driven, with a relentless focus on delivering value and achieving business objectives
**Qualifications:**
* Bachelor's degree in a relevant field
* 5\-8 years of experience in product management, preferably within the SaMD industry
* Strategic thinker with strong analytical and problem\-solving skills that can be applied in fast\-paced, often ambiguous environments
* Strong decision\-making skills to determine methods and procedures on new assignments
* Excellent interpersonal skills, with the ability to collaborate with and coordinate activities of cross\-functional stakeholders
* Excellent oral/written communication skills, with the ability to tailor messages to an audience
* Strong relationships with stakeholders outside area of expertise
**Ready to make a difference in women’s health? Apply today and join our team of passionate innovators at Hologic!**
**Additional Info:**
 The annualized base salary range for this role is $114,800 to $179,500 and is bonus eligible. Final compensation packages will ultimately depend on factors including relevant experience, skillset, knowledge, geography, education, business needs and market demand.
***Agency and Third\-Party Recruiter Notice:***
*Agencies that submit a resume to Hologic must have a current executed Hologic Agency Agreement executed by a member of the Human Resource Department. In addition, Agencies may only submit candidates to positions for which they have been invited to do so by a Hologic Recruiter. All resumes must be sent to the Hologic Recruiter under these terms, or they will not be considered.*
*Hologic, Inc. is proud to be an Equal Opportunity Employer inclusive of disability and veterans.*</t>
        </is>
      </c>
    </row>
    <row r="10">
      <c r="A10" t="inlineStr">
        <is>
          <t>li-4360330065</t>
        </is>
      </c>
      <c r="B10" t="inlineStr">
        <is>
          <t>Vice President - Product Manager - Home Lending</t>
        </is>
      </c>
      <c r="C10" t="inlineStr">
        <is>
          <t>hackajob</t>
        </is>
      </c>
      <c r="D10" t="inlineStr">
        <is>
          <t>linkedin</t>
        </is>
      </c>
      <c r="E10" t="inlineStr"/>
      <c r="F10" t="inlineStr"/>
      <c r="G10" t="inlineStr">
        <is>
          <t>Columbus, OH</t>
        </is>
      </c>
      <c r="H10" t="inlineStr"/>
      <c r="I10" t="inlineStr">
        <is>
          <t>***hackajob** 
 is collaborating with
 **J.P. Morgan** 
 to connect them with exceptional tech professionals for this role.*
**Job Description**
 The Home Lending Product Transformation team is responsible for advancing Consumer and Community Banking (CCB) product operating models and mobilizing product teams to deliver initiatives at scale that align with CCB Strategic Objectives. Embrace the challenge of adapting to shifting priorities and resources while contributing to a dynamic team and applying your expertise, strategic thinking skills, and operational excellence across product lines.
 As a
 **Product Manager in Home Lending** 
 , you will lead the charge in creating products and features that captivate and delight customers. You will harness your expertise to challenge the status quo, eliminate obstacles, and cultivate a culture of continuous innovation. You will partner with cross\-functional teams to deliver transformative solutions and deliver best\-in\-class products.
***Join us in redefining the future of Home Lending!***
**Job Responsibilities**
* Define and Prioritize Product Backlog: Work closely with stakeholders to gather requirements, define user stories, and prioritize the product backlog to ensure alignment with business goals and customer needs.
* Collaborate with Development Teams: Engage daily with engineering and design teams to set strategy, clarify requirements, provide feedback, and ensure that product increments are delivered on time and meet quality standards.
* Conduct User Research and Testing: Organize and participate in user research sessions and usability testing to gather insights and validate product features, iterating based on feedback.
* Facilitate Agile Ceremonies: Lead and participate in agile ceremonies such as sprint planning, daily stand\-ups, sprint reviews, and retrospectives to ensure effective team collaboration and continuous improvement.
* Monitor Product Performance: Analyze product performance metrics and user feedback to identify areas for improvement and make data\-driven decisions to enhance the product.
* Communicate with Stakeholders: Regularly update stakeholders on product progress, challenges, and upcoming priorities, ensuring transparency and alignment across the organization.
* Develop Product Roadmaps: Create and maintain product roadmaps that outline the strategic direction and key milestones, ensuring they are communicated and understood by all relevant parties.
* Stay Informed on Industry Trends: Continuously research and stay informed about industry trends, competitor products, and emerging technologies to identify opportunities for innovation and differentiation.
**Required Qualifications, Capabilities And Skills**
* 5\+ years of Product/Program/ Strategy experience
* Customer\-Centric Mindset: Demonstrate a deep understanding of customer needs and pain points, uncovering root cause, and use this knowledge to guide product development and prioritize features that deliver maximum value.
* Visionary Leadership: Ability to articulate a clear product vision and strategy that aligns with the company's goals, and inspire cross\-functional teams to work towards achieving it.
* Data\-Driven Decision Making: Proficiency in using data and analytics to inform product decisions, measure success, and iterate on product features to improve user experience and business outcomes.
* Collaboration and Communication: Strong skills in collaborating with engineering, design, and business teams, and effectively communicating product goals, priorities, and progress to stakeholders at all levels.
* Technical Acumen: A solid understanding of the technical aspects of product development, enabling effective collaboration with engineering teams and informed decision\-making regarding technical trade\-offs.
* Agile Methodology Expertise: Experience in working within agile frameworks, such as Scrum or Kanban, to manage product backlogs, plan sprints, and ensure timely delivery of high\-quality product increments.
* Problem\-Solving Skills: Ability to identify root cause over symptom problems, formulate real problem statements and address product challenges creatively and efficiently, ensuring that solutions align with both user needs and business objectives.
* Market and Competitive Analysis: Conduct thorough market research and competitive analysis to identify opportunities for differentiation and innovation, and incorporate these insights into the product roadmap.
**Preferred Qualifications, Capabilities And Skills**
* Bachelor's Degree in a Relevant Field: A degree in Business, Computer Science, Engineering, or a related field, or equivalent practical experience.
* Previous experience in user experience design and solution design
* Proficient in Figma, JIRA, JIRA Align, Excel, PowerPoint, Process Mapping Tools
**To be eligible for this position, you must be authorized to work in the United States. We do not offer any type of employment\-based immigration sponsorship for this position. Likewise, JPMorgan Chase \&amp; Co., will not provide any assistance or sign any documentation in support of any other form of immigration sponsorship or benefit including optional practical training (OPT) or curricular practical training (CPT).**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11">
      <c r="A11" t="inlineStr">
        <is>
          <t>li-4289357458</t>
        </is>
      </c>
      <c r="B11" t="inlineStr">
        <is>
          <t>Senior Product Manager, Games</t>
        </is>
      </c>
      <c r="C11" t="inlineStr">
        <is>
          <t>Condé Nast</t>
        </is>
      </c>
      <c r="D11" t="inlineStr">
        <is>
          <t>linkedin</t>
        </is>
      </c>
      <c r="E11" t="inlineStr"/>
      <c r="F11" t="inlineStr"/>
      <c r="G11" t="inlineStr">
        <is>
          <t>New York, NY</t>
        </is>
      </c>
      <c r="H11" t="inlineStr"/>
      <c r="I11" t="inlineStr">
        <is>
          <t>Condé Nast is a global media company producing the highest quality content with a footprint of more than 1 billion consumers in 32 territories through print, digital, video and social platforms. The company’s portfolio includes many of the world’s most respected and influential media properties including Vogue, Vanity Fair, Glamour, Self, GQ, The New Yorker, Condé Nast Traveler/Traveller, Allure, AD, Bon Appétit and Wired, among others.
**Job Description**
 Location:
 New York, NY
 Condé Nast is seeking a Sr. Product Manager to expand its puzzles and games offering and increase game\-playing engagement.
 As the Sr. Product Manager for Games, you will help develop and execute the roadmap to expand the game offering across Condé Nast, starting with
 *The New Yorker.* 
 Working in collaboration with design, engineering and project management partners, as well as The New Yorker’s editorial game design team, you will iterate on the brand’s existing portfolio and develop new games. This includes both in\-house development and partnership with third party vendors. Accordingly you will also work closely with our strategy and business development teams to source vendors when necessary.
**Responsibilities include:**
**Game Development**
* Bring industry knowledge and experience to promote best practices with digital games
* With your partners in Editorial Game Design and UX Design, develop an efficient process to prototype and test in order to mitigate risk and build confidence in launching new games
* Deeply understand the value proposition of Condé Nast’s brands and audiences in order to align with editorial stakeholders and deliver the most valuable experiences for our loyal customers
**Prioritization \&amp; Planning**
* Drive product prioritization within a 0\-9 month time horizon, with the ability to manage prioritization across both short\- and long\-term projects, managing unforeseen situations logically and effectively
* Co\-lead cross\-functional teams with partners in editorial, design, engineering, and project management to deliver features that meet the needs of our users
* Prioritize multiple initiatives with logic and authority, while influencing your peers through respect
* Convert business objectives into development plans and follow through with delivery
* Devise and refine Objectives and Key Results for games
* Ensure clear requirements are provided for iterative development cycles
* Align with engineering teams to determine resourcing plans
* Manage day to day product planning \&amp; delivery (i.e. agile ceremonies)
**Communication**
* Align senior stakeholders across the company to the product roadmap
* Proactively and clearly communicate updates, roadblocks, and other team developments to stakeholders
* Write product briefs and gain team buy\-in on new approaches to problems
* Create and manage all product documentation, communicate strategy, project status, and decisions
* Thrive in a global environment, working across multiple time zones
* Build effective relationships with strong verbal and written abilities, working diplomatically and effectively across departments
**Management**
* Be the single point of contact for our games business across the Condé Nast organization, coordinating work with our cross\-functional partners in editorial, audience development, marketing, consumer revenue, corporate development, advertising and strategy.
* Manage one product manager who reports to this role, ensuring their work is impactful, coaching them on best agile and product management practices.
* Constantly iterate on team processes and resources to improve quality and speed of delivery
**The ideal candidate has:**
* 6\-8 years of experience developing engaging game products, ideally at a digital media organization
* Experience in developing and delivering digital products at scale within a consumer\-facing company (preferably media)
* A clear understanding of the media and gaming industry, including trends and best practices
* Experience across digital platforms including familiarity with iOS, Android, and web\-based tech
* A familiarity with The New Yorker and understanding of its sensibilities and audience, as well as a familiarity with other Conde Nast titles..
* Experience working with data tracking tools, and understanding and communicating data trends
* Bachelor or Masters degree
 The expected base salary range for this position is from $150,000\-$170,000\. Salary offers are based on a wide range of factors including but not limited to relevant skills, training, experience, and education.
**What happens next?**
**If you are interested in this opportunity, please apply below, and we will review your application as soon as possible. You can update your resume or upload a cover letter at any time by accessing your candidate profile.**
***Condé Nast is an equal opportunity employer. We evaluate qualified applicants without regard to race, color, religion, sex, sexual orientation, gender identity, national origin, disability, veteran status, age, familial status and other legally protected characteristics.***
**What happens next?**
 If you are interested in this opportunity, please apply below, and we will review your application as soon as possible. You can update your resume or upload a cover letter at any time by accessing your candidate profile.
***Condé Nast is an equal opportunity employer. We evaluate qualified applicants without regard to race, color, religion, sex, sexual orientation, gender identity, national origin, disability, veteran status, age, familial status and other legally protected characteristics.***</t>
        </is>
      </c>
    </row>
    <row r="12">
      <c r="A12" t="inlineStr">
        <is>
          <t>li-4336085004</t>
        </is>
      </c>
      <c r="B12" t="inlineStr">
        <is>
          <t>Senior Technical Product Owner</t>
        </is>
      </c>
      <c r="C12" t="inlineStr">
        <is>
          <t>Turnitin</t>
        </is>
      </c>
      <c r="D12" t="inlineStr">
        <is>
          <t>linkedin</t>
        </is>
      </c>
      <c r="E12" t="inlineStr"/>
      <c r="F12" t="inlineStr"/>
      <c r="G12" t="inlineStr">
        <is>
          <t>Atlanta, GA</t>
        </is>
      </c>
      <c r="H12" t="inlineStr"/>
      <c r="I12" t="inlineStr">
        <is>
          <t>**Company Description**
 When you join Turnitin, you'll be welcomed into a company that is a recognized innovator in the global education space. For more than 25 years, Turnitin has partnered with educational institutions to promote honesty, consistency, and fairness across all subject areas and assessment types. Turnitin products are used by educational institutions and certification and licensing programs to uphold integrity and increase learning performance, and by students and professionals to do their best, original work.
 Experience a remote\-first culture that empowers you to work with purpose and accountability in a way that best suits you, supported by a comprehensive package that prioritizes your overall well\-being. Our diverse community of colleagues are all unified by a shared desire to make a difference in education.
 Turnitin is a global organization with team members in over 35 countries including the United States, Mexico, United Kingdom, Australia, Japan, India, and the Philippines.
**Job Description**
 Are you the one who bridges the chasm between "business outcomes" and "database migrations"? Do you dream in user stories and wake up to prioritize technical debt? Do you believe the how is just as important as the what?  Are you interested in how technology will drive the future of education?  Then ditch the daily triage routine and join our high\-velocity ed\-tech engineering organization as Turnitin’s first Sr. Technical Product Owner (TPO)!
 The Engineering Plan team manages the plan and build functions for our products, and we need a seasoned TPO to be the technical conscience and execution powerhouse for a core product which spans multiple engineering teams. This isn't just about managing a queue; it's about driving the technical roadmap that ensures our product meets customer needs and stays resilient for years to come.  This person will work closely with multiple teams in both Product and Engineering from across different time zones and countries to ensure technical execution is on track.  Turnitin supports a strong work life balance by providing a fully remote working environment; we focus on hunger for delivering for our customers versus the hours we work.
**Your Quest: Technical Strategy \&amp; Execution**
 You will be the vital link, the glue, and the primary translator across our cross\-functional teams.
**Technical Expertise \&amp; Strategy (The Architect's Mind)**
* **System Deep Dive:** 
 Master the technical aspects of assigned domain, including system architecture, service mesh, and infrastructure components. You'll contribute to the technical strategy and roadmap, ensuring technical choices align with long\-term product health.
* **Technical Health Champion:** 
 Directly partner with Engineering Leaders to balance new feature delivery with the critical work of system maintenance, security, and performance tuning. You are the voice advocating for proactive technical health.
* **Process Ninja:** 
 Analyze existing engineering workflows, identifying bottlenecks and proposing improvements to optimize the plan and build phases of our delivery pipeline.
**Collaboration \&amp; Alignment (The Diplomat's Touch)**
* **Product Translation:** 
 Work with multiple Product Manager(s), each managing a business feature roadmap, to translate their collective strategic vision (e.g., "Narrative: We must launch Feature X") into measurable, outcome\-based technical epics.
* **Inter\-Roadmap Conflict Resolution:** 
 Proactively identify and resolve conflicts or resource contention arising from competing demands across different Product Managers' feature roadmaps.
* **Scope Whisperer:** 
 Advise PMs on scope trade\-offs and technical feasibility, using data on team capacity, system dependencies, and risk to drive difficult prioritization conversations across product lines.
* **Delivery Visibility:** 
 Stay deeply informed on development status and execution detail, empowering the Product Manager(s) with line\-of\-sight on delivery targets for the features relying on your engineering team.
* **Dependency Czar:** 
 Take the lead on cross\-team coordination, proactively managing and resolving technical and functional dependencies across Engineering, DevOps, and QA to free Engineering Leaders and boost team velocity.
**Backlog \&amp; Agile Leadership (The Delivery Dynamo)**
* **Backlog Ownership:** 
 Own the team's technical backlog, meticulously synchronizing the work with the team's capacity in partnership with Engineering Leaders.
* **Story Mastery:** 
 Partner with Technical Lead(s) to break down complex epics into technically feasible, well\-designed stories with crystal\-clear acceptance criteria.
* **Risk \&amp; Debt Manager:** 
 Rely on your Tech Leads to surface technical risks and debt, and then execute the strategy to prioritize, schedule, and resolve them within the development cycle.
* **Priority Management:** 
 Support the Technical Lead(s) in ensuring the team stays focused by managing and communicating changes in work priority, often resulting from negotiations with the multiple PMs.
* **Agile Conductor:** 
 Lead the technical aspects of all Agile events (especially refinement and planning) to ensure the team is focused, technically aligned, and protected from priority shifts.
**Qualifications**
**What You Bring to the Table**
* **Experience:** 
 5\+ years of progressive experience as a Technical Product Owner, Sr. Technical Analyst, or a former Technical Lead/Engineer who transitioned into product management.
* **Complex Stakeholder Management:** 
 Proven experience managing prioritization and expectations when supporting multiple Product Managers or product lines simultaneously.
* **Technical Acumen (Non\-Negotiable):** 
 You must be able to read, understand, and discuss system architecture diagrams, API specifications (REST/gRPC), database schemas, and the principles of CI/CD.
* **Deep Domain Knowledge:** 
 Expertise in managing products built on modern software stacks (e.g., microservices, cloud platforms like AWS/Azure/GCP, containerization via Docker/Kubernetes).
* **Data Fluency:** 
 Comfortable querying data (basic SQL proficiency is a huge plus) to validate assumptions and measure the impact of technical improvements.
* **Tooling Mastery:** 
 Command of Jira (or similar tools) for complex backlog management, dependency tracking, road mapping, and reporting.
**Preferred Qualifications**
* Experience with a specific industry or software domain relevant to the company.
* Certifications such as A\-CSPO/CSP\-PO, PMI\-PBA, PMI\-ACP, CBAP, or similar.
* Certifications in Cloud or other modern technology concepts.
* Experience with DevOps practices and tools.
* Experience or certifications with industry standard frameworks such as SAFe, ITIL, COBIT.
 If you’re ready to dive deep into the tech, champion engineering excellence, and be the person who understands both the business and the binary, we want to hear from you!
**Additional Information**
 The
 **expected annual base salary range** 
 for this position is:
 **$112,000/year** 
 to
 **$168,000/year** 
 . This position is bonus eligible / commission\-based.
 Actual compensation will be provided in writing at the time of offer, if extended, and is determined by work location and a range of other relevant factors, including but not limited to: experience, skills, degrees, licensures, certifications, and other job\-related factors. Internal equity, market and organizational factors are also considered.
**Total Rewards @ Turnitin**
 At Turnitin, we believe Total Rewards go far beyond pay. While salary, bonus, or commission are important, they’re only part of the value you receive in exchange for your work.
 Beyond compensation, you’ll experience the intrinsic rewards of unleashing your potential and making a positive impact on global education. You’ll also thrive in a culture free of politics, surrounded by humble, inclusive, and collaborative teammates.
 In addition, our extrinsic rewards include generous time off and health and wellness programs that provide choice, flexibility, and a safety net for life’s challenges. You’ll also enjoy a remote\-first culture that empowers you to work with purpose and accountability in the way that suits you best, all supported by a comprehensive package that prioritizes your overall well\-being.
**Our Mission** 
 is to ensure the integrity of global education and meaningfully improve learning outcomes.
**Our Values** 
 underpin everything we do.
* **Customer Centric:** 
 Our mission is focused on improving learning outcomes; we do this by putting educators and learners at the center of everything we do.
* **Passion for Learning:** 
 We are committed to our own learning and growth internally. And we support education and learning around the globe.
* **Integrity:** 
 Integrity is the heartbeat of Turnitin—it is the core of our products, the way we treat each other, and how we work with our customers and vendors.
* **Action \&amp; Ownership:** 
 We have a bias for action. We act like owners. We are willing to change even when it’s hard.
* **One Team:** 
 We strive to break down silos, collaborate effectively, and celebrate each others' successes.
* **Global Mindset:** 
 We consider different perspectives and celebrate diversity. We are one team. The work we do has an impact on the world.
**Global Benefits**
* Remote First Culture
* Health Care Coverage
* Education Reimbursement\*Competitive Paid Time Off
* Self\-Care Days
* National Holidays
* 2 Founder Days \+ Juneteenth Observed
* Paid Volunteer Time Off
* Charitable Contribution Match
* Monthly Wellness or Home Office Reimbursement
* Access to Employee Assistance Program (mental health platform)
* Parental Leave
* Retirement Plan with match/contribution
**Seeing Beyond the Job Ad**
 At Turnitin, we recognize it’s unrealistic for candidates to fulfill 100% of the criteria in a job ad.  We encourage you to apply if you meet the majority of the requirements because we know that skills evolve over time. If you’re willing to learn and unleash your potential alongside us, join our team!
 Turnitin, LLC is an Equal Opportunity Employer\- vets/disabled.</t>
        </is>
      </c>
    </row>
    <row r="13">
      <c r="A13" t="inlineStr">
        <is>
          <t>li-4336194525</t>
        </is>
      </c>
      <c r="B13" t="inlineStr">
        <is>
          <t>Senior Technical Product Owner</t>
        </is>
      </c>
      <c r="C13" t="inlineStr">
        <is>
          <t>Turnitin</t>
        </is>
      </c>
      <c r="D13" t="inlineStr">
        <is>
          <t>linkedin</t>
        </is>
      </c>
      <c r="E13" t="inlineStr"/>
      <c r="F13" t="inlineStr"/>
      <c r="G13" t="inlineStr">
        <is>
          <t>Dallas, TX</t>
        </is>
      </c>
      <c r="H13" t="inlineStr"/>
      <c r="I13" t="inlineStr">
        <is>
          <t>**Company Description**
 When you join Turnitin, you'll be welcomed into a company that is a recognized innovator in the global education space. For more than 25 years, Turnitin has partnered with educational institutions to promote honesty, consistency, and fairness across all subject areas and assessment types. Turnitin products are used by educational institutions and certification and licensing programs to uphold integrity and increase learning performance, and by students and professionals to do their best, original work.
 Experience a remote\-first culture that empowers you to work with purpose and accountability in a way that best suits you, supported by a comprehensive package that prioritizes your overall well\-being. Our diverse community of colleagues are all unified by a shared desire to make a difference in education.
 Turnitin is a global organization with team members in over 35 countries including the United States, Mexico, United Kingdom, Australia, Japan, India, and the Philippines.
**Job Description**
 Are you the one who bridges the chasm between "business outcomes" and "database migrations"? Do you dream in user stories and wake up to prioritize technical debt? Do you believe the how is just as important as the what?  Are you interested in how technology will drive the future of education?  Then ditch the daily triage routine and join our high\-velocity ed\-tech engineering organization as Turnitin’s first Sr. Technical Product Owner (TPO)!
 The Engineering Plan team manages the plan and build functions for our products, and we need a seasoned TPO to be the technical conscience and execution powerhouse for a core product which spans multiple engineering teams. This isn't just about managing a queue; it's about driving the technical roadmap that ensures our product meets customer needs and stays resilient for years to come.  This person will work closely with multiple teams in both Product and Engineering from across different time zones and countries to ensure technical execution is on track.  Turnitin supports a strong work life balance by providing a fully remote working environment; we focus on hunger for delivering for our customers versus the hours we work.
**Your Quest: Technical Strategy \&amp; Execution**
 You will be the vital link, the glue, and the primary translator across our cross\-functional teams.
**Technical Expertise \&amp; Strategy (The Architect's Mind)**
* **System Deep Dive:** 
 Master the technical aspects of assigned domain, including system architecture, service mesh, and infrastructure components. You'll contribute to the technical strategy and roadmap, ensuring technical choices align with long\-term product health.
* **Technical Health Champion:** 
 Directly partner with Engineering Leaders to balance new feature delivery with the critical work of system maintenance, security, and performance tuning. You are the voice advocating for proactive technical health.
* **Process Ninja:** 
 Analyze existing engineering workflows, identifying bottlenecks and proposing improvements to optimize the plan and build phases of our delivery pipeline.
**Collaboration \&amp; Alignment (The Diplomat's Touch)**
* **Product Translation:** 
 Work with multiple Product Manager(s), each managing a business feature roadmap, to translate their collective strategic vision (e.g., "Narrative: We must launch Feature X") into measurable, outcome\-based technical epics.
* **Inter\-Roadmap Conflict Resolution:** 
 Proactively identify and resolve conflicts or resource contention arising from competing demands across different Product Managers' feature roadmaps.
* **Scope Whisperer:** 
 Advise PMs on scope trade\-offs and technical feasibility, using data on team capacity, system dependencies, and risk to drive difficult prioritization conversations across product lines.
* **Delivery Visibility:** 
 Stay deeply informed on development status and execution detail, empowering the Product Manager(s) with line\-of\-sight on delivery targets for the features relying on your engineering team.
* **Dependency Czar:** 
 Take the lead on cross\-team coordination, proactively managing and resolving technical and functional dependencies across Engineering, DevOps, and QA to free Engineering Leaders and boost team velocity.
**Backlog \&amp; Agile Leadership (The Delivery Dynamo)**
* **Backlog Ownership:** 
 Own the team's technical backlog, meticulously synchronizing the work with the team's capacity in partnership with Engineering Leaders.
* **Story Mastery:** 
 Partner with Technical Lead(s) to break down complex epics into technically feasible, well\-designed stories with crystal\-clear acceptance criteria.
* **Risk \&amp; Debt Manager:** 
 Rely on your Tech Leads to surface technical risks and debt, and then execute the strategy to prioritize, schedule, and resolve them within the development cycle.
* **Priority Management:** 
 Support the Technical Lead(s) in ensuring the team stays focused by managing and communicating changes in work priority, often resulting from negotiations with the multiple PMs.
* **Agile Conductor:** 
 Lead the technical aspects of all Agile events (especially refinement and planning) to ensure the team is focused, technically aligned, and protected from priority shifts.
**Qualifications**
**What You Bring to the Table**
* **Experience:** 
 5\+ years of progressive experience as a Technical Product Owner, Sr. Technical Analyst, or a former Technical Lead/Engineer who transitioned into product management.
* **Complex Stakeholder Management:** 
 Proven experience managing prioritization and expectations when supporting multiple Product Managers or product lines simultaneously.
* **Technical Acumen (Non\-Negotiable):** 
 You must be able to read, understand, and discuss system architecture diagrams, API specifications (REST/gRPC), database schemas, and the principles of CI/CD.
* **Deep Domain Knowledge:** 
 Expertise in managing products built on modern software stacks (e.g., microservices, cloud platforms like AWS/Azure/GCP, containerization via Docker/Kubernetes).
* **Data Fluency:** 
 Comfortable querying data (basic SQL proficiency is a huge plus) to validate assumptions and measure the impact of technical improvements.
* **Tooling Mastery:** 
 Command of Jira (or similar tools) for complex backlog management, dependency tracking, road mapping, and reporting.
**Preferred Qualifications**
* Experience with a specific industry or software domain relevant to the company.
* Certifications such as A\-CSPO/CSP\-PO, PMI\-PBA, PMI\-ACP, CBAP, or similar.
* Certifications in Cloud or other modern technology concepts.
* Experience with DevOps practices and tools.
* Experience or certifications with industry standard frameworks such as SAFe, ITIL, COBIT.
 If you’re ready to dive deep into the tech, champion engineering excellence, and be the person who understands both the business and the binary, we want to hear from you!
**Additional Information**
 The
 **expected annual base salary range** 
 for this position is:
 **$112,000/year** 
 to
 **$168,000/year** 
 . This position is bonus eligible / commission\-based.
 Actual compensation will be provided in writing at the time of offer, if extended, and is determined by work location and a range of other relevant factors, including but not limited to: experience, skills, degrees, licensures, certifications, and other job\-related factors. Internal equity, market and organizational factors are also considered.
**Total Rewards @ Turnitin**
 At Turnitin, we believe Total Rewards go far beyond pay. While salary, bonus, or commission are important, they’re only part of the value you receive in exchange for your work.
 Beyond compensation, you’ll experience the intrinsic rewards of unleashing your potential and making a positive impact on global education. You’ll also thrive in a culture free of politics, surrounded by humble, inclusive, and collaborative teammates.
 In addition, our extrinsic rewards include generous time off and health and wellness programs that provide choice, flexibility, and a safety net for life’s challenges. You’ll also enjoy a remote\-first culture that empowers you to work with purpose and accountability in the way that suits you best, all supported by a comprehensive package that prioritizes your overall well\-being.
**Our Mission** 
 is to ensure the integrity of global education and meaningfully improve learning outcomes.
**Our Values** 
 underpin everything we do.
* **Customer Centric:** 
 Our mission is focused on improving learning outcomes; we do this by putting educators and learners at the center of everything we do.
* **Passion for Learning:** 
 We are committed to our own learning and growth internally. And we support education and learning around the globe.
* **Integrity:** 
 Integrity is the heartbeat of Turnitin—it is the core of our products, the way we treat each other, and how we work with our customers and vendors.
* **Action \&amp; Ownership:** 
 We have a bias for action. We act like owners. We are willing to change even when it’s hard.
* **One Team:** 
 We strive to break down silos, collaborate effectively, and celebrate each others' successes.
* **Global Mindset:** 
 We consider different perspectives and celebrate diversity. We are one team. The work we do has an impact on the world.
**Global Benefits**
* Remote First Culture
* Health Care Coverage
* Education Reimbursement\*Competitive Paid Time Off
* Self\-Care Days
* National Holidays
* 2 Founder Days \+ Juneteenth Observed
* Paid Volunteer Time Off
* Charitable Contribution Match
* Monthly Wellness or Home Office Reimbursement
* Access to Employee Assistance Program (mental health platform)
* Parental Leave
* Retirement Plan with match/contribution
**Seeing Beyond the Job Ad**
 At Turnitin, we recognize it’s unrealistic for candidates to fulfill 100% of the criteria in a job ad.  We encourage you to apply if you meet the majority of the requirements because we know that skills evolve over time. If you’re willing to learn and unleash your potential alongside us, join our team!
 Turnitin, LLC is an Equal Opportunity Employer\- vets/disabled.</t>
        </is>
      </c>
    </row>
    <row r="14">
      <c r="A14" t="inlineStr">
        <is>
          <t>li-4360320849</t>
        </is>
      </c>
      <c r="B14" t="inlineStr">
        <is>
          <t>Senior Product Manager II - Growth</t>
        </is>
      </c>
      <c r="C14" t="inlineStr">
        <is>
          <t>RemoteHunter</t>
        </is>
      </c>
      <c r="D14" t="inlineStr">
        <is>
          <t>linkedin</t>
        </is>
      </c>
      <c r="E14" t="inlineStr"/>
      <c r="F14" t="inlineStr"/>
      <c r="G14" t="inlineStr"/>
      <c r="H14" t="inlineStr"/>
      <c r="I14" t="inlineStr">
        <is>
          <t>About the Opportunity:
 A holistic financial health company helps everyday Americans build a brighter financial future by creating transparent, fair, and simple financial products. The flagship product provides fast access to funds with no interest, late fees, or credit checks, supporting over 9 million users with credit building, budgeting, and deals. The Growth pod focuses on converting free users into paying subscribers by optimizing the early user journey. The Senior Product Manager II will own key parts of the activation funnel and drive improvements through experimentation and collaboration.
 Responsibilities:
 • Own and improve onboarding and activation funnel to increase activation rate
 • Drive improvements in bank and payroll connection and approval\-to\-activation conversion
 • Design and run experiments focused on early lifecycle impact with consideration for long\-term outcomes
 • Own growth\-related features including bank connect, payroll connect, non\-activated user experiences, and referral UX
 • Support referral and promotional initiatives that increase low\-CAC activations
 • Collaborate with Design, Engineering, Analytics, Marketing, and adjacent product teams to deliver growth initiatives
 Requirements:
 • 6\+ years of consumer product management experience focused on growth and/or retention
 • Experience with funnels, conversion metrics, and experimentation
 • Strong analytical skills using qualitative and quantitative insights
 • Ability to execute independently within a defined problem space
 • Clear, effective communicator and collaborator across teams
 • Mobile app experience required; experience in a highly regulated industry is a plus
 Compensation:
 • The anticipated annual base salary for this position is $180,000 \- $210,000
 • Salary depends on factors such as qualifications, experience, skills, education, certifications, and location
 Benefits \&amp; Perks:
 • Medical, dental, and vision insurance
 • Flexible PTO policy
 • 401k plan
 • Paid parental leave
 • Physical and mental wellbeing benefits including virtual workouts, discounted gym memberships, virtual therapy sessions, and unlimited on\-demand health support
 • Monthly reimbursements for wifi and cell phone bills
 • Annual reimbursement for Learning \&amp; Development
 • Dynamic, flexible, and collaborative start\-up work environment with a talented team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5">
      <c r="A15" t="inlineStr">
        <is>
          <t>li-4307267392</t>
        </is>
      </c>
      <c r="B15" t="inlineStr">
        <is>
          <t>Senior Product Manager</t>
        </is>
      </c>
      <c r="C15" t="inlineStr">
        <is>
          <t>FactSet</t>
        </is>
      </c>
      <c r="D15" t="inlineStr">
        <is>
          <t>linkedin</t>
        </is>
      </c>
      <c r="E15" t="inlineStr"/>
      <c r="F15" t="inlineStr"/>
      <c r="G15" t="inlineStr">
        <is>
          <t>New York, United States</t>
        </is>
      </c>
      <c r="H15" t="inlineStr"/>
      <c r="I15" t="inlineStr">
        <is>
          <t>FactSet creates flexible, open data and software solutions for over 200,000 investment professionals worldwide, providing instant access
 to financial data and analytics that investors use to make crucial decisions.
 At FactSet, our values are the foundation of everything we do. They express how we act and operate, serve as a compass in our decision\-making, and play a big role in how we treat each other, our clients, and our communities. We believe that the best ideas can come from anyone, anywhere, at any time, and that curiosity is the key to anticipating our clients’ needs and exceeding their expectations.
 As the Senior Product Manager for our Investment Book of Record (IBOR) solution, you will help drive the strategy and development of a market\-leading product. You will be responsible for refining a competitive product that solves the core data challenges for asset managers, hedge funds, and asset owners. This is a strategic role that requires a deep understanding of the competitive landscape and the ability to translate market needs into a scalable, robust, and innovative platform.
**Key Responsibilities**
* Contribute to the product vision, strategy, and long\-term roadmap for our IBOR and associated products.
* Conduct market research, competitive analysis, and client interviews to identify market opportunities and define product requirements.
* Develop business cases for new features and product extensions, articulating the value proposition for our customers.
* Collaborate with Engineering and Sales teams.
* Serve as a key spokesperson for the product, leading client workshops and supporting sales engagements.
**Required Qualifications**
* 10\+ years of experience in product management, with at least 4 years focused on financial technology for the buy\-side.
* Expert\-level knowledge of IBOR / ABOR products and trade lifecycle across multiple asset classes.
* Strong understanding of modern technology concepts, including APIs, microservices, and cloud architecture.
* Strong communication and presentation skills, with the ability to engage effectively with both C\-level executives and practitioners.
* Bachelor's degree in a relevant discipline or equivalent professional experience
**Preferred Qualifications**
* Experience building and managing multi\-tenant SaaS platforms.
**Job location:** 
 New York
**Working Environment** 
 : Hybrid
 For U.S. locations, must be legally authorized to work in the United States without the need for employer sponsorship, now or at any time in the future
**What's In It For You**
 At FactSet, our people are our greatest asset, and our culture is our biggest competitive advantage. Being a FactSetter means:
* The opportunity to join an S\&amp;P 500 company with over 45 years of sustainable growth powered by the entrepreneurial spirit of a start\-up.
* Support for your total well\-being. This includes health, life, and disability insurance, as well as retirement savings plans and a discounted employee stock purchase program, plus paid time off for holidays, family leave, and company\-wide wellness days.
* Flexible work accommodations. We value work/life harmony and offer our employees a range of accommodations to help them achieve success both at work and in their personal lives.
* A global community dedicated to volunteerism and sustainability, where collaboration is always encouraged, and individuality drives solutions.
* Career progression planning with dedicated time each month for learning and development.
* Business Resource Groups open to all employees that serve as a catalyst for connection, growth, and belonging.
**Learn More About Our Benefits Here.**
 Salary is just one component of our compensation package and is based on several factors including but not limited to education, work experience, and certifications.
**The budgeted amount range for this position in New York City is $160,000 \- $200,000**
**Company Overview**
 FactSet (NYSE:FDS \| NASDAQ:FDS) helps the financial community to see more, think bigger, and work better. Our digital platform and enterprise solutions deliver financial data, analytics, and open technology to more than 8,200 global clients, including over 200,000 individual users. Clients across the buy\-side and sell\-side, as well as wealth managers, private equity firms, and corporations, achieve more every day with our comprehensive and connected content, flexible next\-generation workflow solutions, and client\-centric specialized support. As a member of the S\&amp;P 500, we are committed to sustainable growth and have been recognized among the Best Places to Work in 2023 by Glassdoor as a Glassdoor Employees’ Choice Award winner. Learn more at www.factset.com and follow us on X and LinkedIn.
 At FactSet, we celebrate difference of thought, experience, and perspective. Qualified applicants will be considered for employment without regard to race, color, religion, national origin, sex, sexual orientation, gender identity, disability, protected veteran status or other characteristics protected by law. FactSet participates in E\-Verify</t>
        </is>
      </c>
    </row>
    <row r="16">
      <c r="A16" t="inlineStr">
        <is>
          <t>li-4360142500</t>
        </is>
      </c>
      <c r="B16" t="inlineStr">
        <is>
          <t>Sr. Product Manager - Engagement</t>
        </is>
      </c>
      <c r="C16" t="inlineStr">
        <is>
          <t>Kraken</t>
        </is>
      </c>
      <c r="D16" t="inlineStr">
        <is>
          <t>linkedin</t>
        </is>
      </c>
      <c r="E16" t="inlineStr"/>
      <c r="F16" t="inlineStr"/>
      <c r="G16" t="inlineStr"/>
      <c r="H16" t="inlineStr"/>
      <c r="I16" t="inlineStr">
        <is>
          <t>**Building the Future of Crypto**
 Our Krakenites are a world\-class team with crypto conviction, united by our desire to discover and unlock the potential of crypto and blockchain technology.
**What makes us different?**
 Kraken is a mission\-focused company rooted in crypto values. As a Krakenite, you’ll join us on our mission to accelerate the global adoption of crypto, so that everyone can achieve financial freedom and inclusion. For over a decade, Kraken’s focus on our mission and crypto ethos has attracted many of the most talented crypto experts in the world.
 Before you apply, please read the Kraken Culture page to learn more about our internal culture, values, and mission. We also expect candidates to familiarize themselves with the Kraken app. Learn how to create a Kraken account here.
 As a fully remote company, we have Krakenites in 70\+ countries who speak over 50 languages. Krakenites are industry pioneers who develop premium crypto products for experienced traders, institutions, and newcomers to the space. Kraken is committed to industry\-leading security, crypto education, and world\-class client support through our products like Kraken Pro, Desktop, Wallet, and Kraken Futures.
**Become a Krakenite and build the future of crypto!**
**Proof of work**
**The team**
 This role is part of the Growth team at Kraken—a cross\-functional group of Marketing, Product, Engineering, Design, and Analytics professionals focused on step\-changing user growth and revenue across our platforms.
 Within the Growth organization, Product, Design, and Engineering are structured into three key groups: Acquire, Onboarding \&amp; KYC, and Engage. You’ll be a critical member of the Engage group, responsible for building long\-term product value and loyalty across our Kraken and Pro products—on both mobile and web.
**The opportunity**
* Define the product strategy and roadmap for engagement and loyalty across Kraken and Pro, aligning it with our growth goals and business unit objectives.
* Own key product metrics such retention rate, session frequency, and LTV.
* Drive product development across the full lifecycle—from discovery and validation to launch and iteration—with a focus on utility, repeat usage, and behavioral reinforcement
* Develop and implement growth loops and in\-product mechanics that encourage usage frequency and depth, including gamification, rewards, social features, and habit\-forming design
* Collaborate with Engineering, Design, and Analytics to run A/B and multivariate tests at scale, leveraging results to make fast, data\-informed decisions
* Partner with Marketing and Lifecycle teams to build targeted engagement campaigns and personalized messaging strategies (e.g., push, in\-app, email) based on behavioral insights
* Design and refine client segmentation frameworks to personalize the experience and optimize journeys
* Collaborate closely with Business Leads for Consumer and Pro segments to align product goals with user personas, market demands, and business objectives
**Skills You Should HODL**
* 5\+ years of product management experience, with 2\+ years focused on engagement, retention, or lifecycle growth (preferably in crypto or fintech)
* Strong analytical skills with a proven ability to use data to drive decision\-making
* Experience in growth product management with a solid understanding of experimentation, funnel optimization, and behavioral psychology
* A track record of launching successful engagement features such as notifications systems, loyalty/rewards programs, or community\-driven features
* Experience working with both mobile and web apps, and comfort navigating technical conversations with engineers
* Deep empathy for users combined with a strong business sense
* Strong communication and stakeholder management skills; you can influence at multiple levels of the organization
* Experience working with both mobile and web apps, and comfort navigating technical conversations with engineers
* Enthusiasm for Bitcoin and the cryptocurrency ecosystem, with a deep belief in our mission
*This job is accepting ongoing applications and there is no application deadline.*
*Please note, applicants are permitted to redact or remove information on their resume that identifies age, date of birth, or dates of attendance at or graduation from an educational institution.*
*We consider qualified applicants with criminal histories for employment on our team, assessing candidates in a manner consistent with the requirements of the San Francisco Fair Chance Ordinance.*
 Kraken is powered by people from around the world and we celebrate all Krakenites for their diverse talents, backgrounds, contributions and unique perspectives. We hire strictly based on merit, meaning we seek out the candidates with the right abilities, knowledge, and skills considered the most suitable for the job. We encourage you to apply for roles where you don't fully meet the listed requirements, especially if you're passionate or knowledgable about crypto!
 As an equal opportunity employer, we don’t tolerate discrimination or harassment of any kind. Whether that’s based on race, ethnicity, age, gender identity, citizenship, religion, sexual orientation, disability, pregnancy, veteran status or any other protected characteristic as outlined by federal, state or local laws.
**Stay in the know**
 Follow us on Twitter
 Learn on the Kraken Blog
 Connect on LinkedIn
 Candidate Privacy Notice
 Compensation Range: $110\.4K \- $220\.8K</t>
        </is>
      </c>
    </row>
    <row r="17">
      <c r="A17" t="inlineStr">
        <is>
          <t>li-4329404963</t>
        </is>
      </c>
      <c r="B17" t="inlineStr">
        <is>
          <t>Senior Product Manager, Agentic Knowledge Products - Remote</t>
        </is>
      </c>
      <c r="C17" t="inlineStr">
        <is>
          <t>Lenovo</t>
        </is>
      </c>
      <c r="D17" t="inlineStr">
        <is>
          <t>linkedin</t>
        </is>
      </c>
      <c r="E17" t="inlineStr"/>
      <c r="F17" t="inlineStr"/>
      <c r="G17" t="inlineStr">
        <is>
          <t>North Carolina, United States</t>
        </is>
      </c>
      <c r="H17" t="inlineStr"/>
      <c r="I17" t="inlineStr">
        <is>
          <t>We are Lenovo. We do what we say. We own what we do. We WOW our customers.
 Lenovo is a US$69 billion revenue global technology powerhouse, ranked \#196 in the Fortune Global 500, and serving millions of customers every day in 180 markets. Focused on a bold vision to deliver Smarter Technology for All, Lenovo has built on its success as the world’s largest PC company with a full\-stack portfolio of AI\-enabled, AI\-ready, and AI\-optimized devices (PCs, workstations, smartphones, tablets), infrastructure (server, storage, edge, high performance computing and software defined infrastructure), software, solutions, and services. Lenovo’s continued investment in world\-changing innovation is building a more equitable, trustworthy, and smarter future for everyone, everywhere. Lenovo is listed on the Hong Kong stock exchange under Lenovo Group Limited (HKSE: 992\) (ADR: LNVGY).
 This transformation together with Lenovo’s world\-changing innovation is building a more inclusive, trustworthy, and smarter future for everyone, everywhere. To find out more visit www.lenovo.com, and read about the latest news via our StoryHub.
**About The Position**
 We are in need of a Senior Product Manager to support the end\-to\-end delivery of an AI\-native Enterprise Knowledge Platform that learns, connects, and acts\- enabling employee digital twins and embedded enterprise agents that deliver auditable answers and take compliant actions within core business applications. Our initiative fuses semantic foundations, agent orchestration, hybrid retrieval and governance\-by\-design to move from find to answer and act. This position is remote, will have core working hours in EST and is part of a global team.
**Key Responsibilities**
* Own the Enterprise Knowledge Management EKM platform product lifecycle and roadmap for agentic knowledge products
* Define user stories, manage backlogs, and validate deliverables against requirements
* Collaborate with Solution Architect, dev teams and Platform Ops Manager
* Monitor product performance, adoption, and drive enhancements for AI enablement
* Ensure alignment with enterprise KM strategy and business priorities
**Basic Qualifications**
* 4\+ years of Experience leading RAG/AI Knowledge Product delivery
* 1\+ years of Experience shipping LLM/Agentic products at an enterprise scale
* 8\+ years of Experience delivering products from pilot to production
* Bachelor’s Degree in Engineering, Computer Science, Information Technology, Data Science or related field
**Preferred Qualifications**
* Expertise in AI agent memory, orchestration, RAG and knowledge graph architectures
* Knowledge of Azure AI Search, vector databases (pgvector, Milvus etc.), and secure retrieval
* Ability to design structured outputs (JSON Schema, etc.) and robust tool/function calling
* Strong LLMOps mindset: instrumentation, evaluation, monitoring, and feedback loops
* Security\-first approach: prompt injection mitigation, and guardrails
* Heavy user of agent AI products or dev frameworks, e.g.. Google Gemini, GPT, Claude Anthropic, Grok, Devin AI, AgentForce, Microsoft Copilot Studio, GitHub CoPilot, Google Antigravity, Cursor, Glean, CrewAI with demonstrable results
* Proven ability to translate technical complexity into business value and compelling business outcomes
* Comfort presenting to a variety of audiences from business stakeholders to Executives
* Ability to make data\-driven decisions to support rapid prototyping
* Experience with tools and frameworks such as Prometheus, Grafana, OpenTelemetry, ServiceNow, or Runbook Automation platforms
* Proficiency with Product Management and Collaboration tools: Figma, Jira, Confluence, Notion, SharePoint, Excel
* Cultural Competency working across Chinese, American, Desi, European, and South American cultural contexts, ensuring messages are communicated with clarity and tact
* Certifications are a plus: CAPM, PMP, PMI\-ACP, SAFe, CSM, PRINCE2
* Bilingual proficiency with Mandarin and English is a plus
 The base salary budgeted range for this position is $180\-200k. Individuals may also be considered for bonus and/or commission. This is a remote position that will have core working hours in EST.
 Lenovo’s various benefits can be found onwww.lenovobenefits.com.
 In compliance with Colorado's EPEWA, the expected application deadline for this position is February 2, 2025\. This applies to both external and internal candidates.
*We are an Equal Opportunity Employer and do not discriminate against any employee or applicant for employment because of race, color, sex, age, religion, sexual orientation, gender identity, national origin, status as a veteran, and basis of disability or any federal, state, or local protected class.*</t>
        </is>
      </c>
    </row>
    <row r="18">
      <c r="A18" t="inlineStr">
        <is>
          <t>li-4342465746</t>
        </is>
      </c>
      <c r="B18" t="inlineStr">
        <is>
          <t>Principal Product Manager - Copilot Notebooks</t>
        </is>
      </c>
      <c r="C18" t="inlineStr">
        <is>
          <t>Microsoft</t>
        </is>
      </c>
      <c r="D18" t="inlineStr">
        <is>
          <t>linkedin</t>
        </is>
      </c>
      <c r="E18" t="inlineStr"/>
      <c r="F18" t="inlineStr"/>
      <c r="G18" t="inlineStr">
        <is>
          <t>Redmond, WA</t>
        </is>
      </c>
      <c r="H18" t="inlineStr"/>
      <c r="I18" t="inlineStr">
        <is>
          <t>**Overview**
 We are seeking a highly motivated and experienced
 **Principal Product Manager \- Copilot Notebooks** 
 to join our team and define the next generation of Notebook experiences. In this role, you will be working on Copilot Notebooks, an innovative AI\-native space designed to help users manage their information, build insights, and turn them directly into action. At its core, Copilot Notebooks is the space where users can effortlessly gather and collect heterogeneous information from anywhere, and with Copilot's help generate insights and new artifacts like audio or presentations to turn information/content into knowledge.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Drive the vision, strategy, and roadmap for Copilot Notebooks, while defining AI\-first features to proactively enhance productivity and creativity for millions of OneNote and M365 users.
* Collaborate with cross\-functional teams, including applied sciences, engineering, design, and marketing, to deliver high\-quality features and improvements.
* Analyze user feedback and data to identify opportunities for innovation and improvement.
* Ensure the successful launch and adoption of new features, providing ongoing support and updates.
 Embody our culture and values.
**Qualifications**
**Required Qualifications:**
* Bachelor's Degree AND 8\+ years experience in product/service/program management or software development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AND 12\+ years experience in product/service/program management or software development
+ OR equivalent experience.
* 6\+ years experience improving product metrics for a product, feature, or experience in a market (e.g., growing customer base, expanding customer usage, avoiding customer churn).
* 6\+ years experience disrupting a market for a product, feature, or experience (e.g., competitive disruption, taking the place of an established competing product).
* 3\+ years experience in AI\-first product development, including defining and documenting datasets, user queries, and contextual signals required for successful AI\-driven interactions.
* 3\+ years experience in designing and executing EVALs, ensuring that new AI features meet or exceed benchmarks.
* 6\+ years experience in leadership, communication, and collaboration skills, specifically cross\-organization collaboration.
* 6\+ years experience leading strategic initiatives and driving complex projects to completion.
 Product Management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9">
      <c r="A19" t="inlineStr">
        <is>
          <t>li-4263497481</t>
        </is>
      </c>
      <c r="B19" t="inlineStr">
        <is>
          <t>Sr Product Manager</t>
        </is>
      </c>
      <c r="C19" t="inlineStr">
        <is>
          <t>Honeywell</t>
        </is>
      </c>
      <c r="D19" t="inlineStr">
        <is>
          <t>linkedin</t>
        </is>
      </c>
      <c r="E19" t="inlineStr"/>
      <c r="F19" t="inlineStr"/>
      <c r="G19" t="inlineStr">
        <is>
          <t>Atlanta, GA</t>
        </is>
      </c>
      <c r="H19" t="inlineStr"/>
      <c r="I19" t="inlineStr">
        <is>
          <t>**Job Description**
**The Business Unit**
 The Honeywell Fire business focuses on providing advanced fire detection, alarm systems, and software solutions designed to protect lives and property. The portfolio includes a wide range of products such as fire alarm control panels, smoke detectors, notification devices, and integrated fire and security software solutions. These systems are engineered to meet the highest standards of safety and reliability, ensuring rapid detection, digital alarm transmission and best response to fire incidents. Honeywell Fire's solutions are scalable and suitable for various applications, including commercial buildings, industrial facilities, healthcare institutions, and educational campuses
**Position Overview**
 As a Sr Product Manager for Connected Life Safety Services (CLSS), you will be a visionary and evangelist for Fire hardware and software products, with a primary focus on connected buildings, digitization of alarm transmission, and SAAS solutions. You will be responsible for driving the successful launch of new products and features, from concept to market delivery with a primary focus on leveraging internal and external data to build value added software solutions driving operational efficiency for our partners and impacting life safety. The ideal candidate will have a proven track record of leading NPI programs, exceptional leadership skills, and the ability to thrive in a fast\-paced environment. This global leadership role is pivotal in Honeywell Fire's growth trajectory, overseeing the delivery of best\-in\-class software solutions for building owners, facility manager, system installers, central monitoring stations, and fire departments.
 Review details about CLSS: https://fire.honeywell.com/\#/home
**Responsibilities**
**Ideal Candidate Experience:**
* Proven experience (typically 10\+ years) in product management, with a focus on new product introduction or launch.
* Strong project management skills with the ability to manage multiple projects simultaneously.
* Demonstrated ability to lead cross\-functional teams and drive consensus among stakeholders.
* Excellent communication and presentation skills, with the ability to articulate complex concepts to diverse audiences.
* Execute product strategies and roadmaps.
* Conduct market research and analysis to identify customer needs and market trends.
**Key Responsibilities**
**New Product Strategy and Planning:**
* Develop and execute the NPI strategy aligned with the company's overall product roadmap and business goals.
* Conduct market research, competitive analysis, and customer segmentation to identify new product opportunities.
* Define product requirements, features, and specifications based on market needs and customer feedback.
**Cross\-Functional Leadership**
* Lead cross\-functional teams including R\&amp;D, engineering, manufacturing, marketing, and sales throughout the NPI process.
* Drive collaboration and communication to ensure alignment on product development milestones, timelines, and deliverables.
* Serve as the primary point of contact and advocate for the new product within the organization.
**Project Management And Execution**
* Develop detailed project plans, timelines, and budgets for NPI projects.
* Monitor progress against milestones, identify risks, and proactively address issues to ensure on\-time and on\-budget delivery.
* Coordinate beta testing, pilot programs, and market trials to validate product performance and gather customer feedback.
**Commercialization And Go\-to\-Market Strategy**
* Partner with marketing and sales teams to develop go\-to\-market strategies, pricing models, and sales collateral for new products.
* Drive product launch activities including sales training, customer education, and promotional campaigns.
* Monitor post\-launch performance, collect feedback, and iterate on product features and marketing strategies as needed.
**Continuous Improvement And Analysis**
* Conduct post\-launch reviews and analysis to evaluate the success of NPI projects against established metrics and KPIs.
* Identify opportunities for product enhancements, process improvements, and cost optimization.
* Stay informed about industry trends, technological advancements, and competitor activities related to new product introductions.
**Qualifications**
**YOU MUST HAVE**
* Minimum of 10 years of experience in product management or related roles
* Proven track record in customer discovery, NPD execution, and NPI acceleration
* Experience in developing business case financials and creating offering roadmaps
**We Value**
* Bachelor’s Degree: in Business, Engineering, or related field.
* MBA or Advanced Degree (Preferred): An MBA or advanced degree in a related field is preferred, demonstrating a commitment to continuous learning and professional development.
* Industry Knowledge: Experience in the Fire industry, products, technology, and or fire/codes.
* Industry Savviness: Savviness on emerging trends, technology and competitive landscape. Ability to leverage industry insights to inform product strategy and differentiate offerings in the market.
* Technical Acumen: Familiarity with SaaS product lifecycle and delivery methodologies. Proficiency in data analytics tools (e.g., SQL, Tableau, Google Analytics) to interpret user data and product performance.
* Agile Methodologies: Experience with agile methodologies including sprint planning and backlog management and a track record of successfully delivering products in iterative, fast\-paced environments.
* Strategic Vision: Strong strategic thinking and the ability to align product strategies with broader business goals. Experience developing and executing product roadmaps that contribute to the overall success of the business.
* Global Perspective: Experience working in a global context, understanding diverse market needs and tailoring product strategies accordingly. Ability to collaborate effectively with teams across different regions and time zones.
* Innovative Thinking: Strong innovative thinking and problem\-solving skills. Ability to identify opportunities, think creatively, and develop innovative solutions to complex challenges.
* Stakeholder Management: Exceptional stakeholder management skills, including the ability to communicate effectively with executives, engineers, and other cross\-functional teams. Proven ability to navigate and influence in a matrixed organization.
 If you are a self\-driven product manager with a passion for innovation and a commitment to delivering exceptional solutions, we invite you to join our team and contribute to the success of Honeywell Fire as we transform the fire industry.
**About Honeywell**
 Honeywell International Inc. (Nasdaq: HON) invents and commercializes technologies that address some of the world’s most critical challenges around energy, safety, security, air travel, productivity, and global urbanization. We are a leading software\-industrial company committed to introducing state\-of\-the\-art technology solutions to improve efficiency, productivity, sustainability, and safety in high\-growth businesses in broad\-based, attractive industrial end markets. Our products and solutions enable a safer, more comfortable, and more productive world, enhancing the quality of life of people around the globe.
**About Us**
 Honeywell helps organizations solve the world's most complex challenges in automation, the future of aviation and energy transition. As a trusted partner, we provide actionable solutions and innovation through our Aerospace Technologies, Building Automation, Energy and Sustainability Solutions, and Industrial Automation business segments – powered by our Honeywell Forge software – that help make the world smarter, safer and more sustainable.</t>
        </is>
      </c>
    </row>
    <row r="20">
      <c r="A20" t="inlineStr">
        <is>
          <t>li-4346432192</t>
        </is>
      </c>
      <c r="B20" t="inlineStr">
        <is>
          <t>Principal Product Manager</t>
        </is>
      </c>
      <c r="C20" t="inlineStr">
        <is>
          <t>Microsoft</t>
        </is>
      </c>
      <c r="D20" t="inlineStr">
        <is>
          <t>linkedin</t>
        </is>
      </c>
      <c r="E20" t="inlineStr"/>
      <c r="F20" t="inlineStr"/>
      <c r="G20" t="inlineStr">
        <is>
          <t>Redmond, WA</t>
        </is>
      </c>
      <c r="H20" t="inlineStr"/>
      <c r="I20" t="inlineStr">
        <is>
          <t>**Overview**
 Microsoft 365 is the de facto standard for enterprise cloud SaaS (software\-as\-a\-service) solution and the Teams, SharePoint, and OneDrive services are its foundational elements.
 In this AI and Copilot era, organizations are digitally transforming every aspects of their business with Microsoft 365 which infuses intelligence and brings maximum productivity gain. Microsoft Teams and SharePoint/OneDrive services have recently reached over 300 million monthly active users (MAU). We are continuing to see exponential growth in our services and are expanding our team.
 We are the OneDrive/SharePoint Security and Copilot for Admins product team, part of Microsoft 365 cloud services teams in Experiences \+ Devices (E\+D) division. Our team’s mission is to empower customers with simple, secure, and compliant management solutions that help administer their ever\-increasing digital estate. Our product portfolio targets small/medium/enterprise businesses, consumers, and schools.
 We are a unique team in a way as we are privileged to work on complex technical platform issues while at the same time having direct customer connections and bringing impact to Microsoft’s bottom\-line revenue.
 We are expanding to new AI\-powered product offerings, such as SharePoint Advanced Management for IT Pros with AI\-first controls for preventing over\-permissioning and managing lifecycle of content. Our team plays a crucial role in the Microsoft 365 Copilot journey, driving innovation and advancing productivity.
 We are looking for a
 **Principal Product Manager** 
 who will be responsible for strategizing and expanding our AI initiatives across content security product portfolio and championing integrations across our Microsoft 365 suite. The keys to success will encompass creating a strategy for cross\-product integrations across our product offerings in the lens of agentic capabilities and accelerating customer adoption and partnership integrations.
 We are looking for you to bringing fresh perspective and your unique voice to our team!
 We are a modern PM organization running product management for one of the largest businesses and consumer services on the planet and the second biggest service in Microsoft 365\. The team runs lean with a span of control among managers and more PMs than company average, ensuring impact from the PM team and a focus on product and customers. We are data informed, hypothesis driven, and measure our outcomes to validate customer impact.  We empower our industry leading design and user research teams to own the user and administrator experience of our product. We take a direct role in framing our business value directly to our customers and vibrant community of fans.
 Part of building a successful team is having an inclusive workplace where all people and ideas are welcome. To this end, we’ve created a Culture Club to provide organizational support to grassroots initiatives that focus on various aspects of our culture. We’ve created local mentoring rings and communities where we can learn from each other and grow. We focus on having inclusive meetings that foster useful dialog. Transparency is also core to our culture. We like to have fun, celebrate our wins, and learn from our mistakes. Learn more about our team and culture at https://aka.ms/getsmart.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You will have the ability to forge solid cross\-organization partnerships to achieve common aspirations, aptitude to enable progress through data\-driven methodology, and a drive to make our customers and our business successful.
* You will lead the product strategy for elevating Copilot governance with SharePoint’s cutting\-edge security policies like ransomware protection and many other security platform solutions.
* You will work closely with other compliance leaders and major offerings like Microsoft 365 Copilot, Teams Premium, Copilot for Sales, etc., This is a collaborative role with emphasis on partnership across organization boundaries and across PM, Engineering, Design, Research, Data Science, and Marketing disciplines to deliver impact together.
* You will be the voice of the engineering team in customer conversations and will have opportunities to work directly with enterprise customers and bring impact to Microsoft 365’s core business.
 Embody our culture and values.
**Qualifications**
**Required Qualifications:**
* Bachelor's Degree AND 8\+ years experience in product/service/program management or software development
+ OR equivalent experience.
* 8\+ years of demonstrated ability in interpersonal and communication skills, product insight, user empathy, cross\-functional collaboration, system\-level thinking, and portfolio management.
* 8\+ years experience launching multiple iterations of products to customers.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AND 12\+ years experience in product/service/program management or software development
+ OR equivalent experience.
* 4\+ years experience taking a product, feature, or experience to market (e.g., design, addressing product market fit, and launch, internal tool/framework).
* 6\+ years experience improving product metrics for a product, feature, or experience in a market (e.g., growing customer base, expanding customer usage, avoiding customer churn).
* 6\+ years experience disrupting a market for a product, feature, or experience (e.g., competitive disruption, taking the place of an established competing product).
* Self\-starter with solid communication skills (written \&amp; oral), a background of influencing others, and bias towards action.
* Demonstrated ability to collaborate across teams, disciplines, and across levels of management.
* Demonstrated ability to engage in a healthy team culture of diversity, inclusion, belonging, and collaboration.
* Demonstrated interest and empathy for understanding customer scenarios and experiences.
* Demonstrated product strategy and visionary.
 Product Management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1">
      <c r="A21" t="inlineStr">
        <is>
          <t>li-4336091767</t>
        </is>
      </c>
      <c r="B21" t="inlineStr">
        <is>
          <t>Senior Product Manager (Gurgaon-based)</t>
        </is>
      </c>
      <c r="C21" t="inlineStr">
        <is>
          <t>Agoda</t>
        </is>
      </c>
      <c r="D21" t="inlineStr">
        <is>
          <t>linkedin</t>
        </is>
      </c>
      <c r="E21" t="inlineStr"/>
      <c r="F21" t="inlineStr"/>
      <c r="G21" t="inlineStr">
        <is>
          <t>Seattle, WA</t>
        </is>
      </c>
      <c r="H21" t="inlineStr"/>
      <c r="I21"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**Overview:**
**This role is based in Gurugram, India.**
 This role facilitates forward inventory distribution via APIs, ensuring seamless partner integration, data access, and operational efficiency to enhance collaboration and maximize inventory value across B2B channels. Agoda’s Senior Product Managers are responsible for defining the overall strategy and goals for Agoda’s various products, including the website, mobile applications and mobile website, email marketing. SPMs drive the relentless innovation required to stay ahead in an extremely dynamic and competitive industry. SPMs create and maintain a product roadmap and will be responsible for communication with all stakeholders (business heads, marketing, developers, and senior management) to ensure that Agoda’s products continue to perform at the highest possible level and serve the needs of our many customer groups.
 A Senior Product Manager will see the big picture and the small detail at the same time. He or she will understand the broad needs of the business, scan the competitive landscape in which their product operates, spot trends and technical developments and update the product roadmap as needed. At the same time, he or she will understand every detail of the product from design to functionality to usability. They will need to understand various ecommerce metrics and concepts very well – conversion, repeat rates, ROI, site performance metrics, bounce rates, return on investment, etc.
 In summary, an Agoda Senior Product Manager can expect to work on the cutting edge of technology, data, digital marketing, algorithmic decision\-making and consumer psychology – all at a scale that very few ecommerce companies in the world today can offer.
**Responsibilities:**
* Working on end to end API B2B products.
* Monitoring and analyzing market conditions, conducting competitor and technological landscape analysis, and prioritizing market segment opportunities
* Setting strategic direction of how to best align the short term and the long\-term strategy based on customer needs and business goals
* Converting strategic goals into operational tasks
* Managing an agile team for launch to create and maintain consistent, branded look and feel across all products
* Defining KPIs for all projects and evaluating the success of a project
* Defining navigational flow and user experience on the site, apps, etc.
* Evaluating risks and tradeoffs associated with each course of action
* Working closely with users to ensure all projects meet business needs
**Qualifications:**
* Proven ability to leverage analytics and quantitative methods to inform and influence decision\-making
* Experience with emerging data\-mining technology
* Experience working in a fast\-paced and high growth environment
* Experience in B2B2C, B2B or B2C products
* Experience and passion for web design, functionality and testing
* Enthusiasm to develop engineered processes and technologies and to apply innovative solutions to make organizational improvements while encouraging creative thinking and innovation
* Ability to motivate and inspire development teams to achieve beyond what they imagined possible
* Entrepreneurial and analytical; effective at managing change in a fast\-moving and constantly evolving business
* Experience with the latest internet trends and technologies
* MBA or advanced Math, Computer Science or Statistics degree preferred
 In addition, the ideal candidate will demonstrate the following competencies and skill sets:
* Relentless curiosity and an urge to innovate, measure and improve
* Openness to change and new information
* Proven skills in recruitment and staff leadership
* Hands\-on mentality
* Recognizes own strengths and weaknesses
* Process oriented and strong problem\-solving skills
* Capacity to identify and keep up to date on relevant global trends
* Collaborative and consensual approach.
* Commitment to ‘speed wins’ philosophy
* Highly ethical
* Sense of humor, humility
*By applying to this job, you agree that Agoda may process your personal data in accordance with Agoda applicants privacy statement. (link to https://careersatagoda.com/privacy\-statement/)*
 \#sanfrancisco \#austin \#sanjose \#newyork \#seattle \#boston \#sydney \#brussels \#toronto \#paris \#berlin \#dublin \#munich \#telaviv \#amsterdam \#london \#PRDM \#5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row>
    <row r="22">
      <c r="A22" t="inlineStr">
        <is>
          <t>li-4360172392</t>
        </is>
      </c>
      <c r="B22" t="inlineStr">
        <is>
          <t>Product Manager, Vice President - AdTech &amp; Customer Data Platform Solutions</t>
        </is>
      </c>
      <c r="C22" t="inlineStr">
        <is>
          <t>hackajob</t>
        </is>
      </c>
      <c r="D22" t="inlineStr">
        <is>
          <t>linkedin</t>
        </is>
      </c>
      <c r="E22" t="inlineStr"/>
      <c r="F22" t="inlineStr"/>
      <c r="G22" t="inlineStr">
        <is>
          <t>Jersey City, NJ</t>
        </is>
      </c>
      <c r="H22" t="inlineStr"/>
      <c r="I22" t="inlineStr">
        <is>
          <t>***hackajob** 
 is collaborating with
 **J.P. Morgan** 
 to connect them with exceptional tech professionals for this role.*
* Base Pay/SalaryJersey City,NJ $122,550\.00\-$201,000\.00; New York,NY $122,550\.00\-$201,000\.00
**Job Description**
 You enjoy shaping the future of product innovation as a core leader, driving value for customers, guiding successful launches, and exceeding expectations. Join our dynamic team and make a meaningful impact by delivering high\-quality products that resonate with clients.
 As a Product Manager, Vice President in Global Private Bank, you will lead the development and optimization of our AdTech and Customer Data Platform (CDP) solutions. You will be responsible for driving product vision, roadmap, and execution to enable seamless digital marketing, data integration, and personalized client experiences and utilize your background in ad technology, data management, and cross\-functional collaboration.
**Job Responsibilities**
* Develops a product strategy and product vision that delivers value to customers
* Manages discovery efforts and market research to uncover customer solutions and integrate them into the product roadmap
* Owns, maintains, and develops a product backlog that enables development to support the overall strategic roadmap and value proposition
* Builds the framework and tracks the product's key success metrics such as cost, feature and functionality, risk posture, and reliability
* Collaborate and develop relationships with marketing, data, engineering, and external vendor teams to deliver integrated solutions that enhance campaign performance and client engagement, establishing and communicating clear delivery timelines and KPIs.
* Educate partners on Customer Data Platform utilization and align to robust engagement platform strategies.
* Articulate audience creation through Customer Data Platform for first\- and third\-party data, including lookalike audience activation.
* Understand data structures and audience attribution for deeper personalization.
* Act as a subject matter expert on developing rule engines for engagements across multiple digital channels.
* Drive the maturity of engagement strategies and understand customer behaviors and how interactions influence channel activation.
* Ensure data integrity, privacy, and compliance across all ad tech and Customer Data Platform initiatives.
**Required Qualifications, Capabilities, And Skills**
* 5\+ years of experience or equivalent expertise in product management or a relevant domain area
* Advanced knowledge of the product development life cycle, design, and data analytics
* Proven ability to lead product life cycle activities including discovery, ideation, strategic development, requirements definition, and value management
* Bachelor’s degree in marketing, Business, Computer Science, or related field
* Proven track record of delivering successful Ad tech and/or CDP products and managing MarTech solutions, such as marketing automation platforms and data analytics tools.
* Strong understanding of B2C financial services sales processes, customer journey mapping, and lead generation strategies.
* Proficiency in data analysis and the ability to translate data into actionable insights.
* Strong understanding of digital advertising ecosystems, data management, and personalization strategies.
* Excellent analytical, problem\-solving, and project management skills.
* Effective communicator with the ability to influence and collaborate across teams.
* Experience with agile methodologies and product management tools.
**Preferred Qualifications, Capabilities, And Skills**
* Demonstrated prior experience working in a highly matrixed, complex organization
* Familiarity with major CDP platforms (e.g., Adobe, Segment) and ad tech solutions.
* Knowledge of data privacy regulations (GDPR, CCPA) and best practices.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 Asset \&amp; Wealth Management delivers industry\-leading investment management and private banking solutions. Asset Management provides individuals, advisors and institutions with strategies and expertise that span the full spectrum of asset classes through our global network of investment professionals. Wealth Management helps individuals, families and foundations take a more intentional approach to their wealth or finances to better define, focus and realize their goals.</t>
        </is>
      </c>
    </row>
    <row r="23">
      <c r="A23" t="inlineStr">
        <is>
          <t>li-4363887124</t>
        </is>
      </c>
      <c r="B23" t="inlineStr">
        <is>
          <t>Product Manager, Specialty</t>
        </is>
      </c>
      <c r="C23" t="inlineStr">
        <is>
          <t>BioSpace</t>
        </is>
      </c>
      <c r="D23" t="inlineStr">
        <is>
          <t>linkedin</t>
        </is>
      </c>
      <c r="E23" t="inlineStr"/>
      <c r="F23" t="inlineStr"/>
      <c r="G23" t="inlineStr">
        <is>
          <t>King of Prussia, PA</t>
        </is>
      </c>
      <c r="H23" t="inlineStr"/>
      <c r="I23" t="inlineStr">
        <is>
          <t>The Product Manager for ANDEMBRY will be responsible for supporting various components of the tactical plan, specifically focused on the HCP customers and field relationships. This role will support the ANDEMBRY brand director, and other members on the Brand Team, in creating and implementing key tactical initiatives to promote and differentiate ANDEMBRY to drive the positioning of “Maximum attack protection, simply achieved”. The Product Manager will be involved in driving and measuring ANDEMBRY initiatives, such as Peer to Peer initiative, KOL management, Speaker Bureau management, as well as key point of contact for field materials and communications.
 The ideal candidate will have experience in rare disease, the ability to thrive in a fast\-paced environment, be comfortable with managing multiple changes in direction and not afraid to work among ambiguity in certain situations. This role will need to proactively communicate with various functions across the commercial business. They should be able to work within a team environment as well as individually and be comfortable presenting information to a group of colleagues.
**Main Responsibilities \&amp; Accountabilities**
* Work with the Brand Director and Team, on execution of the promotional mix strategy and plan. Engage external agency partner to deliver brand messaging and selling resources that maximize communication effectiveness.
* Lead development of branded program materials through concept, development, medical/legal/regulatory review, production and dissemination to end user.
* Partner with the Brand Director to collaborate with sales training to ensure optimal rollout and execution of new materials/initiatives for launch.
* Accountable for proactive management of marketing activities they are leading to assure compliance with internal Company and external requirements.
* Responsible for obtaining medical/regulatory/legal guidance as needed in materials or program development process to ensure alignment early in process. Develops and manages effective agency relationships in support of key initiatives and provides clear direction on objectives and deliverables. Responsible for providing strategic direction to agency and outline where/how project fits into plan. Partners with agency to provide updates, mockups, timelines to others as needed.
* Identify and lead sales materials, including recommending modifications or new assets based on market dynamics and field input. Manage STASH inventory and ensure outdated materials are cleared from STASH and Veeva.
* Work with ANDEMBRY team members to lead development of tactics for non\-personal plan for HCPs
**Qualifications**
* Education
* undefined
* BS/BA, MBA preferred
**Experience**
* 5\-7 years' marketing experience with 1\-2 years' experience in pharmaceutical, biotech or medical device industry
 Competencies
* Business Acumen
* Drive for Results
* Strong Communication Skills
* Highly collaborative
* Customer Focus
* Thrive in a fast\-paced environment
**About CSL Behring**
 CSL Behring is a global biotherapeutics leader driven by our promise to save lives. Focused on serving patients’ needs by using the latest technologies, we discover, develop and deliver innovative therapies for people living with conditions in the immunology, hematology, cardiovascular and metabolic, respiratory, and transplant therapeutic areas. We use three strategic scientific platforms of plasma fractionation, recombinant protein technology, and cell and gene therapy to support continued innovation and continually refine ways in which products can address unmet medical needs and help patients lead full lives.
 CSL Behring operates one of the world’s largest plasma collection networks, CSL Plasma. Our parent company, CSL, headquartered in Melbourne, Australia, employs 32,000 people, and delivers its lifesaving therapies to people in more than 100 countries.
 To learn more about CSL, CSL Behring, CSL Seqirus and CSL Vifor visit https://www.csl.com/ and CSL Plasma at https://www.cslplasma.com/.
**Our Benefits**
 For more information on CSL benefits visit How CSL Supports Your Well\-being \| CSL.
**You Belong at CSL**
 At CSL, Inclusion and Belonging is at the core of our mission and who we are. It fuels our innovation day in and day out. By celebrating our differences and creating a culture of curiosity and empathy, we are able to better understand and connect with our patients and donors, foster strong relationships with our stakeholders, and sustain a diverse workforce that will move our company and industry into the future.
 To learn more about inclusion and belonging visit https://www.csl.com/careers/inclusion\-and\-belonging
**Equal Opportunity Employer**
 CSL is an Equal Opportunity Employer. If you are an individual with a disability and need a reasonable accommodation for any part of the application process, please visit https://www.csl.com/accessibility\-statement.</t>
        </is>
      </c>
    </row>
    <row r="24">
      <c r="A24" t="inlineStr">
        <is>
          <t>li-4342545743</t>
        </is>
      </c>
      <c r="B24" t="inlineStr">
        <is>
          <t>Product Owner II</t>
        </is>
      </c>
      <c r="C24" t="inlineStr">
        <is>
          <t>Patterson Companies, Inc.</t>
        </is>
      </c>
      <c r="D24" t="inlineStr">
        <is>
          <t>linkedin</t>
        </is>
      </c>
      <c r="E24" t="inlineStr"/>
      <c r="F24" t="inlineStr"/>
      <c r="G24" t="inlineStr">
        <is>
          <t>St Paul, MN</t>
        </is>
      </c>
      <c r="H24" t="inlineStr"/>
      <c r="I24" t="inlineStr">
        <is>
          <t>The Product Owner II is responsible for leading a product or set of product features through road mapping, design, and development phases of product lifecycle. This role manages the product line internally day\-to\-day, using agile methodologies to define release product needs and features in alignment with product strategy. They work closely with product stakeholders to develop specifications for consumption by development teams and clearly communicate the product vision, roadmap, and customer value.
* This role will be Hybrid (2\-days a week in office) and it is required that you are located within 50 miles of our Corporate Offices in either Mendota Heights, MN or Loveland, CO. In\-person attendance is expected to foster collaboration, innovation, and team connection.
**Essential Functions**
* Partner cross\-functionally to draft, manage, and maintain a detailed roadmap based upon product and release strategy
* Collaborate cross\-functionally to prioritize product backlog provide input on timing and readiness for planned production releases Create and facilitate feature requirements, user stories, and user interface design changes; work with technical teams to ensure readiness for development
* Approve sprint deliverables, balance feedback and ensure solutions meet product requirements and enable overall product health
* Coordinate and assist with beta process and resolution of product resolution issues across stakeholders and development team
* Identify and manage risks at the release and iteration level in partnership with team managers
* Assist with quality related tasks and complete quality training as required for products under scope of regulatory quality management
* Ensure that training content is created and delivered for new product functionality; provide customer production issue escalation assistance and oversight to ensure resolution
* Participates in, and may lead, daily stand\-ups, refinement, story review, sprint planning, and retrospectives
* Stay current with industry trends, platform roadmaps, technological advancements, and best practices in product ownership and product management
* Comply with Company and department policies and standards; performs other duties as assigned
**Essential Functions: Corporate**
* SAP: Partner with the Product Manager to draft and manage the roadmap based on the business and release strategies
**Additional Responsibilities**
* Provide domain expertise to assist with user experience planning
* Participate in (and in some cases lead) customer and vendor meetings
**Minimum Requirements**
* Bachelor's Degree Computer Science, Information Technology, or related area to Product (Business Administration, Finance/Accounting, Supply Chain, etc) or equivalent education and/or experience
* 2 years Experience in an IT process/product design, project/product planning, or related technology and
* Experience with Agile methodologies or Scrum framework
**Preferred Requirements**
* 3 years SAP: experience with requirements gathering, design, development or configuration, and implementation of SAP solutions
* SAP: SAP certification
* SAP: Certified Scrum Product Owner (CSPO or similar agile certification
**Skills And Abilities**
* Strong verbal and written communications; ability to communicate effectively at multiple levels in the organization
* Strong analytical and problem\-solving skills; critical thinking and a data\-driven approach to decision\-making
* Strong organizational, attention to detail, and follow\-up skills; ability to effectively prioritize and handle multiple assignments and meet assigned deadlines
* Ability to work effectively within a team and as an individual contributor in a fast\-paced changing environment
* Knowledge of Microsoft Azure Dev Ops or similar SDLC management tools
* Knowledge of animal health and dental industries helpful. Knowledge of distribution and service of equipment, software, merchandise and/or pharmaceuticals helpful.
* SAP: Understanding of SAP modules (e.g., SAP S/4HANA, SAP Fiori, SAP EWM, etc.) and applications in business processes
* SAP: Understanding of SAP ecosphere, including best practices and SAP solution roadmaps
**Travel Requirements**
* 0%
 The compensation range for this role is below.
 $85,000 \- $110,000
 The potential compensation range for this role is below. The final offer amount would be based on various factors such as candidate location (geographical labor market), experience, and skills. $85,500\.00 \- $106,800\.00</t>
        </is>
      </c>
    </row>
    <row r="25">
      <c r="A25" t="inlineStr">
        <is>
          <t>li-4336241353</t>
        </is>
      </c>
      <c r="B25" t="inlineStr">
        <is>
          <t>Senior Product Manager (Gurgaon-based)</t>
        </is>
      </c>
      <c r="C25" t="inlineStr">
        <is>
          <t>Agoda</t>
        </is>
      </c>
      <c r="D25" t="inlineStr">
        <is>
          <t>linkedin</t>
        </is>
      </c>
      <c r="E25" t="inlineStr"/>
      <c r="F25" t="inlineStr"/>
      <c r="G25" t="inlineStr">
        <is>
          <t>Austin, TX</t>
        </is>
      </c>
      <c r="H25" t="inlineStr"/>
      <c r="I25"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**Overview:**
**This role is based in Gurugram, India.**
 This role facilitates forward inventory distribution via APIs, ensuring seamless partner integration, data access, and operational efficiency to enhance collaboration and maximize inventory value across B2B channels. Agoda’s Senior Product Managers are responsible for defining the overall strategy and goals for Agoda’s various products, including the website, mobile applications and mobile website, email marketing. SPMs drive the relentless innovation required to stay ahead in an extremely dynamic and competitive industry. SPMs create and maintain a product roadmap and will be responsible for communication with all stakeholders (business heads, marketing, developers, and senior management) to ensure that Agoda’s products continue to perform at the highest possible level and serve the needs of our many customer groups.
 A Senior Product Manager will see the big picture and the small detail at the same time. He or she will understand the broad needs of the business, scan the competitive landscape in which their product operates, spot trends and technical developments and update the product roadmap as needed. At the same time, he or she will understand every detail of the product from design to functionality to usability. They will need to understand various ecommerce metrics and concepts very well – conversion, repeat rates, ROI, site performance metrics, bounce rates, return on investment, etc.
 In summary, an Agoda Senior Product Manager can expect to work on the cutting edge of technology, data, digital marketing, algorithmic decision\-making and consumer psychology – all at a scale that very few ecommerce companies in the world today can offer.
**Responsibilities:**
* Working on end to end API B2B products.
* Monitoring and analyzing market conditions, conducting competitor and technological landscape analysis, and prioritizing market segment opportunities
* Setting strategic direction of how to best align the short term and the long\-term strategy based on customer needs and business goals
* Converting strategic goals into operational tasks
* Managing an agile team for launch to create and maintain consistent, branded look and feel across all products
* Defining KPIs for all projects and evaluating the success of a project
* Defining navigational flow and user experience on the site, apps, etc.
* Evaluating risks and tradeoffs associated with each course of action
* Working closely with users to ensure all projects meet business needs
**Qualifications:**
* Proven ability to leverage analytics and quantitative methods to inform and influence decision\-making
* Experience with emerging data\-mining technology
* Experience working in a fast\-paced and high growth environment
* Experience in B2B2C, B2B or B2C products
* Experience and passion for web design, functionality and testing
* Enthusiasm to develop engineered processes and technologies and to apply innovative solutions to make organizational improvements while encouraging creative thinking and innovation
* Ability to motivate and inspire development teams to achieve beyond what they imagined possible
* Entrepreneurial and analytical; effective at managing change in a fast\-moving and constantly evolving business
* Experience with the latest internet trends and technologies
* MBA or advanced Math, Computer Science or Statistics degree preferred
 In addition, the ideal candidate will demonstrate the following competencies and skill sets:
* Relentless curiosity and an urge to innovate, measure and improve
* Openness to change and new information
* Proven skills in recruitment and staff leadership
* Hands\-on mentality
* Recognizes own strengths and weaknesses
* Process oriented and strong problem\-solving skills
* Capacity to identify and keep up to date on relevant global trends
* Collaborative and consensual approach.
* Commitment to ‘speed wins’ philosophy
* Highly ethical
* Sense of humor, humility
*By applying to this job, you agree that Agoda may process your personal data in accordance with Agoda applicants privacy statement. (link to https://careersatagoda.com/privacy\-statement/)*
 \#sanfrancisco \#austin \#sanjose \#newyork \#seattle \#boston \#sydney \#brussels \#toronto \#paris \#berlin \#dublin \#munich \#telaviv \#amsterdam \#london \#PRDM \#5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row>
    <row r="26">
      <c r="A26" t="inlineStr">
        <is>
          <t>li-4336151638</t>
        </is>
      </c>
      <c r="B26" t="inlineStr">
        <is>
          <t>Senior Product Manager (Gurgaon-based)</t>
        </is>
      </c>
      <c r="C26" t="inlineStr">
        <is>
          <t>Agoda</t>
        </is>
      </c>
      <c r="D26" t="inlineStr">
        <is>
          <t>linkedin</t>
        </is>
      </c>
      <c r="E26" t="inlineStr"/>
      <c r="F26" t="inlineStr"/>
      <c r="G26" t="inlineStr">
        <is>
          <t>Boston, MA</t>
        </is>
      </c>
      <c r="H26" t="inlineStr"/>
      <c r="I26"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**Overview:**
**This role is based in Gurugram, India.**
 This role facilitates forward inventory distribution via APIs, ensuring seamless partner integration, data access, and operational efficiency to enhance collaboration and maximize inventory value across B2B channels. Agoda’s Senior Product Managers are responsible for defining the overall strategy and goals for Agoda’s various products, including the website, mobile applications and mobile website, email marketing. SPMs drive the relentless innovation required to stay ahead in an extremely dynamic and competitive industry. SPMs create and maintain a product roadmap and will be responsible for communication with all stakeholders (business heads, marketing, developers, and senior management) to ensure that Agoda’s products continue to perform at the highest possible level and serve the needs of our many customer groups.
 A Senior Product Manager will see the big picture and the small detail at the same time. He or she will understand the broad needs of the business, scan the competitive landscape in which their product operates, spot trends and technical developments and update the product roadmap as needed. At the same time, he or she will understand every detail of the product from design to functionality to usability. They will need to understand various ecommerce metrics and concepts very well – conversion, repeat rates, ROI, site performance metrics, bounce rates, return on investment, etc.
 In summary, an Agoda Senior Product Manager can expect to work on the cutting edge of technology, data, digital marketing, algorithmic decision\-making and consumer psychology – all at a scale that very few ecommerce companies in the world today can offer.
**Responsibilities:**
* Working on end to end API B2B products.
* Monitoring and analyzing market conditions, conducting competitor and technological landscape analysis, and prioritizing market segment opportunities
* Setting strategic direction of how to best align the short term and the long\-term strategy based on customer needs and business goals
* Converting strategic goals into operational tasks
* Managing an agile team for launch to create and maintain consistent, branded look and feel across all products
* Defining KPIs for all projects and evaluating the success of a project
* Defining navigational flow and user experience on the site, apps, etc.
* Evaluating risks and tradeoffs associated with each course of action
* Working closely with users to ensure all projects meet business needs
**Qualifications:**
* Proven ability to leverage analytics and quantitative methods to inform and influence decision\-making
* Experience with emerging data\-mining technology
* Experience working in a fast\-paced and high growth environment
* Experience in B2B2C, B2B or B2C products
* Experience and passion for web design, functionality and testing
* Enthusiasm to develop engineered processes and technologies and to apply innovative solutions to make organizational improvements while encouraging creative thinking and innovation
* Ability to motivate and inspire development teams to achieve beyond what they imagined possible
* Entrepreneurial and analytical; effective at managing change in a fast\-moving and constantly evolving business
* Experience with the latest internet trends and technologies
* MBA or advanced Math, Computer Science or Statistics degree preferred
 In addition, the ideal candidate will demonstrate the following competencies and skill sets:
* Relentless curiosity and an urge to innovate, measure and improve
* Openness to change and new information
* Proven skills in recruitment and staff leadership
* Hands\-on mentality
* Recognizes own strengths and weaknesses
* Process oriented and strong problem\-solving skills
* Capacity to identify and keep up to date on relevant global trends
* Collaborative and consensual approach.
* Commitment to ‘speed wins’ philosophy
* Highly ethical
* Sense of humor, humility
*By applying to this job, you agree that Agoda may process your personal data in accordance with Agoda applicants privacy statement. (link to https://careersatagoda.com/privacy\-statement/)*
 \#sanfrancisco \#austin \#sanjose \#newyork \#seattle \#boston \#sydney \#brussels \#toronto \#paris \#berlin \#dublin \#munich \#telaviv \#amsterdam \#london \#PRDM \#5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row>
    <row r="27">
      <c r="A27" t="inlineStr">
        <is>
          <t>li-4317210542</t>
        </is>
      </c>
      <c r="B27" t="inlineStr">
        <is>
          <t>Senior Product Manager | Sage Home Loans</t>
        </is>
      </c>
      <c r="C27" t="inlineStr">
        <is>
          <t>Sage Home Loans Corporation</t>
        </is>
      </c>
      <c r="D27" t="inlineStr">
        <is>
          <t>linkedin</t>
        </is>
      </c>
      <c r="E27" t="inlineStr"/>
      <c r="F27" t="inlineStr"/>
      <c r="G27" t="inlineStr">
        <is>
          <t>Charlotte, NC</t>
        </is>
      </c>
      <c r="H27" t="inlineStr"/>
      <c r="I27" t="inlineStr">
        <is>
          <t>*This role requires a hybrid schedule and will be based in our South Charlotte, NC Headquarters (Tuesday through Thursday) and work fully remotely on Mondays and Fridays each week.* 
 Sage Home Loans is seeking a Senior Product Manager to guide the growth of our mortgage lending platform as we scale our team and build out a compelling value proposition \&amp; product in the mortgage space. This individual will take a key ownership role over the ideation, development, and launch of core product features. This individual will work closely with cross\-functional teams to oversee complex product development decisions and deliver features that create a best\-in\-class loan experience for our clients. This individual will be joining a fast\-paced, growth\-stage product team focused on making mortgage simple.
**What You'll Do** 
* Drive the end\-to\-end delivery of products through rigorous management of the product backlog, feature prioritization, and collaboration with product stakeholders.
* Define detailed, data\-driven requirements and user stories; work directly with Engineering and Creative teammates to deliver key features in the product roadmap and bring your ideas to life.
* Develop and leverage a deep understanding of our data and our users’ behaviors to brainstorm new features, identify areas for optimization, troubleshoot existing functionality, and work with others to develop solutions that enhance the overall product experience.
* Work alongside senior leadership and teammates to shape quarterly to annual product roadmaps that will guide the evolution and growth of Sage.
* Work with autonomy to identify new product opportunities and improvements. Utilize data, user feedback, and competitor \&amp; industry research to champion ideas and garner cross\-functional buy\-in.
* Define and set product KPI goals to measure the product, audience, and business success of the features your team creates.
* Mentor and help develop the growth of mid\- and junior\-level product teammates.
**What We're Looking For**
* 4\+ years of experience in product management or in an equivalent UX or site optimization role with an emphasis in new feature development.
* A true growth\-stage product owner with an entrepreneurial spirit that is flexible, experimental, and resourceful.
* Demonstrated success in guiding technical decision\-making, launching and scaling consumer\-facing products, and mentoring junior teammates.
* Proficient in data analysis and data visualization tools (Looker, Tableau, Excel) with a demonstrated ability to synthesize data into actionable insights and communicate recommendations to leadership.
* Ability to see beyond the current consumer landscape and anticipate innovation to unlock future opportunities and communicate the vision to gain buy\-in and resources.
* Passionate about understanding customer behavior, pain\-points, and improving the experience of every consumer\-product interaction.
* Strong technical proficiency working with APIs, including experience in testing \&amp; troubleshooting 3rd\-party integrations, and navigating developer documentation and API payloads (JSON, XML, JS).
* Proficient in SQL; can weave together data from multiple relational databases to unlock customer behavior insights, troubleshoot, and turn data into quantifiable actions \&amp; deliverables. Experience with data extraction, manipulation, and visualization in Python or R is a plus.
* Strong understanding of testing methodologies, statistical significance, performing robust test analysis, user testing, and Agile environments.
* Strong accountability and the ability to communicate effectively across functional teams to prioritize key initiatives, anticipate pitfalls, and identify issues before they become project blockers.
* Excellent organizational and communication skills.
* Demonstrated interest and knowledge of newest AI tooling, an early adopter of prototyping, GPTs, and agentic workflows
**Compensation** 
*This range reflects total cash compensation, which may include base salary only or base salary plus target bonus, depending on the role. Where eligible, equity may also be offered separately and not included above. Actual compensation varies based on location, experience, and qualifications.*
* Total Cash Compensation Range: $100k – $195k per year
 Additionally, the following benefits are provided by Red Ventures, subject to eligibility requirements.
* Health Insurance Coverage (medical, dental, and vision)
* Life Insurance
* Short and Long\-Term Disability Insurance
* Flexible Spending Accounts
* Paid Time Off
* Holiday Pay
* 401(k) with match
* Employee Assistance Program
* Paid Parental Bonding Benefit Program
* Flexible Paid Time Off (PTO): We believe time to rest and recharge is essential. That’s why we offer a generous and flexible PTO policy. Full\-time employees accrue 20 days of PTO for a full calendar year annually, with an increase to 25 days after five years of service.
**Who We Are:** 
 Sage Home Loans Corporation is a digital mortgage lender solution redefining the mortgage origination experience. By building new technology solutions we're creating simple and clean customer experiences to simplify the mortgage application process. Our team has developed a fully digital online application that enables the user to complete their application and start looking for the right mortgage that matches their needs 24/7\. We then marry the digital journey with exceptional human interaction from our expert Loan Officers to create the best possible borrower experience.
 Founded in 2000, Red Ventures (RV) is home to a diverse portfolio of industry\-leading brands and businesses, strategic partnerships and proprietary technology, including
 **Sage Home Loans** 
 , Bankrate, Lonely Planet, The Points Guy, BestColleges and more. Together, RV helps millions of people worldwide make life’s most important decisions, accelerates digital adaptation, and innovates the online consumer experience by improving every step of the consumer journey from first discovery of information, throughout the decision\-making process, to transactions. Headquartered south of Charlotte, NC, Red Ventures employs thousands of people across the US and Puerto Rico, with international offices in the UK and Brazil. For more information, visit https://redventures.com and follow @RedVentures on social platforms.
 At Red Ventures, we believe diverse, inclusive teams are better. To help you better understand our core values and beliefs, we encourage you to watch this brief YouTube video: Our Belief Statements. This will give you insight into the principles that guide our work and our commitment to fostering an inclusive environment.
 We offer competitive salaries and a comprehensive benefits program for full\-time employees, including medical, dental and vision coverage, paid time off, life insurance, disability coverage, employee assistance program, 401(k) plan and a paid parental leave program.
 Red Ventures is an equal opportunity employer that does not discriminate against any employee or applicant because of race, creed, color, religion, gender, sexual orientation, gender identity/expression, national origin, disability, age, genetic information, veteran status, marital status, pregnancy or any other basis protected by law. Employment at Red Ventures is based solely on a person's merit and qualifications.
 We are committed to providing equal employment opportunities to qualified individuals with disabilities. This includes providing reasonable accommodation where appropriate. Should you require a reasonable accommodation to apply or participate in the job application or interview process, please contact accommodation@redventures.com.
 If you are based in California, we encourage you to read this important information for California residents linked here.
 \#SM</t>
        </is>
      </c>
    </row>
    <row r="28">
      <c r="A28" t="inlineStr">
        <is>
          <t>li-4322594848</t>
        </is>
      </c>
      <c r="B28" t="inlineStr">
        <is>
          <t>Product Manager, Investment Team Support</t>
        </is>
      </c>
      <c r="C28" t="inlineStr">
        <is>
          <t>Neuberger Berman</t>
        </is>
      </c>
      <c r="D28" t="inlineStr">
        <is>
          <t>linkedin</t>
        </is>
      </c>
      <c r="E28" t="inlineStr"/>
      <c r="F28" t="inlineStr"/>
      <c r="G28" t="inlineStr">
        <is>
          <t>New York, NY</t>
        </is>
      </c>
      <c r="H28" t="inlineStr"/>
      <c r="I28" t="inlineStr">
        <is>
          <t>We are seeking a seasoned and proactive individual to join Investment Team Support to lead a high\-performing function within the Public \&amp; Private Markets, with a primary, end\-to\-end focus on Blackrock’s Aladdin. This global role will serve as the primary operational partner and escalation point for all Investment Teams, including Equities, Fixed Income, Loans, Liquidity, and Multi\-Asset strategies across workflows, data, controls, interfaces, and analytics.
 This team is the operational front line, aligned to Investment Teams and Traders to provide high\-touch support, proactively monitor servicing, and resolve front\-to\-back issues impacting execution, risk, performance attribution and reporting. The role centralizes Aladdin problem\-solving, builds operating playbooks, and drives change management for platform and regulatory/process updates, partnering closely with Middle Office, Custodians, Brokers, Technology, Compliance, and Risk.
**Responsibilities Include**
* Provide dedicated operational support to investment product/strategy across asset classes with end\-to\-end Aladdin ownership.
* Serve as operational oversight of portfolio\-level data and controls for Investment Teams and Traders within the Aladdin ecosystem (orders, compliance, allocations, trades, positions, pricing, analytics, reconciliations, interfaces, and start\-of\-day publishing).
* Anticipate PM needs and resolve Aladdin\-centric workflow issues; translate requirements into Aladdin configurations and controls.
* Lead incident management (triage, RCA, remediation, stakeholder communication) and post\-incident trend analysis to strengthen Aladdin controls.
* Streamline operations and enhance controls using Aladdin data/technology; define KPIs/SLAs and publish actionable scorecards to senior management.
* Drive UAT, training, and adoption for Aladdin platform changes and regulatory/process transformations.
* Foster a culture of ownership, client focus, and continuous improvement; allocate resources to support changing priorities.
* Build deep relationships with PMs, Traders, Operations, Compliance, Technology, and Risk; represent investment teams in process, regulatory, and platform forums.
* Lead resolution efforts for operational issues with an Aladdin focus, working cross\-functionally with Middle Office, Custodians, Brokers, Technology, and Compliance teams.
* Foster a culture of ownership, client focus, and continuous improvement across Aladdin\-enabled workflows.
* Serve as a trusted advisor, ensuring investment teams receive timely, high\-quality Aladdin support.
* Represent the voice of the investment teams in forums related to process improvement, regulatory change, and platform transformation.
**Qualifications**
* 10\+ years of experience in investment operations, front\-office support, or middle office roles at a global asset manager or financial institution. (Buy Side experience is a must have)
* 5\+ years of end\-to\-end Aladdin expertise across order management, compliance, trade lifecycle, positions/pricing, analytics, reconciliations, interfaces/integrations, and start\-of\-day publishing; complementary experience with CTM, WSO, GTSS, CLS, Bloomberg, and FactSet.
* Ability to translate PM requirements into Aladdin configurations, workflows, and controls.
* Proven leadership running front\-to\-back support across multiple strategies and asset classes.
* Deep knowledge of investment vehicles including pooled funds, institutional mandates, and separately managed accounts (SMAs).
* Extensive experience with trade management workflows, regulatory reporting, incident oversight, and operational KPIs/SLAs; ability to define and publish Aladdin\-centric scorecards.
* Experience with global standards, broker/custodian practices, and control frameworks; audit readiness and remediation in Aladdin\-enabled workflows.
* Data\-driven approach to identifying trends, managing performance, and enhancing operational resilience; advanced Excel and familiarity with SQL/BI tools (Tableau/Power BI) for KPI dashboards.
* Exceptional communication and stakeholder management; comfort engaging PMs and senior leadership during incidents and change events, operating in a global, time\-sensitive environment.
 Neuberger Berman is unable to offer visa sponsorship for this position. Applicants must be authorized to work in the United States without the need for current or future sponsorship.
 Compensation Details
 The salary range for this role is $130,000\-$170,000\. This is the lowest to highest salary we in good faith believe we would pay for this role at the time of this posting. We may ultimately pay more or less than the posted range, and the range may be modified in the future. This range is only applicable for jobs to be performed in the job posting location. An employee’s pay position within the salary range will be based on several factors including, but limited to, relevant education, qualifications, certifications, experience, skills, seniority, geographic location, business sector, performance, shift, travel requirements, sales or revenue\-based metrics, market benchmarking data, any collective bargaining agreements, and business or organizational needs. This job is also eligible for a discretionary bonus, which, along with base salary and retirement contributions, is part of our total comprehensive package. We offer a comprehensive package of benefits including paid time off, medical/dental/vision insurance, retirement, life insurance and other benefits to eligible employees.
 Note: No amount of pay is considered to be wages or compensation until such amount is earned, vested, and determinable. The amount and availability of any bonus, commission, production, or any other form of compensation that are allocable to a particular employee remains in the Company's sole discretion unless and until paid and may be modified at the Company’s sole discretion, consistent with the law.
*Neuberger Berman is an equal opportunity employer. The Firm and its affiliates do not discriminate in employment because of race, creed, national origin, religion, age, color, sex, marital status, sexual orientation, gender identity, disability, citizenship status or protected veteran status, or any other characteristic protected by local, state, or federal laws, rules, or regulations. If you would like to contact us regarding the accessibility of our website or need assistance completing the application process, please contact onlineaccommodations@nb.com.*
*Learn about the Applicant Privacy Notice.*</t>
        </is>
      </c>
    </row>
    <row r="29">
      <c r="A29" t="inlineStr">
        <is>
          <t>li-4336135285</t>
        </is>
      </c>
      <c r="B29" t="inlineStr">
        <is>
          <t>Senior Product Manager, Base Ads</t>
        </is>
      </c>
      <c r="C29" t="inlineStr">
        <is>
          <t>Coinbase</t>
        </is>
      </c>
      <c r="D29" t="inlineStr">
        <is>
          <t>linkedin</t>
        </is>
      </c>
      <c r="E29" t="inlineStr"/>
      <c r="F29" t="inlineStr"/>
      <c r="G29" t="inlineStr">
        <is>
          <t>New York, NY</t>
        </is>
      </c>
      <c r="H29" t="inlineStr"/>
      <c r="I29" t="inlineStr">
        <is>
          <t>Base is planning to bring a million developers and a billion users onchain. We need your help to make that happen.
 We believe that the onchain platform is the most important builder platform since the internet ("online"). We believe that the onchain platform should be open source, free to use, and globally available. And we believe that to make it truly work, we need to make the onchain experience as intuitive, rewarding, and social as the apps people use every day.
 At Base, we live by our Stay Based values: we do the right thing, work hard, stay optimistic, prioritize the team, and push creative boundaries—all while building the future of onchain. We value a Zone 3\+ work ethic, where our team rises to the challenge, embraces hard weeks, and makes small to significant personal tradeoffs when necessary to drive impact and innovation.
 We're looking for a strong Product Manager to lead the strategy and execution of Base's Growth and Ads strategy. In this role, you'll help shape how people create, earn, and discover onchain by building the ads, attribution, and growth primitives that power the next generation of onchain apps, creators, and experiences.
 What you'll be doing (ie. job duties):
* **Own the product vision and strategy** 
 for the Base Ads / Spindl platform, from first principles through multi\-year roadmap.
* **Design and ship** 
 onchain ad primitives – targeting, budget/bidding, pacing, auction mechanics, and delivery – that work natively with Base's infrastructure.
* **Own the Spindl app UI** 
 : define workflows for campaign creation, analytics, billing, and publisher yield management; work with design to deliver a clean, developer\- and creator\-friendly experience.
* **Define and track the key metrics** 
 for the ads platform: marketplace liquidity, fill rate, eCPM, advertiser ROI, publisher revenue, retention, fraud/abuse rates, and Base onchain value created
* **Collaborate across Coinbase and Base** 
 (BD, ecosystem, growth, legal, compliance, finance, risk) to ensure products are safe, compliant, and aligned with our mission and regulatory obligations.
* **Lead go\-to\-market and ecosystem adoption** 
 , including early\-partner programs with top Base apps, creators, and protocols.
* **Communicate clearly and often** 
 : align stakeholders on priorities, trade\-offs, timelines, and progress; represent Spindl to senior leaders and external partners.
* **Ownership** 
 : Own the quarterly desired outcome, product backlog, and week\-to\-week execution on a focused set of prioritized opportunities
 What we look for in you (ie. job requirements):
* 5\+ years of Product Management, shipping consumer\-facing products end\-to\-end with proven cross\-functional experience (e.g., BD, Marketing, Finance, Legal)
* Deep experience in ad tech \- such as ads marketplaces, performance ads, attribution, audience segmentation, or growth optimization
* Strong familiarity with growth mechanics: funnels, loops, LTV/CAC dynamics, retention frameworks, and experimentation at scale
* Comfortable driving alignment across key stakeholders while keeping velocity high
* Inner drive to go beyond scope, think ahead of the curve, and raise the bar for what an onchain consumer product can be
* You excel in working in fast\-moving environments where culture, product, and markets converge
* Excellent written and verbal communication skills
 Nice to haves:
* You're onchain somehow: apps, trading, HODLing, NFT projects, DAOs.
* Experience building or scaling ads systems, social graphs, feeds, or creator monetization tools
* Experience in both offchain social growth mechanics and crypto\-native product design principles
* Experience with marketplace dynamics (supply/demand optimization) or ranking and recommendation systems
**Pay Transparency Notice** 
 : Depending on your work location, the target annual
 **base** 
 salary for this position can range as detailed below. Full time offers from Coinbase also include bonus eligibility \+ equity eligibility \+ benefits (including medical, dental, vision and 401(k)).
 Base salary range shown. Total compensation also includes equity and bonus eligibility and benefits:
 $207,485—$244,100 USD
 Please be advised that each candidate may submit a maximum of four applications within any 30\-day period. We encourage you to carefully evaluate how your skills and interests align with Coinbase's roles before applying.
 Commitment to Equal Opportunity
 Coinbase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the Employee Rights and the Know Your Rights notices by clicking on their corresponding links. Additionally, Coinbase participates in the E\-Verify program in certain locations, as required by law.
 Coinbase is also committed to providing reasonable accommodations to individuals with disabilities. If you need a reasonable accommodation because of a disability for any part of the employment process, please contact us at accommodations\[at]coinbase.com to let us know the nature of your request and your contact information. For quick access to screen reading technology compatible with this site click here to download a free compatible screen reader (free step by step tutorial can be found here).
 Global Data Privacy Notice for Job Candidates and Applicants
 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here. By submitting your application, you are agreeing to our use and processing of your data as required. For US applicants only, by submitting your application you are agreeing to arbitration of disputes as outlined here.
 AI Disclosure
*For select roles, Coinbase is piloting an AI tool based on machine learning technologies to conduct initial screening interviews to qualified applicants. The tool simulates realistic interview scenarios and engages in dynamic conversation. A human recruiter will review your interview responses, provided in the form of a voice recording and/or transcript, to assess them against the qualifications and characteristics outlined in the job description.*
*For select roles, Coinbase is also piloting an AI interview intelligence platform to transcribe and summarize interview notes, allowing our interviewers to fully focus on you as the candidate.*
***The above pilots are for testing purposes and Coinbase will not use AI to make decisions impacting employment***
*. To request a reasonable accommodation due to disability, please contact accommodations\[at]coinbase.com.*</t>
        </is>
      </c>
    </row>
    <row r="30">
      <c r="A30" t="inlineStr">
        <is>
          <t>li-4326005943</t>
        </is>
      </c>
      <c r="B30" t="inlineStr">
        <is>
          <t>Lead Technology Product Manager  - AI &amp; Healthcare</t>
        </is>
      </c>
      <c r="C30" t="inlineStr">
        <is>
          <t>Wolters Kluwer</t>
        </is>
      </c>
      <c r="D30" t="inlineStr">
        <is>
          <t>linkedin</t>
        </is>
      </c>
      <c r="E30" t="inlineStr"/>
      <c r="F30" t="inlineStr"/>
      <c r="G30" t="inlineStr">
        <is>
          <t>Waltham, MA</t>
        </is>
      </c>
      <c r="H30" t="inlineStr"/>
      <c r="I30" t="inlineStr">
        <is>
          <t>**Lead AI Healthcare Product Manager**
* This is a hybrid position requiring 8 days per month at an approved Wolters Kluwer location. \*\*\*
 Healthcare is complex, and meaningful change requires products built with clinical insight, empathy, and responsible AI. At Wolters Kluwer, we combine medical expertise with modern AI to help clinicians deliver better, more efficient care. We’re hiring a
 **Lead AI Product Manager** 
 to lead the next stage of UpToDate Expert AI, partnering with clinicians, engineers, and business leaders to shape solutions that improve real\-world care.
 We’re looking for a strategic product manager who combines curiosity with strong customer engagement skills—someone who partners with clinicians and customers early to uncover needs, translate insights into clear product direction, and guide innovative AI features from concept to scale.
**Responsibilities:**
**Product Strategy \&amp; Direction**
* Partner to shape and influence the vision and roadmap, driving alignment with OKRs and ensuring strong product\-market fit and measurable outcomes.
* Define and drive product OKRs; communicate progress through insights and data.
* Identify new use cases and workflow opportunities that expand product value.
**Clinical Discovery \&amp; Workflow Insight**
* Engage directly with clinicians and customers early in the product lifecycle to validate ideas and ensure solutions meet real\-world needs.
* Translate clinical insights into actionable product requirements.
* Partner with health systems and EHR vendors to understand integration pathways.
**AI Product Development**
* Guide AI features from concept to launch, shaping problem definition and solution design.
* Define evaluation, safety, and monitoring needs for responsible clinical AI.
* Collaborate with clinical, data science, and engineering teams on model lifecycle needs.
**Execution \&amp; Cross\-Functional Leadership**
* Align engineering, design, clinical, and business partners around priorities.
* Build feedback loops and metrics into products; iterate using data insights.
* Maintain consistent user engagement to validate product decisions.
**Integration, Partnerships \&amp; GTM Support**
* Collaborate on future integration opportunities to enable seamless workflows as the product evolves.
* Support product marketing with positioning, messaging, and customer materials.
* Identify partnerships that strengthen interoperability or accelerate adoption.
**Performance \&amp; Continuous Improvement**
* Define and track core metrics across engagement, reliability, and clinical impact.
* Monitor usage trends to guide improvements and scaling decisions.
**Qualifications:**
* 5\+ years product management experience in AI, healthcare, or enterprise SaaS.
* Proven success leading products from 0→1 in complex or regulated environments.
* Strong understanding of clinical workflows and provider pain points.
* Experience with user discovery, product analytics, and hypothesis\-driven development.
* Excellent communication with clinicians, executives, and technical teams.
* Ability to simplify ambiguity and drive clarity across teams.
**Preferred**
* Technical fluency in AI/ML, LLMs, NLP, and cloud environments.
* Experience with knowledge management or structuring complex information for usability.
* Familiarity with HIPAA, SOC 2, HITRUST, MDR/IVDR.
* Experience designing or interpreting experiments and pilots.
 Our Interview Practices
*To maintain a fair and genuine hiring process, we kindly ask that all candidates participate in interviews without the assistance of AI tools or external prompts. Our interview process is designed to assess your individual skills, experiences, and communication style. We value authenticity and want to ensure we’re getting to know you—not a digital assistant. To help maintain this integrity, we ask to remove virtual backgrounds and include in\-person interviews in our hiring process. Please note that use of AI\-generated responses or third\-party support during interviews will be grounds for disqualification from the recruitment process.*
*Applicants may be required to appear onsite at a Wolters Kluwer office as part of the recruitment process.*
**Compensation:**
 $127,000\.00 \- $222,650\.00 USD
 This role is eligible for Bonus.
*Compensation range listed is based on primary location of the position. Actual base salary offer is influenced by a wide array of factors including but not limited to skills, experience and actual hiring location. Your recruiter can share more information about the specific offer for the job location during the hiring process.*
**Additional Information** 
 :
 Wolters Kluwer offers a wide variety of competitive benefits and programs to help meet your needs and balance your work and personal life, including but not limited to: Medical, Dental, \&amp; Vision Plans, 401(k), FSA/HSA, Commuter Benefits, Tuition Assistance Plan, Vacation and Sick Time, and Paid Parental Leave. Full details of our benefits are available upon request.</t>
        </is>
      </c>
    </row>
    <row r="31">
      <c r="A31" t="inlineStr">
        <is>
          <t>li-4299421130</t>
        </is>
      </c>
      <c r="B31" t="inlineStr">
        <is>
          <t>Staff Product Manager, App Modernization &amp; Data Migration</t>
        </is>
      </c>
      <c r="C31" t="inlineStr">
        <is>
          <t>MongoDB</t>
        </is>
      </c>
      <c r="D31" t="inlineStr">
        <is>
          <t>linkedin</t>
        </is>
      </c>
      <c r="E31" t="inlineStr"/>
      <c r="F31" t="inlineStr"/>
      <c r="G31" t="inlineStr">
        <is>
          <t>Oregon, United States</t>
        </is>
      </c>
      <c r="H31" t="inlineStr"/>
      <c r="I31" t="inlineStr">
        <is>
          <t>Join MongoDB as a Staff Product Manager to revolutionize Application Modernization! We're seeking a visionary, especially on the West Coast, to drive our growth. Businesses are burdened by legacy apps; you'll empower them to migrate to MongoDB's cutting\-edge AI\-ready database. Lead critical data migration products, collaborating with our largest enterprise customers, our forward\-deployed AI engineers, and our professional services teams. If you're passionate about building innovative data movement products and enjoy hands\-on solutioning, this is your chance to make a massive impact!
**Responsibilities**
* Be the Staff PM responsible for leading the vision, roadmap, and requirements for the safe and seamless data movement capabilities
* Drive strategic narratives and operational and tactical recommendations with customers and industry thought leaders on Application Modernization and Data Migration
* Regularly evangelize our products and recommendations on application modernization at industry conferences, trade shows, and with key partners and accounts
* Drive collaboration across Engineering, Customer Support, Marketing, Sales, Professional Services, and the Executive Leadership Team
* Maintain an accurate and up\-to\-date roadmap across your ownership areas
* Deeply understand all aspects of MongoDB \- to ensure a business outcome aligned with our broader product, customer, and company priorities
* Define application modernization go\-to\-market strategies, identify key market/competitive trends and customer opportunities, and plan and manage programs to execute against those strategies by partnering with sales leadership at regional and global levels
* Drive decision\-making around prioritization, solutions, functionality, and pricing
**Requirements**
* 10\+ years of Product experience working with enterprise\-focused application development technologies and customers
* Excellent written and verbal communication skills with the ability to present to large executive audiences and key enterprise customers globally
* Demonstrated leadership skills to bring together diverse viewpoints and drive a strategic agenda forward; can\-do attitude, optimism, humility, creative solutioning, asking complex questions, and willingness to embrace the unknown are all required to succeed
* Expert\-level understanding of enterprise\-scale software architectures, application development methodologies, and software deployment and operations.
* Deep experience managing or using relational databases, particularly SQL and stored procedures with Oracle, MS SQL Server, Sybase, and PostgreSQL databases, in addition to MongoDB
* Experience working with distributed streaming platforms, such as Apache Kafka, or change data capture platforms, like Debezium, is a significant plus
* Strong technical acumen—our Product Managers must be as technical as their engineering counterparts and have in\-depth knowledge
* They must also be comfortable speaking with authority on any of the technical aspects of the topics in their portfolio
**About MongoDB**
 MongoDB is built for change, empowering our customers and our people to innovate at the speed of the market. We have redefined the database for the AI era, enabling innovators to create, transform, and disrupt industries with software. MongoDB’s unified database platform—the most widely available, globally distributed database on the market—helps organizations modernize legacy workloads, embrace innovation, and unleash AI. Our cloud\-native platform, MongoDB Atlas, is the only globally distributed, multi\-cloud database and is available across AWS, Google Cloud, and Microsoft Azure.
 With offices worldwide and nearly 60,000 customers—including 75% of the Fortune 100 and AI\-native startups—relying on MongoDB for their most important applications, we’re powering the next era of software.
 Our compass at MongoDB is our Leadership Commitment, guiding how and why we make decisions, show up for each other, and win. It’s what makes us MongoDB.
 To drive the personal growth and business impact of our employees, we’re committed to developing a supportive and enriching culture for everyone. From employee affinity groups, to fertility assistance and a generous parental leave policy, we value our employees’ wellbeing and want to support them along every step of their professional and personal journeys. Learn more about what it’s like to work at MongoDB, and help us make an impact on the world!
 MongoDB is committed to providing any necessary accommodations for individuals with disabilities within our application and interview process. To request an accommodation due to a disability, please inform your recruiter.
 MongoDB, Inc. provides equal employment opportunities to all employees and applicants for employment and prohibits discrimination and harassment of any type and makes all hiring decisions without regard to race, color, religion, age, sex, national origin, disability status, genetics, protected veteran status, sexual orientation, gender identity or expression, or any other characteristic protected by federal, state or local laws.
*Req ID: 3263238409*
 MongoDB’s base salary range for this role is posted below. Compensation at the time of offer is unique to each candidate and based on a variety of factors such as skill set, experience, qualifications, and work location. Salary is one part of MongoDB’s total compensation and benefits package. Other benefits for eligible employees may include: equity, participation in the employee stock purchase program, flexible paid time off, 20 weeks fully\-paid gender\-neutral parental leave, fertility and adoption assistance, 401(k) plan, mental health counseling, access to transgender\-inclusive health insurance coverage, and health benefits offerings. Please note, the base salary range listed below and the benefits in this paragraph are only applicable to U.S.\-based candidates.
 MongoDB’s base salary range for this role in the U.S. is:
 $189,000—$270,000 USD</t>
        </is>
      </c>
    </row>
    <row r="32">
      <c r="A32" t="inlineStr">
        <is>
          <t>li-4299412482</t>
        </is>
      </c>
      <c r="B32" t="inlineStr">
        <is>
          <t>Staff Product Manager, App Modernization &amp; Data Migration</t>
        </is>
      </c>
      <c r="C32" t="inlineStr">
        <is>
          <t>MongoDB</t>
        </is>
      </c>
      <c r="D32" t="inlineStr">
        <is>
          <t>linkedin</t>
        </is>
      </c>
      <c r="E32" t="inlineStr"/>
      <c r="F32" t="inlineStr"/>
      <c r="G32" t="inlineStr">
        <is>
          <t>Colorado, United States</t>
        </is>
      </c>
      <c r="H32" t="inlineStr"/>
      <c r="I32" t="inlineStr">
        <is>
          <t>Join MongoDB as a Staff Product Manager to revolutionize Application Modernization! We're seeking a visionary, especially on the West Coast, to drive our growth. Businesses are burdened by legacy apps; you'll empower them to migrate to MongoDB's cutting\-edge AI\-ready database. Lead critical data migration products, collaborating with our largest enterprise customers, our forward\-deployed AI engineers, and our professional services teams. If you're passionate about building innovative data movement products and enjoy hands\-on solutioning, this is your chance to make a massive impact!
**Responsibilities**
* Be the Staff PM responsible for leading the vision, roadmap, and requirements for the safe and seamless data movement capabilities
* Drive strategic narratives and operational and tactical recommendations with customers and industry thought leaders on Application Modernization and Data Migration
* Regularly evangelize our products and recommendations on application modernization at industry conferences, trade shows, and with key partners and accounts
* Drive collaboration across Engineering, Customer Support, Marketing, Sales, Professional Services, and the Executive Leadership Team
* Maintain an accurate and up\-to\-date roadmap across your ownership areas
* Deeply understand all aspects of MongoDB \- to ensure a business outcome aligned with our broader product, customer, and company priorities
* Define application modernization go\-to\-market strategies, identify key market/competitive trends and customer opportunities, and plan and manage programs to execute against those strategies by partnering with sales leadership at regional and global levels
* Drive decision\-making around prioritization, solutions, functionality, and pricing
**Requirements**
* 10\+ years of Product experience working with enterprise\-focused application development technologies and customers
* Excellent written and verbal communication skills with the ability to present to large executive audiences and key enterprise customers globally
* Demonstrated leadership skills to bring together diverse viewpoints and drive a strategic agenda forward; can\-do attitude, optimism, humility, creative solutioning, asking complex questions, and willingness to embrace the unknown are all required to succeed
* Expert\-level understanding of enterprise\-scale software architectures, application development methodologies, and software deployment and operations.
* Deep experience managing or using relational databases, particularly SQL and stored procedures with Oracle, MS SQL Server, Sybase, and PostgreSQL databases, in addition to MongoDB
* Experience working with distributed streaming platforms, such as Apache Kafka, or change data capture platforms, like Debezium, is a significant plus
* Strong technical acumen—our Product Managers must be as technical as their engineering counterparts and have in\-depth knowledge
* They must also be comfortable speaking with authority on any of the technical aspects of the topics in their portfolio
**About MongoDB**
 MongoDB is built for change, empowering our customers and our people to innovate at the speed of the market. We have redefined the database for the AI era, enabling innovators to create, transform, and disrupt industries with software. MongoDB’s unified database platform—the most widely available, globally distributed database on the market—helps organizations modernize legacy workloads, embrace innovation, and unleash AI. Our cloud\-native platform, MongoDB Atlas, is the only globally distributed, multi\-cloud database and is available across AWS, Google Cloud, and Microsoft Azure.
 With offices worldwide and nearly 60,000 customers—including 75% of the Fortune 100 and AI\-native startups—relying on MongoDB for their most important applications, we’re powering the next era of software.
 Our compass at MongoDB is our Leadership Commitment, guiding how and why we make decisions, show up for each other, and win. It’s what makes us MongoDB.
 To drive the personal growth and business impact of our employees, we’re committed to developing a supportive and enriching culture for everyone. From employee affinity groups, to fertility assistance and a generous parental leave policy, we value our employees’ wellbeing and want to support them along every step of their professional and personal journeys. Learn more about what it’s like to work at MongoDB, and help us make an impact on the world!
 MongoDB is committed to providing any necessary accommodations for individuals with disabilities within our application and interview process. To request an accommodation due to a disability, please inform your recruiter.
 MongoDB, Inc. provides equal employment opportunities to all employees and applicants for employment and prohibits discrimination and harassment of any type and makes all hiring decisions without regard to race, color, religion, age, sex, national origin, disability status, genetics, protected veteran status, sexual orientation, gender identity or expression, or any other characteristic protected by federal, state or local laws.
*Req ID: 3263238409*
 MongoDB’s base salary range for this role is posted below. Compensation at the time of offer is unique to each candidate and based on a variety of factors such as skill set, experience, qualifications, and work location. Salary is one part of MongoDB’s total compensation and benefits package. Other benefits for eligible employees may include: equity, participation in the employee stock purchase program, flexible paid time off, 20 weeks fully\-paid gender\-neutral parental leave, fertility and adoption assistance, 401(k) plan, mental health counseling, access to transgender\-inclusive health insurance coverage, and health benefits offerings. Please note, the base salary range listed below and the benefits in this paragraph are only applicable to U.S.\-based candidates.
 MongoDB’s base salary range for this role in the U.S. is:
 $189,000—$270,000 USD</t>
        </is>
      </c>
    </row>
    <row r="33">
      <c r="A33" t="inlineStr">
        <is>
          <t>li-4360182420</t>
        </is>
      </c>
      <c r="B33" t="inlineStr">
        <is>
          <t>Staff Product Manager - Digital Strategy (Remote)</t>
        </is>
      </c>
      <c r="C33" t="inlineStr">
        <is>
          <t>Ad Hoc LLC</t>
        </is>
      </c>
      <c r="D33" t="inlineStr">
        <is>
          <t>linkedin</t>
        </is>
      </c>
      <c r="E33" t="inlineStr"/>
      <c r="F33" t="inlineStr"/>
      <c r="G33" t="inlineStr">
        <is>
          <t>Atlanta, GA</t>
        </is>
      </c>
      <c r="H33" t="inlineStr"/>
      <c r="I33" t="inlineStr">
        <is>
          <t>****Staff Product Manager****
**This is a remote position with heavy travel for the first 3\-6 months**
 Ad Hoc is a technology company that empowers organizations to deliver scalable, impactful digital services. Using modern, agile methods, our team creates products that meet people’s needs and transform their experience of government.
**Work on things that matter**
 Our collaborations have shaped some of the defining moments in public\-sector service delivery. We’ve helped build products that connect Veterans to tailored services, help millions access affordable health care, and support important programs like Head Start. As we work with agencies to deliver critical services, we’re also changing how the government approaches technology.
**Built for a remote life**
 Our culture, communications, and tools are built for remote work, enabling us to bring together top talent nationwide. At Ad Hoc, remote life empowers our teams to design work environments that fit their lives and that foster flexibility and collaboration to achieve positive outcomes for our customers.
**Committed to high expectations and a welcoming culture**
 Ad Hoc values acceptance, accountability, and humility. We aren’t heroes. We learn from our mistakes and improve the process for the next time. We build small, inclusive teams to collaborate closely with our partners to solve the right problems and deliver software that works.
 The
 **Federal Civilian** 
 business unit supports many customers spanning the federal, commercial, and nonprofit space. Our customers include NASA, the General Services Administration, Office of Personnel Management, the Library of Congress, Health \&amp; Human Services, and the FDIC. We partner with these agencies to build new capabilities, deliver products, establish data as a strategic asset for informed decision\-making, modernize legacy systems, and build the digital service infrastructure necessary to scale their mission impact.
**Primary Responsibilities**
 Staff Product Manager serves as an emerging subject matter expert, while serving as an individual contributor that exhibits a high level of trust, autonomy and empowerment. With minimal oversight from leadership, you will be essential to leading and guiding a unified product strategy across a multi\-channel communication efforts, and modernizing one of the federal government’s most mission\-critical digital properties. Given highly distributed organizational structure with the HHS portfolio and the need to provide clear, timely public health information across web, mobile, social, and API\-driven channels, a senior product leader ensures alignment across communications, policy, design, and technology teams. This role drives cohesive content governance, streamlines operations, reduces redundancies, and supports a user\-centered approach to information architecture, accessibility, and omnichannel delivery. The ultimate outcomes of this role is to strengthen public trust, accelerates digital modernization, and ensures health guidance is consistently understood—regardless of platform or audience.
**Skills**
 A Staff Product Manager exhibits strong influential skills to represent the product management practice in planning sessions, advocating for the best solution, while communicating tradeoffs. You will serve as the primary lead and proactively communicate with stakeholders; while utilizing strong influential skills to drive improvements in product management processes and practices. Primary expectations of a Staff Product Manager:
* Strong influential skills to garner consensus among stakeholders, leadership, programs, and practice teams
* Primarily supports a program/portfolio, but may support business unit initiatives in order to drive thought leadership among practice and delivery
* Serves as a mentor to individuals within the assigned business unit or Program, providing constructive feedback to support employee development and practice innovations
* Presents to a wide variety of audiences, inclusive of internal and external stakeholders
* Primarily focused on program/portfolio strategic initiatives, but may support tactical assignments
* Exhibits strong communications skills in order to gain consensus, mitigate conflict, and serves as a stewardess of innovation or change
* Responsible for defining the vision and strategy for products and identifying areas of growth for a program or portfolio of work
* Demonstrates the ability to make educated decisions and understands when to pivot and how to experiment in order to reduce uncertainty and inform next steps
* Utilizes effective communication skills and understands how to translate complex issues for a wide variety of audiences in order to influence decision making for the highest value outcome
* May support growth opportunities, inclusive of proposal writing, solution development, presentations, and briefings
* Serves as a partner to Project and Program Managers to support the delivery of required scope and deliverables
**Required Qualifications**
* Bachelor’s degree and 9\+ years of experience directing cross\-functional team
* Strong understanding of content management systems (CMS) and multi\-channel platforms, a strategic mindset for defining content goals and user experiences, and excellent communication and data analysis skills to guide the execution of content and campaigns across various channels
* Be adept at defining target audiences, developing content strategies, choosing the right channels, and using analytics to measure performance.
* Heath policy and/or health content implementation experience
**Technical And Strategic Skills**
* Technical understanding: Possess a strong grasp of content management systems, web and mobile architecture, and publishing tools
* Strategic planning: Be able to define clear goals, KPIs, and metrics to measure success for both the CMS and multi\-channel communication efforts
* Content strategy: Understand how to develop a content strategy, including identifying target audiences, defining content types, and planning a content calendar.
* Channel expertise: Know how to select the right mix of channels based on the target audience, business goals, and available resources
* User experience (UX): Have a passion for creating optimal user experiences across all digital products.
**Execution And Analysis**
* Data\-driven decision\-making: Use customer data and analytics to make informed decisions about product features and content performance
* Performance monitoring: Continuously monitor and analyze performance across all channels using metrics like website traffic, engagement rates, and conversion rates
* Optimization: Use insights from analytics to continually refine and optimize the strategy and content
**Leadership And Communication**
* Cross\-functional collaboration: Be able to work effectively with engineers, designers, marketing, and other teams
* Clear communication: Translate complex technical and strategic information so that all stakeholders can understand it
* "Evangelism": Act as a product champion, articulating the product's vision and value to the market
* Leadership and decision\-making: Make tough decisions when necessary and be able to manage competing requests while keeping the product's best interests in mind
* Culture of innovation: Foster a culture of discovery and continuous learning within the team
**Preferred Qualifications** 
* .gov and social media background
* Ability to obtain/maintain any of the following:
+ CSPO, CPM, CSM or other related certifications
**To learn more about working at Ad Hoc, please visit:** 
 https://adhocteam.us/join
**Benefits**
* Company\-subsidized health, dental, and vision insurance
* Flexible PTO
* 401K with employer match
* Paid parental leave after one year of service
* Employee Assistance Program
 Ad Hoc LLC is an Equal Opportunity/Affirmative Action Employer. All qualified applicants will receive consideration for employment without regard to race, color, national origin, ancestry, sex, sexual orientation, gender identity or expression, religion, age, pregnancy, disability, work\-related injury, covered veteran status, political ideology, marital status, or any other factor that the law protects from employment discrimination.
 In support of various state and city equal pay transparency laws, Ad Hoc job descriptions feature the starting range we reasonably expect to pay to candidates who would join our team with little to no need for training on the responsibilities we've outlined above. Actual compensation is influenced by a wide range of factors including but not limited to skill set, level of experience, and responsibility. The range of starting pay for this role is $140,000 \- $155,000\. Our recruiters will be happy to answer any questions you may have, and we look forward to learning more about your salary requirements.</t>
        </is>
      </c>
    </row>
    <row r="34">
      <c r="A34" t="inlineStr">
        <is>
          <t>li-4299776166</t>
        </is>
      </c>
      <c r="B34" t="inlineStr">
        <is>
          <t>Senior Product Manager (Bangkok-based)</t>
        </is>
      </c>
      <c r="C34" t="inlineStr">
        <is>
          <t>Agoda</t>
        </is>
      </c>
      <c r="D34" t="inlineStr">
        <is>
          <t>linkedin</t>
        </is>
      </c>
      <c r="E34" t="inlineStr"/>
      <c r="F34" t="inlineStr"/>
      <c r="G34" t="inlineStr">
        <is>
          <t>Boston, MA</t>
        </is>
      </c>
      <c r="H34" t="inlineStr"/>
      <c r="I34"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In Product, ideas come alive. The world is moving fast so our culture empowers ownership and minimal bureaucracy. That’s the environment that enables you to do what you think is right – and quickly. Our Product Managers move fast, fail, learn, and pivot.
 Being a product\-centric organization, our team works cross\-functionally to build products from conception to launch by bringing together engineering and business worlds. Agoda Product Managers work closely with executive leadership and have high visibility among the C\-suite; they have direct impact on Agoda’s growth and strategy. Product puts our travelers first and delivers that special travel experience in the most creative expression.
**The opportunity:**
 This role is
 **BANGKOK\-BASED, RELOCATION PROVIDED.** 
 Our Senior Product Managers are analytical and data\-driven individuals, who’re responsible for building products end\-to\-end focusing on analyzing and experimenting until our solutions are perfectly tailored to our travelers. As our next Senior Product Manager, you will drive product strategy and partner closely with senior leadership cross\-functionally to define, build, and deliver the best travel solutions.
 You will get dedicated engineering resources that you, and only you define and allocate. We expect you to have a hands\-on mentality and spend considerable time with your SCRUM teams, have enthusiasm to develop engineered processes and technologies and apply innovative solutions to make organizational improvements. Product Managers can modify \*every\* system we have in our company to suit their needs.
 By applying to this role, you'll be considered for a role either in User Experience, Marketing, Finance or Supply product vertical. The goal is to match you with the team that best aligns with your interests, competencies, and where you will have the most impact. We’re looking for Senior Product Managers for every part of our business. Our entire Product team sits in Bangkok. This is an Individual Contributor position.
**In this role, you'll get to:**
* Analyze the online travel ecosystem, markets, competitive landscape and user requirements.
* Conceptualize, launch and optimize products and features, experiment, test their performance and iterate quickly.
* Work collaboratively with Engineering, Marketing, Legal and UX teams on cutting\-edge technologies.
* Develop innovative solutions to some of the world’s difficult problems by collaborating as needed across regions, product areas, and functions.
**What you'll need to succeed:**
* Bachelor’s degree in technical field (i.e. Computer Science, Statistics, Engineering, Mathematics, or similar quantitative discipline).
* Proven ability to leverage analytics and quantitative methods to inform and influence decision\-making
* Strong data skills
* Excellent communication skills (both verbal and written in English) with proven ability to convey complex messages clearly and with conviction to different stakeholders
* Experience developing and launching products
* Experience leading global product vision, go\-to\-market strategy and design discussions.
* Entrepreneurial and analytical skills; effective at breaking down complex problems and driving and managing change
* Hands\-on mentality
**It's great if you have:**
* MBA or Master’s degree in Math, Economics, Computer Science or Statistics
* Data tools \- SQL, Python, R, or equivalent
 \#seattle \#sanfrancisco \#beijing \#newyork \#london \#bangkok \#singapore \#chicago \#hongkong \#singapore \#berlin \#shanghai \#losangeles \#boston \#austin \#toronto \#luxembourg \#munich \#oslo \#copenhagen \#stockholm \#helsinki \#brussels \#hamburg \#stuttgart \#taipei \#hamburg \#stuttgart \#dublin \#telaviv \#sydney \#melbourne \#perth \#vancouver \#montreal \#prague \#paris \#dublin \#telaviv \#milan \#rome \#tokyo \#osaka \#amsterdam \#moscow \#saintpetersburg \#frankfurt \#shenzhen \#istanbul \#dubai \#seoul \#madrid \#barcelona \#zurich \#geneva \#warsaw \#budapest \#vienna \#bratislava \#bucharest \#sofia \#athens \#ankara \#jakarta \#manila \#kuala\_lumpur \#ho\_chi\_minh\_city \#hanoi \#beirut \#riyadh \#jeddah \#doha \#cape\_town \#johannesburg \#mexicocity \#guadalajara \#santiago \#buenosaires \#sao\_paulo \#rio\_de\_janeiro \#bogota \#caracas \#auckland \#wellington \#calgary \#edmonton \#ottawa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row>
    <row r="35">
      <c r="A35" t="inlineStr">
        <is>
          <t>li-4299418269</t>
        </is>
      </c>
      <c r="B35" t="inlineStr">
        <is>
          <t>Staff Product Manager, App Modernization &amp; Data Migration</t>
        </is>
      </c>
      <c r="C35" t="inlineStr">
        <is>
          <t>MongoDB</t>
        </is>
      </c>
      <c r="D35" t="inlineStr">
        <is>
          <t>linkedin</t>
        </is>
      </c>
      <c r="E35" t="inlineStr"/>
      <c r="F35" t="inlineStr"/>
      <c r="G35" t="inlineStr">
        <is>
          <t>Nevada, United States</t>
        </is>
      </c>
      <c r="H35" t="inlineStr"/>
      <c r="I35" t="inlineStr">
        <is>
          <t>Join MongoDB as a Staff Product Manager to revolutionize Application Modernization! We're seeking a visionary, especially on the West Coast, to drive our growth. Businesses are burdened by legacy apps; you'll empower them to migrate to MongoDB's cutting\-edge AI\-ready database. Lead critical data migration products, collaborating with our largest enterprise customers, our forward\-deployed AI engineers, and our professional services teams. If you're passionate about building innovative data movement products and enjoy hands\-on solutioning, this is your chance to make a massive impact!
**Responsibilities**
* Be the Staff PM responsible for leading the vision, roadmap, and requirements for the safe and seamless data movement capabilities
* Drive strategic narratives and operational and tactical recommendations with customers and industry thought leaders on Application Modernization and Data Migration
* Regularly evangelize our products and recommendations on application modernization at industry conferences, trade shows, and with key partners and accounts
* Drive collaboration across Engineering, Customer Support, Marketing, Sales, Professional Services, and the Executive Leadership Team
* Maintain an accurate and up\-to\-date roadmap across your ownership areas
* Deeply understand all aspects of MongoDB \- to ensure a business outcome aligned with our broader product, customer, and company priorities
* Define application modernization go\-to\-market strategies, identify key market/competitive trends and customer opportunities, and plan and manage programs to execute against those strategies by partnering with sales leadership at regional and global levels
* Drive decision\-making around prioritization, solutions, functionality, and pricing
**Requirements**
* 10\+ years of Product experience working with enterprise\-focused application development technologies and customers
* Excellent written and verbal communication skills with the ability to present to large executive audiences and key enterprise customers globally
* Demonstrated leadership skills to bring together diverse viewpoints and drive a strategic agenda forward; can\-do attitude, optimism, humility, creative solutioning, asking complex questions, and willingness to embrace the unknown are all required to succeed
* Expert\-level understanding of enterprise\-scale software architectures, application development methodologies, and software deployment and operations.
* Deep experience managing or using relational databases, particularly SQL and stored procedures with Oracle, MS SQL Server, Sybase, and PostgreSQL databases, in addition to MongoDB
* Experience working with distributed streaming platforms, such as Apache Kafka, or change data capture platforms, like Debezium, is a significant plus
* Strong technical acumen—our Product Managers must be as technical as their engineering counterparts and have in\-depth knowledge
* They must also be comfortable speaking with authority on any of the technical aspects of the topics in their portfolio
**About MongoDB**
 MongoDB is built for change, empowering our customers and our people to innovate at the speed of the market. We have redefined the database for the AI era, enabling innovators to create, transform, and disrupt industries with software. MongoDB’s unified database platform—the most widely available, globally distributed database on the market—helps organizations modernize legacy workloads, embrace innovation, and unleash AI. Our cloud\-native platform, MongoDB Atlas, is the only globally distributed, multi\-cloud database and is available across AWS, Google Cloud, and Microsoft Azure.
 With offices worldwide and nearly 60,000 customers—including 75% of the Fortune 100 and AI\-native startups—relying on MongoDB for their most important applications, we’re powering the next era of software.
 Our compass at MongoDB is our Leadership Commitment, guiding how and why we make decisions, show up for each other, and win. It’s what makes us MongoDB.
 To drive the personal growth and business impact of our employees, we’re committed to developing a supportive and enriching culture for everyone. From employee affinity groups, to fertility assistance and a generous parental leave policy, we value our employees’ wellbeing and want to support them along every step of their professional and personal journeys. Learn more about what it’s like to work at MongoDB, and help us make an impact on the world!
 MongoDB is committed to providing any necessary accommodations for individuals with disabilities within our application and interview process. To request an accommodation due to a disability, please inform your recruiter.
 MongoDB, Inc. provides equal employment opportunities to all employees and applicants for employment and prohibits discrimination and harassment of any type and makes all hiring decisions without regard to race, color, religion, age, sex, national origin, disability status, genetics, protected veteran status, sexual orientation, gender identity or expression, or any other characteristic protected by federal, state or local laws.
*Req ID: 3263238409*
 MongoDB’s base salary range for this role is posted below. Compensation at the time of offer is unique to each candidate and based on a variety of factors such as skill set, experience, qualifications, and work location. Salary is one part of MongoDB’s total compensation and benefits package. Other benefits for eligible employees may include: equity, participation in the employee stock purchase program, flexible paid time off, 20 weeks fully\-paid gender\-neutral parental leave, fertility and adoption assistance, 401(k) plan, mental health counseling, access to transgender\-inclusive health insurance coverage, and health benefits offerings. Please note, the base salary range listed below and the benefits in this paragraph are only applicable to U.S.\-based candidates.
 MongoDB’s base salary range for this role in the U.S. is:
 $189,000—$270,000 USD</t>
        </is>
      </c>
    </row>
    <row r="36">
      <c r="A36" t="inlineStr">
        <is>
          <t>li-4299775184</t>
        </is>
      </c>
      <c r="B36" t="inlineStr">
        <is>
          <t>Senior Product Manager (Bangkok-based)</t>
        </is>
      </c>
      <c r="C36" t="inlineStr">
        <is>
          <t>Agoda</t>
        </is>
      </c>
      <c r="D36" t="inlineStr">
        <is>
          <t>linkedin</t>
        </is>
      </c>
      <c r="E36" t="inlineStr"/>
      <c r="F36" t="inlineStr"/>
      <c r="G36" t="inlineStr">
        <is>
          <t>Austin, TX</t>
        </is>
      </c>
      <c r="H36" t="inlineStr"/>
      <c r="I36"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**Get to know our team:**
 In Product, ideas come alive. The world is moving fast so our culture empowers ownership and minimal bureaucracy. That’s the environment that enables you to do what you think is right – and quickly. Our Product Managers move fast, fail, learn, and pivot.
 Being a product\-centric organization, our team works cross\-functionally to build products from conception to launch by bringing together engineering and business worlds. Agoda Product Managers work closely with executive leadership and have high visibility among the C\-suite; they have direct impact on Agoda’s growth and strategy. Product puts our travelers first and delivers that special travel experience in the most creative expression.
**The opportunity:**
 This role is
 **BANGKOK\-BASED, RELOCATION PROVIDED.** 
 Our Senior Product Managers are analytical and data\-driven individuals, who’re responsible for building products end\-to\-end focusing on analyzing and experimenting until our solutions are perfectly tailored to our travelers. As our next Senior Product Manager, you will drive product strategy and partner closely with senior leadership cross\-functionally to define, build, and deliver the best travel solutions.
 You will get dedicated engineering resources that you, and only you define and allocate. We expect you to have a hands\-on mentality and spend considerable time with your SCRUM teams, have enthusiasm to develop engineered processes and technologies and apply innovative solutions to make organizational improvements. Product Managers can modify \*every\* system we have in our company to suit their needs.
 By applying to this role, you'll be considered for a role either in User Experience, Marketing, Finance or Supply product vertical. The goal is to match you with the team that best aligns with your interests, competencies, and where you will have the most impact. We’re looking for Senior Product Managers for every part of our business. Our entire Product team sits in Bangkok. This is an Individual Contributor position.
**In this role, you'll get to:**
* Analyze the online travel ecosystem, markets, competitive landscape and user requirements.
* Conceptualize, launch and optimize products and features, experiment, test their performance and iterate quickly.
* Work collaboratively with Engineering, Marketing, Legal and UX teams on cutting\-edge technologies.
* Develop innovative solutions to some of the world’s difficult problems by collaborating as needed across regions, product areas, and functions.
**What you'll need to succeed:**
* Bachelor’s degree in technical field (i.e. Computer Science, Statistics, Engineering, Mathematics, or similar quantitative discipline).
* Proven ability to leverage analytics and quantitative methods to inform and influence decision\-making
* Strong data skills
* Excellent communication skills (both verbal and written in English) with proven ability to convey complex messages clearly and with conviction to different stakeholders
* Experience developing and launching products
* Experience leading global product vision, go\-to\-market strategy and design discussions.
* Entrepreneurial and analytical skills; effective at breaking down complex problems and driving and managing change
* Hands\-on mentality
**It's great if you have:**
* MBA or Master’s degree in Math, Economics, Computer Science or Statistics
* Data tools \- SQL, Python, R, or equivalent
 \#seattle \#sanfrancisco \#beijing \#newyork \#london \#bangkok \#singapore \#chicago \#hongkong \#singapore \#berlin \#shanghai \#losangeles \#boston \#austin \#toronto \#luxembourg \#munich \#oslo \#copenhagen \#stockholm \#helsinki \#brussels \#hamburg \#stuttgart \#taipei \#hamburg \#stuttgart \#dublin \#telaviv \#sydney \#melbourne \#perth \#vancouver \#montreal \#prague \#paris \#dublin \#telaviv \#milan \#rome \#tokyo \#osaka \#amsterdam \#moscow \#saintpetersburg \#frankfurt \#shenzhen \#istanbul \#dubai \#seoul \#madrid \#barcelona \#zurich \#geneva \#warsaw \#budapest \#vienna \#bratislava \#bucharest \#sofia \#athens \#ankara \#jakarta \#manila \#kuala\_lumpur \#ho\_chi\_minh\_city \#hanoi \#beirut \#riyadh \#jeddah \#doha \#cape\_town \#johannesburg \#mexicocity \#guadalajara \#santiago \#buenosaires \#sao\_paulo \#rio\_de\_janeiro \#bogota \#caracas \#auckland \#wellington \#calgary \#edmonton \#ottawa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row>
    <row r="37">
      <c r="A37" t="inlineStr">
        <is>
          <t>li-4299423016</t>
        </is>
      </c>
      <c r="B37" t="inlineStr">
        <is>
          <t>Staff Product Manager, App Modernization &amp; Data Migration</t>
        </is>
      </c>
      <c r="C37" t="inlineStr">
        <is>
          <t>MongoDB</t>
        </is>
      </c>
      <c r="D37" t="inlineStr">
        <is>
          <t>linkedin</t>
        </is>
      </c>
      <c r="E37" t="inlineStr"/>
      <c r="F37" t="inlineStr"/>
      <c r="G37" t="inlineStr">
        <is>
          <t>Utah, United States</t>
        </is>
      </c>
      <c r="H37" t="inlineStr"/>
      <c r="I37" t="inlineStr">
        <is>
          <t>Join MongoDB as a Staff Product Manager to revolutionize Application Modernization! We're seeking a visionary, especially on the West Coast, to drive our growth. Businesses are burdened by legacy apps; you'll empower them to migrate to MongoDB's cutting\-edge AI\-ready database. Lead critical data migration products, collaborating with our largest enterprise customers, our forward\-deployed AI engineers, and our professional services teams. If you're passionate about building innovative data movement products and enjoy hands\-on solutioning, this is your chance to make a massive impact!
**Responsibilities**
* Be the Staff PM responsible for leading the vision, roadmap, and requirements for the safe and seamless data movement capabilities
* Drive strategic narratives and operational and tactical recommendations with customers and industry thought leaders on Application Modernization and Data Migration
* Regularly evangelize our products and recommendations on application modernization at industry conferences, trade shows, and with key partners and accounts
* Drive collaboration across Engineering, Customer Support, Marketing, Sales, Professional Services, and the Executive Leadership Team
* Maintain an accurate and up\-to\-date roadmap across your ownership areas
* Deeply understand all aspects of MongoDB \- to ensure a business outcome aligned with our broader product, customer, and company priorities
* Define application modernization go\-to\-market strategies, identify key market/competitive trends and customer opportunities, and plan and manage programs to execute against those strategies by partnering with sales leadership at regional and global levels
* Drive decision\-making around prioritization, solutions, functionality, and pricing
**Requirements**
* 10\+ years of Product experience working with enterprise\-focused application development technologies and customers
* Excellent written and verbal communication skills with the ability to present to large executive audiences and key enterprise customers globally
* Demonstrated leadership skills to bring together diverse viewpoints and drive a strategic agenda forward; can\-do attitude, optimism, humility, creative solutioning, asking complex questions, and willingness to embrace the unknown are all required to succeed
* Expert\-level understanding of enterprise\-scale software architectures, application development methodologies, and software deployment and operations.
* Deep experience managing or using relational databases, particularly SQL and stored procedures with Oracle, MS SQL Server, Sybase, and PostgreSQL databases, in addition to MongoDB
* Experience working with distributed streaming platforms, such as Apache Kafka, or change data capture platforms, like Debezium, is a significant plus
* Strong technical acumen—our Product Managers must be as technical as their engineering counterparts and have in\-depth knowledge
* They must also be comfortable speaking with authority on any of the technical aspects of the topics in their portfolio
**About MongoDB**
 MongoDB is built for change, empowering our customers and our people to innovate at the speed of the market. We have redefined the database for the AI era, enabling innovators to create, transform, and disrupt industries with software. MongoDB’s unified database platform—the most widely available, globally distributed database on the market—helps organizations modernize legacy workloads, embrace innovation, and unleash AI. Our cloud\-native platform, MongoDB Atlas, is the only globally distributed, multi\-cloud database and is available across AWS, Google Cloud, and Microsoft Azure.
 With offices worldwide and nearly 60,000 customers—including 75% of the Fortune 100 and AI\-native startups—relying on MongoDB for their most important applications, we’re powering the next era of software.
 Our compass at MongoDB is our Leadership Commitment, guiding how and why we make decisions, show up for each other, and win. It’s what makes us MongoDB.
 To drive the personal growth and business impact of our employees, we’re committed to developing a supportive and enriching culture for everyone. From employee affinity groups, to fertility assistance and a generous parental leave policy, we value our employees’ wellbeing and want to support them along every step of their professional and personal journeys. Learn more about what it’s like to work at MongoDB, and help us make an impact on the world!
 MongoDB is committed to providing any necessary accommodations for individuals with disabilities within our application and interview process. To request an accommodation due to a disability, please inform your recruiter.
 MongoDB, Inc. provides equal employment opportunities to all employees and applicants for employment and prohibits discrimination and harassment of any type and makes all hiring decisions without regard to race, color, religion, age, sex, national origin, disability status, genetics, protected veteran status, sexual orientation, gender identity or expression, or any other characteristic protected by federal, state or local laws.
*Req ID: 3263238409*
 MongoDB’s base salary range for this role is posted below. Compensation at the time of offer is unique to each candidate and based on a variety of factors such as skill set, experience, qualifications, and work location. Salary is one part of MongoDB’s total compensation and benefits package. Other benefits for eligible employees may include: equity, participation in the employee stock purchase program, flexible paid time off, 20 weeks fully\-paid gender\-neutral parental leave, fertility and adoption assistance, 401(k) plan, mental health counseling, access to transgender\-inclusive health insurance coverage, and health benefits offerings. Please note, the base salary range listed below and the benefits in this paragraph are only applicable to U.S.\-based candidates.
 MongoDB’s base salary range for this role in the U.S. is:
 $189,000—$270,000 USD</t>
        </is>
      </c>
    </row>
    <row r="38">
      <c r="A38" t="inlineStr">
        <is>
          <t>li-4323924032</t>
        </is>
      </c>
      <c r="B38" t="inlineStr">
        <is>
          <t>Program Manager - eCommerce &amp; Merchandise Operations</t>
        </is>
      </c>
      <c r="C38" t="inlineStr">
        <is>
          <t>BDA, LLC</t>
        </is>
      </c>
      <c r="D38" t="inlineStr">
        <is>
          <t>linkedin</t>
        </is>
      </c>
      <c r="E38" t="inlineStr"/>
      <c r="F38" t="inlineStr"/>
      <c r="G38" t="inlineStr"/>
      <c r="H38" t="inlineStr"/>
      <c r="I38" t="inlineStr">
        <is>
          <t>Most companies claim to have the best people. We say to them, "Keep dreaming." Our people are second to none. They set us apart with their entrepreneurial spirit and ambition. They come to us from the likes of Amazon, Microsoft, Nordstrom, Starbucks and the sports world, bringing energy, bold ideas and a willingness to dive into the unfamiliar. It's our people that make BDA the top global Merchandise Agency to work for.
**LOCATION REQUIREMENT**
* This role follows a flexible onsite schedule and requires working onsite four (4\) days per week, with one (1\) remote day, at one of the following BDA office locations: Atlanta, GA, Austin or Dallas, TX, Troy, MI, Indianapolis, IN or Woodinville, WA.
* To be considered, candidates must live within a reasonable commuting distance of one of these offices, as regular in\-person collaboration is essential to this role.
**Position Overview**
**This is not a technical or IT\-focused role. Experience in promotional merchandise, retail, or eCommerce programs is strongly preferred.**
**Position Overview** 
 : The Program Manager oversees various aspects of program operations, ensuring smooth execution and continuous improvement. This role involves strategic planning, cross\-functional collaboration, and data\-driven decision\-making to enhance program efficiency and effectiveness. The Program Manager will own the success of program health and execution in alignment with the strategic roadmap. They will partner with the sales team to drive success from ideation to execution. The ideal candidate will have a strong analytical mindset, excellent communication skills, and a proven track record in program management.
**Key Responsibilities:**
* Cross\-Functional Collaboration: Collaborate and communicate effectively with cross\-functional teams to traffic inbound requests and ensure seamless program execution.
* Data\-Driven Performance: Leverage data and reporting expertise to drive sales performance and increase Net Promoter Score (NPS).
* Client Contract Expertise: Act as an expert for client contract specifics, monitoring for compliance to ensure all terms are met.
* SKU Lifecycle Management: Own the end\-to\-end SKU lifecycle, determining when items have reached the end of their lifecycle to maximize sales and reduce inventory liability, in partnership with Merchandising and Planning.
* Marketing Execution: Oversee and manage marketing execution, including the implementation of site optimization tactics.
* Inventory Management: Partner with Planning to monitor inventory levels and identify liquidation tactics to manage stock efficiently.
**Qualifications:**
* Bachelor’s degree in Business, Marketing, or related field.
* 3\-5 years of experience in program management or a related role.
* Strong analytical and problem\-solving skills.
* Excellent communication and interpersonal skills.
* Experience with Smartsheet or similar project management tools.
* Ability to work cross\-functionally with multiple stakeholders and manage conflicting priorities.
 We are pleased to share the base salary range for this position is $70,000 to $80,000 with additional bonus opportunities. If you are hired at BDA, your compensation will be determined based on factors that may include geographic location, skills, education, and experience. In addition to these factors, we believe in the importance of pay equity and consider internal equity of our current team members as a part of any offer. In the spirit of pay transparency, the range listed is the full base salary range for the role and hiring at the top of the range would not be typical, in order to allow for future salary growth. The range listed is just one component of BDA’s total compensation and rewards programs, which includes: robust PTO; vacation, a paid volunteer day, holidays and summer Fridays, Benefits; medical, dental, vision, life, and AD\&amp;D insurance, 401k; tuition reimbursement, mental health and financial wellness programs and professional development opportunities including tuition reimbursement. Certain revenue\-generating positions may be eligible for incentive compensation.
 BDA is more than a workplace \- it’s a family. For more than four decades we’ve promoted a vibrant and welcoming culture that not only accepts but demands you to be different. The quirky, the bold, the creative and the unique make up the foundation of a company that the most iconic brands in the world look to help tell their story through the power of merchandise.
**Connect With Us!** 
 Not ready to apply? Connect with us for general consideration.
 For more information:
 www.bdainc.com
 For information about BDA's privacy policy for job applicants click here.
 Must be 18 years or older to apply.</t>
        </is>
      </c>
    </row>
    <row r="39">
      <c r="A39" t="inlineStr">
        <is>
          <t>li-4310517614</t>
        </is>
      </c>
      <c r="B39" t="inlineStr">
        <is>
          <t>Technical Program Manager, Commerce Systems</t>
        </is>
      </c>
      <c r="C39" t="inlineStr">
        <is>
          <t>Stripe</t>
        </is>
      </c>
      <c r="D39" t="inlineStr">
        <is>
          <t>linkedin</t>
        </is>
      </c>
      <c r="E39" t="inlineStr"/>
      <c r="F39" t="inlineStr"/>
      <c r="G39" t="inlineStr">
        <is>
          <t>San Francisco, CA</t>
        </is>
      </c>
      <c r="H39" t="inlineStr"/>
      <c r="I39"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Commerce Systems organization is responsible for the systems and processes that monetize all Stripe products. The TPM team that supports the Commerce Systems organization has deep technical expertise in software infrastructure, and excels at driving ambiguous, cross\-functional programs to completion.
 What you’ll do
 As a Technical Program Manager in the Commerce Systems organization, you will play a key role within engineering and drive programs that span across Stripe, helping stakeholders across the company deliver ambitious monetization outcomes. You will be responsible for the successful definition, cross\-functional strategy, planning and execution of large\-scale technical programs that help to solve complex problems and enable products and infrastructure at scale. The ideal candidate will deliver exceptional results through building and implementing solutions that scale while protecting our users and serving the business.
**Responsibilities**
* Working with teams across the organization to understand pain points in their Commerce Systems usage to find common ideas and work to create solutions which span multiple domains
* Define and produce high quality written proposals, communications and documentation.
* Execute on technical programs that require deep systems and engineering level knowledge.
* Partner with Engineering Managers, Product Managers and other Technical Program Managers to define, scope and drive large programs to conclusion.
* Play a key part in shaping the technical design, predicting technical roadblocks by collaborating with engineers, and identifying trade\-offs.
* Develop, implement, and iterate on program management techniques, frameworks, and KPIs to achieve goals with well defined success criteria.
* Elevate the execution muscle of engineering teams around you. Train them to be better at delivery where needed.
* Help influence peers / stakeholders and build consensus while dealing with ambiguity
* Leverage data and acquired knowledge to drive strategic decisions at an engineering leadership level.
* Create widely circulated plans, driving consistency, clarity and building alignment across teams.
* Operationalize and execute critical cross functional programs spanning multiple engineering organizations for Core Infrastructure (Compute, Networking, Database, Services)
 Who you are
 We’re looking for someone who meets the minimum requirements to be considered for the role. If you meet these requirements, you are encouraged to apply. The preferred qualifications are a bonus, not a requirement.
**Minimum Requirements**
* 8\+ years of software engineering, systems engineering and/or technical program management experience.
* Experience in core infrastructure such as database, cloud compute, networking, and services.
* Understand distributed systems.
* Understand Service Oriented Architecture (SOA).
* Excellent analytical skills; you digest complex information, can distill it and make recommendations and proposals.
* You have a track record of providing program management during all phases of software development from kick\-off to launch, demonstrating critical thinking, challenging the norms and thought leadership.
* You have very strong written and verbal communication skills, building strong relationships with stakeholders, teams and senior leaders around the organization.
* You can drive internal and external process improvements across multiple teams and functions and bring a wealth of experience, opinions, proposals and best practices.
* Experience operating autonomously and rapidly and leading large\-scale efforts across multiple teams and functions, with stakeholders in different disciplines across time zones.
**Preferred Qualifications**
* Knowledge in software architecture, systems design and service oriented architecture
* Background in technical program management, in software infrastructure
* Understanding of cloud infrastructure in compute, networking, databases, service frameworks is a bonus.
* SQL scripting is a big plus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$208,200 \- $312,200\.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40">
      <c r="A40" t="inlineStr">
        <is>
          <t>li-4360133821</t>
        </is>
      </c>
      <c r="B40" t="inlineStr">
        <is>
          <t>Principal Program Manager (REMOTE)</t>
        </is>
      </c>
      <c r="C40" t="inlineStr">
        <is>
          <t>RemoteHunter</t>
        </is>
      </c>
      <c r="D40" t="inlineStr">
        <is>
          <t>linkedin</t>
        </is>
      </c>
      <c r="E40" t="inlineStr"/>
      <c r="F40" t="inlineStr"/>
      <c r="G40" t="inlineStr"/>
      <c r="H40" t="inlineStr"/>
      <c r="I40" t="inlineStr">
        <is>
          <t>About the Opportunity:
 The organization seeks a Principal Portfolio Program Manager to lead large multi\-year strategic programs focused on evolving and scaling the Merchandising portfolio. This role oversees program management including strategy, process definition, organization design, and technology delivery. The position manages a team of business, technology, and third\-party vendor stakeholders and supports the Inventory 360 initiative, which integrates Merchandising, Supply Chain, Space Management, and Reporting \&amp; Analytics to optimize the inventory ecosystem.
 Responsibilities:
 • Provide strategic leadership in Merchandising and Supply Chain
 • Implement best practices and program standards for multi\-year, cross\-functional initiatives
 • Drive transformation and change management with executive leadership
 • Lead program management activities across business and technology teams to deliver technology\-enabled solutions
 • Own all aspects of program planning including prioritization, estimation, budgeting, and goal setting
 • Facilitate executive\-level planning, prioritization, and status updates with stakeholders
 • Produce and approve program plans ensuring alignment with organizational processes and governance
 • Communicate strategy implementation actions internally and externally
 • Motivate teams by connecting program goals to organizational mission and values
 • Lead a large cross\-functional team, defining vision and coordinating activities
 • Manage program budgets with accurate forecasting and variance reporting
 • Clarify roles and responsibilities to enable rapid decision\-making
 • Identify and manage risks, issues, dependencies, and constraints, escalating as needed
 • Manage program reviews and assurance processes to maintain delivery confidence
 • Define stakeholder engagement plans ensuring balanced participation
 • Partner with stakeholders to assess and track business benefit realization
 • Support strategic planning across product and technology portfolios
 • Lead portfolio prioritization, budgeting, and goal setting
 • Ensure alignment of organization and stakeholders with portfolio direction
 Requirements:
 • Proven experience leading large, multi\-year strategic programs
 • Strong program and portfolio management skills
 • Expertise in cross\-functional team leadership and stakeholder management
 • Ability to drive transformation and change management
 • Skilled in risk identification and mitigation
 • Experience managing budgets and resource allocation
 • Effective communication and motivational skills
 • Knowledge of merchandising, supply chain, and inventory management concepts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41">
      <c r="A41" t="inlineStr">
        <is>
          <t>li-4363749418</t>
        </is>
      </c>
      <c r="B41" t="inlineStr">
        <is>
          <t>Sr. Security Program Manager</t>
        </is>
      </c>
      <c r="C41" t="inlineStr">
        <is>
          <t>EDB</t>
        </is>
      </c>
      <c r="D41" t="inlineStr">
        <is>
          <t>linkedin</t>
        </is>
      </c>
      <c r="E41" t="inlineStr"/>
      <c r="F41" t="inlineStr"/>
      <c r="G41" t="inlineStr">
        <is>
          <t>St Paul, MN</t>
        </is>
      </c>
      <c r="H41" t="inlineStr"/>
      <c r="I41" t="inlineStr">
        <is>
          <t>**A Little About Us**
 EDB provides a data and AI platform that enables organizations to harness the full power of Postgres for transactional, analytical, and AI workloads across any cloud, anywhere. EDB empowers enterprises to control risk, manage costs and scale efficiently for a data and AI led world. Serving more than 1,500 customers globally and as the leading contributor to the vibrant and fast\-growing PostgreSQL community, EDB supports major government organizations, financial services, media and information technology companies. EDB's data\-driven solutions enable customers to modernize legacy systems and break data silos while leveraging enterprise\-grade open source technologies. EDB delivers the confidence of up to 99\.999% high availability with mission critical capabilities built in such as security, compliance controls, and observability. For more information, visit www.enterprisedb.com
 As a
 **Sr. Security Program Manager** 
 on the Information Security team, you will contribute significantly to the scaling and optimization of our security program, helping proactively mitigate information risks. You will support the implementation of a comprehensive, "security\-by\-design" operational model across the organization.
 This role requires a blend of strategic planning, hands\-on project execution, and strong security expertise. You will be an important link across business units, ensuring security standards are met and assisting in customer diligence activities to reinforce EDB's security and compliance posture.
**What Your Impact Will Be**
* Contribute to the scaling and refinement of EDB's control framework and associated policies and procedures to support business growth and reduce inherent information risks.
* Support the integration of new security frameworks, including ISO 27001 and ISO 42001\.
* Assist in the annual planning process for Information Security initiatives, ensuring alignment with business objectives and demonstrating the program's value\-add.
* Help develop and implement a metrics\-based program to measure the performance, efficiency, and effectiveness of EDB's information security initiatives.
* Collaborate with Product Management and Engineering teams to embed security\-by\-design principles into the development lifecycle and delivery process.
* Establish essential working relationships with engineering leadership, product management, and executive management.
* Educate and consult with control owners on effective control environments and appropriate audit evidence.
* Translate complex security frameworks into actionable control designs and support implementation.
* Coordinate and support internal teams during third\-party auditor engagements.
* Manage the process for security control exception lifecycle, managing the request, approval, and time bound remediation of approved control deviations.
* Assist in the overall optimization of the sales process from contract review to security diligence.
* Contribute to customer security diligence efforts, managing questionnaires and requests while continuously improving the efficiency and effectiveness of the response process.
* Guide team members on priority tasks and project execution, as needed.
**What You Will Bring**
* Proven experience in information security and compliance, including project management.
* Strong experience with auditing security objectives of SOC2, HIPAA, FedRAMP (800\-53\), NIST, and ISO 27001\.
* Ability to navigate compliance controls and cloud security best practices.
* Proven project management skills, with the ability to manage multiple projects simultaneously.
* Excellent communication skills to keep internal and external stakeholders aligned.
* Drive, a proactive attitude, and thorough attention to detail.
**What Will Give You An Edge**
* Certifications: Certified Information Security Auditor (CISA), Certified Information Systems Security Professional (CISSP), or other technical certifications.
* Project Management certification (e.g., PMP).
* Experience with Hyperproof GRC Platform and Atlassian Suite.
 EDB is committed to supporting our employees' overall well being by offering a range of benefits and resources to promote a healthy work\-life balance and wellness. We provide access to CuraLinc to aid employees in health and wellness tips and practices, as well as Wellness Fridays extending to December 2026! Check out our career site for more information on perks and benefits and reach out to our Talent Acquisition team for region specific benefits.
 We know it takes a unique mix of people and skills to help us in our mission to supercharge Postgres, and we understand that not everyone will check every box. We'd love to hear from you and we want you to apply!
 EDB is proud to be an equal opportunity workplace. We celebrate diversity and are committed to creating an inclusive environment for all employees. EDB was built on a commitment to trust and respect each other and to embrace an array of people and ideas. These values remain at the center of our culture and are key to our company's integrity.
 EDB does not seek or accept unsolicited resumes or CVs from recruitment agencies. EDB and its affiliates are not responsible for, and will not pay, any fees, commissions, or any other similar payment related to unsolicited resumes or CVs except as required in a written signed agreement between EDB and the recruitment agency or party requesting payment of a fee.</t>
        </is>
      </c>
    </row>
    <row r="42">
      <c r="A42" t="inlineStr">
        <is>
          <t>li-4363769603</t>
        </is>
      </c>
      <c r="B42" t="inlineStr">
        <is>
          <t>Sr Program Manager</t>
        </is>
      </c>
      <c r="C42" t="inlineStr">
        <is>
          <t>Health Care Service Corporation</t>
        </is>
      </c>
      <c r="D42" t="inlineStr">
        <is>
          <t>linkedin</t>
        </is>
      </c>
      <c r="E42" t="inlineStr"/>
      <c r="F42" t="inlineStr"/>
      <c r="G42" t="inlineStr">
        <is>
          <t>Chicago, IL</t>
        </is>
      </c>
      <c r="H42" t="inlineStr"/>
      <c r="I42" t="inlineStr">
        <is>
          <t>At HCSC, our employees are the cornerstone of our business and the foundation to our success. We empower employees with curated development plans that foster growth and promote rewarding, fulfilling careers.
 Join HCSC and be part of a purpose\-driven company that will invest in your professional development.
 This position is responsible managing one or more highly complex or enterprise\-wide programs consisting of multiple projects; being accountable for end\-to\-end delivery of a complex program (could include multiple projects), including managing the cost / budget, schedule \&amp; dependencies, resources, scope, quality, and risk; developing the program strategy, supporting business case and various enterprise\-wide high\-level project plans; providing a strong blend of HR and business acumen to drive the design, development and implementation of strategic programs. Responsible for driving deliverables and activities by removing barriers, escalating risk/issues, building consensus, and driving decisions, as well as tracking key program milestones and recommending adjustments to program leadership and team.
**Required Job Qualifications**
* Bachelor degree and 6 years of Health Care industry and/or IT work experience OR 10 years managing projects and some experience managing complex programs.
* In\-depth knowledge of business area and/or industry/technology included in scope.
* Leadership experience in multi\-discipline, high\-performance work teams/groups.
* Ability to work both independently or in a team environment on multiple initiatives in a fast paced environment.
* Experience in developing and reviewing program/project budgets and cost/expense information.
* Experience delivering action plans to allocate resources across programs.
* Experience in negotiations and managing conflict; organizational / political savvy.
* Experience in facilitation skills, with strong verbal and written communication.
* Experience in project management lifecycle, project/program management, and portfolio management methodologies and tools.
* Good judgment and quick business decisions.
* Ability to influence (direct / indirect reports, project stakeholders, and leaders) and manage in a matrix organization
* Ability to handle ambiguity, with the agility and flexibility to adapt to constantly changing priorities
* Structured, organized and methodical in execution; takes ownership and accountability for outcomes, drives for results and drives certainty in delivery
* Develops trusted relationships and demonstrates deep Interpersonal skills
* Experience with the entire software development lifecycle from inception to development to testing to production deployment and maintenance; deep understanding of common software delivery models – OWF, Scrum, XP
* Knowledge of Clarity PPM system and expertise in Microsoft Suite, including Excel, PPT, Word, Project
* Regular in\-person attendance at the designated facility of the job posting.
**Preferred Job Qualifications**
* Extensive experience in project delivery and working in complex programs
* Consulting experience.
* Health Care or Insurance Industry experience.
* Previous Solution Delivery Methodology or CMMI experience.
* PMP Certification preferred.
**This is a Flex (Hybrid) role: 3 days in office; 2 days work from home.**
**Sponsorship is not available.**
 INJLF
 Compensation: $112,200\.00 \- $202,600\.00
 Exact compensation may vary based on skills, experience, and location
**HCSC Employment Statement**
 We are an Equal Opportunity Employment employer dedicated to providing a welcoming environment where the unique differences of our employees are respected and valued. All qualified applicants will receive consideration for employment without regard to race, color, religion, sex, sexual orientation, gender identity, national origin, disability, protected veteran status, or any other legally protected characteristics.
 To learn more about available benefits, please click https://careers.hcsc.com/totalrewards</t>
        </is>
      </c>
    </row>
    <row r="43">
      <c r="A43" t="inlineStr">
        <is>
          <t>li-4331603058</t>
        </is>
      </c>
      <c r="B43" t="inlineStr">
        <is>
          <t>Benefits Program Manager</t>
        </is>
      </c>
      <c r="C43" t="inlineStr">
        <is>
          <t>Stripe</t>
        </is>
      </c>
      <c r="D43" t="inlineStr">
        <is>
          <t>linkedin</t>
        </is>
      </c>
      <c r="E43" t="inlineStr"/>
      <c r="F43" t="inlineStr"/>
      <c r="G43" t="inlineStr">
        <is>
          <t>Atlanta, GA</t>
        </is>
      </c>
      <c r="H43" t="inlineStr"/>
      <c r="I43"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Benefits team is fundamental to the Stripe experience and enablement, directly supporting our global workforce. The Benefits team ensures our offerings are competitive, clearly understood, and fully compliant with local regulations across 28 countries, consistently evolving our benefits strategy to meet the diverse needs of our employees.
 The Benefits Program Manager will play a key role in shaping the user experience by owning and driving our comprehensive benefits programs. This person will move beyond day\-to\-day administration to focus on strategic planning, effective communication, and continuous improvement of our benefits offerings. This role is ideal for an individual who can think big\-picture while also ensuring the successful execution of our benefits strategy.
 What you’ll do
**Responsibilities**
* Program Management \&amp; Strategy: Manage the full lifecycle of our benefits and time away programs, including market research, benchmarking, plan design, vendor selection and management, annual renewal and negotiation, communication and administration, as well as security review and compliance. Proactively monitor industry trends and regulatory changes to recommend new or enhanced programs that align with our company's goals and total rewards strategy.
* Employee Experience \&amp; Communication: Act as a subject matter expert and develop and execute clear, engaging communication plans to ensure Stripes understand their benefits options or planned changes.
* Vendor \&amp; Partner Management: Serve as the primary point of contact for our leave of absence administrator, disability carrier, family forming vendor, and other wellness related vendors like Forma. Identify and evaluate potential vendors, managing the Request for Proposal (RFP) process in partnership with the procurement team. Regularly assess vendor performance and manage contracts in collaboration with the legal team, ensuring compliance with agreements. Hold vendors accountable for delivering high\-quality services by clearly communicating expectations and fostering strong partnerships to meet the needs of the organization and its employees.
* Data Analysis \&amp; Reporting: Compile, analyze, and report on key benefits metrics for leadership requests. Communicate effectively with stakeholders and leadership to ensure deep understanding of data needs and narrative behind the data. Regularly monitor and measure program effectiveness using data to inform, and present a compelling story to leadership in order to shape future strategy and program changes.
* Cross\-Functional Collaboration and Influence: Partner closely with People Partners/Consultants, Finance, payroll, employee relations, and Legal teams to ensure a cohesive and compliant approach to our total rewards strategy. Cultivate strong partnerships with key decision makers and leverage expertise in order to Influence decision making and gain stakeholder buy\-in when necessary.
* Financial Stewardship: Collaborate with the Finance team to manage the benefits budget and evaluate the ROI of new and existing programs.
* Technology Integration: Leverage our HRIS and benefits administration platform to optimize workflows and enhance reporting capabilities. Partner with People Systems in order to drive key initiatives and projects through to completion.
 Who you are
 We’re looking for someone who meets the minimum requirements to be considered for the role. If you meet these requirements, you are encouraged to apply. The preferred qualifications are a bonus, not a requirement.
**Minimum Requirements**
* 5\-7 years of experience in a benefits program manager role
* Bachelor’s degree in Human Resources, Business Administration, or a related field
* Proven experience in employee benefits, with a demonstrated ability to manage and improve benefits programs, policies, and operations using data, employee feedback, financial analyses, and Stripe culture to inform decisions
* Strong understanding and application of federal and state regulations related to employee benefits (e.g., 401(k), Pension Plans, ERISA, ACA, FMLA)
* Experience managing 401(k) and pension plans
* Excellent communication, presentation, and interpersonal skills
* Analytical mindset with the ability to interpret data and make data\-driven decisions.
* Strong project management skills and attention to detail
* Experience working in a fast paced, growing environment, preferably in a technology company or large scale organization
* Proven ability to be a self\-starter, capable of driving projects forward independently with minimal guidance, while also effectively identifying and escalating issues or seeking feedback when necessary
* Demonstrates strong judgement in decision\-making processes, ensuring that choices align with company culture and benefits strategy
**Preferred Qualifications**
* Experience with global benefits and managing programs on a global scale
* Ability to influence and negotiate contracts with benefit vendors by leveraging expertise in the benefits space
* Proven track record of managing change initiatives related to benefit programs, including successful implementations and offboarding of vendors and systems
* Background in developing and implementing employee benefits communications to different global regions
* Advanced skills in data and analytics and financial forecasting
* Experienced in working in a fast paced high\-growth environment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$136,000 \- $204,000\.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44">
      <c r="A44" t="inlineStr">
        <is>
          <t>li-4353832817</t>
        </is>
      </c>
      <c r="B44" t="inlineStr">
        <is>
          <t>Transformation Program Manager</t>
        </is>
      </c>
      <c r="C44" t="inlineStr">
        <is>
          <t>Jobot</t>
        </is>
      </c>
      <c r="D44" t="inlineStr">
        <is>
          <t>linkedin</t>
        </is>
      </c>
      <c r="E44" t="inlineStr"/>
      <c r="F44" t="inlineStr"/>
      <c r="G44" t="inlineStr">
        <is>
          <t>Columbus, OH</t>
        </is>
      </c>
      <c r="H44" t="inlineStr"/>
      <c r="I44" t="inlineStr">
        <is>
          <t>Want to learn more about this role and Jobot? Click our Jobot logo and follow our LinkedIn page!
 Job details
**Hiring a Transformation Program Manager**
 This Jobot Job is hosted by Jamal Elkhateib
 Are you a fit? Easy Apply now by clicking the "Easy Apply" button and sending us your resume.
 Salary $120,000 \- $160,000 per year
**A Bit About Us**
 We are seeking a dynamic and highly motivated Permanent Transformation Program Manager to join our team. This position offers an exciting opportunity to drive the strategic direction of our organization's transformation initiatives within the construction industry. As a Permanent Transformation Program Manager, you will oversee and manage the entire lifecycle of our transformation programs, from initial conception to successful completion. The ideal candidate will have a strong background in Project Management, with a PMP certification, and a proven track record of successfully implementing and managing transformation programs in the construction industry.
****Why join us?****
 Transformation Program Manager
**Job Details**
**Qualifications**
* Bachelor's degree in Business, Engineering, Construction Management, or related field.
* PMP certification is required.
* A minimum of 5 years of experience in a program management role within the construction industry, with a focus on transformation programs.
* Strong knowledge of project management principles, practices, techniques, and tools.
* Proven track record of successfully managing and delivering large\-scale transformation programs.
* Strong leadership skills, with the ability to lead and motivate teams.
* Excellent stakeholder management skills, with the ability to build and manage effective relationships.
* Strong strategic thinking and problem\-solving skills, with the ability to make sound decisions under pressure.
* Excellent communication and presentation skills, with the ability to clearly communicate complex information to a variety of audiences.
* Strong financial management skills, with the ability to manage program budgets effectively.
* High level of proficiency in Microsoft Office Suite, including Project and PowerPoint.
* Knowledge of construction industry regulations and standards.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row>
    <row r="45">
      <c r="A45" t="inlineStr">
        <is>
          <t>li-4331380977</t>
        </is>
      </c>
      <c r="B45" t="inlineStr">
        <is>
          <t>Benefits Program Manager</t>
        </is>
      </c>
      <c r="C45" t="inlineStr">
        <is>
          <t>Stripe</t>
        </is>
      </c>
      <c r="D45" t="inlineStr">
        <is>
          <t>linkedin</t>
        </is>
      </c>
      <c r="E45" t="inlineStr"/>
      <c r="F45" t="inlineStr"/>
      <c r="G45" t="inlineStr">
        <is>
          <t>San Francisco, CA</t>
        </is>
      </c>
      <c r="H45" t="inlineStr"/>
      <c r="I45"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Benefits team is fundamental to the Stripe experience and enablement, directly supporting our global workforce. The Benefits team ensures our offerings are competitive, clearly understood, and fully compliant with local regulations across 28 countries, consistently evolving our benefits strategy to meet the diverse needs of our employees.
 The Benefits Program Manager will play a key role in shaping the user experience by owning and driving our comprehensive benefits programs. This person will move beyond day\-to\-day administration to focus on strategic planning, effective communication, and continuous improvement of our benefits offerings. This role is ideal for an individual who can think big\-picture while also ensuring the successful execution of our benefits strategy.
 What you’ll do
**Responsibilities**
* Program Management \&amp; Strategy: Manage the full lifecycle of our benefits and time away programs, including market research, benchmarking, plan design, vendor selection and management, annual renewal and negotiation, communication and administration, as well as security review and compliance. Proactively monitor industry trends and regulatory changes to recommend new or enhanced programs that align with our company's goals and total rewards strategy.
* Employee Experience \&amp; Communication: Act as a subject matter expert and develop and execute clear, engaging communication plans to ensure Stripes understand their benefits options or planned changes.
* Vendor \&amp; Partner Management: Serve as the primary point of contact for our leave of absence administrator, disability carrier, family forming vendor, and other wellness related vendors like Forma. Identify and evaluate potential vendors, managing the Request for Proposal (RFP) process in partnership with the procurement team. Regularly assess vendor performance and manage contracts in collaboration with the legal team, ensuring compliance with agreements. Hold vendors accountable for delivering high\-quality services by clearly communicating expectations and fostering strong partnerships to meet the needs of the organization and its employees.
* Data Analysis \&amp; Reporting: Compile, analyze, and report on key benefits metrics for leadership requests. Communicate effectively with stakeholders and leadership to ensure deep understanding of data needs and narrative behind the data. Regularly monitor and measure program effectiveness using data to inform, and present a compelling story to leadership in order to shape future strategy and program changes.
* Cross\-Functional Collaboration and Influence: Partner closely with People Partners/Consultants, Finance, payroll, employee relations, and Legal teams to ensure a cohesive and compliant approach to our total rewards strategy. Cultivate strong partnerships with key decision makers and leverage expertise in order to Influence decision making and gain stakeholder buy\-in when necessary.
* Financial Stewardship: Collaborate with the Finance team to manage the benefits budget and evaluate the ROI of new and existing programs.
* Technology Integration: Leverage our HRIS and benefits administration platform to optimize workflows and enhance reporting capabilities. Partner with People Systems in order to drive key initiatives and projects through to completion.
 Who you are
 We’re looking for someone who meets the minimum requirements to be considered for the role. If you meet these requirements, you are encouraged to apply. The preferred qualifications are a bonus, not a requirement.
**Minimum Requirements**
* 5\-7 years of experience in a benefits program manager role
* Bachelor’s degree in Human Resources, Business Administration, or a related field
* Proven experience in employee benefits, with a demonstrated ability to manage and improve benefits programs, policies, and operations using data, employee feedback, financial analyses, and Stripe culture to inform decisions
* Strong understanding and application of federal and state regulations related to employee benefits (e.g., 401(k), Pension Plans, ERISA, ACA, FMLA)
* Experience managing 401(k) and pension plans
* Excellent communication, presentation, and interpersonal skills
* Analytical mindset with the ability to interpret data and make data\-driven decisions.
* Strong project management skills and attention to detail
* Experience working in a fast paced, growing environment, preferably in a technology company or large scale organization
* Proven ability to be a self\-starter, capable of driving projects forward independently with minimal guidance, while also effectively identifying and escalating issues or seeking feedback when necessary
* Demonstrates strong judgement in decision\-making processes, ensuring that choices align with company culture and benefits strategy
**Preferred Qualifications**
* Experience with global benefits and managing programs on a global scale
* Ability to influence and negotiate contracts with benefit vendors by leveraging expertise in the benefits space
* Proven track record of managing change initiatives related to benefit programs, including successful implementations and offboarding of vendors and systems
* Background in developing and implementing employee benefits communications to different global regions
* Advanced skills in data and analytics and financial forecasting
* Experienced in working in a fast paced high\-growth environment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$136,000 \- $204,000\.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46">
      <c r="A46" t="inlineStr">
        <is>
          <t>li-4340682724</t>
        </is>
      </c>
      <c r="B46" t="inlineStr">
        <is>
          <t>Principal Technical Program Manager - D&amp;D Beyond</t>
        </is>
      </c>
      <c r="C46" t="inlineStr">
        <is>
          <t>Wizards of the Coast</t>
        </is>
      </c>
      <c r="D46" t="inlineStr">
        <is>
          <t>linkedin</t>
        </is>
      </c>
      <c r="E46" t="inlineStr"/>
      <c r="F46" t="inlineStr"/>
      <c r="G46" t="inlineStr">
        <is>
          <t>Renton, WA</t>
        </is>
      </c>
      <c r="H46" t="inlineStr"/>
      <c r="I46" t="inlineStr">
        <is>
          <t>At Wizards of the Coast, we connect people around the world through play and imagination. From our genre\-defining games like Magic: The Gathering® and Dungeons \&amp; Dragons® to our growing multiverse, we continue to innovate and build new ways to foster friendship and connection. That’s where you come in!
 As a Principal Technical Program Manager working on D\&amp;D Digital, you will drive product development across teams in the US and Poland to enhance the official D\&amp;D digital toolset, D\&amp;D Beyond.
 You will create and maintain effective product development processes and track project progress and priorities. All to improve development efficiency, identify project critical paths, and ensure products and features are delivered when expected and to specifications. You will collaborate with senior, product, and technical leadership across D\&amp;D, Wizards of the Coast, and Hasbro, engaging in regular communication regarding project status, risks, and change control.
 You will establish a deep understanding of product design, technical design and implementation details and be expected to represent your product and engineering partners in meetings with partners. You will work to get commitments from dependencies, anticipate risks, prevent bottlenecks, and ensure high quality deliveries.
 This is a hybrid role located in Renton, WA requiring 3 days a week in the office.
**Responsibilities**
* Collaborate with multi\-functional teams to define and prioritize product and feature requirements.
* Ensure business and technical partner needs are aligned.
* Define project scope, goals, and work that support business goals.
* Develop and maintain project plans, timelines, and budgets.
* Collaborate with engineering teams to deliver high\-quality products on time and within budget.
* Manage project risks and proactively identify and resolve issues that impact project delivery.
* Make sensible trade\-offs (e.g., time vs. effort vs. features) to unblock projects.
* Raise urgent issues appropriately, engaging partner teams as needed, and driving them to closure in a timely manner.
* Communicate project status, updates, and risks to partners and senior leadership.
* Drive continuous improvement of planning and engineering processes.
* Take a leading role in roadmap and rhythm of business planning.
* Understand the D\&amp;D Beyond system, its limitations, scaling factors, boundary conditions, and reasons behind architectural decisions.
**Qualifications**
* 7\+ years of proven experience working directly with engineering teams.
* 7\+ years of technical program management or production experience.
* 5\+ years of software development experience.
* Experience managing programs across multi\-functional teams, building processes, and coordinating release schedules.
* Experience owning/driving roadmap planning and definition.
* Experience working with global teams.
* Strong interpersonal, verbal, and written communication skills with an ability to concisely convey project status and risk at all levels of the company.
**Preferred Qualifications**
* Experience building and evaluating system\-level technical designs.
* Experience managing broad architecture change programs across large number of engineering teams and organizations.
* 5\+ years of project management including scoping, scheduling, budgeting, and measuring quality, along with risk and critical path management experience.
* Experience running projects across multi\-functional teams, building sustainable processes, and coordinating release schedules.
* Experience defining KPI's/SLA's used to drive multi\-million dollar businesses and reporting to senior leadership.
* A solid understanding of, and appreciation for, D\&amp;D.
**We are an Equal Opportunity / Affirmative Action Employer**
 Wizards of the Coast is committed to equality of opportunity in all aspects of employment. We are committed to making all employment decisions without regard to race, color, religion, sex, sexual orientation, gender identity or expression, national origin, age, marital status, or any other legally protected status.
 We will ensure that individuals with disabilities are provided reasonable accommodation to participate in the job application or interview process, to perform essential job functions, and to receive other benefits and privileges of employment. If you have a disability and require assistance in this application process and need to request an accommodation, please contact your recruiter or coordinator.
 The base salary range for this position is $122,300\.00 to $228,100\.00\. The hiring range will vary based on factors such as experience, skills, location and market conditions. Additionally, employees may be eligible for annual and long\-term incentives as part of their overall compensation package.
 Our Comprehensive Benefits Package Includes:
* Health \&amp; Wellness: Medical, Dental, and Vision Insurance
* Time Off to Recharge: Paid Vacation \&amp; Holidays
* Financial Well\-being: Generous 401(k) Match
* Life \&amp; Family Support: Paid Parental Leave
* Giving Back: Volunteer \&amp; Employee Giving Programs
* Level Up Your Skills: Tuition Reimbursement
* Exclusive Perks: Product Discounts \&amp; More!
 \#Wizards</t>
        </is>
      </c>
    </row>
    <row r="47">
      <c r="A47" t="inlineStr">
        <is>
          <t>li-4318611549</t>
        </is>
      </c>
      <c r="B47" t="inlineStr">
        <is>
          <t>Depository Trust and Clearing Corporation Equities Transformation Program Manager Senior Vice President Hybrid</t>
        </is>
      </c>
      <c r="C47" t="inlineStr">
        <is>
          <t>Citi</t>
        </is>
      </c>
      <c r="D47" t="inlineStr">
        <is>
          <t>linkedin</t>
        </is>
      </c>
      <c r="E47" t="inlineStr"/>
      <c r="F47" t="inlineStr"/>
      <c r="G47" t="inlineStr">
        <is>
          <t>Jersey City, NJ</t>
        </is>
      </c>
      <c r="H47" t="inlineStr"/>
      <c r="I47" t="inlineStr">
        <is>
          <t>Citi Markets provide world\-class solutions that are as diverse as the needs of the corporates, institutions, governments, and individual investors we serve in 160 countries and territories. The breadth, depth, and strength of our underwriting, sales and trading, and distribution capabilities span asset classes and currencies, sectors and industries, covering a vast array of products.
 Citi Market Operations is currently at a pivotal point in its evolution and journey, embarking on a significant, multi\-year transformation covering all aspects of designing and delivering a future state target operating model: risk and controls, regulatory compliance, process re\-engineering, automation, people and culture, data transformation, technology investment and client service. This is a large and complex undertaking.
 The Markets Operations Transformation team has been formed to support stakeholders both within Operations and across the bank, to design and deliver this multi\-year transformation roadmap. Our transformation is underpinned by strategy, investment, change execution and a market\-leading operations change delivery team focusing on program and project management, business analysis, process re\-engineering, low code application development and PMO.
**What You’ll Do:**
 The team is currently recruiting for a Program Manager to lead the DTCC Equities Clearing and Settlement Transformation initiatives across Market Operations mainly focused around Securities Settlements.
 The role will include taking a lead on key areas process improvement, root cause analysis, shaping investment business cases and working across our partner groups to create and execute on delivery.
**Responsibilities:**
* Responsible for the successful delivery of the program and its alignment to our business goals
* Execute established project management disciplines including the development of program governance and effective stakeholder management to drive planning and execution
* Identify, prioritise and proactively manage dependencies, risks, exceptions and issues
* Review strategic opportunities for innovative solutions to help re\-engineer processes, build scale and mitigate risk
* Drive business solutions aligned to the strategy and generate business requirements ensuring they are clearly documented, strategic and well understood by all stakeholders
* Work with sponsors to ensure that there are trackable, tangible benefits and associated KPIs.
* Work collaboratively with technology, ensuring there are clear delivery plans aligned to Operations strategic requirements and hold delivery plan owners to account
* Manage testing work streams, drive User Acceptance Testing collaborating with internal and external teams where required
* Responsible for launch readiness, rollout plans, and post\-implementation management
* Develop and deliver presentations to Markets Operations and business management covering project / program status and plans
* Contribute to the design and delivery of Operations training plans and materials, present training to small and large groups as required
* Provide subject matter expertise for internal queries relating to appropriate projects
* Lead, supervise, coach and develop more junior Markets Operations Program Execution team members
**Knowledge and Experience:**
* An individual who is highly experienced in leading complex and large\-scale change initiatives with a strategic mindset, who can see ahead to future possibilities and translate them into breakthrough strategies
* Knowledge and experience of structured project management techniques in a Markets Operations environment
* Hands\-on expertise in designing and implementing structured business / operational processes and associated business requirements documentation
* Knowledge of global markets trading products and the operational functions and processes to support them. Cash Equities and Middle Office and Settlements Experience with DTCC knowledge preferred.
* Understanding of trading processes across the full trade lifecycle within a large bank/dealer
**Skills and Competencies:**
* Critical thinking and Strong analytical skills, with exceptional attention to detail
* Strong interpersonal, influencing and organizational skills to mobilize and motivate delivery in a co\-operative and collaborative working environment
* Excellent verbal and written communication skills, to effectively produce procedural documentation and communicate with senior management. Ability to seamlessly communicate complex technical issues to non\-technical colleagues
* Strong project management / business analysis skills; ability to gain consensus among staff and drive initiatives to completion effectively
* Ability to work well under tight deadlines, manage competing priorities, and complete assigned tasks with minimal management follow up.
* Strong risk management and control mindset
* Strong knowledge of JIRA, Microsoft Office Excel and PowerPoint skills
**Education:**
* Bachelor’s/University degree
* Appropriate industry knowledge \&amp; delivery track record is essential.
 \-\-\-\-\-\-\-\-\-\-\-\-\-\-\-\-\-\-\-\-\-\-\-\-\-\-\-\-\-\-\-\-\-\-\-\-\-\-\-\-\-\-\-\-\-\-\-\-\-\-\-\-\-\-
**Job Family Group:**
 Project and Program Management
 \-\-\-\-\-\-\-\-\-\-\-\-\-\-\-\-\-\-\-\-\-\-\-\-\-\-\-\-\-\-\-\-\-\-\-\-\-\-\-\-\-\-\-\-\-\-\-\-\-\-\-\-\-\-
**Job Family:**
 Program Management
 \-\-\-\-\-\-\-\-\-\-\-\-\-\-\-\-\-\-\-\-\-\-\-\-\-\-\-\-\-\-\-\-\-\-\-\-\-\-\-\-\-\-\-\-\-\-\-\-\-\-\-\-\-\-
**Time Type:**
 Full time
 \-\-\-\-\-\-\-\-\-\-\-\-\-\-\-\-\-\-\-\-\-\-\-\-\-\-\-\-\-\-\-\-\-\-\-\-\-\-\-\-\-\-\-\-\-\-\-\-\-\-\-\-\-\-
**Primary Location:**
 Jersey City New Jersey United States
 \-\-\-\-\-\-\-\-\-\-\-\-\-\-\-\-\-\-\-\-\-\-\-\-\-\-\-\-\-\-\-\-\-\-\-\-\-\-\-\-\-\-\-\-\-\-\-\-\-\-\-\-\-\-
**Primary Location Full Time Salary Range:**
 $163,600\.00 \- $245,400\.00
 In addition to salary, Citi’s offerings may also include, for eligible employees, discretionary and formulaic incentive and retention awards. Citi offers competitive employee benefits, including: medical, dental \&amp; vision coverage; 401(k); life, accident, and disability insurance; and wellness programs. Citi also offers paid time off packages, including planned time off (vacation), unplanned time off (sick leave), and paid holidays. For additional information regarding Citi employee benefits, please visit citibenefits.com. Available offerings may vary by jurisdiction, job level, and date of hire.
 \-\-\-\-\-\-\-\-\-\-\-\-\-\-\-\-\-\-\-\-\-\-\-\-\-\-\-\-\-\-\-\-\-\-\-\-\-\-\-\-\-\-\-\-\-\-\-\-\-\-\-\-\-\-
**Most Relevant Skills**
 Please see the requirements listed above.
 \-\-\-\-\-\-\-\-\-\-\-\-\-\-\-\-\-\-\-\-\-\-\-\-\-\-\-\-\-\-\-\-\-\-\-\-\-\-\-\-\-\-\-\-\-\-\-\-\-\-\-\-\-\-
**Other Relevant Skills**
 For complementary skills, please see above and/or contact the recruiter.
 \-\-\-\-\-\-\-\-\-\-\-\-\-\-\-\-\-\-\-\-\-\-\-\-\-\-\-\-\-\-\-\-\-\-\-\-\-\-\-\-\-\-\-\-\-\-\-\-\-\-\-\-\-\-
**Anticipated Posting Close Date:**
 Dec 16, 2025
 \-\-\-\-\-\-\-\-\-\-\-\-\-\-\-\-\-\-\-\-\-\-\-\-\-\-\-\-\-\-\-\-\-\-\-\-\-\-\-\-\-\-\-\-\-\-\-\-\-\-\-\-\-\-
*Citi is an equal opportunity employer, and qualified candidates will receive consideration without regard to their race, color, religion, sex, sexual orientation, gender identity, national origin, disability, status as a protected veteran, or any other characteristic protected by law.*
*If you are a person with a disability and need a reasonable accommodation to use our search tools and/or apply for a career opportunity review Accessibility at Citi.
 View Citi’s EEO Policy Statement and the Know Your Rights poster.*</t>
        </is>
      </c>
    </row>
    <row r="48">
      <c r="A48" t="inlineStr">
        <is>
          <t>li-4360440066</t>
        </is>
      </c>
      <c r="B48" t="inlineStr">
        <is>
          <t>Product Manager - Ecosystem Governance &amp; Strategy（TikTok LIVE)</t>
        </is>
      </c>
      <c r="C48" t="inlineStr">
        <is>
          <t>TikTok</t>
        </is>
      </c>
      <c r="D48" t="inlineStr">
        <is>
          <t>linkedin</t>
        </is>
      </c>
      <c r="E48">
        <f>HYPERLINK("https://www.linkedin.com/jobs/view/4360440066", "https://www.linkedin.com/jobs/view/4360440066")</f>
        <v/>
      </c>
      <c r="F48" t="inlineStr"/>
      <c r="G48" t="inlineStr">
        <is>
          <t>San Jose, CA</t>
        </is>
      </c>
      <c r="H48" t="inlineStr"/>
      <c r="I48" t="inlineStr">
        <is>
          <t>**Responsibilities**
 About Our Team
 TikTok LIVE is a fast\-growing platform that enables real\-time interactive content experiences, connecting creators and audiences worldwide. Our mission is to create a safe, engaging, and high\-quality live\-streaming ecosystem that fosters creativity and community building.
 The LIVE Ecosystem Governance team plays a crucial role in ensuring platform integrity by designing product strategies, moderation mechanisms, and governance solutions to support sustainable growth. As a Product Manager, you will help develop governance tools, optimize ecosystem strategies, and drive cross\-functional collaboration to enhance live\-streaming experiences.
 At TikTok LIVE, you’ll work on real\-world governance challenges at a global scale, collaborate with top industry experts, and contribute to shaping the future of live\-streaming. This role provides hands\-on product management experience and opportunities for career growth in the content governance and online community safety space.
 Responsibilities:
 1\. Build and improve the Eco\-governance system and platform tools to ensure stability and efficiency.
 2\. Develop a user inform mechanism and education strategy to create a community atmosphere, and to enhance the content quality.
 3\. Design identification and governance strategies, optimize ecology issues in main and sub\-scenarios of livestream to support the development of the LIVE business.
 4\. Collaborate with teams such as algorithms, strategies, and operations to optimize the ecology governance moderation process, to improve moderation efficiency and quality.
**Qualifications**
 Minimum Qualifications
 \- 2\+ years of experience in content moderation, ecological governance, audit backend, and similar governance product roles
 \- Product design and business understanding capabilities
 \- able to identify and address issues through data or processes and drive solutions.
 \- logical thinking ability
 \- effective communication on critical issues during cross\-team collaboration and driving implementation.
 Preferred Qualifications
 \- Passionate about content products;
 \- project management experience
 \- able to grasp various demands and integrate resources to achieve cross\-departmental cooperation.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**Job Information**
 【For Pay Transparency】Compensation Description (Annually)
 The base salary range for this position in the selected city is $149040 \- $414000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49">
      <c r="A49" t="inlineStr">
        <is>
          <t>li-4364310465</t>
        </is>
      </c>
      <c r="B49" t="inlineStr">
        <is>
          <t>Product Manager</t>
        </is>
      </c>
      <c r="C49" t="inlineStr">
        <is>
          <t>Lensa</t>
        </is>
      </c>
      <c r="D49" t="inlineStr">
        <is>
          <t>linkedin</t>
        </is>
      </c>
      <c r="E49">
        <f>HYPERLINK("https://www.linkedin.com/jobs/view/4364310465", "https://www.linkedin.com/jobs/view/4364310465")</f>
        <v/>
      </c>
      <c r="F49" t="inlineStr"/>
      <c r="G49" t="inlineStr">
        <is>
          <t>Sunnyvale, CA</t>
        </is>
      </c>
      <c r="H49" t="inlineStr"/>
      <c r="I49"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META. Clicking "Apply Now" or "Read more" on Lensa redirects you to the job board/employer site. Any information collected there is subject to their terms and privacy notice.
**Summary**
 Meta Product Managers work with cross\-functional teams of engineers, designers, data scientists and researchers to build products. We are looking for extremely effective Product Managers to help innovate and execute product initiatives across the company and value moving quickly. This job description represents different full\-time roles across Meta.
**Required Skills**
 Product Manager Responsibilities:
* Is the primary driver for identifying significant near and long\-term opportunities in a large Product area, and driving product mission, strategies and roadmaps in the context of broader organizational strategies and goals
* Generate buy\-in and drive consensus across organizations. Bring clarity and structure to ambiguous opportunities. Consistently demonstrate initiative and execute with limited oversight
* Plan, initiate, and manage information technology projects for web\-based products, applications, and platforms
* Integrate data, usability studies, research, and market analysis into product strategies and requirements to enhance user satisfaction and improve engineer productivity
* Drive product development with teams of engineers and designers, while maintaining team health
* Understand Meta’s strategic and competitive position and deliver products that are aligned with our mission and recognized best in the industry
* Work closely with cross\-functional teams to drive product mission, define product requirements, coordinate resources from other groups (design, legal, etc.), develop roadmaps, and guide the team through key milestones
* Define and analyze metrics that inform the success of products. Identify and track key performance metrics. Drive decision\-making through user insights, quantitative analysis and AB testing
* Maximize efficiency in a constantly evolving environment where the process is fluid and creative solutions are the norm
**Minimum Qualifications**
 Minimum Qualifications:
* 10\+ years product management and/or Product Design
* 10\+ years of experience working collaboratively with engineering, design and user research teams
* Experience navigating through the full product life\-cycle, integrating customer feedback into product requirements, driving prioritization, and pre\- and post\-launch execution
* Critical thinking and analytical leadership experience
* Experience presenting to executive audiences
* BA/BS in Computer Science or related field
**Preferred Qualifications**
 Preferred Qualifications:
* Experience building 0\-1 products, platform/ecosystem products, or marketplaces
* Experience in a consumer focused technology company
**Public Compensation**
 $205,000/year to $277,000/year \+ bonus \+ equity \+ benefits
**Industry:** 
 Internet
**Equal Opportunity**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If you have questions about this posting, please contact support@lensa.com</t>
        </is>
      </c>
    </row>
    <row r="50">
      <c r="A50" t="inlineStr">
        <is>
          <t>li-4364320456</t>
        </is>
      </c>
      <c r="B50" t="inlineStr">
        <is>
          <t>Sr Product Manager</t>
        </is>
      </c>
      <c r="C50" t="inlineStr">
        <is>
          <t>Lensa</t>
        </is>
      </c>
      <c r="D50" t="inlineStr">
        <is>
          <t>linkedin</t>
        </is>
      </c>
      <c r="E50">
        <f>HYPERLINK("https://www.linkedin.com/jobs/view/4364320456", "https://www.linkedin.com/jobs/view/4364320456")</f>
        <v/>
      </c>
      <c r="F50" t="inlineStr"/>
      <c r="G50" t="inlineStr">
        <is>
          <t>Los Angeles, CA</t>
        </is>
      </c>
      <c r="H50" t="inlineStr"/>
      <c r="I50"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Cengage Group. Clicking "Apply Now" or "Read more" on Lensa redirects you to the job board/employer site. Any information collected there is subject to their terms and privacy notice.
**We believe in the power and joy of learning**
 At Cengage Group, our employees have a direct impact in helping students around the world discover the power and joy of learning. We are bonded by our shared purpose \- driving innovation that helps millions of learners improve their lives and achieve their dreams through education.
**Our culture values inclusion, engagement, and discovery**
 Our business is driven by our strong culture, and we know that creating an inclusive workplace is absolutely essential to the success of our company and our learners, as well as our individual well\-being. We recognize the value of diverse perspectives in everything we do and strive to ensure employees of all levels and backgrounds feel empowered to voice their ideas and bring their authentic selves to work. We achieve these priorities through programs, benefits, and initiatives that are integrated into the fabric of how we work every day. To learn more, please see https://www.cengagegroup.com/about/inclusion\-and\-belonging/
 As a Senior Product Manager on the ed2go team at Cengage Group, you'll help shape the technology foundation that connects learners, partners, and enterprise systems. You'll guide the vision and roadmap for platform capabilities, data pipelines, and integrations that make learning experiences more connected, efficient, and insightful.
 You'll work across teams to design systems that scale, improve data quality, and enable better decision\-making. This role is ideal for someone who enjoys solving complex technical challenges, connecting ideas across teams, and driving results that make a measurable impact on learners and business outcomes.
**What You'll Do Here**
**Lead Strategy and Vision**
* Define and evolve the roadmap for ed2go's platform, data, and integration capabilities.
* Collaborate with engineering, architecture, and analytics teams to align technical investments with business goals.
* Drive initiatives that improve platform scalability, data reliability, and system interoperability.
**Build and Strengthen Integrations**
* Lead the end\-to\-end lifecycle for integrations across Salesforce, SAP, enrollment, and learning systems.
* Partner with enterprise teams to enhance data exchange through modern APIs and event\-driven architectures.
* Ensure that systems share accurate, secure, and timely information to support operational and learner outcomes.
**Collaborate Across Teams**
* Work closely with product, engineering, analytics, and design teams to deliver shared services and tools that enable faster, smarter decisions.
* Partner with marketing, service, finance, and operations teams to ensure alignment and adoption of shared capabilities.
* Foster transparent communication and collaboration across technical and business partners.
**Deliver and Improve**
* Write clear, outcome\-based epics and user stories that guide development and measure success.
* Balance priorities across short\-term needs and long\-term technical investments.
* Promote agile best practices, documentation, and continuous improvement across teams.
**Skills You'll Need Here**
* Bachelor's degree or equivalent experience.
* 6\+ years in product management or related technical product roles.
* Experience leading platform, data, or integration\-focused initiatives.
* Understanding of SaaS architecture, APIs, data pipelines, and system design.
* Familiarity with tools such as Jira, Confluence, Amplitude, and GA4\.
* Strong communication and documentation skills, with the ability to translate complexity into clarity.
* Experience working in collaborative, cross\-functional environments.
* Curiosity, empathy, and a growth mindset\-combined with a drive for delivering real\-world outcomes.
* Experience in edtech, ecommerce, or enterprise SaaS environments is a plus.
 Cengage Group is committed to working with broad talent pools to attract and hire strong and most qualified individuals. Our job applicants are considered regardless of any classification protected by applicable federal, state, provincial or local laws.
 Cengage is also committed to providing reasonable accommodations for qualified individuals with disabilities including during our job application process. If you are an applicant with a disability and require reasonable accommodation in our job application process, please contact us at accommodations.ta@cengage.com .
**About Cengage Group**
 Cengage Group, a global education technology company serving millions of learners, provides affordable, quality digital products and services that equip students with the skills and competencies needed to be job ready. For more than 100 years, we have enabled the power and joy of learning with trusted, engaging content, and now, integrated digital platforms. We serve the higher education, workforce skills, secondary education, English language teaching and research markets worldwide. Through our scalable technology, including MindTap and Cengage Unlimited, we support all learners who seek to improve their lives and achieve their dreams through education.
**Compensation**
 At Cengage Group, we take great pride in our commitment to providing a comprehensive and rewarding Total Rewards package designed to support and empower our employees. Click here (https://www.cengagegroup.com/news/perspectives/2024/cengage\-group\-total\-rewards\-philosophy/) to learn more about our
 *Total Rewards Philosophy* 
 .
 The full base pay range has been provided for this position. Individual base pay will vary based on work schedule, qualifications, experience, internal equity, and geographic location. Sales roles often incorporate a significant incentive compensation program beyond this base pay range.
 In this position, you will be eligible to participate in the company's discretionary incentive bonus program. This position's bonus target amount, which is not guaranteed and is dependent on individual performance and overall company results among other factors, is provided below.
 15% Annual: Individual Target
 $117,100\.00 \- $152,200\.00 USD
**Cengage Group** 
 , a global education technology company serving millions of learners, provides affordable, quality digital products and services that equip students with the skills and competencies needed to be job ready. For more than 100 years, we have enabled the power and joy of learning with trusted, engaging content, and now, integrated digital platforms.
 We serve the higher education, workforce skills, secondary education, English language teaching and research markets worldwide. Through our scalable technology, including MindTap and Cengage Unlimited, we support all learners who seek to improve their lives and achieve their dreams through education.
***Warning: Be aware, there has been an increase of targeted recruitment***
*scams perpetrated by bad actors falsely providing job offers on behalf Cengage Group to candidates as a means of obtaining personal information. Note that Cengage will always interview candidates via live in\-person meetings, phone calls and video calls before an offer would be extended. Also, be sure to check that communication is coming from an @cengage.com email address.*
 If you have questions about this posting, please contact support@lensa.com</t>
        </is>
      </c>
    </row>
    <row r="51">
      <c r="A51" t="inlineStr">
        <is>
          <t>li-4364350470</t>
        </is>
      </c>
      <c r="B51" t="inlineStr">
        <is>
          <t>Product Manager</t>
        </is>
      </c>
      <c r="C51" t="inlineStr">
        <is>
          <t>Lensa</t>
        </is>
      </c>
      <c r="D51" t="inlineStr">
        <is>
          <t>linkedin</t>
        </is>
      </c>
      <c r="E51">
        <f>HYPERLINK("https://www.linkedin.com/jobs/view/4364350470", "https://www.linkedin.com/jobs/view/4364350470")</f>
        <v/>
      </c>
      <c r="F51" t="inlineStr"/>
      <c r="G51" t="inlineStr">
        <is>
          <t>Alameda, CA</t>
        </is>
      </c>
      <c r="H51" t="inlineStr"/>
      <c r="I51"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Abbott. Clicking "Apply Now" or "Read more" on Lensa redirects you to the job board/employer site. Any information collected there is subject to their terms and privacy notice.
 Abbott is a global healthcare leader that helps people live more fully at all stages of life. Our portfolio of life\-changing technologies spans the spectrum of healthcare, with leading businesses and products in diagnostics, medical devices, nutritionals and branded generic medicines. Our 114,000 colleagues serve people in more than 160 countries.
**About Abbott**
 Abbott is a global healthcare leader, creating breakthrough science to improve people’s health. We’re always looking towards the future, anticipating changes in medical science and technology.
**Working at Abbott**
 At Abbott, You Can Do Work That Matters, Grow, And Learn, Care For Yourself And Your Family, Be Your True Self, And Live a Full Life. You’ll Also Have Access To
* Career development with an international company where you can grow the career you dream of.
* Employees can qualify for free medical coverage in our Health Investment Plan (HIP) PPO medical plan in the next calendar year.
* An excellent retirement savings plan with a high employer contribution
* Tuition reimbursement, theFreedom 2 Savestudent debt program, andFreeUeducation benefit \- an affordable and convenient path to getting a bachelor’s degree.
* A company recognized as a great place to work in dozens of countries worldwide and named one of the most admired companies in the world by Fortune.
* A company that is recognized as one of the best big companies to work for as well as the best place to work for diversity, working mothers, female executives, and scientists.
**The Opportunity**
 This position works out of our Alameda, CA location in the Abbott Diabetes Care Division, where we are focused on helping people with diabetes manage their health with life\-changing products that provide accurate data to drive better\-informed decisions. We’re revolutionizing the way people monitor their glucose levels with our new sensing technology.
 We are looking for an energetic and driven product manager to join our growing Product and Innovation group, which is responsible for software and hardware products and services that expand and enhance the capabilities of the FreeStyle Libre platform, the world’s \#1 continuous glucose monitoring (CGM) solution.
 This is a fully on\-site role in our main Alameda, CA site OR you can choose to work from our Milpitas,
 CA office as well.
**What You’ll Work On**
* Use insights to help identify new product opportunities
* Identify and prioritize unmet user needs, and translate them into product requirements
* Collaborate with product designers to define the complete user experience
* Plan and execute design research and user testing
* Collaborate with software engineering to implement and test new features and/or products
* Collaborate with product marketing to produce promotional and/or educational content
* Support on\-market activities in collaboration with Commercial teams
* Analyze global market trends, consumer behaviors, regulatory environments, and competitive landscapes to identify growth opportunities and strengthen Abbott’s leadership in digital diabetes management.
* Maintain and advance the product roadmap
**Required Qualifications**
* Bachelor’s degree with 5 years' experience
* Experience building and shipping software and/or hardware products
* Experience working in highly cross\-functional organizations
**Preferred Qualifications**
* Strong presentation and communication skills, proactive and resourceful with a “can do” attitude
* Able to think openly, broadly and strategically
* Strong analytical skills, able to draw conclusions from data
* Enjoys responding quickly and influencing people to deliver
* Sound time management skills, ensuring that work is produced to agreed deadlines and high standards
* Highly organized, focused and committed to achieving goals
* Thrives under pressure with tight deadlines on several initiatives simultaneously
* Understanding of delivering products in a regulated environment
* Previous experience working in health and wellness is a plus
**Learn more about our benefits that add real value to your life to help you live fully:** 
 www.abbottbenefits.com (http://www.abbottbenefits.com/pages/candidate.aspx)
 Follow your career aspirations to Abbott for diverse opportunities with a company that provides the growth and strength to build your future. Abbott is an Equal Opportunity Employer, committed to employee diversity.
 Connect with us at www.abbott.com , on Facebook at www.facebook.com/Abbott and on Twitter @AbbottNews and @AbbottGlobal.
 The base pay for this position is $114,000\.00 – $228,000\.00\. In specific locations, the pay range may vary from the range posted.
 An Equal Opportunity Employer
 Abbot welcomes and encourages diversity in our workforce.
 We provide reasonable accommodation to qualified individuals with disabilities.
 To request accommodation, please call 224\-667\-4913 or email corpjat@abbott.com
 If you have questions about this posting, please contact support@lensa.com</t>
        </is>
      </c>
    </row>
    <row r="52">
      <c r="A52" t="inlineStr">
        <is>
          <t>li-4363879905</t>
        </is>
      </c>
      <c r="B52" t="inlineStr">
        <is>
          <t>Product Manager</t>
        </is>
      </c>
      <c r="C52" t="inlineStr">
        <is>
          <t>Inherent Technologies</t>
        </is>
      </c>
      <c r="D52" t="inlineStr">
        <is>
          <t>linkedin</t>
        </is>
      </c>
      <c r="E52">
        <f>HYPERLINK("https://www.linkedin.com/jobs/view/4363879905", "https://www.linkedin.com/jobs/view/4363879905")</f>
        <v/>
      </c>
      <c r="F52" t="inlineStr"/>
      <c r="G52" t="inlineStr">
        <is>
          <t>San Francisco, CA</t>
        </is>
      </c>
      <c r="H52" t="inlineStr"/>
      <c r="I52" t="inlineStr">
        <is>
          <t>**Position: Product Manager**
**Location: San Francisco, CA\*\*\*Day 1 Onsite\*\*\***
**Duration: 1 Years**
 Role: SAFe Senior Capability Manager Product Owner/Product Manager
**Job Summary**
 The Senior Program Manager will be responsible for overseeing the successful delivery of programs across various business units. As a SAFe Product Owner/Product Manager, the individual will be accountable for defining the product vision, managing the product backlog, and maximizing the value of the product. These roles require strong leadership skills, strategic thinking, and the ability to work collaboratively with cross functional teams.The Senior Program Manager will be responsible for overseeing the successful delivery of programs across various business units. As a SAFe Product Owner/Product Manager, the individual will be accountable for defining the product vision, managing the product backlog, and maximizing the value of the product. These roles require strong leadership skills, strategic thinking, and the ability to work collaboratively with cross functional teams.
 Key Responsibilities
* Lead the planning and execution of programs, ensuring alignment with company goals and objectives 2\. Define and communicate the product vision to the development teams 3\. Prioritize and manage the product backlog based on business value and customer needs 4\. Collaborate with stakeholders to gather requirements and feedback for product enhancements 5\. Conduct regular reviews and retrospectives to continuously improve program and product performance 6\. Implement agile and safe best practices to drive efficiency and quality in program and product delivery 7\. Provide guidance and mentorship to team members on agile methodologies and product management practices1\. Lead the planning and execution of programs, ensuring alignment with company goals and objectives
* Define and communicate the product vision to the development teams
* Prioritize and manage the product backlog based on business value and customer needs
* Collaborate with stakeholders to gather requirements and feedback for product enhancements
* Conduct regular reviews and retrospectives to continuously improve program and product performance
* Implement agile and safe best practices to drive efficiency and quality in program and product delivery
* Provide guidance and mentorship to team members on agile methodologies and product management practices
 Skill Requirements
* Proficiency in safe methodologies and frameworks 2\. Experience in product management and ownership 3\. Strong communication and interpersonal skills 4\. Ability to lead and influence cross functional teams 5\. Excellent problem\-solving and decision\-making abilities 6\. Knowledge of agile principles and practices 7\. Certification in safe product owner/product manager is a plus1\. Proficiency in safe methodologies and frameworks
* Experience in product management and ownership
* Strong communication and interpersonal skills
* Ability to lead and influence cross functional teams
* Excellent problem\-solving and decision\-making abilities
* Knowledge of agile principles and practices
* Certification in safe product owner/product manager is a plus</t>
        </is>
      </c>
    </row>
    <row r="53">
      <c r="A53" t="inlineStr">
        <is>
          <t>li-4364059820</t>
        </is>
      </c>
      <c r="B53" t="inlineStr">
        <is>
          <t>Senior AI Product Manager</t>
        </is>
      </c>
      <c r="C53" t="inlineStr">
        <is>
          <t>Placements.io</t>
        </is>
      </c>
      <c r="D53" t="inlineStr">
        <is>
          <t>linkedin</t>
        </is>
      </c>
      <c r="E53">
        <f>HYPERLINK("https://www.linkedin.com/jobs/view/4364059820", "https://www.linkedin.com/jobs/view/4364059820")</f>
        <v/>
      </c>
      <c r="F53" t="inlineStr"/>
      <c r="G53" t="inlineStr">
        <is>
          <t>New York, NY</t>
        </is>
      </c>
      <c r="H53" t="inlineStr"/>
      <c r="I53" t="inlineStr">
        <is>
          <t>**The Company**
 Placements.io is a product\-first SaaS company transforming how digital media publishers and agencies manage their advertising businesses. Our platform simplifies ad sales, operations, billing, and revenue reporting—enabling our customers to scale efficiently and make smarter decisions.
 With a global footprint and a strong engineering culture, we’ve been recognized on Inc.’s 5000 Fastest\-Growing Companies list and named one of Will Reed’s Top 100 Early\-Stage Companies to Work For, and recognized in Built In’s Best Places to Work in multiple categories. Originally started in Seattle, we’ve expanded to New York, Denver, London, Taipei, and Singapore.
**The Position**
 Placements.io is building the operating system for modern media revenue teams. As we continue to scale our platform and invest in AI\-powered capabilities, we’re looking for a Senior Product Manager to help drive product strategy and execution across core initiatives—particularly those leveraging LLMs and generative AI.
 This role is based in the NYC metro area and will partner closely with engineering, design, and go\-to\-market teams to deliver impactful, enterprise\-grade B2B SaaS products.
**Key Responsibilities**
* Own the end\-to\-end product lifecycle, from discovery and strategy through delivery and iteration
* Define and execute product strategy and roadmaps for AI\- and LLM\-powered features
* Translate customer needs, business goals, and technical constraints into clear product requirements
* Lead product discovery efforts, including user research, customer interviews, and data analysis
* Partner closely with engineering, design, and GTM teams to deliver high\-quality solutions
* Prioritize initiatives and make thoughtful tradeoffs to maximize customer and business impact
* Define success metrics and continuously evaluate product performance
* Communicate product vision, progress, and outcomes to stakeholders and leadership
**Qualifications**
* 4–10 years of total professional experience
* 5\+ years of product management experience
* Currently (or recently) operating as a Product Manager or Product Lead
* Direct, hands\-on experience building or managing LLM\- or AI\-powered products
* Strong experience with B2B SaaS products, ideally in enterprise environments
* Experience collaborating cross\-functionally with engineering, design, and GTM partners
* Based in the New York City metro area
**Nice To Have**
* Experience in high\-growth startups and/or established technology companies
* Technical background, including a CS degree or prior engineering experience
* Experience with generative AI, NLP, or machine learning products
* Proven track record of launching and scaling successful B2B products
**Benefits Include**
* Competitive salary
* Early\-stage stock options
* Open PTO
* 401k match
* Company paid medical, dental, vision, and life insurance
* Regular company lunches and happy hours
* Gym membership reimbursement
* Cell phone reimbursement
**Compensation:**
 Our salary ranges are based on paying competitively for our size and industry, and are one part of many compensation, benefits and other reward opportunities we provide.
 The expected base salary range for this role in the selected cities:
 New York, NY \- $180,000 \- $200,000 USD
 The base salary offered to a candidate may be influenced by various factors, including but not limited to relevant experience, skills, qualifications, education, work location, and other business and organizational needs.
 To apply to our open positions, please email your resume, cover letter, and the name of the position you are applying for to careers@placements.io. We look forward to meeting you!
*EEO Employer: Placements.io is an equal opportunity employer; all qualified applicants will receive consideration for employment without regard to race, color, religion, sex, sexual orientation, gender identity, national origin, disability, Veteran status, or any other protected classification.*
***Reasonable Accommodation Statement**
 Placements.io complies with federal and state disability laws and makes reasonable accommodations for applicants and employees with disabilities. If reasonable accommodation is needed to participate in the job application or interview process, to perform essential job functions, and/or to receive other benefits and privileges of employment, please send a request to hr@placements.io. All requests for accommodations are treated discreetly and confidentially, as practical and permitted by law.*</t>
        </is>
      </c>
    </row>
    <row r="54">
      <c r="A54" t="inlineStr">
        <is>
          <t>li-4353890719</t>
        </is>
      </c>
      <c r="B54" t="inlineStr">
        <is>
          <t>Cross-border Payments Product Manager</t>
        </is>
      </c>
      <c r="C54" t="inlineStr">
        <is>
          <t>checker</t>
        </is>
      </c>
      <c r="D54" t="inlineStr">
        <is>
          <t>linkedin</t>
        </is>
      </c>
      <c r="E54">
        <f>HYPERLINK("https://www.linkedin.com/jobs/view/4353890719", "https://www.linkedin.com/jobs/view/4353890719")</f>
        <v/>
      </c>
      <c r="F54" t="inlineStr"/>
      <c r="G54" t="inlineStr"/>
      <c r="H54" t="inlineStr"/>
      <c r="I54" t="inlineStr">
        <is>
          <t>**Cross\-border Payments Product Manager** 
**Location:** 
 Remote/New York Metro Area (Preferred) 
**About Us** 
 Checker is the global liquidity network for stablecoins. We enable regulated financial institutions, such as banks, Payments Service Providers (PSPs), remittance providers, FX brokers etc. lean on our infrastructure to adopt stablecoins and scale their operations globally by plugging into our network. 
 We are a global\-first team across the US East Coast with backgrounds in trading, treasury, operations, and engineering from Wall Street hedge funds, large crypto institutions, and blockchain technology startups. 
 At Checker, our culture drives everything we do. We are true partners to our customers, meeting them where they are. We are at the forefront of fintech, so we approach every challenge with a mindset to "adapt and overcome". You'll thrive here if you excel in fast\-paced environments and strive to make an impact.
**The Opportunity** 
 We are seeking a Product Manager with 5\-8 years of professional experience to join our dynamic team. 
 You will own the product surface area that makes money movement work end\-to\-end across fiat and stablecoins: pay\-ins, payouts, conversion paths, routing logic, reconciliation, exceptions, and partner integrations.
 This is a hands\-on role for someone who has shipped payments infrastructure products where reliability, scheme constraints, settlement timelines, and operational edge cases are the real product.
**What You'll Do** 
1. **Unified API \&amp; Developer Experience (the “interface”)**
* Design the interface that lets customers integrate once and scale globally: unified APIs, SDK patterns, webhooks/event model, idempotency strategy, error semantics, and versioning.
* Own the customer configuration surface (dashboard and/or API): onboarding flows, credentials management, whitelists/limits, corridor enablement, routing preferences, and environment management.
* Define enterprise\-grade integration tooling: sandbox/testing, observability endpoints, reporting exports, and clear docs that reduce time\-to\-first\-transfer.
* Set the north\-star for the end\-to\-end developer experience: consistency across rails/providers, predictable behavior, and crisp contracts between customers, Checker, and underlying partners.
1. **Integrations with Partners (the ‘plumbing’)**
* Lead integrations with bank/payment rails and providers across key markets (e.g., ACH/Wire, SEPA/SCT Inst, FPS, PIX, SPEI, UPI, local transfer systems).
* Define participation models, onboarding requirements, limits, reference/metadata requirements, and scheme\-compliance constraints.
* Ensure the unified API abstractions map cleanly to partner realities (capabilities matrix, edge cases, metadata requirements, retries/fallbacks)
* Design flow of funds that are custom yet reusable, per provider, per corridor, per use cases, bearing in mind key nuances such as virtual accounts, named accounts, and any local restrictions due to currency controls, regulations, and/or tax requirements
1. **Reconciliation, Observability \&amp; Exceptions (the “truth layer”)**
* Design reconciliation primitives: payment references, statement mapping, ledger impacts, webhook events, reporting/export formats, and audit trails.
* Drive operational readiness: returns/refunds, chargebacks where relevant, compliance holds, manual review workflows, and dispute/exception handling.
* Establish metrics and monitoring: latency, failure modes, break rates, auto\-match rates, time\-to\-settlement, and volume.
1. **Product Execution**
* Own the roadmap and execution cadence end\-to\-end: discovery → PRD/specs → launch readiness → post\-launch iteration.
* Make hard tradeoffs across engineering, ops, compliance, partnerships, and go\-to\-market.
* Be the Direct Responsible Individuals (DRIs) for defined OKRs, such as adoption, volume, reliability, unit economics, and time\-to\-live for new rails/corridors.
**What Success Looks Like** 
 In the first 6–12 months, you’ve:
* Shipped multiple rails/corridor capabilities end\-to\-end with clear SLAs, monitoring, and incident playbooks.
* Reduced onboarding time and integration friction (faster “first money moved”).
* Improved automated reconciliation rates and reduced exceptions/manual ops per unit volume.
* Delivered a configurable routing layer that enables customers to automate funds movement (not tickets \+ spreadsheets)
* Empowered financial institutions to leverage Checker processing $1B\+ of volume in a quarter
**Requirements** 
* 5\+ years of Product Management experience in a FinTech or Financial Services environment, focused on payments, banking, or core infrastructure products.
* Proven experience shipping API\-first payments products where reliability, exceptions, and reconciliation are core.
* Intimate knowledge of what financial institutions look for, when they leverage a global network solution like Checker
* Hands\-on experience integrating with or building around PSPs, banks, and local payment rails (e.g., Wise, Thunes, Terrapay, ACH, SEPA, FPS, PIX, Direct Debit, real\-time payment systems etc.)
* Strong technical fluency: you can write precise specs for APIs, event models, integration flows, and operational behavior.
* Strong understanding of cross\-border money movement realities: settlement timelines, cutoffs, prefunding/nostro, reconciliation, and operational risk.
* You know how to uncover real customer pain. You ask, "Show me how you currently access payouts in these countries", instead of "Would you use this feature?" You distinguish between what customers say they want and what their behavior reveals they actually need.
**Strong Plus** 
* Previous experience of working with external vendors to launch collections, payouts, conversion, or virtual account products
* Deep reflections about the strengths and weaknesses of existing vendors in the market, hence have a good idea about what an ideal solution would look like
* Familiarity with stablecoins as a payment instrument for treasury uses
* Experience designing pricing/monetization for payments (rate cards, corridor pricing logic, margin).
* Experience operating products with meaningful scale (high\-volume processing, enterprise SLAs, incident response maturity).
**Why This Opportunity Is Rare** 
* **Stablecoins are becoming infrastructure, not a feature**
* Most “crypto payments” roles sit at the edge of legacy systems.
* At Checker, stablecoins are a first\-class settlement rail, so you’ll design the core primitives that financial institutions rely on for global money movement.
* **You’ll own the full stack of outcomes, not a slice of a roadmap**
* This isn’t “optimize checkout conversion.”
* You’ll be the DRI for end\-to\-end flow performance: rails coverage, time\-to\-settlement, reconciliation automation, exception rates, reliability, and unit economics.
* **Real\-world complexity with leverage**
* Cross\-border payments is where product and reality collide: cutoffs, returns, compliance holds, missing metadata, partner quirks.
* You’ll build primitives (routing, references, webhooks, reporting, partner tooling) that compound across corridors and customers.
* Your primitives will also be deployed and scaled globally, with real impact across our current and future customers in LATAM, Africa, APAC and beyond
* **Network effects, not one\-off integrations**
* Many teams spend years building point\-to\-point connections.
* Checker is a two\-sided network: as we add providers, every customer gets more routing optionality; as customers scale, providers get more flow.
* Your work increases the value of the entire network.
* **Speed with proximity to decision\-makers.**
* You’ll work directly with leadership plus the teams that matter—engineering, ops, treasury, compliance, and partnerships—without layers.
* We ship, instrument, learn, and iterate quickly.
* **Upside**
* Early equity in a company scaling faster than most fintechs in the category. (\&gt;$1B in TPV in 6 months)
* You’ll have built a product line that is larger, faster and better than the correspondent banking network ($10T\+ in annual TPV) and Visa ($500B MC)
**How to Apply** 
 Please send your resume and a brief cover letter to jackchong@checker.finance with the subject line
 **“CBPM”**</t>
        </is>
      </c>
    </row>
    <row r="55">
      <c r="A55" t="inlineStr">
        <is>
          <t>li-4364200577</t>
        </is>
      </c>
      <c r="B55" t="inlineStr">
        <is>
          <t>Product Owner</t>
        </is>
      </c>
      <c r="C55" t="inlineStr">
        <is>
          <t>Lensa</t>
        </is>
      </c>
      <c r="D55" t="inlineStr">
        <is>
          <t>linkedin</t>
        </is>
      </c>
      <c r="E55">
        <f>HYPERLINK("https://www.linkedin.com/jobs/view/4364200577", "https://www.linkedin.com/jobs/view/4364200577")</f>
        <v/>
      </c>
      <c r="F55">
        <f>HYPERLINK("https://lensa.com/cgw/28fd54244e4f4cd48291e768f07b38batjo1?jpsi=directemployers&amp;publisher_preference=easier_apply&amp;utm_campaign=Computer%20Occupations&amp;utm_medium=slot&amp;utm_source=linkedin&amp;utm_term=jse&amp;urlHash=27vE", "https://lensa.com/cgw/28fd54244e4f4cd48291e768f07b38batjo1?jpsi=directemployers&amp;publisher_preference=easier_apply&amp;utm_campaign=Computer%20Occupations&amp;utm_medium=slot&amp;utm_source=linkedin&amp;utm_term=jse&amp;urlHash=27vE")</f>
        <v/>
      </c>
      <c r="G55" t="inlineStr">
        <is>
          <t>Philadelphia, PA</t>
        </is>
      </c>
      <c r="H55" t="inlineStr"/>
      <c r="I55"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TEKsystems. Clicking "Apply Now" or "Read more" on Lensa redirects you to the job board/employer site. Any information collected there is subject to their terms and privacy notice.
 Product Owner/Business Analyst
 Long Term Contract
 Hybrid \- 4 Days Per Week On\-Site
 Philadelphia, PA
**Job Description**
 Serves as a liaison between the business community and the IT organization in order to provide technical solutions to meet user needs. Possesses expertise in the business units they support as well as an understanding of the IT organizations systems and capabilities. Analyzes business partners operations to understand their strengths and weaknesses to determine opportunities to automate processes and functions. Assists in the business process redesign and documentation as needed for new technology. Translates high level business requirements into functional specifications for the IT organization and manages changes to such specifications. Educates the IT organization on the direction of the business. Negotiates agreements and commitments by facilitating communication between business units and IT from initial requirements to final implementation. Possesses an understanding of technological trends and uses this knowledge to bring solutions to business units supported to enhance the enterprises competitive edge. May make recommendations for buy versus build decision. Bachelor's Degree in Computer Science Information Systems Business Administration or other related field. Or equivalent work experience.
**Additional Skills \&amp; Qualifications**
* This is someone who will work between the BA and Product space \- this role is the fulcrum to the wheel where they are bringing together product requirements, operations requirements and working with the engineering organization and translating between those functions.
* Strong communication \- speak to the business and to technology
* The systems they are supporting are sales, order management and delivery
* Day to day \- facilitation, deep solutioning sessions, pulling in the right tools and operational product teams, all of these are bringing together the SDD.
* They are accountable to this document but wont write it. From there they will break down the larger feature into the epic chunks and user stories.
* Previous Telecom experience is preferred.
 Job Type \&amp; Location
 This is a Contract position based out of Philadelphia, PA.
 Pay and Benefits
 The pay range for this position is $40\.00 \- $48\.00/hr.
 Eligibility requirements apply to some benefits and may depend on your job classification and length of employment. Benefits are subject to change and may be subject to specific elections, plan, or program terms. If eligible, the benefits available for this temporary role may include the following:
* Medical, dental \&amp; vision
* Critical Illness, Accident, and Hospital
* 401(k) Retirement Plan – Pre\-tax and Roth post\-tax contributions available
* Life Insurance (Voluntary Life \&amp; AD\&amp;D for the employee and dependents)
* Short and long\-term disability
* Health Spending Account (HSA)
* Transportation benefits
* Employee Assistance Program
* Time Off/Leave (PTO, Vacation or Sick Leave)
 Workplace Type
 This is a hybrid position in Philadelphia,PA.
 Application Deadline
 This position is anticipated to close on Jan 21, 2026\.
 h4\&gt;About TEKsystems:
 We're partners in transformation. We help clients activate ideas and solutions to take advantage of a new world of opportunity. We are a team of 80,000 strong, working with over 6,000 clients, including 80% of the Fortune 500, across North America, Europe and Asia. As an industry leader in Full\-Stack Technology Services, Talent Services, and real\-world application, we work with progressive leaders to drive change. That's the power of true partnership. TEKsystems is an Allegis Group company.
 The company is an equal opportunity employer and will consider all applications without regards to race, sex, age, color, religion, national origin, veteran status, disability, sexual orientation, gender identity, genetic information or any characteristic protected by law.
**About TEKsystems And TEKsystems Global Services**
 We’re a leading provider of business and technology services. We accelerate business transformation for our customers. Our expertise in strategy, design, execution and operations unlocks business value through a range of solutions. We’re a team of 80,000 strong, working with over 6,000 customers, including 80% of the Fortune 500 across North America, Europe and Asia, who partner with us for our scale, full\-stack capabilities and speed. We’re strategic thinkers, hands\-on collaborators, helping customers capitalize on change and master the momentum of technology. We’re building tomorrow by delivering business outcomes and making positive impacts in our global communities. TEKsystems and TEKsystems Global Services are Allegis Group companies. Learn more at TEKsystems.com.
 The company is an equal opportunity employer and will consider all applications without regard to race, sex, age, color, religion, national origin, veteran status, disability, sexual orientation, gender identity, genetic information or any characteristic protected by law.
 If you have questions about this posting, please contact support@lensa.com</t>
        </is>
      </c>
    </row>
    <row r="56">
      <c r="A56" t="inlineStr">
        <is>
          <t>li-4364260127</t>
        </is>
      </c>
      <c r="B56" t="inlineStr">
        <is>
          <t>Senior Product Manager, Pricing/Analytics</t>
        </is>
      </c>
      <c r="C56" t="inlineStr">
        <is>
          <t>DAT Freight &amp; Analytics</t>
        </is>
      </c>
      <c r="D56" t="inlineStr">
        <is>
          <t>linkedin</t>
        </is>
      </c>
      <c r="E56">
        <f>HYPERLINK("https://www.linkedin.com/jobs/view/4364260127", "https://www.linkedin.com/jobs/view/4364260127")</f>
        <v/>
      </c>
      <c r="F56" t="inlineStr"/>
      <c r="G56" t="inlineStr"/>
      <c r="H56" t="inlineStr"/>
      <c r="I56" t="inlineStr">
        <is>
          <t>**About DAT**
**DAT** 
 is an award\-winning employer of choice and a next\-generation SaaS technology company that has been at the leading edge of innovation in transportation supply chain logistics for 45 years. We continue to transform the industry year over year, by deploying a suite of software solutions to millions of customers every day \- customers who depend on DAT for the most relevant data and most accurate insights to help them make smarter business decisions and run their companies more profitably. We operate the largest marketplace of its kind in North America, with 400 million freights posted in 2022, and a database of $150 billion of annual global shipment market transaction data. Our headquarters are in Denver, CO, and Beaverton, OR, with additional offices in Seattle, WA; Springfield, MO; and Bangalore, India. For additional information, see www.DAT.com/company
**Job Application Deadline** 
 : 01/20/2026
 DAT is seeking a talented Senior Product Manager to join our iQ team and drive the future of freight intelligence and analytics.
**The Opportunity**
 DAT is looking for a Senior Product Manager to lead product development for iQ, our advanced freight analytics and intelligence platform. In this role, you'll shape how shippers, brokers, and carriers understand market dynamics, price freight strategically, and uncover opportunities to optimize their operations. If you're customer\-focused, data\-driven, and passionate about transforming freight decision\-making through innovative analytics solutions, this is your opportunity to make a significant impact on the transportation industry.
**What You'll Do**
* Customer Advocate: Act as the voice of shippers, brokers, and carriers to inform product decisions and strategy for iQ's analytics and pricing capabilities.
* Product Discovery: Conduct customer research, market analysis, and competitive assessments to identify unmet needs and validate product opportunities in freight analytics and pricing.
* Product Ownership: Manage iQ product features from ideation through launch and ongoing optimization, with focus on market intelligence, pricing tools, and business performance analytics.
* Cross\-Functional Collaboration: Partner with Product, Engineering, Business Development, Marketing, Sales, and Operations teams to identify opportunities that help customers better understand freight markets and optimize their pricing strategies.
* Product Launches: Lead rollouts of new analytics features, pricing tools, and strategic initiatives that enhance customer decision\-making capabilities.
* Product Health Monitoring: Continuously assess product performance, user engagement with analytics features, and identify opportunities to improve customer insights and outcomes.
**What You'll Bring**
* Experience: 3\+ years of product management experience, preferably with analytics, business intelligence, or pricing products.
* Education: Bachelor's degree in Computer Science, Engineering, Business, Data Science, or a related field.
* Product Expertise: Proven experience building high\-quality data\-driven products with design and engineering teams.
* Technical Knowledge: Understanding of technical systems, data architecture, and engineering trade\-offs to effectively prioritize analytics and pricing features.
* Communication Skills: Ability to explain complex data concepts simply and build consensus across stakeholders at all levels.
* Organizational Excellence: Strong prioritization, problem\-solving, and project management skills to manage ambiguity and drive results.
* Data\-Driven: Passionate about diving into data to understand customer behavior, market trends, and edge cases to optimize product outcomes.
* Proactive Mindset: A self\-starter who takes ownership and turns ideas into actionable plans that deliver customer value.
**Bonus Skills**
* Market Intelligence Background: Understanding of supply/demand dynamics, market benchmarking, or competitive intelligence products.
* AI/ML Experience: Experience launching AI\-powered analytics or predictive pricing features.
* Technical Proficiency: Strong SQL skills and experience with data visualization tools (Tableau, Power BI, Looker, etc.).
* B2B SaaS: Background in B2B SaaS product development, particularly for enterprise customers.
* Industry Experience: Direct experience in transportation, logistics, or supply chain technology.
**Why DAT?**
 DAT is an award winning employer of choice.
 For starters, we have a hybrid work environment, but we also know what makes a great workplace. We have a time\-tested and resolute set of operating values predicated on integrity, mutual respect, open communication, and executing with excellence. These values inform our strategic vision as much as any one of our products does. We’ve been an employer of choice in the Portland metropolitan area for four decades, and within one year of opening our Denver office, DAT was \#26 on Built In Colorado’s 100 Best Places to Work In Colorado.
* Medical, Dental, Vision, Life, and AD\&amp;D insurance
* Parental Leave
* Flexible Vacation Time (FVT)
* An additional 10 holidays of paid time off per calendar year
* 401k matching (immediately vested)
* Employee Stock Purchase Plan
* Short\- and Long\-term disability sick leave
* Flexible Spending Accounts
* Health Savings Accounts
* Employee Assistance Program
* Additional programs \- Employee Referral, Internal Recognition, and Wellness
* Free TriMet transit pass (Beaverton Office)
* Competitive salary and benefits package
* Work on impactful projects in a cutting\-edge environment
* Collaborative and supportive team culture
* Opportunity to make a real difference in the trucking industry
* Employee Resource Groups
* This position is not eligible for visa sponsorship\*\*.
*For Colorado\-based candidates, in compliance with the Colorado Equal Pay for Equal Work Act, the salary range for this role is $125,000\.00 \- $154,000\.00\+ target bonus. DAT considers factors such as scope and responsibilities of the position, candidate's work experience, education and training, core skills, internal equity, and market and business elements when extending an offer.*
 DAT
 **embraces the value of a diverse workforce, and believes it is a core strength of our company that we encourage those values in every DAT employee, at every level of our organization, regardless of tenure or rank. We provide equal employment opportunities (EEO) to all employees and applicants without regard to race, color, religion, gender, sexual orientation, gender identity or expression, national origin, age, disability, genetic information, marital status, amnesty, or status as a covered veteran in accordance with applicable federal, state, and local laws.**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row>
    <row r="57">
      <c r="A57" t="inlineStr">
        <is>
          <t>li-4363879887</t>
        </is>
      </c>
      <c r="B57" t="inlineStr">
        <is>
          <t>Technical Product Manager - Platform &amp; Integrations</t>
        </is>
      </c>
      <c r="C57" t="inlineStr">
        <is>
          <t>Faro</t>
        </is>
      </c>
      <c r="D57" t="inlineStr">
        <is>
          <t>linkedin</t>
        </is>
      </c>
      <c r="E57">
        <f>HYPERLINK("https://www.linkedin.com/jobs/view/4363879887", "https://www.linkedin.com/jobs/view/4363879887")</f>
        <v/>
      </c>
      <c r="F57" t="inlineStr"/>
      <c r="G57" t="inlineStr">
        <is>
          <t>California, United States</t>
        </is>
      </c>
      <c r="H57" t="inlineStr"/>
      <c r="I57" t="inlineStr">
        <is>
          <t>**About Faro Health**
 Faro Health aims to improve lives by helping life sciences companies design optimal clinical trials. Our AI powered software platform optimizes and orchestrates complex clinical development by providing powerful insights about trial design and outcomes. Faro empowers researchers to design more intelligent trials, reducing development costs and reaching milestones faster with better patient experiences.
 Faro is a mission driven company seeking world class people who share our passion for improving drug availability and patient outcomes through better clinical trial design. We pride ourselves on our vibrant, inclusive, and growth mindset oriented culture. Faro offers competitive compensation and benefits, generous vacation and parental leave, and flexible working hours. We are a hybrid workplace where San Diego employees work from their homes as well as in our lovely main headquarters enjoying a gym with classes and (early next year) spa services, outdoor lawn work area, and steeply discounted food hall. Remote employees work from home and visit the main office for group events and in\-person collaboration.
 Open to current California residents ONLY.
* Note: Candidates and Recruiting Agencies, please do not contact our employees regarding the position or your application status. Doing so will automatically disqualify you from the position or working with us. Only applications submitted through the designated link will be considered. Please DO NOT SPAM our employees regarding the role or your application status.
 Role Overview
 As a
 **Technical Product Manager** 
 at Faro Health, you will serve as the bridge between our customers, partners, and engineering teams. You’ll own Faro’s platform and integration strategy, driving scalable architecture, reliable data exchange, and interoperable solutions that connect clinical systems and power intelligent trial design.
 You will translate complex customer and partner technical requirements into clear engineering deliverables, define integration roadmaps, and ensure that Faro’s platform and data services enable seamless, secure, and compliant collaboration across the clinical trial ecosystem.
**Requirements**
 Key Responsibilities
* Own Faro’s platform and integration strategy: Define and execute a roadmap for integrations that strengthen the scalability and interoperability of the Faro platform.
* Translate technical requirements: Work closely with customers, partners, and engineers to transform clinical and operational needs into detailed product and integration specifications.
* Act as a solution consultant: Roll up your sleeves to design, prototype, and validate integration solutions—collaborating directly with engineering and customer teams to ensure successful technical implementation and data flow.
* Drive end\-to\-end integration lifecycle: From discovery to design, testing, and launch, ensure integrations deliver measurable value, reliability, and compliance.
* Collaborate cross\-functionally: Partner with data, engineering, product design, and customer strategy teams to build and execute end\-to\-end strategies for customers—ensuring alignment, scalability, and seamless integration across the Faro platform.
* Platform enablement: Define standards and tools that make it easier for internal teams and external partners to build on Faro’s platform.
* Ecosystem development: Evaluate and prioritize integrations that enhance connectivity and data flow across clinical trial systems.
* Measure success: Define KPIs for platform performance, integration uptime, adoption, and ecosystem growth.
* Stay ahead of standards: Track industry interoperability standards (e.g., CDISC, HL7 FHIR, ODM) and ensure Faro’s platform evolves accordingly.
* Available to work East Coast hours occasionally to accommodate customers in Europe and Asia.
 Qualifications
* Bachelor’s degree required in Computer Science, Engineering, Life Sciences, or a related technical field; Masters Degree preferred.
* 5\+ years of product management experience, with at least 2 years focused on platforms, integrations, or technical products.
* Experience managing external integrations or platform ecosystems in life sciences.
* Strong technical foundation: understanding of data architecture, APIs, system integrations, and cloud platforms (AWS, Azure, GCP).
* Proficiency in at least one programming language, preferably Python.
* SQL knowledge preferred
* Experience integrating a product using external API’s to produce one\-off reports is a plus.
* Excellent analytical and problem\-solving skills; ability to translate complex user needs into scalable technical solutions.
* Strong communicator able to bridge business and engineering domains and present technical concepts clearly to non\-technical audiences.
* Experience with regulated data environments (HIPAA, GxP) is a plus.
**Benefits**
**Annual salary**
 The salary range for this position is $163,000 to $185,000\.
**Equity**
 In addition to this position's salary (listed above), equity will be a major component of the total compensation for this position. We aim to offer higher\-than\-average equity compensation for a company of our size, and communicate equity amounts at the time of offer issuance.
**US Benefits**
* Health care plan (Medical, Dental \&amp; Vision)
* Retirement plan (401k)
* Life insurance (Basic)
* Short term and long term disability
* Paid time off: flexible vacation policy; paid sick days \&amp; public holidays observed
* Continuous training \&amp; development with up to $1000/year reimbursed fees subject to manager approval</t>
        </is>
      </c>
    </row>
    <row r="58">
      <c r="A58" t="inlineStr">
        <is>
          <t>li-4364360431</t>
        </is>
      </c>
      <c r="B58" t="inlineStr">
        <is>
          <t>Sr Technical Product Manager</t>
        </is>
      </c>
      <c r="C58" t="inlineStr">
        <is>
          <t>Lensa</t>
        </is>
      </c>
      <c r="D58" t="inlineStr">
        <is>
          <t>linkedin</t>
        </is>
      </c>
      <c r="E58">
        <f>HYPERLINK("https://www.linkedin.com/jobs/view/4364360431", "https://www.linkedin.com/jobs/view/4364360431")</f>
        <v/>
      </c>
      <c r="F58">
        <f>HYPERLINK("https://lensa.com/cgw/f908429c3eb349ff8241f7ba692657e0tjo1?jpsi=directemployers&amp;publisher_preference=easier_apply&amp;utm_campaign=Operations%20Specialties%20Managers&amp;utm_medium=slot&amp;utm_source=linkedin&amp;utm_term=jse&amp;urlHash=4uJL", "https://lensa.com/cgw/f908429c3eb349ff8241f7ba692657e0tjo1?jpsi=directemployers&amp;publisher_preference=easier_apply&amp;utm_campaign=Operations%20Specialties%20Managers&amp;utm_medium=slot&amp;utm_source=linkedin&amp;utm_term=jse&amp;urlHash=4uJL")</f>
        <v/>
      </c>
      <c r="G58" t="inlineStr">
        <is>
          <t>New York, NY</t>
        </is>
      </c>
      <c r="H58" t="inlineStr"/>
      <c r="I58"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ADP. Clicking "Apply Now" or "Read more" on Lensa redirects you to the job board/employer site. Any information collected there is subject to their terms and privacy notice.
**Sr Technical Product Manager**
* Do you love product ownership but want to stay close to technology and computer science?
* Do you enjoy resolving issues and being the go\-to person?
* Are you looking to join a dynamic, inclusive team environment with a culture of collaboration and belonging?
 Well, this may be the role for you. Ready to design what's next?
 We're looking for a technical product manager interested in driving the evolution of our Implementation Tooling. At Lyric, you'll manage all things data from storage to expressive and efficient queries, to at scale people analytics. We're building and defining the language, concepts, primitives and tools that developers will use to build the next generation of HR/HCM applications.
**What You'll Do**
 Here's what you can expect on a typical day:
* Drive a product roadmap and feature backlog to address the needs of our next\-gen HCM applications
* Work with HCM application product owners and developers to identify product requirements
* Develop functional specifications and designs that can be implemented by our engineering teams
* Get our engineering teams excited by bringing a clarity of vision and forward\-thinking product ideas
* Communicate roadmaps / plans to stakeholders, giving them transparency into what you'll be delivering and when
* Collaborate with other technical product managers to solve cross\-functional business needs
* Guide and govern usage of the product
 Like what you see?
 **Apply now!**
 Learn more about ADP at careers.adp.com
**You'll Have**
**TO SUCCEED IN THIS ROLE:**
* A Bachelor's degree OR equivalent
* 3\+ years of product management experience or exposure to product management responsibilities
* Experience prioritizing work across a number of stakeholders
* Ability to bring clarity to ambiguous or ill\-defined problems
* Experience in breaking down large features into a series of smaller, usable, valuable deliverables
* Comfortability working and negotiating with other product managers to manage dependencies and coordinate roadmaps
* Excellent/clear communication and can guide stakeholders through complex concepts
* Demonstrable high\-level knowledge of computer science fundamentals (algorithms, data structures)
* Ability to demonstrate computational thinking:
* Able to translate business problems into problems that computers can solve
* Able to identify opportunities for applying known CS algorithms to practical applications
* Can describe and reason about algorithms in pseudo\-code
* Experience working in an Agile/Scrum environment
* Hands\-on software development experience in a production capacity (backend preferred)
* Familiarity with ETL and data pipeline tools and techniques
* Knowledge of microservices and service\-oriented\-architecture concepts
**You'll Love Working Here Because You Can**
* Be yourself in a culture that values equity, inclusion, and belonging and creates a safe space for diverse perspectives and insights.
* Belong by joining one of our Business Resource Groups to connect globally with networks and allies who share common interests and experiences.
* Grow your career in an agile, dynamic environment with plenty of opportunities to progress.
* Continuously learn through ongoing training, development, and mentorship opportunities.
* Be your healthiest . Best\-in\-class benefits start on Day 1 because healthy associates are happy ones.
* Focus on your mental health and well\-being . We're here to provide exceptional service to our clients, and none of that happens without each of us taking care of ourselves and being there for one another.
* Join a company committed to giving back and generating a lasting, positive impact upon the communities in which we work and live.
* Get paid to pay it forward . Company\-paid time off for volunteering for causes you care about.
 What are you waiting for?
 **Apply today!**
 Find out why people come to ADP and why they stay: https://youtu.be/ODb8lxBrxrY
 (ADA version: https://youtu.be/IQjUCA8SOoA )
 Base salary offers for this position may vary based on factors such as location, skills, and relevant experience. Some positions may include additional compensation in the form of bonus, equity or commissions. We offer the following benefits: Medical, Dental, Vision, Life Insurance, Matched Retirement Savings, Wellness Program, Short\-and Long\-Term Disability, Charitable Contribution Match, Holidays, Personal Days \&amp; Vacation, Paid Volunteer Time Off, and more. The compensation for this role is USD $63,900\.00 \- USD $171,180\.00 / Year\*
* Actual compensation will not be less than the applicable minimum wage or minimum exempt salary requirement under federal, state and local laws.
**A little about ADP:** 
 We are a comprehensive global provider of cloud\-based human capital management (HCM) solutions that unite HR, payroll, talent, time, tax and benefits administration and a leader in business outsourcing services, analytics, and compliance expertise. We believe our people make all the difference in cultivating a down\-to\-earth culture that embraces our core values, welcomes ideas, encourages innovation, and values belonging. We've received recognition for our work by many esteemed organizations, learn more at ADP Awards and Recognition (https://www.adp.com/about\-adp/awards\-and\-recognition.aspx) .
**Diversity, Equity, Inclusion \&amp; Equal Employment Opportunity at ADP:** 
 ADP is committed to an inclusive, diverse and equitable workplace, and is further committed to providing equal employment opportunities regardless of any protected characteristic including: race, color, genetic information, creed, national origin, religion, sex, affectional or sexual orientation, gender identity or expression, lawful alien status, ancestry, age, marital status, protected veteran status or disability. Hiring decisions are based upon ADP’s operating needs, and applicant merit including, but not limited to, qualifications, experience, ability, availability, cooperation, and job performance.
**Ethics at ADP:** 
 ADP has a long, proud history of conducting business with the highest ethical standards and full compliance with all applicable laws. We also expect our people to uphold our values with the highest level of integrity and behave in a manner that fosters an honest and respectful workplace. Click https://jobs.adp.com/life\-at\-adp/ to learn more about ADP’s culture and our full set of values.
 If you have questions about this posting, please contact support@lensa.com</t>
        </is>
      </c>
    </row>
    <row r="59">
      <c r="A59" t="inlineStr">
        <is>
          <t>li-4364009885</t>
        </is>
      </c>
      <c r="B59" t="inlineStr">
        <is>
          <t>Product Owner/Securities Lending (Stock Loan)/Capital Markets</t>
        </is>
      </c>
      <c r="C59" t="inlineStr">
        <is>
          <t>Kanak Elite Services</t>
        </is>
      </c>
      <c r="D59" t="inlineStr">
        <is>
          <t>linkedin</t>
        </is>
      </c>
      <c r="E59">
        <f>HYPERLINK("https://www.linkedin.com/jobs/view/4364009885", "https://www.linkedin.com/jobs/view/4364009885")</f>
        <v/>
      </c>
      <c r="F59" t="inlineStr"/>
      <c r="G59" t="inlineStr">
        <is>
          <t>New York, NY</t>
        </is>
      </c>
      <c r="H59" t="inlineStr"/>
      <c r="I59" t="inlineStr">
        <is>
          <t>**Location : NYC, NY Onsite 5 Days a week**
**We need: A senior (10\+ years) Product Owner (Business Side NOT AN IT BUSINESS ANALYST) with extensive experience its Securities Lending (Stock Loan) Desk in managing and enhancing the FIS Securities Finance Processor (SFP) platform** 
 . This individual will play a critical liaison role between front\-office stakeholders and technology teams to ensure the SFP platform meets operational, trading, and regulatory requirements. This is a high\-impact role requiring
 **deep knowledge of the securities lending business** 
 , strong vendor management skills, and an ability to define and prioritize platform enhancements that directly support trading Desk.
 **Securities Finance workflows** 
 : trade capture, recall, return, billing, settlement, and collateral management.
 **FIS Securities Finance Processor (SFP)** 
 or a similar securities lending/trading platform.
 **Regulatory reporting requirements** 
 (e.g., SFTR, SEC 10c\-1\).
 **\*\*\*\* THIS POSITION IS FOR A SECURITIES LENDING/SECURITIES DESK SME ON THE BUSINESS SIDE, NOT JUST A LITTLE EXPERIENCE ON ONE OR TWO PROJECTS**
**Candidates must be LOCAL to the NEW YORK or NEW JERSEY** 
 area and
 **COMMUTE** 
 into the office
 **5 DAYS A WEEK** 
 .
 **NO RELOCATION CONSIDERED** 
 .
* Candidate Must Have's on a resume and for submittal:
* How many years working with: Product Owner, Business Analyst, or Front Office Support role within a securities finance or stock loan environment
* How many years working with: Securities Finance workflows: trade capture, recall, return, billing, settlement, and collateral management
* How many years working with: FIS Securities Finance Processor (SFP) or a similar securities lending/trading platform
* How many years working with: Regulatory reporting requirements (e.g., SFTR, SEC 10c\-1\)
* How many years working with:
**Position Overview**
 Seeking an experienced and business\-savvy
 **Product Owner** 
 to support its
 **Securities Lending (Stock Loan) Desk** 
 in managing and enhancing the
 **FIS Securities Finance Processor (SFP)** 
 platform. This individual will play a critical liaison role between front\-office stakeholders and technology teams to ensure the SFP platform meets operational, trading, and regulatory requirements.
 This is a high\-impact role requiring
 **deep knowledge of the securities lending business** 
 , strong vendor management skills, and an ability to define and prioritize platform enhancements that directly support trading desk operations.
**Key Responsibilities**
* Serve as the Product Owner and subject matter expert for the FIS SFP platform, responsible for roadmap, enhancements, and issue resolution.
* Act as the primary bridge between the Stock Loan desk (front office) and technology teams.
* Define and prioritize user stories, manage the product backlog.
* Collaborate with FIS vendor contacts to track issue resolution, release cycles, upgrades, and platform configuration.
* Support implementation of regulatory changes, operational process enhancements, and integration with upstream/downstream systems.
* Gather and document business requirements
* Troubleshoot system or trade\-related issues in real time and escalate to appropriate teams or vendors.
* Conduct training and knowledge\-sharing sessions with end users and support teams to improve platform adoption and efficiency.
**Required Qualifications**
* 5\+ years of experience in a Product Owner, Business Analyst, or Front Office Support role within a securities finance or stock loan environment.
* Strong hands\-on experience with FIS Securities Finance Processor (SFP) or a similar securities lending/trading platform.
* Prior experience supporting or working directly with a Stock Loan desk in a trading environment.
* Excellent understanding of Securities Finance workflows: trade capture, recall, return, billing, settlement, and collateral management.
* Strong familiarity with trade lifecycle concepts and downstream dependencies (e.g., settlement, risk, finance, and compliance).
* Exceptional communication and stakeholder management skills; able to interface with both front\-office professionals and technical teams.
* Knowledge of regulatory reporting requirements (e.g., SFTR, SEC 10c\-1\) is a plus.
* Agile methodology experience (e.g., Scrum, Kanban) is preferred.
**Additional Information**
* This role is onsite at NYC office, 5 days per week.
* The position is a long\-term consulting engagement with potential for extended duration based on performance and project needs.
* Opportunity to work closely with a high\-performing front office team in a dynamic capital markets environment.
 Feel free to reach me at gauravverma@kanakits.com</t>
        </is>
      </c>
    </row>
    <row r="60">
      <c r="A60" t="inlineStr">
        <is>
          <t>li-4364200534</t>
        </is>
      </c>
      <c r="B60" t="inlineStr">
        <is>
          <t>Principal Product Manager, Healthcare AI</t>
        </is>
      </c>
      <c r="C60" t="inlineStr">
        <is>
          <t>Lensa</t>
        </is>
      </c>
      <c r="D60" t="inlineStr">
        <is>
          <t>linkedin</t>
        </is>
      </c>
      <c r="E60">
        <f>HYPERLINK("https://www.linkedin.com/jobs/view/4364200534", "https://www.linkedin.com/jobs/view/4364200534")</f>
        <v/>
      </c>
      <c r="F60" t="inlineStr"/>
      <c r="G60" t="inlineStr">
        <is>
          <t>Austin, TX</t>
        </is>
      </c>
      <c r="H60" t="inlineStr"/>
      <c r="I60"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Oracle. Clicking "Apply Now" or "Read more" on Lensa redirects you to the job board/employer site. Any information collected there is subject to their terms and privacy notice.
**Job Description**
 The Oracle Clinical Al Agent team's mission is to deliver an Al platform that serves as the foundation for Oracle's health applications. By embedding generative and conversational Al into these applications, we empower clinicians to simplify their workflows, reduce manual tasks, and focus more on patient care. Our diverse team of innovators is building the future of conversational clinical interfaces\-improving the lives of patients and providers worldwide. We work with the agility of a start\-up and the impact of an industry leader. Join us and shape the future of healthcare.
 We are seeking a highly motivated Principal Product Manager to drive the expansion and ecosystem enablement of Semantic Agent Builder. Semantic Agent Builder empowers teams to create high\-value Al agents on our semantic data platform for use with the Oracle Health EHR. You will own the strategy and delivery of building an agent ecosystem, working with the semantic data platform and collaborating with teams including data science, engineering, and UX.
**Responsibilities**
 Responsibilities
* ??Define the vision, roadmap, and end\-to\-end user enablement for Al\-based agent development.
* ?Design and deliver a simple, guided agent creation path from concept to production, removing friction from the agent development process.
* ??Translate abstract ideas and unmet needs into structured product concepts, defining the problem space, success criteria, and technical feasibility.
* ??Partner closely with data science, engineering, and UX teams to shape agent behavior, training strategies, and user experience.
* ?Drive the creation and curation of high\-quality datasets required for training and validating agent models, including annotation guidelines and domain coverage.
* ??Develop validation protocols to test agent performance, usability, and clinical safety in real\-world\-like environments prior to release.
* ??Collaborate on release planning, documentation, and internal enablement to support the smooth launch of new agent capabilities.
* ??Ensure that Clinical Al Agents developed with Semantic Agent Builder meet healthcare industry standards for data privacy, transparency, and reliability.
* ??Identify lead customers, cultivate design partnerships, and incorporate direct user feedback to validate assumptions, guide product evolution, and ensure clinical needs remain at the forefront of innovation.
* ??Run design partner program to validate usability and lifecycle UX, synthesize feedback into a clear backlog, and quickly iterate product development.
* ??Establish adoption and quality signals for the experience and use these to drive the backlog.
* ??Communicate plans and trade\-offs with clarity; maintain a crisp decision log; influence cross\-functional stakeholders toward focused outcomes.
**Minimum Qualifications (required)**
* ??7\+ years of product management experience building ecosystems around AI platforms with measurable adoption outcomes.
* ??3\+ years' experience driving O\-to\-1 platform experience in low\-code/agentic products or developer ecosystems (e.g., pattern libraries, assembly flows, validation/publish lifecycles).
* ??Experience owning end\-to\-end user journeys preferably in a pattern\-based or composable product.
* ??Familiarity with clinical workflows, informatics, patient safety and clinical and administrative operations.
* ??Strong understanding of semantic data layers and knowledge graphs (conceptual and practical), and the ability to translate them into simple, safe user experiences.
* ??Exceptional written and verbal communication; track record of aligning cross\-functional teams and telling a clear product story to leadership and customers.
**Preferred Qualifications**
* ??Experience with EHR platforms, clinical integration patterns, and healthcare data standards (e.g., FHIR) as a product owner.
* ??Demonstrated ability to run and/or design partner programs, convert feedback to shipping increments, and operationalize metrics that move product adoption and quality.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$82,500 to $199,500 per annum.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If you have questions about this posting, please contact support@lensa.com</t>
        </is>
      </c>
    </row>
    <row r="61">
      <c r="A61" t="inlineStr">
        <is>
          <t>li-4364360335</t>
        </is>
      </c>
      <c r="B61" t="inlineStr">
        <is>
          <t>Product Manager (Leadership)</t>
        </is>
      </c>
      <c r="C61" t="inlineStr">
        <is>
          <t>Lensa</t>
        </is>
      </c>
      <c r="D61" t="inlineStr">
        <is>
          <t>linkedin</t>
        </is>
      </c>
      <c r="E61">
        <f>HYPERLINK("https://www.linkedin.com/jobs/view/4364360335", "https://www.linkedin.com/jobs/view/4364360335")</f>
        <v/>
      </c>
      <c r="F61">
        <f>HYPERLINK("https://lensa.com/cgw/04697fb53c834fc99c6aee6f51776dd6tjo1?jpsi=directemployers&amp;publisher_preference=easier_apply&amp;utm_campaign=Other%20Management%20Occupations&amp;utm_medium=slot&amp;utm_source=linkedin&amp;utm_term=jse&amp;urlHash=B4ct", "https://lensa.com/cgw/04697fb53c834fc99c6aee6f51776dd6tjo1?jpsi=directemployers&amp;publisher_preference=easier_apply&amp;utm_campaign=Other%20Management%20Occupations&amp;utm_medium=slot&amp;utm_source=linkedin&amp;utm_term=jse&amp;urlHash=B4ct")</f>
        <v/>
      </c>
      <c r="G61" t="inlineStr">
        <is>
          <t>Providence, RI</t>
        </is>
      </c>
      <c r="H61" t="inlineStr"/>
      <c r="I61"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META. Clicking "Apply Now" or "Read more" on Lensa redirects you to the job board/employer site. Any information collected there is subject to their terms and privacy notice.
**Summary**
 At Meta, we’re shaping innovative experiences in service of giving people the power to build community and bring the world closer together. Our multidisciplinary product teams are creating new ways to help people connect, find communities and grow businesses. Together, we are committed to building innovative technologies — Facebook, Instagram, Messenger, WhatsApp, Workplace, Meta Quest and more — to serve billions of people around the globe.Meta Product Management Leaders work with cross\-functional teams of engineers, designers, data scientists and researchers to build products. We are looking for extremely entrepreneurial Product Management Leaders to help innovate and execute product initiatives across the company and value moving quickly. This job description represents different full\-time roles across our product suite.
**Required Skills**
 Product Manager (Leadership) Responsibilities:
* Lead a team through the ideation, technical development, and launch of innovative products
* Drive product development with a team of world\-class engineers and designers
* Attract, build, manage, and develop a talented team of product leaders with a broad range of experiences, perspectives, approaches, and backgrounds
* Establish shared vision across the company by building consensus on priorities leading to product execution
* Integrate usability studies, research and market analysis into product requirements to enhance user satisfaction
* Define and analyze metrics that inform the success of products
* Understand Facebook’s strategic and competitive position and deliver products that are recognized best in the industry
* Maximize efficiency in a constantly evolving environment where the process is fluid and creative solutions are the norm
* Manage multiple products and priorities, scale teams, and ensure org is effective, healthy and set up for success by establishing clear and measurable goals
* Identify and initiate opportunities for new projects or focus areas and builds teams necessary to execute
**Minimum Qualifications**
 Minimum Qualifications:
* 12\+ years of experience in Product Management and/or Product Design
* 12\+ years of experience working collaboratively with engineering, design and user research teams
* 8\+ years of experience hiring, managing, and developing both individual contributors and senior leaders
* Critical thinking/analytical leadership experience
* Experience presenting to senior executive audiences
**Preferred Qualifications**
 Preferred Qualifications:
* Experience in a consumer focused technology company
* Experience building 0\-1 products, platform/ecosystem products, or marketplaces
**Public Compensation**
 $249,000/year to $323,000/year \+ bonus \+ equity \+ benefits
**Industry:** 
 Internet
**Equal Opportunity**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If you have questions about this posting, please contact support@lensa.com</t>
        </is>
      </c>
    </row>
    <row r="62">
      <c r="A62" t="inlineStr">
        <is>
          <t>li-4364360420</t>
        </is>
      </c>
      <c r="B62" t="inlineStr">
        <is>
          <t>Product Manager - Integrations</t>
        </is>
      </c>
      <c r="C62" t="inlineStr">
        <is>
          <t>Lensa</t>
        </is>
      </c>
      <c r="D62" t="inlineStr">
        <is>
          <t>linkedin</t>
        </is>
      </c>
      <c r="E62">
        <f>HYPERLINK("https://www.linkedin.com/jobs/view/4364360420", "https://www.linkedin.com/jobs/view/4364360420")</f>
        <v/>
      </c>
      <c r="F62" t="inlineStr"/>
      <c r="G62" t="inlineStr">
        <is>
          <t>Orlando, FL</t>
        </is>
      </c>
      <c r="H62" t="inlineStr"/>
      <c r="I62"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OneRail. Clicking "Apply Now" or "Read more" on Lensa redirects you to the job board/employer site. Any information collected there is subject to their terms and privacy notice.
 As a Product Manager \- Integrations at OneRail, you will join a talented team working to transform final\-mile logistics and supply chain operations. This role reports to the Director of Product Integrations and will beresponsible forproduct planning, and execution throughout the Product Lifecycle for our integrations and platform interfaces. This includes gathering and prioritizing product and customer requirements, defining the product vision, and working closely with engineering, sales, marketing, and operations to ensure revenue and customer satisfaction goals are met.
 We are seeking candidates with a strong background in product management and integrations experience possessing strong leadership skills, with a preference for experience in logistics or supply chain with reputable transportation tech companies.
**Responsibilities**
* Collaborate with the Director of Product Integrations to define and execute a comprehensive product vision and strategy aligned with organizational goals, market dynamics, and long\-term growth objectives.
* Develop and manage the product roadmap, prioritizing initiatives based on strategic value, customer insights, and technical feasibility.
* Conduct ongoing market and user research to identify customer needs, industry trends, and opportunities for innovation and differentiation.
* Partner effectively with cross\-functional teams—including engineering, design, marketing, and sales—to ensure alignment, transparency, and successful execution throughout the product lifecycle.
* Oversee the end\-to\-end product development process, from concept through launch and optimization, maintaining high standards of quality, performance, and delivery.
* Utilize data and analytics to evaluate product performance, generate actionable insights, and inform continuous improvement initiatives.
* Serve as a trusted partner to clients and internal stakeholders, providing strategic guidance and resolving complex challenges within the framework of the product strategy.
* Anticipate potential risks and proactively develop creative, scalable solutions to ensure sustained product success.
* Perform additional duties and strategic initiatives as assigned.
**Qualifications**
* Minimum of 5\+ years of experience in product management within SaaS, including 2\+ years focused on integrations or platform interface products.
* Proven success leading product initiatives in high\-growth or enterprise software environments.
* Strong leadership capabilities with the ability to influence, motivate, and align cross\-functional teams around shared objectives.
* Demonstrated ability to develop and manage data\-driven product roadmaps that balance user engagement, scalability, and revenue growth.
* Deep understanding of user needs and pain points, with a strong commitment to building intuitive, impactful solutions.
* Excellent communication and presentation skills, with the ability to translate complex technical concepts for diverse audiences.
* Proficiency in data analysis and comfort using insights to inform strategic decisions.
* Familiarity with agile methodologies and modern product management tools (e.g., Jira, Confluence, Product board, Aha!).
* Collaborative approach to working with design, engineering, and go\-to\-market teams to plan release cycles, address complex challenges, and ensure seamless execution.
**Preferred Qualifications**
* Background in logistics, supply chain, or transportation technology, ideally with reputable or high\-growth organizations.
* Experience building and scaling 0–1 products, platform/ecosystem products, or marketplaces.
* Strong understanding and appreciation of engineering principles, data models, and APIs.
* Proven ability to partner cross\-functionally on go\-to\-market, launch, pricing, and customer support initiatives.
* Exceptional strategic thinking with the ability to connect technical execution to broader business objectives and company vision.
**Compensation**
 This role falls under Comp Band 7, with an annual base compensation expected to be between $111,500 and $136,200, depending on experience, qualifications, and geographic location. Work Location This position is based at OneRail’s headquarters in Orlando, FL (ZIP 32819\) . While on\-site presence may be required, remote candidates will be considered, with preference given to those located in the Central Florida area.
 About OneRail OneRail is a leading omnichannel fulfillment solution pairing best\-in\-class software with logistics as a service to provide dependability and speed to help businesses meet their delivery promise. With a real\-time connected network of 12 million drivers, OneRail matches the right vehicle for the right delivery so brands lower expenses and increase capacity to rapidly scale their businesses. This people\-plus\-platform approach features a 24/7 USA\-based exceptions team who maintain a 98% on\-time delivery rate. By optimizing fulfillment processes, reducing costs and improving order accuracy with store\-shelf\-to\-doorstep visibility, OneRail is committed to empowering clients and improving the customer experience.
 OneRail was named to the Deloitte Technology Fast 500™ two years in a row, was ranked 19th in the 2025 FreightTech 25, named for the fifth year in a row to the FreightTech 100, was honored as one of Inc. magazine’s Best Workplaces 2023, was listed on Forbes’ lists of America’s Best Startup Employers for the last three years, was named to the Inc. 5000 two years in a row and was selected as the Last Mile Company of the Year for the 2024 SupplyTech Breakthrough Awards. To learn more about OneRail, visit OneRail.com.
 Powered by JazzHR
 If you have questions about this posting, please contact support@lensa.com</t>
        </is>
      </c>
    </row>
    <row r="63">
      <c r="A63" t="inlineStr">
        <is>
          <t>li-4284477250</t>
        </is>
      </c>
      <c r="B63" t="inlineStr">
        <is>
          <t>Senior Product Manager, Pricing/Analytics</t>
        </is>
      </c>
      <c r="C63" t="inlineStr">
        <is>
          <t>DAT Freight &amp; Analytics</t>
        </is>
      </c>
      <c r="D63" t="inlineStr">
        <is>
          <t>linkedin</t>
        </is>
      </c>
      <c r="E63">
        <f>HYPERLINK("https://www.linkedin.com/jobs/view/4284477250", "https://www.linkedin.com/jobs/view/4284477250")</f>
        <v/>
      </c>
      <c r="F63" t="inlineStr"/>
      <c r="G63" t="inlineStr">
        <is>
          <t>Seattle, WA</t>
        </is>
      </c>
      <c r="H63" t="inlineStr"/>
      <c r="I63" t="inlineStr">
        <is>
          <t>**About DAT**
**DAT** 
 is an award\-winning employer of choice and a next\-generation SaaS technology company that has been at the leading edge of innovation in transportation supply chain logistics for 45 years. We continue to transform the industry year over year, by deploying a suite of software solutions to millions of customers every day \- customers who depend on DAT for the most relevant data and most accurate insights to help them make smarter business decisions and run their companies more profitably. We operate the largest marketplace of its kind in North America, with 400 million freights posted in 2022, and a database of $150 billion of annual global shipment market transaction data. Our headquarters are in Denver, CO, and Beaverton, OR, with additional offices in Seattle, WA; Springfield, MO; and Bangalore, India. For additional information, see www.DAT.com/company
**Job Application Deadline** 
 : 01/20/2026
 DAT is seeking a talented Senior Product Manager to join our iQ team and drive the future of freight intelligence and analytics.
**The Opportunity**
 DAT is looking for a Senior Product Manager to lead product development for iQ, our advanced freight analytics and intelligence platform. In this role, you'll shape how shippers, brokers, and carriers understand market dynamics, price freight strategically, and uncover opportunities to optimize their operations. If you're customer\-focused, data\-driven, and passionate about transforming freight decision\-making through innovative analytics solutions, this is your opportunity to make a significant impact on the transportation industry.
**What You'll Do**
* Customer Advocate: Act as the voice of shippers, brokers, and carriers to inform product decisions and strategy for iQ's analytics and pricing capabilities.
* Product Discovery: Conduct customer research, market analysis, and competitive assessments to identify unmet needs and validate product opportunities in freight analytics and pricing.
* Product Ownership: Manage iQ product features from ideation through launch and ongoing optimization, with focus on market intelligence, pricing tools, and business performance analytics.
* Cross\-Functional Collaboration: Partner with Product, Engineering, Business Development, Marketing, Sales, and Operations teams to identify opportunities that help customers better understand freight markets and optimize their pricing strategies.
* Product Launches: Lead rollouts of new analytics features, pricing tools, and strategic initiatives that enhance customer decision\-making capabilities.
* Product Health Monitoring: Continuously assess product performance, user engagement with analytics features, and identify opportunities to improve customer insights and outcomes.
**What You'll Bring**
* Experience: 3\+ years of product management experience, preferably with analytics, business intelligence, or pricing products.
* Education: Bachelor's degree in Computer Science, Engineering, Business, Data Science, or a related field.
* Product Expertise: Proven experience building high\-quality data\-driven products with design and engineering teams.
* Technical Knowledge: Understanding of technical systems, data architecture, and engineering trade\-offs to effectively prioritize analytics and pricing features.
* Communication Skills: Ability to explain complex data concepts simply and build consensus across stakeholders at all levels.
* Organizational Excellence: Strong prioritization, problem\-solving, and project management skills to manage ambiguity and drive results.
* Data\-Driven: Passionate about diving into data to understand customer behavior, market trends, and edge cases to optimize product outcomes.
* Proactive Mindset: A self\-starter who takes ownership and turns ideas into actionable plans that deliver customer value.
**Bonus Skills**
* Market Intelligence Background: Understanding of supply/demand dynamics, market benchmarking, or competitive intelligence products.
* AI/ML Experience: Experience launching AI\-powered analytics or predictive pricing features.
* Technical Proficiency: Strong SQL skills and experience with data visualization tools (Tableau, Power BI, Looker, etc.).
* B2B SaaS: Background in B2B SaaS product development, particularly for enterprise customers.
* Industry Experience: Direct experience in transportation, logistics, or supply chain technology.
**Why DAT?**
 DAT is an award winning employer of choice.
 For starters, we have a hybrid work environment, but we also know what makes a great workplace. We have a time\-tested and resolute set of operating values predicated on integrity, mutual respect, open communication, and executing with excellence. These values inform our strategic vision as much as any one of our products does. We’ve been an employer of choice in the Portland metropolitan area for four decades, and within one year of opening our Denver office, DAT was \#26 on Built In Colorado’s 100 Best Places to Work In Colorado.
* Medical, Dental, Vision, Life, and AD\&amp;D insurance
* Parental Leave
* Flexible Vacation Time (FVT)
* An additional 10 holidays of paid time off per calendar year
* 401k matching (immediately vested)
* Employee Stock Purchase Plan
* Short\- and Long\-term disability sick leave
* Flexible Spending Accounts
* Health Savings Accounts
* Employee Assistance Program
* Additional programs \- Employee Referral, Internal Recognition, and Wellness
* Free TriMet transit pass (Beaverton Office)
* Competitive salary and benefits package
* Work on impactful projects in a cutting\-edge environment
* Collaborative and supportive team culture
* Opportunity to make a real difference in the trucking industry
* Employee Resource Groups
* This position is not eligible for visa sponsorship\*\*.
*For Colorado\-based candidates, in compliance with the Colorado Equal Pay for Equal Work Act, the salary range for this role is $125,000\.00 \- $154,000\.00\+ target bonus. DAT considers factors such as scope and responsibilities of the position, candidate's work experience, education and training, core skills, internal equity, and market and business elements when extending an offer.*
 DAT
 **embraces the value of a diverse workforce, and believes it is a core strength of our company that we encourage those values in every DAT employee, at every level of our organization, regardless of tenure or rank. We provide equal employment opportunities (EEO) to all employees and applicants without regard to race, color, religion, gender, sexual orientation, gender identity or expression, national origin, age, disability, genetic information, marital status, amnesty, or status as a covered veteran in accordance with applicable federal, state, and local laws.**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row>
    <row r="64">
      <c r="A64" t="inlineStr">
        <is>
          <t>li-4358376298</t>
        </is>
      </c>
      <c r="B64" t="inlineStr">
        <is>
          <t>Product Manager II</t>
        </is>
      </c>
      <c r="C64" t="inlineStr">
        <is>
          <t>Cox Automotive Inc.</t>
        </is>
      </c>
      <c r="D64" t="inlineStr">
        <is>
          <t>linkedin</t>
        </is>
      </c>
      <c r="E64">
        <f>HYPERLINK("https://www.linkedin.com/jobs/view/4358376298", "https://www.linkedin.com/jobs/view/4358376298")</f>
        <v/>
      </c>
      <c r="F64">
        <f>HYPERLINK("https://click.appcast.io/t/U_9QPWnaPPqvlsrrAW-PpWtAE5x4VkbD9LW4NIJySvvylID5uQ0lbxPkUahltPQJ&amp;urlHash=oNeb", "https://click.appcast.io/t/U_9QPWnaPPqvlsrrAW-PpWtAE5x4VkbD9LW4NIJySvvylID5uQ0lbxPkUahltPQJ&amp;urlHash=oNeb")</f>
        <v/>
      </c>
      <c r="G64" t="inlineStr">
        <is>
          <t>Austin, TX</t>
        </is>
      </c>
      <c r="H64" t="inlineStr"/>
      <c r="I64" t="inlineStr">
        <is>
          <t>**Cox Automotive** 
 is looking for a
 **Product Manager II** 
 to join our Inventory Management Enablement Services release train. In this role, you'll develop and execute a comprehensive approach to enhance and improve vAuto platform capabilities.
 You will collaborate with cross\-functional teams to deliver solutions that improve vAuto platform \- all while experiencing competitive pay, awesome benefits and an award\-winning workplace culture.
 Excited to dive in? Let's talk!
**What's In It for You?**
 Here's a sneak peek at the benefits you could experience as a Cox employee:
* A competitive salary and top\-notch bonus/incentive plans.
* Professional development and continuing education opportunities.
* The chance to work with fascinating, cutting\-edge platforms.
* Exceptional work\-life balance, flexible time\-off policies and accommodating work schedules.
* Comprehensive healthcare, with multiple options for individuals and families.
* Generous 401(k) retirement plans with company match.
* Inclusive parental leave policies, plus comprehensive fertility coverage and adoption assistance. Check out all our benefits.
**What You'll Do**
 In a nutshell, you'll oversee our teams' efforts to deliver products, capabilities, services and enhancements. Here's what that looks like:
* Supporting release train and scrum teams in product increment (PI) planning, defect prioritization and backlog management.
* Partnering with product managers to understand and influence product strategy.
* Generate ideas for enhancing performance and achieving KPIs.
* Collaborating with scrum teams to build, enhance and manage products.
* Managing stakeholder engagement, addressing problems, managing resolutions and collecting feedback.
* Defining and managing scoping, requirements and prioritization activities, ensuring adherence to standards and traceability.
* Coordinating with other Agile Product Managers to deliver on a vision that crosses multiple delivery streams or release trains.
* Leading projects, identifying and managing risks, applying appropriate project management methods and ensuring project closure and review.
* Conducting analysis and performance monitoring for specified products, supporting problem resolution and contributing to product launches.
**Who You Are**
 You're an expert multitasker who enjoys collaborating with other technical teams. Here's what more you bring to the table:
* A bachelor's degree and 2 years of experience in a related field. The right candidate could also have a different combination, such as a master's degree and up to 2 years of experience; or 6 years' experience in a related field.
* Working knowledge of SAFe Agile methodology.
* The ability to translate data into quantifiable actions or deliverables.
* Experience in design, development and implementation of product plans.
* Experience in full product lifecycle methodologies.
* Experience creating, prioritizing and recommending epics and features.
**Preferred**
* Technical background with hands\-on development experience.
* Experience with cloud platforms (AWS Preferred)
 Let's build something great together. Join Cox today!
 USD 98,300\.00 \- 147,500\.00 per year
**Compensation**
 Compensation includes a base salary of $98,300\.00 \- $147,500\.00\. The base salary may vary within the anticipated base pay range based on factors such as the ultimate location of the position and the selected candidate's knowledge, skills, and abilities. Position may be eligible for additional compensation that may include an incentive program.
**Benefits**
 The Company offers eligible employees the flexibility to take as much vacation with pay as they deem consistent with their duties, the company's needs, and its obligations; seven paid holidays throughout the calendar year; and up to 160 hours of paid wellness annually for their own wellness or that of family members. Employees are also eligible for additional paid time off in the form of bereavement leave, time off to vote, jury duty leave, volunteer time off, military leave, and parental leave.
 Applicants must currently be authorized to work in the United States for any employer without current or future sponsorship. No OPT, CPT, STEM/OPT or visa sponsorship now or in future.</t>
        </is>
      </c>
    </row>
    <row r="65">
      <c r="A65" t="inlineStr">
        <is>
          <t>li-4342665611</t>
        </is>
      </c>
      <c r="B65" t="inlineStr">
        <is>
          <t>Staff Product Manager, Broker Segment</t>
        </is>
      </c>
      <c r="C65" t="inlineStr">
        <is>
          <t>DAT Freight &amp; Analytics</t>
        </is>
      </c>
      <c r="D65" t="inlineStr">
        <is>
          <t>linkedin</t>
        </is>
      </c>
      <c r="E65">
        <f>HYPERLINK("https://www.linkedin.com/jobs/view/4342665611", "https://www.linkedin.com/jobs/view/4342665611")</f>
        <v/>
      </c>
      <c r="F65" t="inlineStr"/>
      <c r="G65" t="inlineStr">
        <is>
          <t>Denver, CO</t>
        </is>
      </c>
      <c r="H65" t="inlineStr"/>
      <c r="I65" t="inlineStr">
        <is>
          <t>**About DAT**
**DAT** 
 is an award\-winning employer of choice and a next\-generation SaaS technology company that has been at the leading edge of innovation in transportation supply chain logistics for 45 years. We continue to transform the industry year over year, by deploying a suite of software solutions to millions of customers every day \- customers who depend on DAT for the most relevant data and most accurate insights to help them make smarter business decisions and run their companies more profitably. We operate the largest marketplace of its kind in North America, with 400 million freights posted in 2022, and a database of $150 billion of annual global shipment market transaction data. Our headquarters are in Denver, CO, and Beaverton, OR, with additional offices in Seattle, WA; Springfield, MO; and Bangalore, India. For additional information, see www.DAT.com/company
**Job Application Deadline:** 
 01/30/2026
**About Product at DAT \- Shaping the Future of Freight Analytics**
 At DAT, we're building the go\-to destination for freight pricing and insights. As the freight industry undergoes major shifts—driven by AI, autonomous vehicles, and political changes—we help our customers execute smarter, faster decisions. We follow leading product practices inspired by the Silicon Valley Product Group (SVPG), giving you the structure and support to drive meaningful outcomes. If you’re passionate about building great products and ready to make a difference in the freight industry, we’d love to talk.
**The Opportunity**
 We're looking for a Staff Product Manager to lead high\-impact initiatives that drive strategic outcomes for our Broker business. This is a critical role for someone who thrives on solving complex platform and marketplace problems, excels in both discovery and delivery, and operates with a strong sense of ownership and systems thinking.
 As a Staff PM, you won’t just ship features. You’ll define strategic bets, scale product excellence across teams, and mentor others in the craft of product management.
**What You’ll Do**
* Lead cross\-functional product initiatives that span multiple teams and impact the company’s top priorities.
* Identify and define high\-leverage opportunities through rigorous discovery—synthesizing insights from users, data, and market trends.
* Design and drive product strategies that align with business outcomes like carrier growth, retention, and revenue.
* Collaborate closely with engineering, design, analytics, and go\-to\-market teams to deliver high\-quality solutions.
* Influence product direction beyond your immediate scope, mentoring other PMs and contributing to our product culture.
* Apply systems thinking to create scalable solutions that balance short\-term wins with long\-term sustainability.
**What You Bring**
* 7–10\+ years of product management experience, including at least 2 years leading complex, cross\-functional initiatives.
* A strong track record of driving measurable business outcomes through strategic thinking and consistent execution.
* Deep product discovery skills with a clear ability to navigate ambiguity, test assumptions, and use data to inform decisions.
* The ability to work closely with engineers, understand technical constraints, and evaluate tradeoffs.
* Strong communication and collaboration capabilities, with a proven ability to align stakeholders and keep teams focused on outcomes.
* Experience in marketplaces, logistics, SaaS, or B2B platforms is a strong plus.
**Why You Should Join Us**
* Shape the Future: Drive innovation in freight tech, influence strategic decisions and define the next generation of our product offerings.
* Grow Your Career: Thrive in a dynamic Product Operating Model environment with ample opportunities for professional development and hands\-on learning.
* Be Part of Something Great: Join a collaborative team that values excellence, continuous learning, delivering exceptional customer value and having fun while building impactful products that drive business success.
**Why DAT?**
 DAT is an award winning employer of choice.
 For starters, we have a hybrid work environment, but we also know what makes a great workplace. We have a time\-tested and resolute set of operating values predicated on integrity, mutual respect, open communication, and executing with excellence. These values inform our strategic vision as much as any one of our products does. We’ve been an employer of choice in the Portland metropolitan area for four decades, and within one year of opening our Denver office, DAT was \#26 on Built In Colorado’s 100 Best Places to Work In Colorado.
* Medical, Dental, Vision, Life, and AD\&amp;D insurance
* Parental Leave
* Flexible Vacation Time (FVT)
* An additional 10 holidays of paid time off per calendar year
* 401k matching (immediately vested)
* Employee Stock Purchase Plan
* Short\- and Long\-term disability sick leave
* Flexible Spending Accounts
* Health Savings Accounts
* Employee Assistance Program
* Additional programs \- Employee Referral, Internal Recognition, and Wellness
* Free TriMet transit pass (Beaverton Office)
* Competitive salary and benefits package
* Work on impactful projects in a cutting\-edge environment
* Collaborative and supportive team culture
* Opportunity to make a real difference in the trucking industry
* Employee Resource Groups
* This position is not eligible for visa sponsorship\*\*
*For Colorado\-based candidates, in compliance with the Colorado Equal Pay for Equal Work Act, the salary range for this role is $154,000\.00 \- $187,000\.00 \+ target bonus. DAT considers factors such as scope and responsibilities of the position, candidate's work experience, education and training, core skills, internal equity, and market and business elements when extending an offer.*
 DAT
 **embraces the value of a diverse workforce, and believes it is a core strength of our company that we encourage those values in every DAT employee, at every level of our organization, regardless of tenure or rank. We provide equal employment opportunities (EEO) to all employees and applicants without regard to race, color, religion, gender, sexual orientation, gender identity or expression, national origin, age, disability, genetic information, marital status, amnesty, or status as a covered veteran in accordance with applicable federal, state, and local laws.**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row>
    <row r="66">
      <c r="A66" t="inlineStr">
        <is>
          <t>li-4364060743</t>
        </is>
      </c>
      <c r="B66" t="inlineStr">
        <is>
          <t>Principal Product Manager- Healthcare AI</t>
        </is>
      </c>
      <c r="C66" t="inlineStr">
        <is>
          <t>Lensa</t>
        </is>
      </c>
      <c r="D66" t="inlineStr">
        <is>
          <t>linkedin</t>
        </is>
      </c>
      <c r="E66">
        <f>HYPERLINK("https://www.linkedin.com/jobs/view/4364060743", "https://www.linkedin.com/jobs/view/4364060743")</f>
        <v/>
      </c>
      <c r="F66" t="inlineStr"/>
      <c r="G66" t="inlineStr">
        <is>
          <t>Indianapolis, IN</t>
        </is>
      </c>
      <c r="H66" t="inlineStr"/>
      <c r="I66"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Oracle. Clicking "Apply Now" or "Read more" on Lensa redirects you to the job board/employer site. Any information collected there is subject to their terms and privacy notice.
**Job Description**
 The Oracle Clinical AI Agent team’s mission is to deliver an AI platform that serves as the foundation for Oracle’s health applications. By embedding generative and conversational AI into these applications, we empower clinicians to simplify their workflows, reduce manual tasks, and focus more on patient care. Our diverse team of innovators is building the future of conversational clinical interfaces—improving the lives of patients and providers worldwide. We work with the agility of a start\-up and the impact of an industry leader. Join us and shape the future of healthcare.
 We are seeking a highly motivated Principal Product Manager to drive the end\-to\-end development of Clinical AI Agents—from concept to release. In this role, you will work closely with data science, engineering, and UX to explore new opportunity spaces, define gold\-standard training data requirements, guide the model development lifecycle, and ensure the delivery of safe, effective, and clinically useful AI agents.
**Your Qualifications**
* 7\+ years of professional experience in product management
* 2\+ years of experience delivering AI/ML products, ideally in multiple industries
* Familiarity with large datasets, analytics, and user engagement metrics
* Experience in clinical workflows and regulated healthcare environments is preferred
* Knowledge of data privacy and compliance requirements within healthcare settings is advantageous
**Preferred Qualifications**
* Experience with Generative AI and AI frameworks
* Demonstrated success launching 0\-to\-1 products and achieving market traction
* A bachelor’s degree in Computer Science, Engineering, or equivalent experience
 Join us to shape the future of healthcare, transforming how clinicians deliver care through AI\-driven solutions that enhance efficiency, reduce burnout, and improve patient outcomes.
 Career Level \- IC4
**Responsibilities**
* Define Product Strategy \&amp; Roadmap: Craft and maintain product roadmaps focused on delivering engaging, user\-centric features that encourage clinicians and healthcare staff to adopt AI\-powered capabilities in their daily workflows.
* Apply AI \&amp; Emerging Technologies: Stay current with advances in NLP, large language models, and generative AI. Adapt these technologies to streamline clinical workflows, differentiate from competitors, and deliver measurable improvements in efficiency and patient outcomes.
* Define and Explore Opportunity Areas: Partner with clinicians, researchers, and internal stakeholders to identify high\-value clinical workflows that can be transformed using AI agents.
* Lead Concept Development: Translate abstract ideas and unmet needs into structured product concepts, defining the problem space, success criteria, and technical feasibility.
* Collaborate Across Functions: Work hand\-in\-hand with data science, engineering, and UX teams to shape agent behavior, training strategies, and user experience.
* Gold Data Strategy \&amp; Acquisition: Drive the creation and curation of high\-quality, representative datasets required for training and validating agent models, including annotation guidelines and domain coverage.
* Model Development Oversight: Coordinate the training, tuning, and evaluation of models—ensuring alignment with clinical intent, performance benchmarks, and compliance standards.
* Validation \&amp; Safety Testing: Develop validation protocols to test agent performance, usability, and clinical safety in real\-world\-like environments prior to release.
* Product Readiness \&amp; Delivery: Collaborate on release planning, documentation, and internal enablement to support the smooth launch of new agent capabilities.
* Compliance \&amp; Risk Awareness: Ensure that Clinical AI Agents meet healthcare industry standards for data privacy, transparency, and reliability.
* Customer Engagement \&amp; Feedback Loops: Identify lead customers, cultivate design partnerships, and incorporate direct user feedback to validate assumptions, guide product evolution, and ensure clinical needs remain at the forefront of innovation.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$92,900 to $199,500 per annum.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If you have questions about this posting, please contact support@lensa.com</t>
        </is>
      </c>
    </row>
    <row r="67">
      <c r="A67" t="inlineStr">
        <is>
          <t>li-4342595977</t>
        </is>
      </c>
      <c r="B67" t="inlineStr">
        <is>
          <t>Senior Product Manager, Carrier Management Suite</t>
        </is>
      </c>
      <c r="C67" t="inlineStr">
        <is>
          <t>DAT Freight &amp; Analytics</t>
        </is>
      </c>
      <c r="D67" t="inlineStr">
        <is>
          <t>linkedin</t>
        </is>
      </c>
      <c r="E67">
        <f>HYPERLINK("https://www.linkedin.com/jobs/view/4342595977", "https://www.linkedin.com/jobs/view/4342595977")</f>
        <v/>
      </c>
      <c r="F67" t="inlineStr"/>
      <c r="G67" t="inlineStr">
        <is>
          <t>Denver, CO</t>
        </is>
      </c>
      <c r="H67" t="inlineStr"/>
      <c r="I67" t="inlineStr">
        <is>
          <t>**About DAT**
**DAT** 
 is an award\-winning employer of choice and a next\-generation SaaS technology company that has been at the leading edge of innovation in transportation supply chain logistics for 45 years. We continue to transform the industry year over year, by deploying a suite of software solutions to millions of customers every day \- customers who depend on DAT for the most relevant data and most accurate insights to help them make smarter business decisions and run their companies more profitably. We operate the largest marketplace of its kind in North America, with 400 million freights posted in 2022, and a database of $150 billion of annual global shipment market transaction data. Our headquarters are in Denver, CO, and Beaverton, OR, with additional offices in Seattle, WA; Springfield, MO; and Bangalore, India. For additional information, see www.DAT.com/company
**Job Application Deadline:** 
 01/30/2026
**About Product at DAT \- Shaping the Future of Freight Analytics**
 At DAT, we're building the go\-to destination for freight pricing and insights. As the freight industry undergoes major shifts—driven by AI, autonomous vehicles, and political changes—we help our customers execute smarter, faster decisions. We follow leading product practices inspired by the Silicon Valley Product Group (SVPG), giving you the structure and support to drive meaningful outcomes. If you’re passionate about building great products and ready to make a difference in the freight industry, we’d love to talk.
**Candidate profile**
 As a Senior Product Manager at DAT, you will be at the forefront of driving our product vision to reality. You will be focused on our new Carrier Management Suite product to enable brokers and carriers to quickly, efficiently and securely grow their networks and complete the onboarding process with one another. You will be accountable for working closely with your empowered product team partners (Product, UX, Tech Lead) to discover and define the best path forward. You will then execute your strategies to deliver high\-performing solutions that our customers love, achieve ambitious objectives and directly contribute to significant business growth.
* Shape the Future: Collaborate with your empowered product team (Product, UX, Tech Lead) to envision, define, and drive the strategy for your products, ensuring they solve critical customer problems and achieve ambitious business goals.
* Become the Expert: Immerse yourself in understanding our users, the market landscape and the power of our enormous data set to identify new growth opportunities.
* Drive Impact: Analyze user behavior and data to uncover actionable insights that fuel product decisions and prioritization.
* Collaborate and Inspire: Foster strong partnerships within your team and across the organization, evangelizing the product vision and strategy to stakeholders and inspiring them to achieve shared success.
**What You’ll Bring**
* Proven Leadership \&amp; Collaboration: You have a track record of inspiring and motivating cross\-functional teams to achieve ambitious goals, fostering strong partnerships along the way.
* End\-to\-End Product Success: You've demonstrated success in taking impactful, growth\-oriented products from concept to launch and beyond, with a strong understanding of the entire product lifecycle.
* Strong Foundation: You possess a Bachelor's degree (MBA preferred) in a relevant field and have honed your analytical and problem\-solving skills over at least 5 years in progressive product management roles.
* Product Development Expertise: You're well\-versed in modern product discovery and optimization techniques, ideally with experience applying the SVPG Product Operating Model to deliver exceptional customer value.
* Exceptional Communication \&amp; Influence: Your written and verbal communication skills are top\-notch, allowing you to clearly articulate your vision, build strong stakeholder relationships, and influence decision\-making across the organization.
**Why You Should Join Us**
* Shape the Future: Drive innovation in freight tech, influence strategic decisions and define the next generation of our product offerings.
* Grow Your Career: Thrive in a dynamic Product Operating Model environment with ample opportunities for professional development and hands\-on learning.
* Be Part of Something Great: Join a collaborative team that values excellence, continuous learning, delivering exceptional customer value and having fun while building impactful products that drive business success.
**Why DAT?**
 DAT is an award winning employer of choice.
 For starters, we have a hybrid work environment, but we also know what makes a great workplace. We have a time\-tested and resolute set of operating values predicated on integrity, mutual respect, open communication, and executing with excellence. These values inform our strategic vision as much as any one of our products does. We’ve been an employer of choice in the Portland metropolitan area for four decades, and within one year of opening our Denver office, DAT was \#26 on Built In Colorado’s 100 Best Places to Work In Colorado.
* Medical, Dental, Vision, Life, and AD\&amp;D insurance
* Parental Leave
* Flexible Vacation Time (FVT)
* An additional 10 holidays of paid time off per calendar year
* 401k matching (immediately vested)
* Employee Stock Purchase Plan
* Short\- and Long\-term disability sick leave
* Flexible Spending Accounts
* Health Savings Accounts
* Employee Assistance Program
* Additional programs \- Employee Referral, Internal Recognition, and Wellness
* Free TriMet transit pass (Beaverton Office)
* Competitive salary and benefits package
* Work on impactful projects in a cutting\-edge environment
* Collaborative and supportive team culture
* Opportunity to make a real difference in the trucking industry
* Employee Resource Groups
* This position is not eligible for visa sponsorship\*\*
*For Colorado\-based candidates, in compliance with the Colorado Equal Pay for Equal Work Act, the salary range for this role is $125,000\.00 \- $154,000\.00 \+ target bonus. DAT considers factors such as scope and responsibilities of the position, candidate's work experience, education and training, core skills, internal equity, and market and business elements when extending an offer.*
 DAT
 **embraces the value of a diverse workforce, and believes it is a core strength of our company that we encourage those values in every DAT employee, at every level of our organization, regardless of tenure or rank. We provide equal employment opportunities (EEO) to all employees and applicants without regard to race, color, religion, gender, sexual orientation, gender identity or expression, national origin, age, disability, genetic information, marital status, amnesty, or status as a covered veteran in accordance with applicable federal, state, and local laws.**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row>
    <row r="68">
      <c r="A68" t="inlineStr">
        <is>
          <t>li-4338985905</t>
        </is>
      </c>
      <c r="B68" t="inlineStr">
        <is>
          <t>Product Manager, Identity Resolution &amp; Tagging Infrastructure</t>
        </is>
      </c>
      <c r="C68" t="inlineStr">
        <is>
          <t>Best Buy</t>
        </is>
      </c>
      <c r="D68" t="inlineStr">
        <is>
          <t>linkedin</t>
        </is>
      </c>
      <c r="E68">
        <f>HYPERLINK("https://www.linkedin.com/jobs/view/4338985905", "https://www.linkedin.com/jobs/view/4338985905")</f>
        <v/>
      </c>
      <c r="F68">
        <f>HYPERLINK("https://bestbuylinkedinslots.thejobnetwork.com/Job/601828032?etd=MUVP6CXQ22IN5RMAZXQPI2VK4B37BLRHP62APRAJJVCEDQNZLQQ5GEFCT27NV5FPWSWMVHOJZXKCMTJ4C42VKVX4MMEPX4DL4WZMBSTTPTDIZ5UK3HWQ%3d%3d%3d%3d&amp;urlHash=58l6", "https://bestbuylinkedinslots.thejobnetwork.com/Job/601828032?etd=MUVP6CXQ22IN5RMAZXQPI2VK4B37BLRHP62APRAJJVCEDQNZLQQ5GEFCT27NV5FPWSWMVHOJZXKCMTJ4C42VKVX4MMEPX4DL4WZMBSTTPTDIZ5UK3HWQ%3d%3d%3d%3d&amp;urlHash=58l6")</f>
        <v/>
      </c>
      <c r="G68" t="inlineStr">
        <is>
          <t>Minneapolis, MN</t>
        </is>
      </c>
      <c r="H68" t="inlineStr"/>
      <c r="I68" t="inlineStr">
        <is>
          <t>As the
 **Product Manager of Identity, Privacy \&amp; Tagging Infrastructure** 
 , you will lead the strategy, development, and execution of privacy\-safe identity solutions and robust tagging frameworks across Best Buy’s Retail Media Network, onsite and offsite. This role ensures accurate data capture to enable campaign attribution and audience insights while maintaining compliance, trust, and scalability in a rapidly evolving regulatory and technology landscape.
 You’ll collaborate with engineering, legal, analytics, privacy, engineering and compliance teams to define standards for identity resolution, consent management, and media instrumentation. Your work will enable future\-proof advertising capabilities, accurate measurement, and privacy\-first innovation.
 This role is remote eligible, which means you would work virtually from home or another non\-Best Buy location
**What You’ll Do**
* Be a key contributor to the product roadmap for identity resolution, consent management, and tagging infrastructure.
* Define and implement privacy\-safe tagging and beaconing strategies and solutions to support onsite and offsite signal capture.
* Collaborate with engineering and legal teams to operationalize privacy policies and ensure compliance with regulations (e.g., GDPR, CCPA).
* Ensure data quality and signal integrity through rigorous QA processes and monitoring systems.
* Evaluate and integrate third\-party identity, privacy, and tagging platforms
* Stay informed on regulatory changes and industry standards, contributing to internal documentation and product updates.
* Improve identity resolution by implementing technology to collect and link multiple identifiers and metadata, ensuring accurate data matching across systems.
* Launch data enrichment initiatives that incorporate Best Buy\-specific identifiers and vetted external sources to strengthen identity profiles.
* Define a measurement framework to understand the value of different data signals and data providers and partners.
**Basic Qualifications**
* 5\+ years of product management experience in digital advertising, identity platforms, or tagging infrastructure.
* 2\+ years of experience with privacy regulations (GDPR, CCPA) and their impact on advertising.
* 2 \+ years of experience with tagging technologies (e.g., Google Tag Manager, Tealium, IAS, etc.), beaconing systems, and identity resolution platforms (e.g., LiveRamp, Neustar).
* 2\+ years of experience with ad tech platforms and ecosystem technology including DSPs, SSPs, CDPs, ad servers, and similar.
* 2\+ years of experience in SQL and experience with cloud data platforms (e.g., GCP, AWS, Snowflake).
**Preferred Qualifications**
* Advanced degree in Computer Science, Data Privacy, or related field.
* Certifications in privacy or data protection (e.g., CIPP/US, CIPT).
* Experience supporting incrementality testing and conversion tracking through instrumentation.
* Experience in a closed media ecosystem like Google, Amazon, Meta, or similar
* Familiarity with consent management platforms and privacy\-safe data architecture.
* Proven ability to work cross\-functionally with engineering, legal, and analytics teams.
**What’s In It For You**
 We’re committed to helping our people thrive at work and at home. We offer generous benefits that address your total well\-being and provide support as you need it, especially at key moments in your life.
**Our Benefits Include**
* Competitive pay
* Generous employee discount
* Physical and mental well\-being support
**About Us**
 As part of the Best Buy team, you’ll help us fulfill our purpose to enrich lives through technology. We bring that to life every day by humanizing and personalizing tech solutions for every stage of life — in our stores, online, and in customers’ homes.
 Our culture is built on deeply supporting and valuing our amazing employees who make it all possible. We’re committed to being a great place to work, where you can unlock unique career possibilities. Above all, we aim to provide a place where you can bring your full, authentic self to work now and into the future. Tomorrow works here.™
 Best Buy is an equal opportunity employer.
 Position Type: Full timePandoLogic. Keywords: Product Manager (Engineering Department), Location: Minneapolis, MN \- 55423</t>
        </is>
      </c>
    </row>
    <row r="69">
      <c r="A69" t="inlineStr">
        <is>
          <t>li-4364049975</t>
        </is>
      </c>
      <c r="B69" t="inlineStr">
        <is>
          <t>Senior Program Manager, Tech- Gen AI Data Collections</t>
        </is>
      </c>
      <c r="C69" t="inlineStr">
        <is>
          <t>Uber</t>
        </is>
      </c>
      <c r="D69" t="inlineStr">
        <is>
          <t>linkedin</t>
        </is>
      </c>
      <c r="E69">
        <f>HYPERLINK("https://www.linkedin.com/jobs/view/4364049975", "https://www.linkedin.com/jobs/view/4364049975")</f>
        <v/>
      </c>
      <c r="F69" t="inlineStr"/>
      <c r="G69" t="inlineStr">
        <is>
          <t>Sunnyvale, CA</t>
        </is>
      </c>
      <c r="H69" t="inlineStr"/>
      <c r="I69" t="inlineStr">
        <is>
          <t>**About The Role**
 We are building one of the most scalable, high\-quality data collection engines powering the next generation of AI. Our projects span audio, image, video, LiDAR, text, and multimodal datasets, across dozens of countries and environments.
 We are looking for a Senior Program Manager to own and drive complex, multi\-country data collection programs end\-to\-end.
**What The Candidate Will Do**
**Program Ownership:** 
 Translate client SOWs into executable programs \- scope, timelines, budgets, workforce model, and quality control frameworks.
**Execution Hustle:** 
 Solve operational bottlenecks in real time \- whether it's participant churn, equipment issues, location access, or low\-quality submissions.
**Quality \&amp; Compliance:** 
 Ensure data meets specs, passes rejection thresholds, and complies with privacy/consent/data protection laws globally.
**Stakeholder Management:** 
 Act as the program point of contact with clients, internal teams, and external vendors. Provide progress reports, risk assessments, and mitigation plans.
**Analytics \&amp; Reporting:** 
 Monitor collection KPIs via dashboards, identify issues early, and drive corrective action.
**Continuous Improvement:** 
 Codify learnings into playbooks and SOPs for repeatability and faster future deployments.
**Basic Qualifications**
* 5\-8 years of professional experience in program management or operations.
* Proven track record managing large\-scale distributed programs in data, logistics, field operations, or crowdsourcing.
* Planning, governance, and risk management skills.
* Ability to engage and communicate effectively with all levels, including executives and field contributors.
* Comfortable with metrics, dashboards, and root\-cause analysis.
* Hands\-on, thrives in ambiguity, demonstrates bias for action, resilience under pressure, ability to work across cultures/geographies.
**Preferred Qualifications:**
* Exposure to AI/ML data programs, sensors, or field data collection.
* Multi\-country operations experience, especially in emerging markets.
* Fluency in more than one language.
* Startup experience or top\-tier consulting experience.
 For Sunnyvale, CA\-based roles: The base salary range for this role is USD$162,000 per year \- USD$180,000 per year. You will be eligible to participate in Uber's bonus program, and may be offered an equity award \&amp; other types of comp. You will also be eligible for various benefits. More details can be found at the following link https://www.uber.com/careers/benefits., For Sunnyvale, CA\-based roles: The base salary range for this role is USD$162,000 per year \- USD$180,000 per year. You will be eligible to participate in Uber's bonus program, and may be offered an equity award \&amp; other types of comp. You will also be eligible for various benefits. More details can be found at the following link https://www.uber.com/careers/benefits.</t>
        </is>
      </c>
    </row>
    <row r="70">
      <c r="A70" t="inlineStr">
        <is>
          <t>li-4364200560</t>
        </is>
      </c>
      <c r="B70" t="inlineStr">
        <is>
          <t>Product Owner III - Asset Management Group Investment Office</t>
        </is>
      </c>
      <c r="C70" t="inlineStr">
        <is>
          <t>Lensa</t>
        </is>
      </c>
      <c r="D70" t="inlineStr">
        <is>
          <t>linkedin</t>
        </is>
      </c>
      <c r="E70">
        <f>HYPERLINK("https://www.linkedin.com/jobs/view/4364200560", "https://www.linkedin.com/jobs/view/4364200560")</f>
        <v/>
      </c>
      <c r="F70" t="inlineStr"/>
      <c r="G70" t="inlineStr">
        <is>
          <t>Philadelphia, PA</t>
        </is>
      </c>
      <c r="H70" t="inlineStr"/>
      <c r="I70"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PNC. Clicking "Apply Now" or "Read more" on Lensa redirects you to the job board/employer site. Any information collected there is subject to their terms and privacy notice.
**Position Overview**
 At PNC, our people are our greatest differentiator and competitive advantage in the markets we serve. We are all united in delivering the best experience for our customers. We work together each day to foster an inclusive workplace culture where all of our employees feel respected, valued and have an opportunity to contribute to the company's success. As a Product Owner III within PNC's Asset Management Group Investment Office organization, you will be based in Philadelphia, PA or Pittsburgh, PA.
**Responsibilities**
 In this role, you will be a key contributor towards the strategic goals of the Investment Systems \&amp; Infrastructure Team (ISI), developing and modernizing the investment management infrastructure. This includes the acquisition, transformation and distribution of all investment data sets key to the success and growth of the Asset Management Group (AMG) at PNC. The ISI team offers a fast\-paced, multi\-priority opportunity for this person to grow their investment technology career and continue the entrepreneurial spirit of ISI. Core responsibilities for this person include:
* Leadership of key systems and investment data integrations
* Accountability for developing operational processes on new and existing technologies
* Ability to lead a full group Agile developers
* Effective Communication and Delegation within multiple projects
* Establishing and maintaining key relationships with internal and external partners
* Generating new and innovative ideas for process improvement and solutions to business challenges
**Preferred Experience/Skills**
* Experience leading an Agile Team in the Investment Management space
* Software and technology development, including APIs and User Interface applications
* Multi Asset Portfolio management exposure
* Investment management operations experience
* Experience with Angular, Hadoop, Pyspark, Oracle, Python, SQL, Excel, Powerpoint, Jira, Confluence, Alation
 PNC will not provide sponsorship for employment visas or participate in STEM OPT for this position.
**Job Description**
* Owns the vision and definition of the product. Serves as the voice of the Customer. Ensures the Scrum Team(s) effort is concentrated on the right priorities based on business value.
* Defines and conveys the vision to the team(s) in order to address client requirements to ensure a successful product for business objectives.
* Accountable for the creation of and the integrity of the product backlog. Prioritizes and leads grooming of the product backlog.
* Works closely with the Scrum Master(s) and development team(s), to ensure the right items are focused on during the development process. Primary point of contact for questions from the team(s) and is empowered to make decisions.
 PNC Employees take pride in our reputation and to continue building upon that we expect our employees to be:
* Customer Focused \- Knowledgeable of the values and practices that align customer needs and satisfaction as primary considerations in all business decisions and able to leverage that information in creating customized customer solutions.
* Managing Risk \- Assessing and effectively managing all of the risks associated with their business objectives and activities to ensure they adhere to and support PNC's Enterprise Risk Management Framework.
**Qualifications**
 Successful candidates must demonstrate appropriate knowledge, skills, and abilities for a role. Listed below are skills, competencies, work experience, education, and required certifications/licensures needed to be successful in this position.
**Preferred Skills**
 Accountability, Customer Solutions, Data Visualization, Prioritization, Scrum, User Experience (UX) Design
**Competencies**
 Agile Development, Business Acumen, Design Thinking, Effective Communications, Innovation, Interpersonal Relationships, IT Standards, Procedures \&amp; Policies, Managing Multiple Priorities, Organizational Leadership, Planning and Organizing, Solutions Development
**Work Experience**
 Roles at this level typically require a university / college degree, with 5\+ years of industry\-relevant experience. Specific certifications are often required. In lieu of a degree, a comparable combination of education, job specific certification(s), and experience (including military service) may be considered.
**Education**
 Bachelors
**Certifications**
 No Required Certification(s)
**Licenses**
 No Required License(s)
**Benefits**
 PNC offers a comprehensive range of benefits to help meet your needs now and in the future. Depending on your eligibility, options for full\-time employees include: medical/prescription drug coverage (with a Health Savings Account feature), dental and vision options; employee and spouse/child life insurance; short and long\-term disability protection; 401(k) with PNC match, pension and stock purchase plans; dependent care reimbursement account; back\-up child/elder care; adoption, surrogacy, and doula reimbursement; educational assistance, including select programs fully paid; a robust wellness program with financial incentives.
 In addition, PNC generally provides the following paid time off, depending on your eligibility: maternity and/or parental leave; up to 11 paid holidays each year; 9 occasional absence days each year, unless otherwise required by law; between 15 to 25 vacation days each year, depending on career level; and years of service.
 To learn more about these and other programs, including benefits for full time and part\-time employees, visit Your PNC Total Rewards (http://yourpnctotalrewards.com) .
**Disability Accommodations Statement**
 If an accommodation is required to participate in the application process, please contact us via email at AccommodationRequest@pnc.com . Please include "accommodation request" in the subject line title and be sure to include your name, the job ID, and your preferred method of contact in the body of the email. Emails not related to accommodation requests will not receive responses. Applicants may also call 877\-968\-7762 and say "Workday" for accommodation assistance. All information provided will be kept confidential and will be used only to the extent required to provide needed reasonable accommodations.
 At PNC we foster an inclusive and accessible workplace. We provide reasonable accommodations to employment applicants and qualified individuals with a disability who need an accommodation to perform the essential functions of their positions.
**Equal Employment Opportunity (EEO)**
 PNC provides equal employment opportunity to qualified persons regardless of race, color, sex, religion, national origin, age, sexual orientation, gender identity, disability, veteran status, or other categories protected by law.
 This position is subject to the requirements of Section 19 of the Federal Deposit Insurance Act (FDIA) and, for any registered role, the Secure and Fair Enforcement for Mortgage Licensing Act of 2008 (SAFE Act) and/or the Financial Industry Regulatory Authority (FINRA), which prohibit the hiring of individuals with certain criminal history.
**California Residents**
 Refer to the California Consumer Privacy Act Privacy Notice (https://content.pncmc.com/live/pnc/aboutus/HR/Onboarding/PNC\_CCPA\_Privacy\_Disclosure\_Employee.pdf) to gain understanding of how PNC may use or disclose your personal information in our hiring practices.
 If you have questions about this posting, please contact support@lensa.com</t>
        </is>
      </c>
    </row>
    <row r="71">
      <c r="A71" t="inlineStr">
        <is>
          <t>li-4364090577</t>
        </is>
      </c>
      <c r="B71" t="inlineStr">
        <is>
          <t>Director, Development Product Owner</t>
        </is>
      </c>
      <c r="C71" t="inlineStr">
        <is>
          <t>Lensa</t>
        </is>
      </c>
      <c r="D71" t="inlineStr">
        <is>
          <t>linkedin</t>
        </is>
      </c>
      <c r="E71">
        <f>HYPERLINK("https://www.linkedin.com/jobs/view/4364090577", "https://www.linkedin.com/jobs/view/4364090577")</f>
        <v/>
      </c>
      <c r="F71" t="inlineStr"/>
      <c r="G71" t="inlineStr">
        <is>
          <t>San Antonio, TX</t>
        </is>
      </c>
      <c r="H71" t="inlineStr"/>
      <c r="I71"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USAA. Clicking "Apply Now" or "Read more" on Lensa redirects you to the job board/employer site. Any information collected there is subject to their terms and privacy notice.
**Why USAA?**
 At USAA, our mission is to empower our members to achieve financial security through highly competitive products, exceptional service and trusted advice. We seek to be the \#1 choice for the military community and their families.
 Embrace a fulfilling career at USAA, where our core values – honesty, integrity, loyalty and service – define how we treat each other and our members. Be part of what truly makes us special and impactful.
**The Opportunity**
 We are seeking an experienced and strategic Director, Product Owner to lead our team of Development Product Owners and Scrum Masters. This pivotal role will be instrumental in shaping the future of our member data product capabilities, such as member or customer 360 initiatives, ensuring they align with our business objectives and deliver outstanding value to USAA. You will be responsible for the end\-to\-end strategy, cost, and risk management of our member data products.
 Provides direction and oversight to a team that serves as direct representatives of the business on multiple agile teams or at the program or portfolio level. The team represents business collaborators to elicit, understand, analyze, document, refine and communicate business needs and requirements, so that business and/or technical delivery teams can build effective solutions. Possesses an expert knowledge and understanding of and ability to work within multiple delivery methodologies, including Agile and other approaches, to deliver business value. Leads the team through the completion of work, serving as a guide to identify and manage risks, dependencies, and impediments
 We offer a flexible work environment that requires an individual to be
 **in the office 4 days per week.** 
 This position can be based in one of the following locations: San Antonio, TX or Plano, TX. Relocation assistance is
 **not** 
 available for this position.
**What You'll Do**
* Directs a team that works on Agile efforts to include highly complex multi\-year journeys that span multiple Agile teams, programs, and/or portfolios.
* Drives creativity and ingenuity among the team in the search for and application of new product development solutions to resolve highly technical complex and unique issues.
* Serves as an Agile leader with vision for the team and leads the effective prioritization and delegation of work assignments.
* Oversees and ensures the identification and engagement of business collaborators, domain and Subject Matter Experts across all levels of Agile work is completed effectively.
* Partners with sponsors and key collaborators to gain an understanding of the needs, measures, and risks \&amp; controls for the improvement area.
* Provides guidance and oversight at the portfolio, program and project level plans related to schedule, scope and resources.
* Teaches and emphasizes methodology (Agile, Waterfall) principles and structure while creating an environment and mindset of continuous improvement.
* Works with the business to develop metrics to manage risk, track benefits and adoption (KPIs, KRIs, etc.).
* Oversees and holds DPOs accountable for applying knowledge and adhering to required Enterprise processes, procedures, controls, standards, tools and templates. (EPMO, SDLC, FFIEC, DDLC, etc.).
* Coaches and mentors Product Owners.
* Builds and oversees a team of employees through ongoing execution of recruiting, development, retention, performance management, and managerial activities.
* Ensures risks associated with business activities are effectively identified, measured, monitored, and controlled in accordance with risk and compliance policies and procedures.
**What You Have**
* Bachelor’s degree; OR 4 years of related experience (in addition to the minimum years of experience required) may be substituted in lieu of degree.
* 8 years of experience in process improvement, project delivery, business/requirements analysis or directly related business operations/product line.
* 3 years of direct team lead or management experience.
* Hands\-on experience managing stages of the software or product development life cycle.
* Expert knowledge and demonstrated use of least one technical software delivery methodology (i.e., Agile, Waterfall, etc.).
* Experience with and actively drives towards a definition of minimum marketable features and minimum viable products.
* Experience in Microsoft Office products and product management tools.
* Expert knowledge and demonstrated experience providing coaching and guidance of Process Engineering Methodologies, project management, and/or Change Management Practices.
* Experience analyzing business requirements and ability to find opportunities to streamline business processes in accordance with risk management framework and regulatory requirements.
**What Sets You Apart**
* Proven ability to lead data product management initiatives, driving product vision from conception through successful launch and iteration.
* Expertise in developing and delivering data product strategies, translating complex business needs into actionable roadmaps that deliver measurable value.
* Deep understanding of data product management principles and best practices, consistently applying them to optimize product performance and user satisfaction.
* A strategic, data\-driven approach to product development, bringing to bear analytics and insights to inform key decisions and achieve optimal business outcomes.
* Extensive experience in employing customer data to develop impactful products, with a deep understanding of customer segmentation, personalization, and lifecycle management.
* Hands\-on technical proficiency with Snowflake, including its advanced capabilities for data warehousing, performance optimization, and data sharing.
**Compensation range:** 
 The salary range for this position is: $ 127,310\- $243,340
 **.**
 USAA does not provide visa sponsorship for this role. Please do not apply for this role if at any time (now or in the future) you will need immigration support (i.e., H\-1B, TN, STEM OPT Training Plans, etc.).
**Compensation:** 
 USAA has an effective process for assessing market data and establishing ranges to ensure we remain competitive. You are paid within the salary range based on your experience and market data of the position. The actual salary for this role may vary by location.
 Employees may be eligible for pay incentives based on overall corporate and individual performance and at the discretion of the USAA Board of Directors.
 The above description reflects the details considered necessary to describe the principal functions of the job and should not be construed as a detailed description of all the work requirements that may be performed in the job.
**Benefits:** 
 At USAA our employees enjoy best\-in\-class benefits to support their physical, financial, and emotional wellness. These benefits include comprehensive medical, dental and vision plans, 401(k), pension, life insurance, parental benefits, adoption assistance, paid time off program with paid holidays plus 16 paid volunteer hours, and various wellness programs. Additionally, our career path planning and continuing education assists employees with their professional goals.
 For more details on our outstanding benefits, visit our benefits page on USAAjobs.com.
*Applications for this position are accepted on an ongoing basis, this posting will remain open until the position is filled. Thus, interested candidates are encouraged to apply the same day they view this posting.*
*USAA is an Equal Opportunity Employer. All qualified applicants will receive consideration for employment without regard to race, color, religion, sex, sexual orientation, gender identity, national origin, disability, or status as a protected veteran.*
**If you are an existing USAA employee, please use the internal career site in OneSource to apply.**
**Please do not type your first and last name in all caps.**
***Find your purpose. Join our mission.***
 USAA is unlike any other financial services organization. The mission of the association is to facilitate the financial security of its members, associates and their families through provision of a full range of highly competitive financial products and services; in so doing, USAA seeks to be the provider of choice for the military community. We do this by upholding the highest standards and ensuring that our corporate business activities and individual employee conduct reflect good judgment and common sense, and are consistent with our core values of service, loyalty, honesty and integrity.
 USAA attributes its long\-standing success to its most valuable resource: our 35,000 employees. They are the heart and soul of our member\-service culture. When you join us, you'll become part of a thriving community committed to going above for those who have gone beyond: the men and women of the U.S. military, their associates and their families. In order to play a role on our team, you don't have to be connected to the military yourself – you just need to share our passion for serving our more than 13 million members.
 USAA is an EEO/AA Employer \- applicants will receive consideration for employment without regard to race, color, religion, sex, national origin, age, disability, genetic information, sexual orientation, gender identity or expression, pregnancy, protected veteran status or other status protected by law.
 California applicants, please review our HR CCPA \- Notice at Collection (https://statmcstg.usaa.com/mcontent/static\_assets/Media/enterprise\_hr\_cpra\_notice\_at\_collection.pdf) here.
 USAA is an EEO/AA Employer \- applicants will receive consideration for employment without regard to race, color, religion, sex, national origin, age, disability, genetic information, sexual orientation, gender identity or expression, pregnancy, protected veteran status or other status protected by law.
 If you have questions about this posting, please contact support@lensa.com</t>
        </is>
      </c>
    </row>
    <row r="72">
      <c r="A72" t="inlineStr">
        <is>
          <t>li-4364060653</t>
        </is>
      </c>
      <c r="B72" t="inlineStr">
        <is>
          <t>Program Manager-Business Development</t>
        </is>
      </c>
      <c r="C72" t="inlineStr">
        <is>
          <t>Lensa</t>
        </is>
      </c>
      <c r="D72" t="inlineStr">
        <is>
          <t>linkedin</t>
        </is>
      </c>
      <c r="E72">
        <f>HYPERLINK("https://www.linkedin.com/jobs/view/4364060653", "https://www.linkedin.com/jobs/view/4364060653")</f>
        <v/>
      </c>
      <c r="F72" t="inlineStr"/>
      <c r="G72" t="inlineStr">
        <is>
          <t>New York, NY</t>
        </is>
      </c>
      <c r="H72" t="inlineStr"/>
      <c r="I72"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Celestica. Clicking "Apply Now" or "Read more" on Lensa redirects you to the job board/employer site. Any information collected there is subject to their terms and privacy notice.
 Req ID: 125957
 Remote Position: Yes
 Region: Americas
 Country: USA
**Summary**
 Provides direct and indirect supervision to 2 or more subordinate employees performing diverse roles within the Business Development organization. Accountable for projects or programs on a multi\-functional and global basis. Work is guided by broad company objectives and corporate policy and requires developing solutions, precedents, and/or policies. Receives assignments in the form of objectives and develops the strategies and tactics to accomplish those goals. Establishes long\-term plans/objectives and recommends changes to policies. Manages department budgets. Erroneous decisions or failure to achieve goals may result in loss of revenue and may have a significant financial impact on the region or corporate profitability. Provides direct supervision to others and coordinates the activities of a portion of the global Business Development organization, with responsibility for results in terms of costs, methods, and employees. Reviews employees performance and recommends employee compensation; coaches for improved performance and disciplines as necessary. Provides final approval for subordinate managers salary and performance recommendations. Builds cross\-functional relationships where persuasive skills, negotiation skills, and considerable tact are required to gain support. Maintains positive relationships with key customers who have a significant impact on the success of the organization. Primary business interface with customer executives on issues related to business management. Interactions normally involve controversial situations, customer negotiations, or influencing and persuading executives internally and externally. Accountable for overall strategic business management within assigned accounts.
**Detailed Description**
 Performs tasks such as, but not limited to, the following:
* Maintains a minimum revenue accountability (a personal sales quota\-not a team quota) equivalent to at least US$2M in value\-add.
* Acts as the strategic business interface for several accounts on a global basis.
* Accountable for understanding the customer's overall strategy and direction in the 1\-5 year timeframe.
* Develops the strategies and tactics (including pricing strategies) which Celestica will use to win, protect and grow business with the customer.
* Develops customer presentations and proposals.
* Provides direction, guidance and support to the Sales and Operations teams in order to ensure alignment with the strategy and execution of the tactics developed for the account.
* Conducts contract and agreement negotiations, including the development and execution of the negotiation mandate and strategy.
* Ensures that all RFQ responses \&amp; proposals are complete, accurate, on\-time \&amp; consistent with the overall account strategy.
* Represents Celesticas overall business interests.
* Actively manages customer perceptions.
* Advises on execution of contract terms and conditions.
* Performs analysis, qualification and determines new opportunities.
* Coordinates all strategic account activities globally.
* Manages/coaches/mentors direct reports.
**Knowledge/Skills/Competencies**
* Demonstrated ability as a top\-performing sales professional or sales team manager
* Strong business management skills.
* High level of business acumen.
* Strong time management skills and multi\-tasking skills are a requirement.
* Strong business development skills, win/win negotiation skills, contract negotiation skills, communication skills, teamwork skills, interpersonal skills are all critical.
* High degree of computer literacy, with proficiency in Microsoft Office applications
* Strong skills and abilities in conflict resolution, influencing individuals over which you have no direct authority, and developing complex account strategies is critical.
* HR/team management skills necessary to manage a team of direct reports
**Physical Demands**
* Duties of this position are performed in a normal office environment.
* Duties may require extended periods of sitting and sustained visual concentration on a computer monitor or on numbers and other detailed data. Repetitive manual movements (e.g., data entry, using a computer mouse, using a calculator, etc.) are frequently required.
* Frequent overnight travel may be required
* Domestic and International Travel (25\-50%)
* Duties of this position may require working very long hours for months at a time.
**Typical Experience**
* Eleven to Fourteen years of applicable experience, including a minimum of 4 years of field sales experience and a minimum of 2 years business development/management experience. Prior Sales Management experience is desirable.
**Typical Education**
* Bachelor's degree in related field, or consideration of an equivalent combination of education and experience.
* Educational Requirements may vary by geography
**Salary Range**
*The salary range described in this posting is an estimate by the Company, and may change based on several factors, including by not limited to a change in the duties covered by the job posting, or the credentials, experience or geographic jurisdiction of the successful candidate.*
*Salary Range: $119 \- 170K Annually*
**Notes**
 This job description is not intended to be an exhaustive list of all duties and responsibilities of the position. Employees are held accountable for all duties of the job. Job duties and the % of time identified for any function are subject to change at any time.
 All qualified applicants will receive consideration for employment without regard to race, color, religion, sex, sexual orientation, gender identity, national origin, disability, or status as a protected veteran.
 Celestica’s policy on equal employment opportunity prohibits discrimination based on race, color, creed, religion, national origin, gender, sexual orientation, gender identity, age, marital status, veteran or disability status, or other characteristics protected by law.
 This policy applies to hiring, promotion, discharge, pay, fringe benefits, job training, classification, referral and other aspects of employment and also states that retaliation against a person who files a charge of discrimination, participates in a discrimination proceeding, or otherwise opposes an unlawful employment practice will not be tolerated. All information will be kept confidential according to EEO guidelines.
 Location: This is a remote position, with travel as necessary. We are open to considering candidates close to any of our US locations in Massachusetts, Pennsylvania, Minnesota, Texas, Arizona, Oregon or California as well as locations near major airports such as the Northeast, Southeast, Midwest and Pacific Coast.
**Company Overview**
 Celestica (NYSE, TSX: CLS) enables the world’s best brands. Through our recognized customer\-centric approach, we partner with leading companies in Aerospace and Defense, Communications, Enterprise, HealthTech, Industrial, Capital Equipment and Energy to deliver solutions for their most complex challenges. As a leader in design, manufacturing, hardware platform and supply chain solutions, Celestica brings global expertise and insight at every stage of product development – from drawing board to full\-scale production and after\-market services for products from advanced medical devices, to highly engineered aviation systems, to next\-generation hardware platform solutions for the Cloud. Headquartered in Toronto, with talented teams spanning 40\+ locations in 13 countries across the Americas, Europe and Asia, we imagine, develop and deliver a better future with our customers.
 Celestica would like to thank all applicants, however, only qualified applicants will be contacted.
 Celestica does not accept unsolicited resumes from recruitment agencies or fee based recruitment services.
 If you have questions about this posting, please contact support@lensa.com</t>
        </is>
      </c>
    </row>
    <row r="73">
      <c r="A73" t="inlineStr">
        <is>
          <t>li-4364340413</t>
        </is>
      </c>
      <c r="B73" t="inlineStr">
        <is>
          <t>Sr Enterprise Program Manager</t>
        </is>
      </c>
      <c r="C73" t="inlineStr">
        <is>
          <t>Lensa</t>
        </is>
      </c>
      <c r="D73" t="inlineStr">
        <is>
          <t>linkedin</t>
        </is>
      </c>
      <c r="E73">
        <f>HYPERLINK("https://www.linkedin.com/jobs/view/4364340413", "https://www.linkedin.com/jobs/view/4364340413")</f>
        <v/>
      </c>
      <c r="F73" t="inlineStr"/>
      <c r="G73" t="inlineStr">
        <is>
          <t>Jacksonville, FL</t>
        </is>
      </c>
      <c r="H73" t="inlineStr"/>
      <c r="I73"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EverBank. Clicking "Apply Now" or "Read more" on Lensa redirects you to the job board/employer site. Any information collected there is subject to their terms and privacy notice.
**Enterprise Program Manager Sr**
 The Enterprise Program Manager Sr drives the successful delivery of programs, ensuring adherence to timelines, budgets, and quality standards. This role will collaborate with cross\-functional teams and executive leadership to identify project priorities and resource allocation while facilitating effective communication across all levels of the organization. Additionally, this role will implement best practices and methodologies for program management, leading teams in the identification and mitigation of risks throughout the project lifecycle.
**Key Responsibilities And Duties**
* Leads and manages multiple enterprise\-level programs that support the bank's strategic objectives.
* Develops program charters, defines project scope, and identifies required resources for successful execution.
* Establishes and maintains relationships with key stakeholders, including executive leadership, to ensure alignment of program goals and deliverables.
* Monitors, tracks, and reports on program progress, including budget, scope, and timelines, providing updates to stakeholders as necessary.
* Identifies potential risks and issues within the program portfolio and facilitates the development of mitigation strategies.
* Drives continuous improvement initiatives by implementing best practices in program management across the organization.
* Conducts regular program reviews and participate in governance meetings to ensure adherence to regulatory requirements and banking standards.
* Serves as a liaison and builds bridges among cross\-functional leadership teams.
* Adheres to and promotes all EPMO policies and procedures within the project team.
**Educational Requirements**
* University (Degree) Preferred
**Minimum Qualifications**
* 5\+ years of experience managing large\-scale programs or projects in a complex, cross\-functional environment.
* Proven track record of delivering programs on time, within scope, and within budget.
**Preferred Qualifications**
* 7\+ years of experience leading enterprise\-level programs in the financial services or banking industry.
* Experience implementing program governance frameworks and continuous improvement initiatives.
* Actimize implementation and M\&amp;A experience is highly preferred
* Advanced ability to influence and build consensus among senior leadership and cross\-functional teams.
* Strong understanding of regulatory requirements and compliance standards in banking.
* Familiarity with Enterprise PMO policies and tools; experience with portfolio management systems.
**Role Specific Work Experience**
* 5\+ Years Required; 7\+ Years Preferred
**Physical Requirements**
* Physical Requirements: Sedentary Work
**Career Level**
 9IC
 Posting end date: 1/17/26
**Job Seeker Notice**
 EverBank, N.A. is a nationwide specialty bank providing high\-value products and services to consumer and commercial clients nationwide. As a pioneer in online banking, we offer convenient digital access for clients 24/7, in addition to phone banking services and a network of financial centers.
 The Company's commitment is to deliver to our clients high\-performing, high\-yield solutions backed by exceptional service, always giving them the advantage they expect, to make the most of their money.
 VEVRAA Federal Contractor
 Member FDIC
 Notice to Job Seekers (https://everbank.com/about/careers/notice\-to\-job\-seekers)
**Pay Range** 
 $147,500 \- $199,500
 EverBank, N.A. is an equal opportunity (EEO) employer, dedicated to maintaining a work environment free of bias, harassment, discrimination and retaliation. As an EEO employer, EverBank expressly prohibits discrimination, harassment and retaliation based on protected characteristics such as race, creed, ethnicity, color, age, religion, sex, sex stereotype, pregnancy, sexual orientation, gender, gender identity, gender expression, transgender status, marital status, national origin, ancestry, physical or mental disability, genetic history and information, or military or veteran status. Providing a safe, inclusive environment is a priority at EverBank and, consistent with that mission, EverBank considers all qualified applicants for employment regardless of protected status.
 We will not discharge or in any other manner discriminate against associates or applicants because they have inquired about, discussed, or disclosed their own pay or the pay of another associate or applicant. However, associates who have access to the compensation information of other associates or applicants as a part of their essential job functions cannot disclose the pay of other associates or applicants to individuals who do not otherwise have access to compensation information, unless the disclosure is (a) in response to a formal complaint or charge, (b) in furtherance of an investigation, proceeding, hearing, or action, including an investigation conducted by us, or (c) consistent with our legal duty to furnish information.
 If you have questions about this posting, please contact support@lensa.com</t>
        </is>
      </c>
    </row>
    <row r="74">
      <c r="A74" t="inlineStr">
        <is>
          <t>li-4363869962</t>
        </is>
      </c>
      <c r="B74" t="inlineStr">
        <is>
          <t>Senior Program Manager</t>
        </is>
      </c>
      <c r="C74" t="inlineStr">
        <is>
          <t>Prescient Edge</t>
        </is>
      </c>
      <c r="D74" t="inlineStr">
        <is>
          <t>linkedin</t>
        </is>
      </c>
      <c r="E74">
        <f>HYPERLINK("https://www.linkedin.com/jobs/view/4363869962", "https://www.linkedin.com/jobs/view/4363869962")</f>
        <v/>
      </c>
      <c r="F74" t="inlineStr"/>
      <c r="G74" t="inlineStr">
        <is>
          <t>Augusta, GA</t>
        </is>
      </c>
      <c r="H74" t="inlineStr"/>
      <c r="I74" t="inlineStr">
        <is>
          <t>**Description**
 Prescient Edge is seeking a
 **Sr. Program Manager** 
 to support a federal government client.
**Please note that the availability of this position is contingent upon contract award.**
**Sr. Program Manager**
**Benefits**
 At
 **Prescient** 
**Edge** 
 , we believe that acting with integrity and serving our employees is the key to everyone's success. To that end, we provide employees with a best\-in\-class benefits package that includes:
* A competitive salary with performance bonus opportunities.
* Comprehensive healthcare benefits, including medical, vision, dental, and orthodontia coverage.
* A substantial retirement plan with no vesting schedule.
* Career development opportunities, including on\-the\-job training, tuition reimbursement, and networking.
* A positive work environment where employees are respected, supported, and engaged.
**Requirements**
**Qualifications:**
* Expert knowledge of the intelligence cycle and the analytical process that acts on collection to produce information for intelligence databases and products.
* Knowledge of intelligence oversight and security guidelines.
* Excellent communication skills in order to effectively interface with senior military officials, managers, and subordinates.
* Excellent analytical skills.
* Certifications as a program management professional (or equivalent).
**Desired Experiences**
* Superior understanding of DoD intelligence processes, activities, standards, and available analytic tools with general understanding of GEOINT operations.
* Knowledge of and experience in planning and executing technical studies and reports for computer systems and computer networks.
* Knowledge of and experience with Irregular Warfare concepts and operations.
* Working knowledge of army policies and regulations as well as established SOP’s.
* Specialized training from any intelligence collections and analysis school or certification to include GEOINT professional certification (GPC\-F, GPC\_IA\-II, GPC\_GA\-II, GPC\-IS\-II, etc.)
* Knowledge and understanding of the national systems for GEOINT (NSG).
**Desired Education**
* MA or MS degree in Business, Remote sensing, Cartography, Geography, or related field and 10 years of management experience, including 10 years of supervisory experience on U.S. Army or DoD programs and projects that provide expert intelligence analysis service.
* BA or BS degree in Business, Remote sensing, Cartography, Geography, or related field and 15 years of management experience, including 10 years of supervisory experience on U.S. Army or DoD programs and projects that provide expert intelligence analysis service.
**Security Clearance**
* Security clearance required TS/SCI with CI POLY or the ability to obtain CI POLY.
**Location:**
* Fort Gordon, GA.</t>
        </is>
      </c>
    </row>
    <row r="75">
      <c r="A75" t="inlineStr">
        <is>
          <t>li-4364240592</t>
        </is>
      </c>
      <c r="B75" t="inlineStr">
        <is>
          <t>Senior Content Program Manager</t>
        </is>
      </c>
      <c r="C75" t="inlineStr">
        <is>
          <t>Lensa</t>
        </is>
      </c>
      <c r="D75" t="inlineStr">
        <is>
          <t>linkedin</t>
        </is>
      </c>
      <c r="E75">
        <f>HYPERLINK("https://www.linkedin.com/jobs/view/4364240592", "https://www.linkedin.com/jobs/view/4364240592")</f>
        <v/>
      </c>
      <c r="F75">
        <f>HYPERLINK("https://lensa.com/cgw/0d5107273c4a43fdad332470fc61f67ctjo1?jpsi=directemployers&amp;publisher_preference=easier_apply&amp;utm_campaign=Other%20Management%20Occupations&amp;utm_medium=slot&amp;utm_source=linkedin&amp;utm_term=jse&amp;urlHash=WHF4", "https://lensa.com/cgw/0d5107273c4a43fdad332470fc61f67ctjo1?jpsi=directemployers&amp;publisher_preference=easier_apply&amp;utm_campaign=Other%20Management%20Occupations&amp;utm_medium=slot&amp;utm_source=linkedin&amp;utm_term=jse&amp;urlHash=WHF4")</f>
        <v/>
      </c>
      <c r="G75" t="inlineStr">
        <is>
          <t>Redmond, WA</t>
        </is>
      </c>
      <c r="H75" t="inlineStr"/>
      <c r="I75"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Microsoft Corporation. Clicking "Apply Now" or "Read more" on Lensa redirects you to the job board/employer site. Any information collected there is subject to their terms and privacy notice.
**Overview**
 The Business and Industry Copilot (BIC) organization is at the forefront of transforming how Microsoft empowers customers across industries through AI\-driven solutions. Within BIC, the Community Experiences Team (CXT) is responsible for building and scaling the next\-generation community that connects customers, partners, and advocates across Microsoft’s business applications ecosystem, including Power Platform, Dynamics 365, and Copilot Studio.
 We are seeking a dynamic and forward\-thinking Senior Content Program Manager to join our team. This role combines deep product storytelling with program leadership. You will champion the value of AI\-driven ERP, amplify our product vision, and drive cross\-team community programs.
 In this role, you will create and deliver compelling product demos that resonate with audiences online, at conferences, and at industry events of all sizes. You will also define and execute data\-driven community programs that foster engagement, expand reach, and contribute to business growth.
 If you're energized by building communities, passionate about technology, and excited to represent Dynamics 365 and AI ERP on a global stage, we’d love to hear from you.
 This position is based at the Redmond campus with 3 days per week work in the office and 2 days per week work from home. Relocation assistance is available.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Community Program Management:
* Define and manage scalable community programs that support business goals and community growth.
* Use data and insights to continuously improve program effectiveness and community impact.
* Collaborate with community moderators, product teams, and other stakeholders to align initiatives with product and community strategy.
* Drive innovation in community experiences to increase engagement and learning.
* Demo Development:
* Create engaging and visually impactful demos that showcase Dynamics 365 ERP features, use cases, and benefits.
* Tailor demos to specific audiences, emphasizing relevant scenarios and industry applications.
* Collaborate with product teams to stay up to date on the latest features and enhancements.
* Stage Presence:
* Deliver polished presentations that leave a lasting impression.
* Handle unexpected situations with adaptability.
* Technical Proficiency:
* Understanding of Dynamics 365 ERP, AI capabilities, and the broader Microsoft ecosystem (Power Platform, Copilot Studio, MCP, Agents, etc.).
* Demonstrate how to configure, optimize, and showcase intelligent ERP processes and AI\-driven ERP scenarios.
* Address technical questions and challenges related to real\-world implementations, security, and governance of ERP solutions.
**Qualifications**
**Required Qualifications**
* 5\+ years experience in program management, digital content publishing/management, or experience in a writing or editing role
* OR equivalent experience.
**Preferred Qualifications**
* 2\+ years of experience in delivering technical presentations, demos, public speaking, or similar roles.
* 2\+ years of experience with storyboarding, narrative development, and storytelling techniques in the context of developing product demonstrations.
* Experience presenting live demos at large\-scale conferences and industry events.
* Demonstrated ability to handle challenging conversations with poise.
* Prior experience in a customer\-facing technical role, such as consulting or technical sales.
* Basic video recording and editing experience with tools like Camtasia, Clipchamp, OBS, or others.
* Hands\-on experience with Dynamics 365 ERP and familiarity with Copilot Studio, Power Platform, Microsoft 365, Azure, or other ERP solutions.
 \#BICJOBS
 Content Program Management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 (https://careers.microsoft.com/v2/global/en/accessibility.html)
 If you have questions about this posting, please contact support@lensa.com</t>
        </is>
      </c>
    </row>
    <row r="76">
      <c r="A76" t="inlineStr">
        <is>
          <t>li-4364080662</t>
        </is>
      </c>
      <c r="B76" t="inlineStr">
        <is>
          <t>Program Manager - Compliance Training/ Communications - Remote</t>
        </is>
      </c>
      <c r="C76" t="inlineStr">
        <is>
          <t>Lensa</t>
        </is>
      </c>
      <c r="D76" t="inlineStr">
        <is>
          <t>linkedin</t>
        </is>
      </c>
      <c r="E76">
        <f>HYPERLINK("https://www.linkedin.com/jobs/view/4364080662", "https://www.linkedin.com/jobs/view/4364080662")</f>
        <v/>
      </c>
      <c r="F76">
        <f>HYPERLINK("https://lensa.com/cgw/f259165506bf4f36b195133118356947tjo1?jpsi=directemployers_no_redirect&amp;publisher_preference=easier_apply&amp;utm_campaign=Other%20Management%20Occupations&amp;utm_medium=slot&amp;utm_source=linkedin&amp;utm_term=jse&amp;urlHash=WmJL", "https://lensa.com/cgw/f259165506bf4f36b195133118356947tjo1?jpsi=directemployers_no_redirect&amp;publisher_preference=easier_apply&amp;utm_campaign=Other%20Management%20Occupations&amp;utm_medium=slot&amp;utm_source=linkedin&amp;utm_term=jse&amp;urlHash=WmJL")</f>
        <v/>
      </c>
      <c r="G76" t="inlineStr">
        <is>
          <t>Detroit, MI</t>
        </is>
      </c>
      <c r="H76" t="inlineStr"/>
      <c r="I76"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Molina Healthcare. Clicking "Apply Now" or "Read more" on Lensa redirects you to the job board/employer site. Any information collected there is subject to their terms and privacy notice.
**Job Description**
**JOB SUMMARY:**
 Primarily leads compliance training and communications initiatives by developing and managing mandatory education programs, awareness campaigns, and internal communications to promote regulatory adherence and a culture of integrity across the organization. Provides support to Molina functional areas through program management, including policy, workflow and process documentation, management of program controls, vendor practices, budgets, governance frameworks, playbooks and best practices, and champion networks, as applicable.
**Essential Job Duties**
* Develops and manages compliance learning programs including mandatory training, awareness campaigns, and communications aligned with regulatory and corporate standards.
* Creates and delivers engaging training content using adult learning principles, LMS administration, and data\-driven strategies to improve effectiveness.
* Oversees compliance communications such as newsletters, intranet content, and resource materials to reinforce awareness of our culture of integrity and reduce compliance risk.
* Provides subject matter expertise on compliance program management, including policies, workflows, vendor practices, governance frameworks, resource documents, and best practices.
* Responsible for ensuring well\-documented policies, workflows, program controls, internal and third\-party practices, playbooks and best practices for respective program.
* Manages program budget, as applicable, supporting project prioritization.
* Collaborates with Legal, Compliance, and Information Security to ensure governance standards are upheld.
* Tracks performance metrics and ensures value realization from deployed solutions.
* Coordinates recurring meetings to support governance framework and decision\-making processes, as needed.
* At the direction of program (CoE, Shared Service or other functional area) leadership, supports portfolio management and/or initiative\-specific change and project management.
* Collaborates with key stakeholders to support dissemination and adoption of program guardrails, processes, best practices and other collateral.
* Routinely reviews program collateral to ensure current and accurate reflection of business needs.
* Identifies opportunities/gaps and provides recommendations on program enhancements to respective leadership team.
* Responsible for creating business requirements documents, test plans, requirements traceability matrix, user training materials and other related documentations.
* Generates and distributes standard reports on schedule.
**Required Qualifications**
* Minimum of a Bachelor's degree or equivalent experience is required (organizational learning \&amp; development, preferably in journalism, public relations, communications, marketing, or a similar field).
* Relevant work experience in healthcare compliance program operations and risk management; compliance training management highly preferred
* Proficient in virtual collaboration tools and compliance program communications; experienced in developing training content using adult learning principles, managing LMS platforms (e.g., Cornerstone), and leveraging authoring tools (e.g., Articulate360\) to deliver branded, engaging educational materials and events.
* Program and/or Project management experience, or equivalent combination of relevant education and experience.
* Operational Process Improvement experience.
* Managed Care experience, preferably in a shared service, CoE or matrixed environment.
* Experience with Microsoft Project and Visio.
* Strong presentation and communication skills.
 Pay Range: $80,168 \- $155,508 / ANNUAL
* Actual compensation may vary from posting based on geographic location, work experience, education and/or skill level.
 If you have questions about this posting, please contact support@lensa.com</t>
        </is>
      </c>
    </row>
    <row r="77">
      <c r="A77" t="inlineStr">
        <is>
          <t>li-4364200551</t>
        </is>
      </c>
      <c r="B77" t="inlineStr">
        <is>
          <t>Technology Project &amp; Program Manager</t>
        </is>
      </c>
      <c r="C77" t="inlineStr">
        <is>
          <t>Lensa</t>
        </is>
      </c>
      <c r="D77" t="inlineStr">
        <is>
          <t>linkedin</t>
        </is>
      </c>
      <c r="E77">
        <f>HYPERLINK("https://www.linkedin.com/jobs/view/4364200551", "https://www.linkedin.com/jobs/view/4364200551")</f>
        <v/>
      </c>
      <c r="F77" t="inlineStr"/>
      <c r="G77" t="inlineStr">
        <is>
          <t>Tampa, FL</t>
        </is>
      </c>
      <c r="H77" t="inlineStr"/>
      <c r="I77"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Wolters Kluwer. Clicking "Apply Now" or "Read more" on Lensa redirects you to the job board/employer site. Any information collected there is subject to their terms and privacy notice.
 If you are a problem\-solver who is passionate about ensuring customers are delighted by how products look/feel/work and are looking for a new challenge (as well as an opportunity to make a real difference in how nursing students use our products to become ready for practice), we want to hear from you!
 We are looking for a Product Owner to help us in our mission to ensure that the students and faculty who use our Nursing Education digital products/platforms at our most strategic accounts realize the full value of our digital solutions by proactively managing relationships, resolving issues, and championing customer needs in product development. The Product Owner acts as both an advocate and advisor by aligning customer outcomes to business goals.
 This Product Owner will have responsibility for implementing best practices in coordinating the investigation and resolution of common customer issues/requests for key accounts. The Product Owner will develop a first\-hand, in\-depth knowledge of what these users value and what helps customers in their workflows, to ensure nursing students and instructors have what they need to ensure the best educational experience. The Product Owner will work directly with key customers to troubleshoot problems and manage internal and external communications. In addition, for a limited number of customers, this Product Owner will provide project management oversite of implementation of digital products.
 The Product Owner manages the customer relationship for identified accounts on their assigned digital products/platforms. While the Product Owner is not expected to make technology decisions or understand the detail of the coding, they must have sufficient understanding of technology issues as well as an in\-depth understanding of the value each release brings to customers and how the release will work. This position will be closely aligned with the Product Management leadership in the ongoing development of our Enterprise Account strategy and will report to the Director of Product Development, Nursing.
**The Product Owner's Primary Responsibilities Include**
* Developing a deep understanding of Nursing Education customers and their needs, particularly their day\-to\-day interactions with our digital products/solutions
* Coordinating with Product Management on customer interactions to ensure a shared, thorough understanding of customer needs and how they align to short\- and long\-term strategic goals
* Delivering clear, empathetic, and professional communication tailored to each key account, ensuring complex issues are explained effectively
* Tracking and reporting on customer satisfaction metrics at key partnership accounts
* Developing best product implementation strategies with for key customers, ensuring timely delivery and alignment with business objectives, including coordination with Digital Implementation Specialist and Integration Nurse team members for seamless onboarding to our products/platforms through structured planning, relationship management, stakeholder coordination, and proactive risk management
* Bringing excellent organizational skills and a laser\-focus on customer service/insights to translate what customers have reported/requested into actionable/prioritized work for Agile/Scrum teams
* Owning the product development lifecycle/schedule by working with various Agile/Scrum teams to ensure that prioritized items are consumed/deployed in support of customer needs on the assigned products/platforms
* Being the "glue" in the product team who acts as a product's "subject matter expert" for coordinating the investigation and resolution of customer issues across cross\-functional internal teams (including, but not limited to, Product Management, Technology, Content, Sales, Sales Enablement, and Customer Success/Support)
**Other Duties**
 Performs other duties as assigned by supervisor.
**Job Qualifications**
 Education: College degree (BA/BS) or equivalent experience required.
 Experience: At least 1\-year experience in customer service/support, with exposure to digital product development (particularly with Agile/Scrum teams) or equivalent experience in working on products/solutions for educational/academic markets
**Required**
**Other Knowledge, Skills, Abilities, or Certifications:**
* Superior communication and relationship management skills, including ability to facilitate customer communications (internal and external) and triage/troubleshoot customer escalations
* Demonstrated ability to remain professional and solution\-oriented when managing time\-sensitive or emotionally charged customer interactions, with a history of turning challenging situations into positive outcomes
* Strong project management skills, including ability to develop schedules, oversee work\-in\-progress, and implement risk mitigation strategies for efficient/effective solutions
* Ability to prioritize and act as a structured thinker who is able to see "the wood from the trees"
* Demonstrated experience coordinating cross\-functional teams to reach/exceed goals
* Experience in implementing best practice/standards in support of customer issues
**Preferred**
* General knowledge of the Nursing Education market
* Experience with understanding Technology opportunities, constraints, and choices, and ability to articulate associated risks (and possible mitigation plans)
* Familiarity with Agile/Scrum principles and practices for Product Owners
* Exposure to digital products/solutions in the educational space (including testing/assessment products)
* Exposure to backlog software (e.g., Jira, VSO, Trello, Wrike) and communication applications (Slack, MS Teams, Salesforce, etc.)
 Travel Requirements
* Up to 10% travel required
**Our Interview Practices**
*To maintain a fair and genuine hiring process, we kindly ask that all candidates participate in interviews without the assistance of AI tools or external prompts. Our interview process is designed to assess your individual skills, experiences, and communication style. We value authenticity and want to ensure we're getting to know you\-not a digital assistant. To help maintain this integrity, we ask to remove virtual backgrounds and include in\-person interviews in our hiring process. Please note that use of AI\-generated responses or third\-party support during interviews will be grounds for disqualification from the recruitment process.*
*Applicants may be required to appear onsite at a Wolters Kluwer office as part of the recruitment process.*
**Compensation**
 $74,000\.00 \- $126,800\.00 USD
*Compensation range listed is based on primary location of the position. Actual base salary offer is influenced by a wide array of factors including but not limited to skills, experience and actual hiring location. Your recruiter can share more information about the specific offer for the job location during the hiring process.*
**Additional Information**
 Wolters Kluwer offers a wide variety of competitive benefits and programs to help meet your needs and balance your work and personal life, including but not limited to: Medical, Dental, \&amp; Vision Plans, 401(k), FSA/HSA, Commuter Benefits, Tuition Assistance Plan, Vacation and Sick Time, and Paid Parental Leave. Full details of our benefits are available upon request.
 EQUAL EMPLOYMENT OPPORTUNITY Wolters Kluwer U. S. Corporation and all of its subsidiaries, divisions and customer/business units is an Equal Opportunity / Affirmative Action employer. All qualified applicants will receive consideration for employment without regard to race, color, religion, sex, sexual orientation, gender identity, national origin, disability, or protected veteran status.
 If you have questions about this posting, please contact support@lensa.com</t>
        </is>
      </c>
    </row>
    <row r="78">
      <c r="A78" t="inlineStr">
        <is>
          <t>li-4364220547</t>
        </is>
      </c>
      <c r="B78" t="inlineStr">
        <is>
          <t>Senior Program Manager - CenHTRO</t>
        </is>
      </c>
      <c r="C78" t="inlineStr">
        <is>
          <t>Inside Higher Ed</t>
        </is>
      </c>
      <c r="D78" t="inlineStr">
        <is>
          <t>linkedin</t>
        </is>
      </c>
      <c r="E78">
        <f>HYPERLINK("https://www.linkedin.com/jobs/view/4364220547", "https://www.linkedin.com/jobs/view/4364220547")</f>
        <v/>
      </c>
      <c r="F78" t="inlineStr"/>
      <c r="G78" t="inlineStr">
        <is>
          <t>Athens, GA</t>
        </is>
      </c>
      <c r="H78" t="inlineStr"/>
      <c r="I78" t="inlineStr">
        <is>
          <t>****Posting Number:****
 S14610P
****Working Title:****
 Senior Program Manager \- CenHTRO
****Department:****
 Social Work\-CenHTRO
****About The University Of Georgia:****
 Chartered by the state of Georgia in 1785, the University of Georgia is the birthplace of public higher education in America and is the state’s flagship university
 **(https://www.uga.edu/)** 
 . The proof is in our more than 240 years of academic and professional achievements and our continual commitment to higher education. UGA is currently ranked among the top 20 public universities in U.S. News \&amp; World Report. The University’s main campus is located in Athens, approximately 65 miles northeast of Atlanta, with extended campuses in Atlanta, Griffin, Gwinnett, and Tifton. UGA employs approximately 3,100 faculty and more than 7,700 full\-time staff. The University’s enrollment exceeds 41,000 students including over 31,000 undergraduates and over 10,000 graduate and professional students. Academic programs reside in 19 schools and colleges, including our newly established School of Medicine.
****Posting Type:****
 External
****Retirement Plan:****
 TRS or ORP
****Employment Type:****
 Employee
****Benefits Eligibility:****
 Benefits Eligible
****Full/Part Time:****
 Full Time
****Additional Schedule Information:****
 M\-F 8am\-5pm
****Advertised Salary:****
 Commensurate with Experience
****Posting Date:****
 01/16/2026
****Open Until Filled:****
 Yes
****Proposed Starting Date:****
 03/01/2026
**Location of Vacancy:**
 Athens Area
****EEO Policy Statement:****
 The University of Georgia is an Equal Opportunity employer. All qualified applicants will receive consideration for employment without regard to age, color, disability, genetic information, national origin, race, religion, sex, or veteran status or other protected status. Persons needing accommodations or assistance with the accessibility of materials related to this search are encouraged to contact Central HR (
 **hrweb@uga.edu** 
 ).
****USG Core Values Statement:****
 The University System of Georgia is comprised of our 26 institutions of higher education and learning, as well as the System Office. Our USG Statement of Core Values are Integrity, Excellence, Accountability, and Respect. These values serve as the foundation for all that we do as an organization, and each USG community member is responsible for demonstrating and upholding these standards. More details on the USG Statement of Core Values and Code of Conduct are available in USG Board Policy 8\.2\.18\.1\.2 and can be found online at
 **https://www.usg.edu/policymanual/section8/C224/\#p8\.2\.18\_personnel\_conduct** 
 .
 Additionally, USG supports Freedom of Expression as stated in Board Policy 6\.5 Freedom of Expression and Academic Freedom found online at
 **https://www.usg.edu/policymanual/section6/C2653** 
 .
****Classification Title:****
 Program Manager
****FLSA:****
 Exempt
****FTE:****
 1\.00
****Minimum Qualifications:****
 Bachelor’s degree in a related field or equivalent plus 10 years of professional experience to include 3 years of supervisory experience
****Position Summary:****
 This position, funded by the U.S. State Department, will manage a project on human trafficking in Malawi and Zambia, Southern Africa. This position will be funded through 2028 pending funding continuation. The goal of the project is to reduce internal and cross\-border labor trafficking in 6 districts in Malawi and Zambia through a financial capability intervention that uses a randomized controlled trial (RCT).The CenHTRO Senior Program Manager will coordinate all operational aspects of the project for Malawi and Zambia, including research logistics and dissemination, implementing programs, policy work, stakeholder relationships, and communication between the UGA team and its partners. The Senior Program Manager manages the day\-to\-day operation of the project for Malawi and Zambia and provides support to the Director and project staff in meeting reporting deadlines and regulatory requirements. The Senior Program Manager reports to the CenHTRO Director.The mission of CenHTRO is to conduct research, develop programming, and influence policies that drastically and measurably reduce human trafficking and other forms of exploitation. CenHTRO is housed in the School of Social Work.
****Knowledge, Skills, Abilities And/or Competencies:****
* Ability to communicate clearly and effectively.
* Excellent verbal and written communication and presentation skills.
* Exceptional organization skills.
* Exceptional professional behavior.
* High level of initiative.
* Ability to work independently and with multiple partners and stakeholders.
* Ability to work as a team member with all project partners and staff.
* Ability to plan and implement required project responsibilities.
* Experience assigning tasks and monitoring progress to ensure adherence with project needs and deadlines.
* Advanced word processing and basic data management skills.
****Physical Demands:****
 Working in a standard office environment.
**Is driving a responsibility of this position?:**
 No
**Is this a Position of Trust?:**
 No
**Does this position have operation, access, or control of financial resources?:**
 No
**Does this position require a P\-Card? :**
 No
**Is having a P\-Card an essential function of this position? :**
 No
**Does this position have direct interaction or care of children under the age of 18 or direct patient care?:**
 No
**Does This Position Have Security Access (e.g., Public Safety, IT Security, Personnel Records, Patient Records, Or Access To Chemicals And Medications):**
 No
****Credit And P\-Card Policy:****
 Be advised a credit check will be required for all positions with financial responsibilities. For additional information about the credit check criteria, visit the
 **UGA Credit Background Check website** 
 .
****Background Investigation Policy:****
 Offers of employment are contingent upon completion of a background investigation including, a criminal background check demonstrating your eligibility for employment with the University of Georgia; confirmation of the credentials and employment history reflected in your application materials (including reference checks) as they relate to the job\-based requirements of the position applied for; and, if applicable, a satisfactory credit check. You may also be subject to a pre\-employment drug test for positions with high\-risk responsibilities, if applicable. Please visit the
 **UGA Background Check website** 
 .
****Duties/Responsibilities:****
**Program Management**
* Supports the CenHTRO Director in determining program priorities and strategic direction.
* Manages program team to ensure federal performance measures are met, as well as ensuring the strategic, programmatic, and technical integrity of the program.
* Leads regularly scheduled project team and partner meetings.
* Works in close collaboration with stakeholders, partners, and sponsors to enhance buy\-in to the program.
* Works closely with Business Manager to manage program subawards and contracts.
* Leads policy strategy development on program teams.
* Supports research teams in the development of research protocols, training materials, and data collection.
* Leads development and execution of key program events.
****Percentage Of Time:****
 85
****Duties/Responsibilities:****
**Monitoring and Evaluation**
* Supports monitoring and evaluation activities led by MEL Coordinator.
* Manages process of completing and uploading quarterly and final reporting paperwork, working with Business Manager, MEL Coordinator, and research team.
* Responds to both internal and external ad hoc requests for data or program information.
* Travels 2\-3x/year for purposes of program monitoring and leads planning of these site visits.
****Percentage Of Time:****
 15
****Contact Details:****
 For questions concerning this position or recruitment progression, please refer to the Recruitment Contact listed below.
****Recruitment Contact Name:****
 Mandi Albanese
****Recruitment Contact Email:****
 mandih@uga.edu
****Recruitment Contact Phone:****
 706\-542\-3364</t>
        </is>
      </c>
    </row>
    <row r="79">
      <c r="A79" t="inlineStr">
        <is>
          <t>li-4353793543</t>
        </is>
      </c>
      <c r="B79" t="inlineStr">
        <is>
          <t>Senior Program Manager - Global PMO Operations</t>
        </is>
      </c>
      <c r="C79" t="inlineStr">
        <is>
          <t>KBI Biopharma</t>
        </is>
      </c>
      <c r="D79" t="inlineStr">
        <is>
          <t>linkedin</t>
        </is>
      </c>
      <c r="E79">
        <f>HYPERLINK("https://www.linkedin.com/jobs/view/4353793543", "https://www.linkedin.com/jobs/view/4353793543")</f>
        <v/>
      </c>
      <c r="F79" t="inlineStr"/>
      <c r="G79" t="inlineStr"/>
      <c r="H79" t="inlineStr"/>
      <c r="I79" t="inlineStr">
        <is>
          <t>At KBI Biopharma, we are advancing science and accelerating breakthroughs. As a global leader in biopharmaceutical development and manufacturing, we empower life science companies to bring new medicines and vaccines to the world faster. Explore your potential at KBI, where innovation meets impact.
**Position Summary:**
 KBI Biopharma is seeking a highly skilled Senior Program Manager (Global PMO Operations) to support critical project management initiatives, ensure financial oversight, and support multiple Programs across the global portfolio. Lead customer survey efforts, support global PMO operations, assisting the refinement of business processes, schedule management, overseeing global financial reporting, and data transitions to SAP and driving data migration efforts. The ideal candidate will have a strong background in program management, financial reporting, and enterprise system migrations, ensuring alignment with business objectives and operational excellence.
**Responsibilities:**
* Ensure alignment of PMO operations with corporate objectives, driving efficiency and continuous improvement.
* Support business intelligence data collection for programs in the global portfolio.
* Collaborate cross\-functionally with stakeholders, ensuring project timelines are tracked and budgets are effectively managed.
* Develop and implement best practices, processes, and governance frameworks to optimize project execution within the Global PMO Operations.
* Provide regular updates, reports, dashboards and presentations on project status, risks, and mitigation strategies.
* Perform global financial reporting efforts, ensuring accuracy and compliance with organizational financial policies.
* Generate and analyze revenue backlog reports, providing insights to leadership for strategic decision\-making.
* Monitor and manage the product intelligence data for the projects in global portfolio.
* Revision of customer survey, follow\-up and metric analysis.
* Upkeep of SOPs for various business processes to streamline PMO operations
* Collaborate with business stakeholders and technical teams to understand data requirements and provide insights to support decision\-making processes.
* Design and develop custom reports in Planview to support cross\-functional teams across the organization.
* Design and develop interactive dashboards and reports using Planview tool and partner with stakeholders to develop KPIs and performance metrics to track business performance.
* Serve as the Data Lead for the preparation, cleansing, and validation of data for transition/migration to SAP from Planview to SAP\-ERP system especially for strategic clients.
* Perform testing in QA and production environments to support the SAP\-ERP readiness.
* Work closely with IT and business teams to streamline the data transition process and troubleshoot migration challenges for strategic clients.
* Act as the key liaison between senior leadership, finance teams, IT, and project technical teams to ensure seamless communication.
* Oversee and manage programs and projects, including building project structure on Planview \&amp; Propel, and perform financial management activities.
**Requirements:**
* Bachelor's or master's degree in business, Finance, Project Management, or a related field.
* 7\+ years of experience in project/program management within a global PMO or similar operational function.
* Experience in managing large\-scale financial reporting, revenue backlog management, and enterprise system transitions (SAP preferred).
* Strong proficiency in Planview, Propel, and financial management tools.
* Expertise in data migration, cleansing, and governance for enterprise systems.
* Excellent communication, stakeholder management, and problem\-solving skills.
* Expertise in generation of business and product intelligence data.
**Salary Range:** 
 $118,000 \- $162,800
 Salary range provided per current averages and expectations. The salary and job title for this opening will be based on the selected candidate’s qualifications and experience and may be outside this range. KBI has a robust total rewards strategy which includes an annual bonus structure for all employees, medical, dental, and vision coverage, paid PTO and holidays, Sabbatical program, 401K matching with 100% vesting in 60 days and employee recognition programs.
**About KBI:**
 KBI Biopharma, Inc., a JSR Life Sciences company, is a global contract development and manufacturing organization (CDMO) providing fully integrated and accelerated drug development and biologics manufacturing services to life science companies. KBI supports its 500\+ customers in advancing more than 160 drug candidates from preclinical and clinical stages to market, including the manufacture of ten commercial products. Recognized for quality manufacturing, KBI delivers robust process development and cGMP manufacturing services across its six global locations in the USA and Europe. For more information, visit www.kbibiopharma.com.
*KBI is a proud EEO/AA employer dedicated to building a diverse and inclusive workforce. We believe that innovation thrives in an environment where all voices are heard and valued. That's why we actively seek individuals from all backgrounds – regardless of race, color, national origin, religion, gender, gender identity, sexual orientation, age, disability, or veteran status – and strongly encourage all qualified candidates to apply and bring their unique perspectives to our team.*
*KBI Biopharma is committed to providing a safe and healthy workplace. Any employee entering a KBI site located in the US must inform KBI Biopharma of their vaccination status and must submit their vaccination status. All vaccinated employees are required to provide proof of their COVID\-19 vaccination, with a COVID\-19 vaccination which has been granted FDA approval or Emergency Use Authorization.*
*KBI Biopharma, Inc. is an EEO/AA employer and actively seeks to diversify its work force. Therefore, all qualified applicants, regardless of race, color, national origin, religion, gender, gender identity, sexual orientation, age, disability or veteran status, are strongly encouraged to apply.*
*I understand that neither the completion of this application nor any other part of my consideration for employment establishes any obligation for KBI Biopharma, Inc. to hire me. If I am hired, I understand that either KBI Biopharma, Inc. or I can terminate my employment at any time and for any reason, with or without cause and without prior notice. I understand that no representative of KBI Biopharma, Inc. has the authority to make any assurance to the contrary.*
*I attest with my signature below that I have given to KBI Biopharma, Inc. true and complete information on this application. No requested information has been concealed. I authorize KBI Biopharma, Inc. to contact references provided for employment reference checks. If any information I have provided is untrue, or if I have concealed material information, I understand that this will constitute cause for the denial of employment or immediate dismissal.*</t>
        </is>
      </c>
    </row>
    <row r="80">
      <c r="A80" t="inlineStr">
        <is>
          <t>li-4364320473</t>
        </is>
      </c>
      <c r="B80" t="inlineStr">
        <is>
          <t>Senior Logistics - Program Manager</t>
        </is>
      </c>
      <c r="C80" t="inlineStr">
        <is>
          <t>Lensa</t>
        </is>
      </c>
      <c r="D80" t="inlineStr">
        <is>
          <t>linkedin</t>
        </is>
      </c>
      <c r="E80">
        <f>HYPERLINK("https://www.linkedin.com/jobs/view/4364320473", "https://www.linkedin.com/jobs/view/4364320473")</f>
        <v/>
      </c>
      <c r="F80">
        <f>HYPERLINK("https://lensa.com/cgw/c912bda165b94a57aa930fd12709511atjo1?jpsi=directemployers&amp;publisher_preference=easier_apply&amp;utm_campaign=Operations%20Specialties%20Managers&amp;utm_medium=slot&amp;utm_source=linkedin&amp;utm_term=jse&amp;urlHash=Uwam", "https://lensa.com/cgw/c912bda165b94a57aa930fd12709511atjo1?jpsi=directemployers&amp;publisher_preference=easier_apply&amp;utm_campaign=Operations%20Specialties%20Managers&amp;utm_medium=slot&amp;utm_source=linkedin&amp;utm_term=jse&amp;urlHash=Uwam")</f>
        <v/>
      </c>
      <c r="G80" t="inlineStr">
        <is>
          <t>Oklahoma City, OK</t>
        </is>
      </c>
      <c r="H80" t="inlineStr"/>
      <c r="I80"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Huntington Ingalls Industries. Clicking "Apply Now" or "Read more" on Lensa redirects you to the job board/employer site. Any information collected there is subject to their terms and privacy notice.
 Requisition Number: 26323
 Required Travel: 11 \- 25%
 Employment Type: Full Time/Salaried/Exempt
 Anticipated Salary Range: $98,542\.00 \- $130,000\.00
 Security Clearance: TS/SCI
 Level of Experience: Senior
 Employee Referral Amount: $6,500\.00
 Meet HII’s Mission Technologies Division
 Our team of more than 7,000 professionals worldwide delivers all\-domain expertise and advanced technologies in service of mission partners across the globe. Mission Technologies is leading the next evolution of national defense – the data evolution \- by accelerating a breadth of national security solutions for government and commercial customers. Our capabilities range from C5ISR, AI and Big Data, cyber operations and synthetic training environments to fleet sustainment, environmental remediation and the largest family of unmanned underwater vehicles in every class. Find the role that’s right for you. Apply today. We look forward to meeting you.
**Job Description**
 HII – Mission Technologies Corp. is looking for a qualified Senior Logistics – Program Manager to support a position that requires the expeerience to perform logistics tasks to planning, development, implementation, and management of a comprehensive, affordable and effective systems support strategy. This role will be onsite at Tinker AFB.
 This individual will support logistics and maintenance control organizations on issues such as:
* Technical evaluation and identification of weapon systems logistic requirements and resources
* Development of logistics support and maintainability programs or plans
* Systems acquisition requirements analysis and control
* AIS hardware and software standardization and compatibility
* Product Support/Reliability, Availability, Maintainability and Cost (RAM\-C) program test and evaluation planning and execution and Product Support/RAM\-C analysis and assessments in supportability planning.
**Essential Job Responsibilities**
* Develops, modifies, prepares, or validates documentation in relation to automated logistics or maintenance data reporting systems, and management information systems.
* Perform material solution analyses leading up to design reviews and produce or support development of draft documentation and presentation materials as requested or necessitated by programmatic limits based on cost, schedule, and performance.
* Collect, compile, analyze, investigate, research, and/or apply logistics, maintenance, acquisition or financial data and information.
* Develop, modify, prepare and/or validate documentation in relation to automated logistics or maintenance data reporting systems, and management information systems.
* Assist with technical analyses, planning, and execution and assist the government in the review of technical specifications and documentation in support of Reliability, Maintainability, Quality, Supportability, and Interoperability (RMQSI) efforts to facilitate and update sustainment issues identified as related to the Life Cycle Support Plan and Integrated Support Plan.
* Analyze government furnished equipment (GFE)/government furnished property (GFP), support equipment (SE), and demilitarization requirements. Plans and schedules with program status to recommend those actions be required to: comply with plans, identify changes to plans, and recommend corrective actions to resolve problem areas.
* Gather and organize required data to provide support for Government technical evaluations.
* Accomplish Technical Data Management (TDM) and analyses; write reports, recommend actions, or perform any related tasks that provide logisticians the capabilities to acquire, store, and manage in a timely, efficient, cost\-affordable manner the recorded information needed to translate system and equipment design requirements into discrete engineering and logistics considerations; and manage a TO/Technical Data Library.
**Minimum Qualifications**
* 15\+ years relevant experience with Bachelors in related field; 13\+ years relevant experience with Masters in related field; or High School Diploma or equivalent and 19\+ years relevant experience.
* Minimum of 13 years of relevant DoD work experience with no less than three (3\) years’ experience in a SAP and/or SCI environment within the last five (5\) years and a MA/MS/ME degree.
* Top Secret security clearance, current within five years, and be eligible for Sensitive Compartmented Information (SCI) and Special Access Programs (SAP) access.
* Knowledge of GFP/GFE purchasing to determine cost, develop budgets, process purchasing documentation, and resolve issues to ensure adequate asset availability.
* Knowledge of DoD Acquisition processes is required.
* Individual will have knowledge of Product Support Elements, to include:
* Sustaining/system engineering
* Design interface
* Supply support
* Maintenance planning and management
* Support equipment/automatic test systems
* Facilities packaging, handling, storage, and transportation
* Technical data management/technical orders
* Manpower and personnel, training computer resources and product support management.
 Additional tasks
* Prepare an engineering data management plan, TO verification plans, and TO management plans.
* Assist in identifying engineering data requirements and data right claims.
* Arrange and support engineering data/TO/commercial manual guidance conferences and in\-process reviews.
* Review, track, and monitor verification and delivery of engineering/technical data; identify requirements for manuals to include military use of commercial maintenance, repair, service, overhaul, and flight manuals; and arrange for printing and distribution of TOs/data and updates.
* Identify, review and analyze deficiencies and engineering change proposals (ECPs) in accordance with applicable contracts.
* Review and analyze deficiency reports (DRs) and assist in conducting root cause analyses of the supply chain in order to identify any problems and areas for improvement.
* Review recommended tech order changes (AFTO Form 22, Engineering Dispositions), identify potential impacts to the supply chain, and provide inputs to Integrated Logistics Support Managers (ILSM), program managers, and fleet managers.
* Track and monitor Technical Compliance TOs (TCTO).
* Provide support to the development and maintenance of Postproduction Support Plans (PPSP), Postproduction Transition Plans (PPTP), and Transition to Postproduction (TPP). Develop and execute requirements in phased strategies for PPTP and TPP.
* Support material efforts regarding damage scenarios, recovery, rebuild and depot maintenance, production shutdown, risk mitigation, part configurations, and production asset disposition.
* Resolve DMSMS issues, research parts availability, establish AT parts supply priority, and resolve Mission Impaired Capability Awaiting Parts (MICAP) situations.\\ Identify parts’ cost, lead times, and sources of repair or manufacture
 Physical Requirements
 Job performance will normally require only minor lifting and carrying of boxes of records or equipment.
 HII is more than a job \- it’s an opportunity to build a new future. We offer competitive benefits such as best\-in\-class medical, dental and vision plan choices; wellness resources; employee assistance programs; Savings Plan Options (401(k)); financial planning tools, life insurance; employee discounts; paid holidays and paid time off; tuition reimbursement; as well as early childhood and post\-secondary education scholarships. Bonus/other non\-recurrent compensation is occasionally offered for qualified positions, and if applicable to this role will be addressed by the recruiter at the screening phase of application.
 Why HII
 We build the world’s most powerful, survivable naval ships and defense technology solutions that safeguard our seas, sky, land, space and cyber. Our workforce includes skilled tradespeople; artificial intelligence, machine learning (AI/ML) experts; engineers; technologists; scientists; logistics experts; and business administration professionals.
 Recognized as one of America’s top large company employers, we are a values and ethics driven organization that puts people’s safety and well\-being first. Regardless of your role or where you serve, at HII, you’ll find a supportive and welcoming environment, competitive benefits, and valuable educational and training programs for continual career growth at every stage of your career.
 Together we are working to ensure a future where everyone can be free and thrive.
 All qualified applicants will receive consideration for employment without regard to race, color, religion, gender, gender identity or expression, sexual orientation, national origin, physical or mental disability, age, or veteran status or any other basis protected by federal, state, or local law.
 Do You Need Assistance?
 If you need a reasonable accommodation for any part of the employment process, please send an e\-mail to buildyourcareer@hii\-co.com and let us know the nature of your request and your contact information. Reasonable accommodations are considered on a case\-by\-case basis. Please note that only those inquiries concerning a request for reasonable accommodation will be responded to from this email address. Additionally, you may also call 1\-844\-849\-8463 for assistance. Press \#3 for HII Mission Technologies.
 If you have questions about this posting, please contact support@lensa.com</t>
        </is>
      </c>
    </row>
    <row r="81">
      <c r="A81" t="inlineStr">
        <is>
          <t>li-4364350379</t>
        </is>
      </c>
      <c r="B81" t="inlineStr">
        <is>
          <t>Sr Project &amp; Program Manager - Construction REMOTE</t>
        </is>
      </c>
      <c r="C81" t="inlineStr">
        <is>
          <t>Lensa</t>
        </is>
      </c>
      <c r="D81" t="inlineStr">
        <is>
          <t>linkedin</t>
        </is>
      </c>
      <c r="E81">
        <f>HYPERLINK("https://www.linkedin.com/jobs/view/4364350379", "https://www.linkedin.com/jobs/view/4364350379")</f>
        <v/>
      </c>
      <c r="F81" t="inlineStr"/>
      <c r="G81" t="inlineStr">
        <is>
          <t>Nashville, TN</t>
        </is>
      </c>
      <c r="H81" t="inlineStr"/>
      <c r="I81"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CBRE. Clicking "Apply Now" or "Read more" on Lensa redirects you to the job board/employer site. Any information collected there is subject to their terms and privacy notice.
 Sr Project \&amp; Program Manager \- Construction REMOTE
 Job ID
 251121
 Posted
 08\-Dec\-2025
 Service line
 PJM Segment
 Role type
 Full\-time
 Areas of Interest
 Project Management
 Location(s)
 Remote \- US \- Remote \- US \- United States of America
**About The Role**
 You will be responsible for providing consulting services to an assigned technology sector client account to help achieve the company's strategic business objectives. This job is part of the Project Management function. They are responsible for the management of projects from initiation through completion. As a Sr. Project Manager and Program Manager, conduct planning, crafting, leading, and implementing all vital activities to run the successful execution of office construction projects, and CAPEX activities. Provide centralized control that results in consistent project execution, resource management, detailed fiscal governance, and dedication to innovation.
 This position is REMOTE in Central or Eastern Time Zone.
**What You'll Do**
* Manage all areas of project management for multiple real estate projects. This includes planning, design, construction, occupancy, and closeout.
* Work directly with clients to prepare all elements of the project. This includes the scope of work, project delivery resource requirements, cost estimates \&amp; budget, work plan schedule \&amp; milestones.
* Detailed understanding of budgets. Must be able to build budget, track revenue and profit.
* Project Controls, Creating implementing templates, trackers, dashboards, playbooks.
* Manage project pipeline and assign responsibilities to the team.
* Create and maintain project plans, business cases, and cost\-benefit trackers, training, and communication plans. Provide project updates to both clients and Sr management and resolve escalated issues.
* Ensure all functions remain on schedule and issues get resolved or escalated.
* Facilitate regular meetings to review project status for active and pending projects.
* Approve the allocation of resources and budget appropriately.
* Adhere to compliance with the Master Service Agreement.
* Exchange and explain difficult information, convey performance expectations, and handle sensitive issues. Influence parties of shared interests to reach an agreement.
**What You'll Need**
* Bachelor's Degree preferred with 5\-8 years of relevant experience. In lieu of a degree, a combination of experience and education will be considered.
* Experience in the project management/construction industry.
* Ability to solve unique problems using standard and innovative solutions having a broad impact on the business.
* Microsoft Office products. Examples include Word, Excel, Outlook, etc.
* Applicants must be currently authorized to work in the United States without the need for visa sponsorship now or in the future
**Disclaimer**
 Please be advised that effective January 1, 2025, CBRE Project Management and Turner \&amp; Townsend will be consolidated into a single global business entity. As a candidate applying for a position, you should be aware that while your initial employment may be with CBRE Project Management, you will subsequently transfer to the newly formed entity that encompasses both organizations.
 Turner \&amp; Townsend carefully considers multiple factors to determine compensation, including a candidate's education, training, and experience. The minimum salary for this position is 110,000 annually and the maximum salary for this position is 120,000 annually. The compensation that is offered to a successful candidate will depend on the candidate's skills, qualifications, and experience. Successful candidates will also be eligible for a discretionary bonus based on Turner \&amp; Townsend's applicable benefit program. This role will provide the following benefits: 401(K), Dental insurance, Health insurance, Life insurance, and Vision insurance.
**Equal Employment Opportunity:** 
 CBRE has a long\-standing commitment to providing equal employment opportunity to all qualified applicants regardless of race, color, religion, national origin, sex, sexual orientation, gender identity, pregnancy, age, citizenship, marital status, disability, veteran status, political belief, or any other basis protected by applicable law.
**Candidate Accommodations:** 
 CBRE values the differences of all current and prospective employees and recognizes how every employee contributes to our company's success. CBRE provides reasonable accommodations in job application procedures for individuals with disabilities. If you require assistance due to a disability in the application or recruitment process, please submit a request via email at recruitingaccommodations@cbre.com or via telephone at \+1 866 225 3099 (U.S.) and \+1 866 388 4346 (Canada).
 CBRE, Inc. is an Equal Opportunity and Affirmative Action Employer (Women/Minorities/Persons with Disabilities/US Veterans)
 If you have questions about this posting, please contact support@lensa.com</t>
        </is>
      </c>
    </row>
    <row r="82">
      <c r="A82" t="inlineStr">
        <is>
          <t>li-4363759727</t>
        </is>
      </c>
      <c r="B82" t="inlineStr">
        <is>
          <t>Senior Program Manager - Structural Engineering</t>
        </is>
      </c>
      <c r="C82" t="inlineStr">
        <is>
          <t>Procon Consulting</t>
        </is>
      </c>
      <c r="D82" t="inlineStr">
        <is>
          <t>linkedin</t>
        </is>
      </c>
      <c r="E82">
        <f>HYPERLINK("https://www.linkedin.com/jobs/view/4363759727", "https://www.linkedin.com/jobs/view/4363759727")</f>
        <v/>
      </c>
      <c r="F82" t="inlineStr"/>
      <c r="G82" t="inlineStr">
        <is>
          <t>Washington, DC</t>
        </is>
      </c>
      <c r="H82" t="inlineStr"/>
      <c r="I82" t="inlineStr">
        <is>
          <t>Procon is a top\-ranked construction management and technology consulting firm with 25 years of experience delivering high‑impact projects across the U.S. and worldwide. An ENR Top 100 CM/PM firm for five consecutive years, we specialize in program management, project controls, commissioning, and technology—and offer an excellent platform to grow your career while shaping the future of the built environment.
 Procon now seeks a Senior Program Manager for a long term opportunity in the Washington, DC area. The candidate will have responsibilities that include but are not limited to construction management, quality assurance, project controls, design/build, architecture and engineering, space management, facilities management, real estate, and leasing of complex construction projects. This role requires 15\+ years of experience in construction management on projects for new construction, mechanical systems, renovations, upgrades or new fit\-outs. This role is ideal for someone with experience in the A/E/C industry and has the ambition to become a future leader within Procon Consulting. This role will focus on project management and development centered around leading and managing teams and multiple projects. This role requires various skills and experience as listed below.
**Requirements**
**Qualifications and Skills**
* Bachelor’s degree in Structural Engineering is required.
* 15\+ years of responsible experience as: an owner’s representative, project facilitator, construction manager or design and construction contracting experience.
* A CCM, PMP, P.E., or A.IA. certification is required.
* Excellent communication skills, both written and oral, and has the ability to effectively facilitate meetings.
* Experience working in dynamic environments around guest or facility activity.
* Candidates with occupied renovation experience are preferred.
**Responsibilities And Duties**
* Oversee the operational execution of multiple concurrent projects within an assigned Program, ensuring alignment with scope, schedule, budget, and quality objectives.
* Lead, organize, and manage CMS staff across the Program, including workforce planning, task assignments, performance oversight, and professional development.
* Directly supervise project execution activities, ensuring deliverables meet contractual, technical, and regulatory requirements.
* Manage Program budgets and cost controls, tracking expenditures and forecasting financial performance to ensure cost objectives are achieved.
* Develop and maintain Program schedules, monitoring milestones and proactively addressing risks, issues, and resource constraints.
* Lead recruiting, onboarding, and training efforts for Program staff to ensure adequate staffing levels and technical competency.
* Provide regular status updates, performance metrics, and analytical reports to senior leadership and stakeholders on Program and project progress.
* Ensure effective coordination and communication among internal teams, consultants, and external stakeholders.
* Implement best practices for Program management, quality assurance, and continuous improvement.
* Demonstrate excellent written and verbal communication, organizational skills, and proficiency with relevant computer applications and project management tools.
* Utilize experience with Government contracting to support compliance with contractual obligations, procurement processes, and agency standards (preferred).
**Benefits**
 Salary commensurate with experience.
 Interested and qualified candidates please submit a cover letter and a resume.
 Procon offers competitive salaries and a comprehensive benefits package, including full
 medical/dental insurance and 401(K) plan. Procon is an equal opportunity employer and considers qualified applicants for employment without regard to race, gender, age, color, religion, disability, veteran status, sexual orientation, or any other protected factor.</t>
        </is>
      </c>
    </row>
    <row r="83">
      <c r="A83" t="inlineStr">
        <is>
          <t>li-4363769793</t>
        </is>
      </c>
      <c r="B83" t="inlineStr">
        <is>
          <t>DHHS Program Manager I - Perinatal Regionalization</t>
        </is>
      </c>
      <c r="C83" t="inlineStr">
        <is>
          <t>State of Nebraska</t>
        </is>
      </c>
      <c r="D83" t="inlineStr">
        <is>
          <t>linkedin</t>
        </is>
      </c>
      <c r="E83">
        <f>HYPERLINK("https://www.linkedin.com/jobs/view/4363769793", "https://www.linkedin.com/jobs/view/4363769793")</f>
        <v/>
      </c>
      <c r="F83">
        <f>HYPERLINK("https://www.adzuna.com/details/5589795318?v=30AF84F80774C4301493C60AE35500B32BCB9E30&amp;r=21086177&amp;ccd=ad95b84339c77bf3ec4559f884e02e39&amp;frd=ac57b744f7d15d73d3d7ef188a2a60bb&amp;utm_source=linkedin7&amp;utm_medium=organic&amp;chnlid=1931&amp;title=DHHS%20Program%20Manager%20I%20-%20Perinatal%20Regionalization&amp;a=e&amp;urlHash=Vcyt", "https://www.adzuna.com/details/5589795318?v=30AF84F80774C4301493C60AE35500B32BCB9E30&amp;r=21086177&amp;ccd=ad95b84339c77bf3ec4559f884e02e39&amp;frd=ac57b744f7d15d73d3d7ef188a2a60bb&amp;utm_source=linkedin7&amp;utm_medium=organic&amp;chnlid=1931&amp;title=DHHS%20Program%20Manager%20I%20-%20Perinatal%20Regionalization&amp;a=e&amp;urlHash=Vcyt")</f>
        <v/>
      </c>
      <c r="G83" t="inlineStr">
        <is>
          <t>Lincoln, NE</t>
        </is>
      </c>
      <c r="H83" t="inlineStr"/>
      <c r="I83" t="inlineStr">
        <is>
          <t>**The work we do matters!**
**Hiring Agency**
 Health \&amp; Human Services \- Agency 25
**Location:**
 Lincoln, NE
**Hiring Rate**
 $28\.371
**Job Posting**
 JR2026\-00022293 DHHS Program Manager I \- Perinatal Regionalization (Open)
**Applications No Longer Accepted On** 
 (If no date is displayed, job is posted as open until closed):
 01\-30\-2026
**Job Description**
 The DHHS Public Health Division is seeking a an experienced grant program manager to partner with the Maternal, Child, and Adolescent Health DHHS Program Specialist RN and Nebraska Perinatal Quality Improvement Collaborative to ensure alignment with the American College of Obstetricians and Gynecologists standards of maternal care through the state of Nebraska.
**Job Duties**
* Plans, organizes, and manages statewide implementation of perinatal regionalization efforts, including management of contracts and subawards.
* Develops standards and protocols for identifying risk\-appropriate levels of care for birthing hospitals in Nebraska in partnership with the Maternal, Child, and Adolescent Health DHHS Program Specialist RN and Nebraska Perinatal Quality Improvement Collaborative. Ensures alignment with the American College of Obstetricians and Gynecologists levels of maternal care.
* Assesses and verifies levels of maternal care to determine appropriate level of care for birthing hospitals across Nebraska.
* Coordinates statewide perinatal services and builds system for formal system for provider consultation and referrals to regional specialty services, including coordination with Emergency Medical Services.
* Plans and coordinates statewide data collection and continuous quality improvement efforts. Uses data to inform sustainability planning. Aligns program activities with data and population health priorities.
* Provides input and recommendations on policy and systems integration to support long\-term sustainability for perinatal regionalization.
**Pay:** 
 $28\.371 hourly to start. $29\.790 after successful completion of original probation.
**Requirements/Qualifications**
**Minimum Requirements:** 
 Bachelor’s degree in business or public administration, social/behavioral sciences, education, health sciences, public health, law or related field and experience in program planning, implementation, monitoring, evaluating program functions or supervising/management staff and budgets. Related coursework, training and/or education may substitute for the Bachelor’s degree on a year\-for year basis. Experience may be substituted for education on a year\-for\-year basis.
**Preferred Qualifications:** 
 Experience monitoring grant activities, contracts and subawards. Past clinic or hospital management experience, EMT, or program assessment experience a plus.
**Knowledge, Skills, And Abilities**
**Knowledge of** 
 : the principles and techniques of management; business and management principles including planning, budgeting, resource allocation and human resources; the principles of grant writing and grant administration; the techniques of research, planning and evaluation; work performance or other standards of development; program analysis/evaluation; policy development.
**Skill in** 
 : communicating to convey information so others will understand.
**Ability to** 
 : learn, apply and interpret agency policies and procedures relating to the assigned program or function; learn, apply and interpret State and federal laws and standards; develop and maintain effective relationships with program representatives and the public; summarize program and administrative data/statistics into reports; formulate goals and plans; manage time and workflow of oneself and that of others to meet deadlines; demonstrate professionalism.
 If you're
 **currently** 
 employed by the State of Nebraska, please don't apply through this external career site. Instead, log in to Workday and open the
 **Jobs Hub \- Internal Apply** 
 app from your home landing page. You can access Workday anytime through the Link web page: https://link.nebraska.gov/
**Benefits**
 We offer a comprehensive package of pay, benefits, paid time off, retirement and professional development opportunities to help you get the most out of your career and life. Your paycheck is just part of your total compensation.
 Check out all that the State of Nebraska has to offer! Benefit eligibility may vary by position, agency and employment status. For more information on benefits, please visit: https://statejobs.nebraska.gov/index.html\#benefits
**Equal Opportunity Statement**
 The State of Nebraska values our teammates as well as a supportive environment that strives to promote diversity, inclusion, and belonging. We recruit, hire, train, and promote in all job classifications and at all levels without regard to race, color, religion, sex. age, national origin, disability, marital status or genetics.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2026-01-19T01:31:34Z</dcterms:created>
  <dcterms:modified xsi:type="dcterms:W3CDTF">2026-01-19T01:31:34Z</dcterms:modified>
</cp:coreProperties>
</file>