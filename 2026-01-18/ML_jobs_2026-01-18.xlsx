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in-00d8e87ee6ab5b74</t>
        </is>
      </c>
      <c r="B2" t="inlineStr">
        <is>
          <t>Principal Applied Scientist, Amazon Special Projects</t>
        </is>
      </c>
      <c r="C2" t="inlineStr">
        <is>
          <t>Amazon.com</t>
        </is>
      </c>
      <c r="D2" t="inlineStr">
        <is>
          <t>indeed</t>
        </is>
      </c>
      <c r="E2" t="inlineStr"/>
      <c r="F2" t="inlineStr"/>
      <c r="G2" t="inlineStr">
        <is>
          <t>Seattle, WA, US</t>
        </is>
      </c>
      <c r="H2" s="2" t="n">
        <v>45982</v>
      </c>
      <c r="I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in-e9b99eaaa4e3cedb</t>
        </is>
      </c>
      <c r="B3" t="inlineStr">
        <is>
          <t>Principal Applied Scientist, Amazon Special Projects</t>
        </is>
      </c>
      <c r="C3" t="inlineStr">
        <is>
          <t>Amazon.com</t>
        </is>
      </c>
      <c r="D3" t="inlineStr">
        <is>
          <t>indeed</t>
        </is>
      </c>
      <c r="E3" t="inlineStr"/>
      <c r="F3" t="inlineStr"/>
      <c r="G3" t="inlineStr">
        <is>
          <t>Boston, MA, US</t>
        </is>
      </c>
      <c r="H3" s="2" t="n">
        <v>45982</v>
      </c>
      <c r="I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in-d30bbaf569edebf0</t>
        </is>
      </c>
      <c r="B4" t="inlineStr">
        <is>
          <t>Sr. Applied Scientist, AGI Foundations</t>
        </is>
      </c>
      <c r="C4" t="inlineStr">
        <is>
          <t>Amazon.com</t>
        </is>
      </c>
      <c r="D4" t="inlineStr">
        <is>
          <t>indeed</t>
        </is>
      </c>
      <c r="E4" t="inlineStr"/>
      <c r="F4" t="inlineStr"/>
      <c r="G4" t="inlineStr">
        <is>
          <t>Bellevue, WA, US</t>
        </is>
      </c>
      <c r="H4" s="2" t="n">
        <v>45978</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in-6168c574fff704f2</t>
        </is>
      </c>
      <c r="B5" t="inlineStr">
        <is>
          <t>Sr. Applied Scientist, AGI Foundations</t>
        </is>
      </c>
      <c r="C5" t="inlineStr">
        <is>
          <t>Amazon.com</t>
        </is>
      </c>
      <c r="D5" t="inlineStr">
        <is>
          <t>indeed</t>
        </is>
      </c>
      <c r="E5" t="inlineStr"/>
      <c r="F5" t="inlineStr"/>
      <c r="G5" t="inlineStr">
        <is>
          <t>Sunnyvale, CA, US</t>
        </is>
      </c>
      <c r="H5" s="2" t="n">
        <v>45978</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in-9f93d11eeec4a83a</t>
        </is>
      </c>
      <c r="B6" t="inlineStr">
        <is>
          <t>Sr. Applied Scientist, AGI Foundations</t>
        </is>
      </c>
      <c r="C6" t="inlineStr">
        <is>
          <t>Amazon.com</t>
        </is>
      </c>
      <c r="D6" t="inlineStr">
        <is>
          <t>indeed</t>
        </is>
      </c>
      <c r="E6" t="inlineStr"/>
      <c r="F6" t="inlineStr"/>
      <c r="G6" t="inlineStr">
        <is>
          <t>Boston, MA, US</t>
        </is>
      </c>
      <c r="H6" s="2" t="n">
        <v>45978</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in-7f05d54f2f80424f</t>
        </is>
      </c>
      <c r="B7" t="inlineStr">
        <is>
          <t>Sr. Applied Scientist, AGI Foundations</t>
        </is>
      </c>
      <c r="C7" t="inlineStr">
        <is>
          <t>Amazon.com</t>
        </is>
      </c>
      <c r="D7" t="inlineStr">
        <is>
          <t>indeed</t>
        </is>
      </c>
      <c r="E7" t="inlineStr"/>
      <c r="F7" t="inlineStr"/>
      <c r="G7" t="inlineStr">
        <is>
          <t>New York, NY, US</t>
        </is>
      </c>
      <c r="H7" s="2" t="n">
        <v>45978</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in-470781a22411538b</t>
        </is>
      </c>
      <c r="B8" t="inlineStr">
        <is>
          <t>Sr. Applied Scientist, AGI Foundations</t>
        </is>
      </c>
      <c r="C8" t="inlineStr">
        <is>
          <t>Amazon.com</t>
        </is>
      </c>
      <c r="D8" t="inlineStr">
        <is>
          <t>indeed</t>
        </is>
      </c>
      <c r="E8" t="inlineStr"/>
      <c r="F8" t="inlineStr"/>
      <c r="G8" t="inlineStr">
        <is>
          <t>Bellevue, WA, US</t>
        </is>
      </c>
      <c r="H8" s="2" t="n">
        <v>45963</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in-78aa9d2eb9755a0e</t>
        </is>
      </c>
      <c r="B9" t="inlineStr">
        <is>
          <t>Sr. Applied Scientist, AGI Foundations</t>
        </is>
      </c>
      <c r="C9" t="inlineStr">
        <is>
          <t>Amazon.com</t>
        </is>
      </c>
      <c r="D9" t="inlineStr">
        <is>
          <t>indeed</t>
        </is>
      </c>
      <c r="E9" t="inlineStr"/>
      <c r="F9" t="inlineStr"/>
      <c r="G9" t="inlineStr">
        <is>
          <t>New York, NY, US</t>
        </is>
      </c>
      <c r="H9" s="2" t="n">
        <v>45963</v>
      </c>
      <c r="I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in-e4d69d6e2798df0f</t>
        </is>
      </c>
      <c r="B10" t="inlineStr">
        <is>
          <t>Sr. Applied Scientist, AGI Foundations</t>
        </is>
      </c>
      <c r="C10" t="inlineStr">
        <is>
          <t>Amazon.com</t>
        </is>
      </c>
      <c r="D10" t="inlineStr">
        <is>
          <t>indeed</t>
        </is>
      </c>
      <c r="E10" t="inlineStr"/>
      <c r="F10" t="inlineStr"/>
      <c r="G10" t="inlineStr">
        <is>
          <t>Boston, MA, US</t>
        </is>
      </c>
      <c r="H10" s="2" t="n">
        <v>45963</v>
      </c>
      <c r="I1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in-67cee747fab2643f</t>
        </is>
      </c>
      <c r="B11" t="inlineStr">
        <is>
          <t>Applied Scientist II, Prime Video - Personalization and Discovery Science, Personalization and Discovery Science</t>
        </is>
      </c>
      <c r="C11" t="inlineStr">
        <is>
          <t>Amazon.com</t>
        </is>
      </c>
      <c r="D11" t="inlineStr">
        <is>
          <t>indeed</t>
        </is>
      </c>
      <c r="E11" t="inlineStr"/>
      <c r="F11" t="inlineStr"/>
      <c r="G11" t="inlineStr">
        <is>
          <t>Seattle, WA,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in-03cb0897729c5473</t>
        </is>
      </c>
      <c r="B12" t="inlineStr">
        <is>
          <t>Applied Scientist II, Prime Video - Personalization and Discovery Science, Personalization and Discovery Science</t>
        </is>
      </c>
      <c r="C12" t="inlineStr">
        <is>
          <t>Amazon.com</t>
        </is>
      </c>
      <c r="D12" t="inlineStr">
        <is>
          <t>indeed</t>
        </is>
      </c>
      <c r="E12" t="inlineStr"/>
      <c r="F12" t="inlineStr"/>
      <c r="G12" t="inlineStr">
        <is>
          <t>New York, NY,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in-4930b92dcc9f9ffd</t>
        </is>
      </c>
      <c r="B13" t="inlineStr">
        <is>
          <t>Applied Scientist II, Prime Video - Personalization and Discovery Science, Personalization and Discovery Science</t>
        </is>
      </c>
      <c r="C13" t="inlineStr">
        <is>
          <t>Amazon.com</t>
        </is>
      </c>
      <c r="D13" t="inlineStr">
        <is>
          <t>indeed</t>
        </is>
      </c>
      <c r="E13" t="inlineStr"/>
      <c r="F13" t="inlineStr"/>
      <c r="G13" t="inlineStr">
        <is>
          <t>Sunnyvale, CA, US</t>
        </is>
      </c>
      <c r="H13" s="2"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in-c4c9ea5f3533e673</t>
        </is>
      </c>
      <c r="B14" t="inlineStr">
        <is>
          <t>Applied Scientist II, Prime Video - Personalization and Discovery Science</t>
        </is>
      </c>
      <c r="C14" t="inlineStr">
        <is>
          <t>Amazon.com</t>
        </is>
      </c>
      <c r="D14" t="inlineStr">
        <is>
          <t>indeed</t>
        </is>
      </c>
      <c r="E14" t="inlineStr"/>
      <c r="F14" t="inlineStr"/>
      <c r="G14" t="inlineStr">
        <is>
          <t>Sunnyvale, CA, US</t>
        </is>
      </c>
      <c r="H14" s="2" t="n">
        <v>45915</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in-8d513aec5a78c68a</t>
        </is>
      </c>
      <c r="B15" t="inlineStr">
        <is>
          <t>Applied Scientist II, Prime Video - Personalization and Discovery Science</t>
        </is>
      </c>
      <c r="C15" t="inlineStr">
        <is>
          <t>Amazon.com</t>
        </is>
      </c>
      <c r="D15" t="inlineStr">
        <is>
          <t>indeed</t>
        </is>
      </c>
      <c r="E15" t="inlineStr"/>
      <c r="F15" t="inlineStr"/>
      <c r="G15" t="inlineStr">
        <is>
          <t>New York, NY, US</t>
        </is>
      </c>
      <c r="H15" s="2" t="n">
        <v>45915</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in-6f4fceac44e9ef48</t>
        </is>
      </c>
      <c r="B16" t="inlineStr">
        <is>
          <t>Applied Scientist II, Prime Video - Personalization and Discovery Science</t>
        </is>
      </c>
      <c r="C16" t="inlineStr">
        <is>
          <t>Amazon.com</t>
        </is>
      </c>
      <c r="D16" t="inlineStr">
        <is>
          <t>indeed</t>
        </is>
      </c>
      <c r="E16" t="inlineStr"/>
      <c r="F16" t="inlineStr"/>
      <c r="G16" t="inlineStr">
        <is>
          <t>Seattle, WA, US</t>
        </is>
      </c>
      <c r="H16" s="2" t="n">
        <v>45915</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in-61a78420e0870475</t>
        </is>
      </c>
      <c r="B17" t="inlineStr">
        <is>
          <t>Sr. Applied Scientist, Prime Video - Personalization and Discovery Science</t>
        </is>
      </c>
      <c r="C17" t="inlineStr">
        <is>
          <t>Amazon.com</t>
        </is>
      </c>
      <c r="D17" t="inlineStr">
        <is>
          <t>indeed</t>
        </is>
      </c>
      <c r="E17" t="inlineStr"/>
      <c r="F17" t="inlineStr"/>
      <c r="G17" t="inlineStr">
        <is>
          <t>Seattle, WA, US</t>
        </is>
      </c>
      <c r="H17" s="2" t="n">
        <v>45914</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in-28dd31d5f587e3a1</t>
        </is>
      </c>
      <c r="B18" t="inlineStr">
        <is>
          <t>Sr. Applied Scientist, Prime Video - Personalization and Discovery Science</t>
        </is>
      </c>
      <c r="C18" t="inlineStr">
        <is>
          <t>Amazon.com</t>
        </is>
      </c>
      <c r="D18" t="inlineStr">
        <is>
          <t>indeed</t>
        </is>
      </c>
      <c r="E18" t="inlineStr"/>
      <c r="F18" t="inlineStr"/>
      <c r="G18" t="inlineStr">
        <is>
          <t>New York, NY, US</t>
        </is>
      </c>
      <c r="H18" s="2" t="n">
        <v>45914</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in-e8208f54751d46ec</t>
        </is>
      </c>
      <c r="B19" t="inlineStr">
        <is>
          <t>Sr. Applied Scientist, Prime Video - Personalization and Discovery Science</t>
        </is>
      </c>
      <c r="C19" t="inlineStr">
        <is>
          <t>Amazon.com</t>
        </is>
      </c>
      <c r="D19" t="inlineStr">
        <is>
          <t>indeed</t>
        </is>
      </c>
      <c r="E19" t="inlineStr"/>
      <c r="F19" t="inlineStr"/>
      <c r="G19" t="inlineStr">
        <is>
          <t>Sunnyvale, CA, US</t>
        </is>
      </c>
      <c r="H19" s="2" t="n">
        <v>45914</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in-9ff4313e16fa2b64</t>
        </is>
      </c>
      <c r="B20" t="inlineStr">
        <is>
          <t>Applied Scientist II, Prime Video - Personalization and Discovery Science</t>
        </is>
      </c>
      <c r="C20" t="inlineStr">
        <is>
          <t>Amazon.com</t>
        </is>
      </c>
      <c r="D20" t="inlineStr">
        <is>
          <t>indeed</t>
        </is>
      </c>
      <c r="E20" t="inlineStr"/>
      <c r="F20" t="inlineStr"/>
      <c r="G20" t="inlineStr">
        <is>
          <t>New York, NY, US</t>
        </is>
      </c>
      <c r="H20" s="2"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in-cf2343e524eda9da</t>
        </is>
      </c>
      <c r="B21" t="inlineStr">
        <is>
          <t>Sr. Applied Scientist, Prime Video - Personalization and Discovery Science</t>
        </is>
      </c>
      <c r="C21" t="inlineStr">
        <is>
          <t>Amazon.com</t>
        </is>
      </c>
      <c r="D21" t="inlineStr">
        <is>
          <t>indeed</t>
        </is>
      </c>
      <c r="E21" t="inlineStr"/>
      <c r="F21" t="inlineStr"/>
      <c r="G21" t="inlineStr">
        <is>
          <t>Sunnyvale, CA, US</t>
        </is>
      </c>
      <c r="H21" s="2"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in-dcdffe8f3adc798b</t>
        </is>
      </c>
      <c r="B22" t="inlineStr">
        <is>
          <t>Applied Scientist II, Prime Video - Personalization and Discovery Science</t>
        </is>
      </c>
      <c r="C22" t="inlineStr">
        <is>
          <t>Amazon.com</t>
        </is>
      </c>
      <c r="D22" t="inlineStr">
        <is>
          <t>indeed</t>
        </is>
      </c>
      <c r="E22" t="inlineStr"/>
      <c r="F22" t="inlineStr"/>
      <c r="G22" t="inlineStr">
        <is>
          <t>Seattle, WA, US</t>
        </is>
      </c>
      <c r="H22" s="2"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in-2cda55355893b2e7</t>
        </is>
      </c>
      <c r="B23" t="inlineStr">
        <is>
          <t>Sr. Applied Scientist, Prime Video - Personalization and Discovery Science</t>
        </is>
      </c>
      <c r="C23" t="inlineStr">
        <is>
          <t>Amazon.com</t>
        </is>
      </c>
      <c r="D23" t="inlineStr">
        <is>
          <t>indeed</t>
        </is>
      </c>
      <c r="E23" t="inlineStr"/>
      <c r="F23" t="inlineStr"/>
      <c r="G23" t="inlineStr">
        <is>
          <t>Seattle, WA, US</t>
        </is>
      </c>
      <c r="H23" s="2"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in-687435d6c4b277ae</t>
        </is>
      </c>
      <c r="B24" t="inlineStr">
        <is>
          <t>Sr. Applied Scientist, Prime Video - Personalization and Discovery Science</t>
        </is>
      </c>
      <c r="C24" t="inlineStr">
        <is>
          <t>Amazon.com</t>
        </is>
      </c>
      <c r="D24" t="inlineStr">
        <is>
          <t>indeed</t>
        </is>
      </c>
      <c r="E24" t="inlineStr"/>
      <c r="F24" t="inlineStr"/>
      <c r="G24" t="inlineStr">
        <is>
          <t>New York, NY, US</t>
        </is>
      </c>
      <c r="H24" s="2" t="n">
        <v>45881</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in-a2accccbeeb37409</t>
        </is>
      </c>
      <c r="B25" t="inlineStr">
        <is>
          <t>Applied Scientist II, Prime Video - Personalization and Discovery Science</t>
        </is>
      </c>
      <c r="C25" t="inlineStr">
        <is>
          <t>Amazon.com</t>
        </is>
      </c>
      <c r="D25" t="inlineStr">
        <is>
          <t>indeed</t>
        </is>
      </c>
      <c r="E25" t="inlineStr"/>
      <c r="F25" t="inlineStr"/>
      <c r="G25" t="inlineStr">
        <is>
          <t>Sunnyvale, CA, US</t>
        </is>
      </c>
      <c r="H25" s="2" t="n">
        <v>45881</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in-dce120b6904712e9</t>
        </is>
      </c>
      <c r="B26" t="inlineStr">
        <is>
          <t>Applied Scientist, Prime Video - Personalization and Discovery Science</t>
        </is>
      </c>
      <c r="C26" t="inlineStr">
        <is>
          <t>Amazon.com</t>
        </is>
      </c>
      <c r="D26" t="inlineStr">
        <is>
          <t>indeed</t>
        </is>
      </c>
      <c r="E26" t="inlineStr"/>
      <c r="F26" t="inlineStr"/>
      <c r="G26" t="inlineStr">
        <is>
          <t>New York, NY, US</t>
        </is>
      </c>
      <c r="H26" s="2" t="n">
        <v>45845</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in-f149381c0daf1039</t>
        </is>
      </c>
      <c r="B27" t="inlineStr">
        <is>
          <t>Applied Scientist, Prime Video - Personalization and Discovery Science</t>
        </is>
      </c>
      <c r="C27" t="inlineStr">
        <is>
          <t>Amazon.com</t>
        </is>
      </c>
      <c r="D27" t="inlineStr">
        <is>
          <t>indeed</t>
        </is>
      </c>
      <c r="E27" t="inlineStr"/>
      <c r="F27" t="inlineStr"/>
      <c r="G27" t="inlineStr">
        <is>
          <t>Seattle, WA, US</t>
        </is>
      </c>
      <c r="H27" s="2" t="n">
        <v>45845</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in-d0cfa5e5cb1596fa</t>
        </is>
      </c>
      <c r="B28" t="inlineStr">
        <is>
          <t>Applied Scientist, Prime Video - Personalization and Discovery Science</t>
        </is>
      </c>
      <c r="C28" t="inlineStr">
        <is>
          <t>Amazon.com</t>
        </is>
      </c>
      <c r="D28" t="inlineStr">
        <is>
          <t>indeed</t>
        </is>
      </c>
      <c r="E28" t="inlineStr"/>
      <c r="F28" t="inlineStr"/>
      <c r="G28" t="inlineStr">
        <is>
          <t>Sunnyvale, CA, US</t>
        </is>
      </c>
      <c r="H28" s="2" t="n">
        <v>45845</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in-3f60b01149d19e7b</t>
        </is>
      </c>
      <c r="B29" t="inlineStr">
        <is>
          <t>Applied Scientist, AGI</t>
        </is>
      </c>
      <c r="C29" t="inlineStr">
        <is>
          <t>Amazon.com</t>
        </is>
      </c>
      <c r="D29" t="inlineStr">
        <is>
          <t>indeed</t>
        </is>
      </c>
      <c r="E29" t="inlineStr"/>
      <c r="F29" t="inlineStr"/>
      <c r="G29" t="inlineStr">
        <is>
          <t>Cambridge, MA, US</t>
        </is>
      </c>
      <c r="H29" s="2" t="n">
        <v>45998</v>
      </c>
      <c r="I29"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in-0d0725b7cb752757</t>
        </is>
      </c>
      <c r="B30" t="inlineStr">
        <is>
          <t>Applied Scientist, AGI</t>
        </is>
      </c>
      <c r="C30" t="inlineStr">
        <is>
          <t>Amazon.com</t>
        </is>
      </c>
      <c r="D30" t="inlineStr">
        <is>
          <t>indeed</t>
        </is>
      </c>
      <c r="E30" t="inlineStr"/>
      <c r="F30" t="inlineStr"/>
      <c r="G30" t="inlineStr">
        <is>
          <t>Sunnyvale, CA, US</t>
        </is>
      </c>
      <c r="H30" s="2" t="n">
        <v>45998</v>
      </c>
      <c r="I3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in-a3d7fa6b030e6f76</t>
        </is>
      </c>
      <c r="B31" t="inlineStr">
        <is>
          <t>Applied Scientist, AGI</t>
        </is>
      </c>
      <c r="C31" t="inlineStr">
        <is>
          <t>Amazon.com</t>
        </is>
      </c>
      <c r="D31" t="inlineStr">
        <is>
          <t>indeed</t>
        </is>
      </c>
      <c r="E31" t="inlineStr"/>
      <c r="F31" t="inlineStr"/>
      <c r="G31" t="inlineStr">
        <is>
          <t>Bellevue, WA, US</t>
        </is>
      </c>
      <c r="H31" s="2" t="n">
        <v>45998</v>
      </c>
      <c r="I3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in-cd1f6fcc8f6f02eb</t>
        </is>
      </c>
      <c r="B32" t="inlineStr">
        <is>
          <t>Applied Scientist, AGI</t>
        </is>
      </c>
      <c r="C32" t="inlineStr">
        <is>
          <t>Amazon.com</t>
        </is>
      </c>
      <c r="D32" t="inlineStr">
        <is>
          <t>indeed</t>
        </is>
      </c>
      <c r="E32" t="inlineStr"/>
      <c r="F32" t="inlineStr"/>
      <c r="G32" t="inlineStr">
        <is>
          <t>New York, NY, US</t>
        </is>
      </c>
      <c r="H32" s="2" t="n">
        <v>45998</v>
      </c>
      <c r="I3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in-25f05407ea3323e5</t>
        </is>
      </c>
      <c r="B33" t="inlineStr">
        <is>
          <t>Sr. Applied Scientist, Amazon Ads</t>
        </is>
      </c>
      <c r="C33" t="inlineStr">
        <is>
          <t>Amazon.com</t>
        </is>
      </c>
      <c r="D33" t="inlineStr">
        <is>
          <t>indeed</t>
        </is>
      </c>
      <c r="E33" t="inlineStr"/>
      <c r="F33" t="inlineStr"/>
      <c r="G33" t="inlineStr">
        <is>
          <t>Seattle, WA, US</t>
        </is>
      </c>
      <c r="H33" s="2" t="n">
        <v>45998</v>
      </c>
      <c r="I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4">
      <c r="A34" t="inlineStr">
        <is>
          <t>in-f787f0ee4cef6730</t>
        </is>
      </c>
      <c r="B34" t="inlineStr">
        <is>
          <t>Sr. Applied Scientist, Amazon Ads</t>
        </is>
      </c>
      <c r="C34" t="inlineStr">
        <is>
          <t>Amazon.com</t>
        </is>
      </c>
      <c r="D34" t="inlineStr">
        <is>
          <t>indeed</t>
        </is>
      </c>
      <c r="E34" t="inlineStr"/>
      <c r="F34" t="inlineStr"/>
      <c r="G34" t="inlineStr">
        <is>
          <t>Boston, MA, US</t>
        </is>
      </c>
      <c r="H34" s="2" t="n">
        <v>45998</v>
      </c>
      <c r="I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5">
      <c r="A35" t="inlineStr">
        <is>
          <t>in-f7c7d90991a40fe9</t>
        </is>
      </c>
      <c r="B35" t="inlineStr">
        <is>
          <t>Sr. Applied Scientist, Amazon Ads</t>
        </is>
      </c>
      <c r="C35" t="inlineStr">
        <is>
          <t>Amazon.com</t>
        </is>
      </c>
      <c r="D35" t="inlineStr">
        <is>
          <t>indeed</t>
        </is>
      </c>
      <c r="E35" t="inlineStr"/>
      <c r="F35" t="inlineStr"/>
      <c r="G35" t="inlineStr">
        <is>
          <t>New York, NY, US</t>
        </is>
      </c>
      <c r="H35" s="2"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in-36f94eb0ef7e7575</t>
        </is>
      </c>
      <c r="B36" t="inlineStr">
        <is>
          <t>Sr. Applied Scientist, Amazon Ads</t>
        </is>
      </c>
      <c r="C36" t="inlineStr">
        <is>
          <t>Amazon.com</t>
        </is>
      </c>
      <c r="D36" t="inlineStr">
        <is>
          <t>indeed</t>
        </is>
      </c>
      <c r="E36" t="inlineStr"/>
      <c r="F36" t="inlineStr"/>
      <c r="G36" t="inlineStr">
        <is>
          <t>Palo Alto, CA, US</t>
        </is>
      </c>
      <c r="H36" s="2"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in-f08b8c3e5e134f20</t>
        </is>
      </c>
      <c r="B37" t="inlineStr">
        <is>
          <t>Sr. Applied Scientist, Amazon Ads</t>
        </is>
      </c>
      <c r="C37" t="inlineStr">
        <is>
          <t>Amazon.com</t>
        </is>
      </c>
      <c r="D37" t="inlineStr">
        <is>
          <t>indeed</t>
        </is>
      </c>
      <c r="E37" t="inlineStr"/>
      <c r="F37" t="inlineStr"/>
      <c r="G37" t="inlineStr">
        <is>
          <t>Boulder, CO, US</t>
        </is>
      </c>
      <c r="H37" s="2"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in-0d4cc599c0f9b01e</t>
        </is>
      </c>
      <c r="B38" t="inlineStr">
        <is>
          <t>Sr. Applied Scientist, Amazon Ads</t>
        </is>
      </c>
      <c r="C38" t="inlineStr">
        <is>
          <t>Amazon.com</t>
        </is>
      </c>
      <c r="D38" t="inlineStr">
        <is>
          <t>indeed</t>
        </is>
      </c>
      <c r="E38" t="inlineStr"/>
      <c r="F38" t="inlineStr"/>
      <c r="G38" t="inlineStr">
        <is>
          <t>Sunnyvale, CA, US</t>
        </is>
      </c>
      <c r="H38" s="2"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in-26647aa1bcf63f5f</t>
        </is>
      </c>
      <c r="B39" t="inlineStr">
        <is>
          <t>Sr. Applied Scientist, Amazon Ads</t>
        </is>
      </c>
      <c r="C39" t="inlineStr">
        <is>
          <t>Amazon.com</t>
        </is>
      </c>
      <c r="D39" t="inlineStr">
        <is>
          <t>indeed</t>
        </is>
      </c>
      <c r="E39" t="inlineStr"/>
      <c r="F39" t="inlineStr"/>
      <c r="G39" t="inlineStr">
        <is>
          <t>Tukwila, WA, US</t>
        </is>
      </c>
      <c r="H39" s="2"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in-008942cb8aa3ae14</t>
        </is>
      </c>
      <c r="B40" t="inlineStr">
        <is>
          <t>Sr. Applied Scientist, Amazon Ads</t>
        </is>
      </c>
      <c r="C40" t="inlineStr">
        <is>
          <t>Amazon.com</t>
        </is>
      </c>
      <c r="D40" t="inlineStr">
        <is>
          <t>indeed</t>
        </is>
      </c>
      <c r="E40" t="inlineStr"/>
      <c r="F40" t="inlineStr"/>
      <c r="G40" t="inlineStr">
        <is>
          <t>Corvallis, OR, US</t>
        </is>
      </c>
      <c r="H40" s="2" t="n">
        <v>45998</v>
      </c>
      <c r="I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1">
      <c r="A41" t="inlineStr">
        <is>
          <t>in-e17e65f9c518db4f</t>
        </is>
      </c>
      <c r="B41" t="inlineStr">
        <is>
          <t>Sr. Applied Scientist, Amazon Ads</t>
        </is>
      </c>
      <c r="C41" t="inlineStr">
        <is>
          <t>Amazon.com</t>
        </is>
      </c>
      <c r="D41" t="inlineStr">
        <is>
          <t>indeed</t>
        </is>
      </c>
      <c r="E41" t="inlineStr"/>
      <c r="F41" t="inlineStr"/>
      <c r="G41" t="inlineStr">
        <is>
          <t>Brooklyn, NY, US</t>
        </is>
      </c>
      <c r="H41" s="2"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in-1dcb8181678676ee</t>
        </is>
      </c>
      <c r="B42" t="inlineStr">
        <is>
          <t>Sr. Applied Scientist, Amazon Ads</t>
        </is>
      </c>
      <c r="C42" t="inlineStr">
        <is>
          <t>Amazon.com</t>
        </is>
      </c>
      <c r="D42" t="inlineStr">
        <is>
          <t>indeed</t>
        </is>
      </c>
      <c r="E42" t="inlineStr"/>
      <c r="F42" t="inlineStr"/>
      <c r="G42" t="inlineStr">
        <is>
          <t>Santa Monica, CA, US</t>
        </is>
      </c>
      <c r="H42" s="2"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in-27eb623fc793e617</t>
        </is>
      </c>
      <c r="B43" t="inlineStr">
        <is>
          <t>Applied Scientist, ML Compiler</t>
        </is>
      </c>
      <c r="C43" t="inlineStr">
        <is>
          <t>Amazon Web Services</t>
        </is>
      </c>
      <c r="D43" t="inlineStr">
        <is>
          <t>indeed</t>
        </is>
      </c>
      <c r="E43" t="inlineStr"/>
      <c r="F43" t="inlineStr"/>
      <c r="G43" t="inlineStr">
        <is>
          <t>Seattle, WA, US</t>
        </is>
      </c>
      <c r="H43" s="2" t="n">
        <v>45993</v>
      </c>
      <c r="I43"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in-2e87ea32849fe0db</t>
        </is>
      </c>
      <c r="B44" t="inlineStr">
        <is>
          <t>Applied Scientist, ML Compiler</t>
        </is>
      </c>
      <c r="C44" t="inlineStr">
        <is>
          <t>Amazon Web Services</t>
        </is>
      </c>
      <c r="D44" t="inlineStr">
        <is>
          <t>indeed</t>
        </is>
      </c>
      <c r="E44" t="inlineStr"/>
      <c r="F44" t="inlineStr"/>
      <c r="G44" t="inlineStr">
        <is>
          <t>Cupertino, CA, US</t>
        </is>
      </c>
      <c r="H44" s="2" t="n">
        <v>45993</v>
      </c>
      <c r="I44"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in-a35fc2c34a914bfd</t>
        </is>
      </c>
      <c r="B45" t="inlineStr">
        <is>
          <t>Applied Scientist, Model Customization, Generative AI Innovation Center, Model Customization</t>
        </is>
      </c>
      <c r="C45" t="inlineStr">
        <is>
          <t>Amazon Web Services</t>
        </is>
      </c>
      <c r="D45" t="inlineStr">
        <is>
          <t>indeed</t>
        </is>
      </c>
      <c r="E45" t="inlineStr"/>
      <c r="F45" t="inlineStr"/>
      <c r="G45" t="inlineStr">
        <is>
          <t>Bellevue, WA, US</t>
        </is>
      </c>
      <c r="H45" s="2" t="n">
        <v>45993</v>
      </c>
      <c r="I4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in-585c2da58f887f2a</t>
        </is>
      </c>
      <c r="B46" t="inlineStr">
        <is>
          <t>Applied Scientist, Model Customization, Generative AI Innovation Center, Model Customization</t>
        </is>
      </c>
      <c r="C46" t="inlineStr">
        <is>
          <t>Amazon Web Services</t>
        </is>
      </c>
      <c r="D46" t="inlineStr">
        <is>
          <t>indeed</t>
        </is>
      </c>
      <c r="E46" t="inlineStr"/>
      <c r="F46" t="inlineStr"/>
      <c r="G46" t="inlineStr">
        <is>
          <t>Arlington, VA, US</t>
        </is>
      </c>
      <c r="H46" s="2" t="n">
        <v>45993</v>
      </c>
      <c r="I4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in-789b1ed9e82fbb39</t>
        </is>
      </c>
      <c r="B47" t="inlineStr">
        <is>
          <t>Applied Scientist, Model Customization, Generative AI Innovation Center, Model Customization</t>
        </is>
      </c>
      <c r="C47" t="inlineStr">
        <is>
          <t>Amazon Web Services</t>
        </is>
      </c>
      <c r="D47" t="inlineStr">
        <is>
          <t>indeed</t>
        </is>
      </c>
      <c r="E47" t="inlineStr"/>
      <c r="F47" t="inlineStr"/>
      <c r="G47" t="inlineStr">
        <is>
          <t>New York, NY, US</t>
        </is>
      </c>
      <c r="H47" s="2" t="n">
        <v>45993</v>
      </c>
      <c r="I4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in-8af475b9327980eb</t>
        </is>
      </c>
      <c r="B48" t="inlineStr">
        <is>
          <t>Sr. Applied Scientist, Sponsored Products and Brands Off-Search</t>
        </is>
      </c>
      <c r="C48" t="inlineStr">
        <is>
          <t>Amazon.com</t>
        </is>
      </c>
      <c r="D48" t="inlineStr">
        <is>
          <t>indeed</t>
        </is>
      </c>
      <c r="E48" t="inlineStr"/>
      <c r="F48" t="inlineStr"/>
      <c r="G48" t="inlineStr">
        <is>
          <t>New York, NY, US</t>
        </is>
      </c>
      <c r="H48" s="2" t="n">
        <v>45993</v>
      </c>
      <c r="I4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in-b67feb901756d8ca</t>
        </is>
      </c>
      <c r="B49" t="inlineStr">
        <is>
          <t>Sr. Applied Scientist, Sponsored Products and Brands Off-Search</t>
        </is>
      </c>
      <c r="C49" t="inlineStr">
        <is>
          <t>Amazon.com</t>
        </is>
      </c>
      <c r="D49" t="inlineStr">
        <is>
          <t>indeed</t>
        </is>
      </c>
      <c r="E49" t="inlineStr"/>
      <c r="F49" t="inlineStr"/>
      <c r="G49" t="inlineStr">
        <is>
          <t>Seattle, WA, US</t>
        </is>
      </c>
      <c r="H49" s="2" t="n">
        <v>45993</v>
      </c>
      <c r="I4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in-774d97a6b037ebd6</t>
        </is>
      </c>
      <c r="B50" t="inlineStr">
        <is>
          <t>Sr. Machine Learning Engineer, AGIF | Finetuning</t>
        </is>
      </c>
      <c r="C50" t="inlineStr">
        <is>
          <t>Amazon.com</t>
        </is>
      </c>
      <c r="D50" t="inlineStr">
        <is>
          <t>indeed</t>
        </is>
      </c>
      <c r="E50" t="inlineStr"/>
      <c r="F50" t="inlineStr"/>
      <c r="G50" t="inlineStr">
        <is>
          <t>Bellevue, WA, US</t>
        </is>
      </c>
      <c r="H50" s="2" t="n">
        <v>45984</v>
      </c>
      <c r="I5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in-0981a73097860924</t>
        </is>
      </c>
      <c r="B51" t="inlineStr">
        <is>
          <t>Senior Applied Scientist, Generative AI Innovation Center</t>
        </is>
      </c>
      <c r="C51" t="inlineStr">
        <is>
          <t>Amazon Web Services</t>
        </is>
      </c>
      <c r="D51" t="inlineStr">
        <is>
          <t>indeed</t>
        </is>
      </c>
      <c r="E51" t="inlineStr"/>
      <c r="F51" t="inlineStr"/>
      <c r="G51" t="inlineStr">
        <is>
          <t>New York, NY, US</t>
        </is>
      </c>
      <c r="H51" s="2" t="n">
        <v>45981</v>
      </c>
      <c r="I51"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in-eb5e0b4ed98abde1</t>
        </is>
      </c>
      <c r="B52" t="inlineStr">
        <is>
          <t>Senior Applied Scientist, Generative AI Innovation Center</t>
        </is>
      </c>
      <c r="C52" t="inlineStr">
        <is>
          <t>Amazon Web Services</t>
        </is>
      </c>
      <c r="D52" t="inlineStr">
        <is>
          <t>indeed</t>
        </is>
      </c>
      <c r="E52" t="inlineStr"/>
      <c r="F52" t="inlineStr"/>
      <c r="G52" t="inlineStr">
        <is>
          <t>Bellevue, WA, US</t>
        </is>
      </c>
      <c r="H52" s="2" t="n">
        <v>45981</v>
      </c>
      <c r="I52"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in-5bf3bb0a224b14e6</t>
        </is>
      </c>
      <c r="B53" t="inlineStr">
        <is>
          <t>Senior Applied Scientist, Generative AI Innovation Center</t>
        </is>
      </c>
      <c r="C53" t="inlineStr">
        <is>
          <t>Amazon Web Services</t>
        </is>
      </c>
      <c r="D53" t="inlineStr">
        <is>
          <t>indeed</t>
        </is>
      </c>
      <c r="E53" t="inlineStr"/>
      <c r="F53" t="inlineStr"/>
      <c r="G53" t="inlineStr">
        <is>
          <t>Boston, MA, US</t>
        </is>
      </c>
      <c r="H53" s="2" t="n">
        <v>45981</v>
      </c>
      <c r="I53"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in-6ceae8be841af933</t>
        </is>
      </c>
      <c r="B54" t="inlineStr">
        <is>
          <t>Senior Applied Scientist, Generative AI Innovation Center</t>
        </is>
      </c>
      <c r="C54" t="inlineStr">
        <is>
          <t>Amazon Web Services</t>
        </is>
      </c>
      <c r="D54" t="inlineStr">
        <is>
          <t>indeed</t>
        </is>
      </c>
      <c r="E54" t="inlineStr"/>
      <c r="F54" t="inlineStr"/>
      <c r="G54" t="inlineStr">
        <is>
          <t>Seattle, WA, US</t>
        </is>
      </c>
      <c r="H54" s="2" t="n">
        <v>45981</v>
      </c>
      <c r="I54"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in-f090c26a8fe721a2</t>
        </is>
      </c>
      <c r="B55" t="inlineStr">
        <is>
          <t>Senior Applied Scientist, Generative AI Innovation Center</t>
        </is>
      </c>
      <c r="C55" t="inlineStr">
        <is>
          <t>Amazon Web Services</t>
        </is>
      </c>
      <c r="D55" t="inlineStr">
        <is>
          <t>indeed</t>
        </is>
      </c>
      <c r="E55" t="inlineStr"/>
      <c r="F55" t="inlineStr"/>
      <c r="G55" t="inlineStr">
        <is>
          <t>Houston, TX, US</t>
        </is>
      </c>
      <c r="H55" s="2" t="n">
        <v>45981</v>
      </c>
      <c r="I55"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in-ace8e8ad135cf7db</t>
        </is>
      </c>
      <c r="B56" t="inlineStr">
        <is>
          <t>Senior Applied Scientist, Generative AI Innovation Center</t>
        </is>
      </c>
      <c r="C56" t="inlineStr">
        <is>
          <t>Amazon Web Services</t>
        </is>
      </c>
      <c r="D56" t="inlineStr">
        <is>
          <t>indeed</t>
        </is>
      </c>
      <c r="E56" t="inlineStr"/>
      <c r="F56" t="inlineStr"/>
      <c r="G56" t="inlineStr">
        <is>
          <t>Austin, TX, US</t>
        </is>
      </c>
      <c r="H56" s="2" t="n">
        <v>45981</v>
      </c>
      <c r="I56"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in-0c4e4f3637509616</t>
        </is>
      </c>
      <c r="B57" t="inlineStr">
        <is>
          <t>Sr. Applied Scientist, SPB Advertiser Guidance</t>
        </is>
      </c>
      <c r="C57" t="inlineStr">
        <is>
          <t>Amazon.com</t>
        </is>
      </c>
      <c r="D57" t="inlineStr">
        <is>
          <t>indeed</t>
        </is>
      </c>
      <c r="E57" t="inlineStr"/>
      <c r="F57" t="inlineStr"/>
      <c r="G57" t="inlineStr">
        <is>
          <t>Palo Alto, CA, US</t>
        </is>
      </c>
      <c r="H57" s="2" t="n">
        <v>45981</v>
      </c>
      <c r="I5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in-ac8f31f36cd5c5b7</t>
        </is>
      </c>
      <c r="B58" t="inlineStr">
        <is>
          <t>Sr. Applied Scientist, SPB Advertiser Guidance</t>
        </is>
      </c>
      <c r="C58" t="inlineStr">
        <is>
          <t>Amazon.com</t>
        </is>
      </c>
      <c r="D58" t="inlineStr">
        <is>
          <t>indeed</t>
        </is>
      </c>
      <c r="E58" t="inlineStr"/>
      <c r="F58" t="inlineStr"/>
      <c r="G58" t="inlineStr">
        <is>
          <t>New York, NY, US</t>
        </is>
      </c>
      <c r="H58" s="2" t="n">
        <v>45981</v>
      </c>
      <c r="I5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in-a3895fb3bf5c42bb</t>
        </is>
      </c>
      <c r="B59" t="inlineStr">
        <is>
          <t>Sr. Applied Scientist, SPB Advertiser Guidance</t>
        </is>
      </c>
      <c r="C59" t="inlineStr">
        <is>
          <t>Amazon.com</t>
        </is>
      </c>
      <c r="D59" t="inlineStr">
        <is>
          <t>indeed</t>
        </is>
      </c>
      <c r="E59" t="inlineStr"/>
      <c r="F59" t="inlineStr"/>
      <c r="G59" t="inlineStr">
        <is>
          <t>Seattle, WA, US</t>
        </is>
      </c>
      <c r="H59" s="2" t="n">
        <v>45981</v>
      </c>
      <c r="I5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in-6c5a2aaab1a2d946</t>
        </is>
      </c>
      <c r="B60" t="inlineStr">
        <is>
          <t>Senior Applied Scientist, Artificial General Intelligence</t>
        </is>
      </c>
      <c r="C60" t="inlineStr">
        <is>
          <t>Amazon.com</t>
        </is>
      </c>
      <c r="D60" t="inlineStr">
        <is>
          <t>indeed</t>
        </is>
      </c>
      <c r="E60" t="inlineStr"/>
      <c r="F60" t="inlineStr"/>
      <c r="G60" t="inlineStr">
        <is>
          <t>New York, NY, US</t>
        </is>
      </c>
      <c r="H60" s="2" t="n">
        <v>45980</v>
      </c>
      <c r="I6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in-6785cd072d4aa527</t>
        </is>
      </c>
      <c r="B61" t="inlineStr">
        <is>
          <t>Senior Applied Scientist, Artificial General Intelligence</t>
        </is>
      </c>
      <c r="C61" t="inlineStr">
        <is>
          <t>Amazon.com</t>
        </is>
      </c>
      <c r="D61" t="inlineStr">
        <is>
          <t>indeed</t>
        </is>
      </c>
      <c r="E61" t="inlineStr"/>
      <c r="F61" t="inlineStr"/>
      <c r="G61" t="inlineStr">
        <is>
          <t>Seattle, WA, US</t>
        </is>
      </c>
      <c r="H61" s="2" t="n">
        <v>45980</v>
      </c>
      <c r="I6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in-fad940c95d0b1b32</t>
        </is>
      </c>
      <c r="B62" t="inlineStr">
        <is>
          <t>Senior Applied Scientist, Artificial General Intelligence</t>
        </is>
      </c>
      <c r="C62" t="inlineStr">
        <is>
          <t>Amazon.com</t>
        </is>
      </c>
      <c r="D62" t="inlineStr">
        <is>
          <t>indeed</t>
        </is>
      </c>
      <c r="E62" t="inlineStr"/>
      <c r="F62" t="inlineStr"/>
      <c r="G62" t="inlineStr">
        <is>
          <t>Sunnyvale, CA, US</t>
        </is>
      </c>
      <c r="H62" s="2" t="n">
        <v>45980</v>
      </c>
      <c r="I6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in-9aea37dbd8e26004</t>
        </is>
      </c>
      <c r="B63" t="inlineStr">
        <is>
          <t>Senior Applied Scientist, Artificial General Intelligence</t>
        </is>
      </c>
      <c r="C63" t="inlineStr">
        <is>
          <t>Amazon.com</t>
        </is>
      </c>
      <c r="D63" t="inlineStr">
        <is>
          <t>indeed</t>
        </is>
      </c>
      <c r="E63" t="inlineStr"/>
      <c r="F63" t="inlineStr"/>
      <c r="G63" t="inlineStr">
        <is>
          <t>Boston, MA, US</t>
        </is>
      </c>
      <c r="H63" s="2" t="n">
        <v>45980</v>
      </c>
      <c r="I6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in-93e193394c2a0d90</t>
        </is>
      </c>
      <c r="B64" t="inlineStr">
        <is>
          <t>Applied Scientist II, SPB Advertiser Guidance</t>
        </is>
      </c>
      <c r="C64" t="inlineStr">
        <is>
          <t>Amazon.com</t>
        </is>
      </c>
      <c r="D64" t="inlineStr">
        <is>
          <t>indeed</t>
        </is>
      </c>
      <c r="E64" t="inlineStr"/>
      <c r="F64" t="inlineStr"/>
      <c r="G64" t="inlineStr">
        <is>
          <t>Palo Alto, CA, US</t>
        </is>
      </c>
      <c r="H64" s="2" t="n">
        <v>45980</v>
      </c>
      <c r="I6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in-f7da4a056db065e1</t>
        </is>
      </c>
      <c r="B65" t="inlineStr">
        <is>
          <t>Applied Scientist II, SPB Advertiser Guidance</t>
        </is>
      </c>
      <c r="C65" t="inlineStr">
        <is>
          <t>Amazon.com</t>
        </is>
      </c>
      <c r="D65" t="inlineStr">
        <is>
          <t>indeed</t>
        </is>
      </c>
      <c r="E65" t="inlineStr"/>
      <c r="F65" t="inlineStr"/>
      <c r="G65" t="inlineStr">
        <is>
          <t>New York, NY, US</t>
        </is>
      </c>
      <c r="H65" s="2" t="n">
        <v>45980</v>
      </c>
      <c r="I6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in-e5a6d893d4766c2b</t>
        </is>
      </c>
      <c r="B66" t="inlineStr">
        <is>
          <t>Applied Scientist II, SPB Advertiser Guidance</t>
        </is>
      </c>
      <c r="C66" t="inlineStr">
        <is>
          <t>Amazon.com</t>
        </is>
      </c>
      <c r="D66" t="inlineStr">
        <is>
          <t>indeed</t>
        </is>
      </c>
      <c r="E66" t="inlineStr"/>
      <c r="F66" t="inlineStr"/>
      <c r="G66" t="inlineStr">
        <is>
          <t>Seattle, WA, US</t>
        </is>
      </c>
      <c r="H66" s="2" t="n">
        <v>45980</v>
      </c>
      <c r="I6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in-1bb40146870e1a52</t>
        </is>
      </c>
      <c r="B67" t="inlineStr">
        <is>
          <t>Principal Applied Scientist, Sponsored Products and Brands</t>
        </is>
      </c>
      <c r="C67" t="inlineStr">
        <is>
          <t>Amazon.com</t>
        </is>
      </c>
      <c r="D67" t="inlineStr">
        <is>
          <t>indeed</t>
        </is>
      </c>
      <c r="E67" t="inlineStr"/>
      <c r="F67" t="inlineStr"/>
      <c r="G67" t="inlineStr">
        <is>
          <t>Seattle, WA, US</t>
        </is>
      </c>
      <c r="H67" s="2" t="n">
        <v>45979</v>
      </c>
      <c r="I6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in-f5311480c1800a65</t>
        </is>
      </c>
      <c r="B68" t="inlineStr">
        <is>
          <t>Principal Applied Scientist, Sponsored Products and Brands</t>
        </is>
      </c>
      <c r="C68" t="inlineStr">
        <is>
          <t>Amazon.com</t>
        </is>
      </c>
      <c r="D68" t="inlineStr">
        <is>
          <t>indeed</t>
        </is>
      </c>
      <c r="E68" t="inlineStr"/>
      <c r="F68" t="inlineStr"/>
      <c r="G68" t="inlineStr">
        <is>
          <t>New York, NY, US</t>
        </is>
      </c>
      <c r="H68" s="2" t="n">
        <v>45979</v>
      </c>
      <c r="I6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in-7dee62e93af5a1ba</t>
        </is>
      </c>
      <c r="B69" t="inlineStr">
        <is>
          <t>Sr. Applied Scientist, Prime Video - Personalization and Discovery Science</t>
        </is>
      </c>
      <c r="C69" t="inlineStr">
        <is>
          <t>Amazon.com</t>
        </is>
      </c>
      <c r="D69" t="inlineStr">
        <is>
          <t>indeed</t>
        </is>
      </c>
      <c r="E69" t="inlineStr"/>
      <c r="F69" t="inlineStr"/>
      <c r="G69" t="inlineStr">
        <is>
          <t>Seattle, WA, US</t>
        </is>
      </c>
      <c r="H69" s="2" t="n">
        <v>45969</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in-8428de89716252e4</t>
        </is>
      </c>
      <c r="B70" t="inlineStr">
        <is>
          <t>Sr. Applied Scientist, Prime Video - Personalization and Discovery Science</t>
        </is>
      </c>
      <c r="C70" t="inlineStr">
        <is>
          <t>Amazon.com</t>
        </is>
      </c>
      <c r="D70" t="inlineStr">
        <is>
          <t>indeed</t>
        </is>
      </c>
      <c r="E70" t="inlineStr"/>
      <c r="F70" t="inlineStr"/>
      <c r="G70" t="inlineStr">
        <is>
          <t>New York, NY, US</t>
        </is>
      </c>
      <c r="H70" s="2" t="n">
        <v>45969</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in-b2efe6005ffb8626</t>
        </is>
      </c>
      <c r="B71" t="inlineStr">
        <is>
          <t>Sr. Applied Scientist, Prime Video - Personalization and Discovery Science</t>
        </is>
      </c>
      <c r="C71" t="inlineStr">
        <is>
          <t>Amazon.com</t>
        </is>
      </c>
      <c r="D71" t="inlineStr">
        <is>
          <t>indeed</t>
        </is>
      </c>
      <c r="E71" t="inlineStr"/>
      <c r="F71" t="inlineStr"/>
      <c r="G71" t="inlineStr">
        <is>
          <t>Sunnyvale, CA, US</t>
        </is>
      </c>
      <c r="H71" s="2" t="n">
        <v>45969</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in-383318ea043906dd</t>
        </is>
      </c>
      <c r="B72" t="inlineStr">
        <is>
          <t>Principal Applied Scientist, Amazon AGI</t>
        </is>
      </c>
      <c r="C72" t="inlineStr">
        <is>
          <t>Amazon.com</t>
        </is>
      </c>
      <c r="D72" t="inlineStr">
        <is>
          <t>indeed</t>
        </is>
      </c>
      <c r="E72" t="inlineStr"/>
      <c r="F72" t="inlineStr"/>
      <c r="G72" t="inlineStr">
        <is>
          <t>Boston, MA, US</t>
        </is>
      </c>
      <c r="H72" s="2" t="n">
        <v>45964</v>
      </c>
      <c r="I7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in-ad18fd55e1a7a5b4</t>
        </is>
      </c>
      <c r="B73" t="inlineStr">
        <is>
          <t>Principal Applied Scientist, Amazon AGI</t>
        </is>
      </c>
      <c r="C73" t="inlineStr">
        <is>
          <t>Amazon.com</t>
        </is>
      </c>
      <c r="D73" t="inlineStr">
        <is>
          <t>indeed</t>
        </is>
      </c>
      <c r="E73" t="inlineStr"/>
      <c r="F73" t="inlineStr"/>
      <c r="G73" t="inlineStr">
        <is>
          <t>San Francisco, CA, US</t>
        </is>
      </c>
      <c r="H73" s="2" t="n">
        <v>45964</v>
      </c>
      <c r="I7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in-f47602d417dc7286</t>
        </is>
      </c>
      <c r="B74" t="inlineStr">
        <is>
          <t>Principal Applied Scientist, AWS Agentic AI Science</t>
        </is>
      </c>
      <c r="C74" t="inlineStr">
        <is>
          <t>Amazon Web Services</t>
        </is>
      </c>
      <c r="D74" t="inlineStr">
        <is>
          <t>indeed</t>
        </is>
      </c>
      <c r="E74" t="inlineStr"/>
      <c r="F74" t="inlineStr"/>
      <c r="G74" t="inlineStr">
        <is>
          <t>Santa Clara, CA, US</t>
        </is>
      </c>
      <c r="H74" s="2" t="n">
        <v>45963</v>
      </c>
      <c r="I74"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in-507b72d2aa5baba6</t>
        </is>
      </c>
      <c r="B75" t="inlineStr">
        <is>
          <t>Principal Applied Scientist, AWS Agentic AI Science</t>
        </is>
      </c>
      <c r="C75" t="inlineStr">
        <is>
          <t>Amazon Web Services</t>
        </is>
      </c>
      <c r="D75" t="inlineStr">
        <is>
          <t>indeed</t>
        </is>
      </c>
      <c r="E75" t="inlineStr"/>
      <c r="F75" t="inlineStr"/>
      <c r="G75" t="inlineStr">
        <is>
          <t>New York, NY, US</t>
        </is>
      </c>
      <c r="H75" s="2" t="n">
        <v>45963</v>
      </c>
      <c r="I75"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in-a668c92f90725871</t>
        </is>
      </c>
      <c r="B76" t="inlineStr">
        <is>
          <t>Sr. Applied Scientist, Sponsored Product Off-Search</t>
        </is>
      </c>
      <c r="C76" t="inlineStr">
        <is>
          <t>Amazon.com</t>
        </is>
      </c>
      <c r="D76" t="inlineStr">
        <is>
          <t>indeed</t>
        </is>
      </c>
      <c r="E76" t="inlineStr"/>
      <c r="F76" t="inlineStr"/>
      <c r="G76" t="inlineStr">
        <is>
          <t>Seattle, WA, US</t>
        </is>
      </c>
      <c r="H76" s="2" t="n">
        <v>45963</v>
      </c>
      <c r="I7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in-2affaff9efc85947</t>
        </is>
      </c>
      <c r="B77" t="inlineStr">
        <is>
          <t>Sr. Applied Scientist, Sponsored Product Off-Search</t>
        </is>
      </c>
      <c r="C77" t="inlineStr">
        <is>
          <t>Amazon.com</t>
        </is>
      </c>
      <c r="D77" t="inlineStr">
        <is>
          <t>indeed</t>
        </is>
      </c>
      <c r="E77" t="inlineStr"/>
      <c r="F77" t="inlineStr"/>
      <c r="G77" t="inlineStr">
        <is>
          <t>New York, NY, US</t>
        </is>
      </c>
      <c r="H77" s="2" t="n">
        <v>45963</v>
      </c>
      <c r="I7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in-378a9fec93d9db2a</t>
        </is>
      </c>
      <c r="B78" t="inlineStr">
        <is>
          <t>Applied Scientist, AWS Agentic AI</t>
        </is>
      </c>
      <c r="C78" t="inlineStr">
        <is>
          <t>Amazon Web Services</t>
        </is>
      </c>
      <c r="D78" t="inlineStr">
        <is>
          <t>indeed</t>
        </is>
      </c>
      <c r="E78" t="inlineStr"/>
      <c r="F78" t="inlineStr"/>
      <c r="G78" t="inlineStr">
        <is>
          <t>Seattle, WA, US</t>
        </is>
      </c>
      <c r="H78" s="2" t="n">
        <v>45962</v>
      </c>
      <c r="I7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in-d0193dc073cfe645</t>
        </is>
      </c>
      <c r="B79" t="inlineStr">
        <is>
          <t>Applied Scientist, AWS Agentic AI</t>
        </is>
      </c>
      <c r="C79" t="inlineStr">
        <is>
          <t>Amazon Web Services</t>
        </is>
      </c>
      <c r="D79" t="inlineStr">
        <is>
          <t>indeed</t>
        </is>
      </c>
      <c r="E79" t="inlineStr"/>
      <c r="F79" t="inlineStr"/>
      <c r="G79" t="inlineStr">
        <is>
          <t>New York, NY, US</t>
        </is>
      </c>
      <c r="H79" s="2" t="n">
        <v>45962</v>
      </c>
      <c r="I7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in-e0f8aa42ecc4073b</t>
        </is>
      </c>
      <c r="B80" t="inlineStr">
        <is>
          <t>Applied Scientist, AWS Agentic AI</t>
        </is>
      </c>
      <c r="C80" t="inlineStr">
        <is>
          <t>Amazon Web Services</t>
        </is>
      </c>
      <c r="D80" t="inlineStr">
        <is>
          <t>indeed</t>
        </is>
      </c>
      <c r="E80" t="inlineStr"/>
      <c r="F80" t="inlineStr"/>
      <c r="G80" t="inlineStr">
        <is>
          <t>Santa Clara, CA, US</t>
        </is>
      </c>
      <c r="H80" s="2" t="n">
        <v>45962</v>
      </c>
      <c r="I8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in-ad159e2c7a42fdc4</t>
        </is>
      </c>
      <c r="B81" t="inlineStr">
        <is>
          <t>Principal Applied Scientist, Advertiser Growth, Amazon Sponsored Products &amp; Brands</t>
        </is>
      </c>
      <c r="C81" t="inlineStr">
        <is>
          <t>Amazon.com</t>
        </is>
      </c>
      <c r="D81" t="inlineStr">
        <is>
          <t>indeed</t>
        </is>
      </c>
      <c r="E81" t="inlineStr"/>
      <c r="F81" t="inlineStr"/>
      <c r="G81" t="inlineStr">
        <is>
          <t>Palo Alto, CA, US</t>
        </is>
      </c>
      <c r="H81" s="2" t="n">
        <v>45942</v>
      </c>
      <c r="I8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in-4265d9b2212d068a</t>
        </is>
      </c>
      <c r="B82" t="inlineStr">
        <is>
          <t>Principal Applied Scientist, Advertiser Growth, Amazon Sponsored Products &amp; Brands</t>
        </is>
      </c>
      <c r="C82" t="inlineStr">
        <is>
          <t>Amazon.com</t>
        </is>
      </c>
      <c r="D82" t="inlineStr">
        <is>
          <t>indeed</t>
        </is>
      </c>
      <c r="E82" t="inlineStr"/>
      <c r="F82" t="inlineStr"/>
      <c r="G82" t="inlineStr">
        <is>
          <t>Seattle, WA, US</t>
        </is>
      </c>
      <c r="H82" s="2" t="n">
        <v>45942</v>
      </c>
      <c r="I8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in-54a00302b0e45f6a</t>
        </is>
      </c>
      <c r="B83" t="inlineStr">
        <is>
          <t>Principal Applied Scientist, Advertiser Growth, Amazon Sponsored Products &amp; Brands</t>
        </is>
      </c>
      <c r="C83" t="inlineStr">
        <is>
          <t>Amazon.com</t>
        </is>
      </c>
      <c r="D83" t="inlineStr">
        <is>
          <t>indeed</t>
        </is>
      </c>
      <c r="E83" t="inlineStr"/>
      <c r="F83" t="inlineStr"/>
      <c r="G83" t="inlineStr">
        <is>
          <t>New York, NY, US</t>
        </is>
      </c>
      <c r="H83" s="2" t="n">
        <v>45942</v>
      </c>
      <c r="I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in-5e4b13bd12e5defa</t>
        </is>
      </c>
      <c r="B84" t="inlineStr">
        <is>
          <t>Applied Scientist</t>
        </is>
      </c>
      <c r="C84" t="inlineStr">
        <is>
          <t>Amazon.com</t>
        </is>
      </c>
      <c r="D84" t="inlineStr">
        <is>
          <t>indeed</t>
        </is>
      </c>
      <c r="E84" t="inlineStr"/>
      <c r="F84" t="inlineStr"/>
      <c r="G84" t="inlineStr">
        <is>
          <t>Seattle, WA, US</t>
        </is>
      </c>
      <c r="H84" s="2" t="n">
        <v>45939</v>
      </c>
      <c r="I8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in-b8f3dc79ae7a6a12</t>
        </is>
      </c>
      <c r="B85" t="inlineStr">
        <is>
          <t>Applied Scientist</t>
        </is>
      </c>
      <c r="C85" t="inlineStr">
        <is>
          <t>Amazon.com</t>
        </is>
      </c>
      <c r="D85" t="inlineStr">
        <is>
          <t>indeed</t>
        </is>
      </c>
      <c r="E85" t="inlineStr"/>
      <c r="F85" t="inlineStr"/>
      <c r="G85" t="inlineStr">
        <is>
          <t>New York, NY, US</t>
        </is>
      </c>
      <c r="H85" s="2" t="n">
        <v>45939</v>
      </c>
      <c r="I8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in-9f590b7e1994c7ef</t>
        </is>
      </c>
      <c r="B86" t="inlineStr">
        <is>
          <t>Sr. Applied Scientist, SPB Advertiser Guidance</t>
        </is>
      </c>
      <c r="C86" t="inlineStr">
        <is>
          <t>Amazon.com</t>
        </is>
      </c>
      <c r="D86" t="inlineStr">
        <is>
          <t>indeed</t>
        </is>
      </c>
      <c r="E86" t="inlineStr"/>
      <c r="F86" t="inlineStr"/>
      <c r="G86" t="inlineStr">
        <is>
          <t>New York, NY, US</t>
        </is>
      </c>
      <c r="H86" s="2" t="n">
        <v>45939</v>
      </c>
      <c r="I8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in-db8c355184327274</t>
        </is>
      </c>
      <c r="B87" t="inlineStr">
        <is>
          <t>Sr. Applied Scientist, SPB Advertiser Guidance</t>
        </is>
      </c>
      <c r="C87" t="inlineStr">
        <is>
          <t>Amazon.com</t>
        </is>
      </c>
      <c r="D87" t="inlineStr">
        <is>
          <t>indeed</t>
        </is>
      </c>
      <c r="E87" t="inlineStr"/>
      <c r="F87" t="inlineStr"/>
      <c r="G87" t="inlineStr">
        <is>
          <t>Palo Alto, CA, US</t>
        </is>
      </c>
      <c r="H87" s="2" t="n">
        <v>45939</v>
      </c>
      <c r="I8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in-925aa4ee5523cd0f</t>
        </is>
      </c>
      <c r="B88" t="inlineStr">
        <is>
          <t>Sr. Applied Scientist, SPB Advertiser Guidance</t>
        </is>
      </c>
      <c r="C88" t="inlineStr">
        <is>
          <t>Amazon.com</t>
        </is>
      </c>
      <c r="D88" t="inlineStr">
        <is>
          <t>indeed</t>
        </is>
      </c>
      <c r="E88" t="inlineStr"/>
      <c r="F88" t="inlineStr"/>
      <c r="G88" t="inlineStr">
        <is>
          <t>Seattle, WA, US</t>
        </is>
      </c>
      <c r="H88" s="2" t="n">
        <v>45939</v>
      </c>
      <c r="I8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in-09bd0da7ecaf2b32</t>
        </is>
      </c>
      <c r="B89" t="inlineStr">
        <is>
          <t>Applied Scientist</t>
        </is>
      </c>
      <c r="C89" t="inlineStr">
        <is>
          <t>Amazon.com</t>
        </is>
      </c>
      <c r="D89" t="inlineStr">
        <is>
          <t>indeed</t>
        </is>
      </c>
      <c r="E89" t="inlineStr"/>
      <c r="F89" t="inlineStr"/>
      <c r="G89" t="inlineStr">
        <is>
          <t>Palo Alto, CA, US</t>
        </is>
      </c>
      <c r="H89" s="2" t="n">
        <v>45939</v>
      </c>
      <c r="I8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in-5d235b96ddc9d81a</t>
        </is>
      </c>
      <c r="B90" t="inlineStr">
        <is>
          <t>Principal Applied Scientist, Amazon - Sponsored Products</t>
        </is>
      </c>
      <c r="C90" t="inlineStr">
        <is>
          <t>Amazon.com</t>
        </is>
      </c>
      <c r="D90" t="inlineStr">
        <is>
          <t>indeed</t>
        </is>
      </c>
      <c r="E90" t="inlineStr"/>
      <c r="F90" t="inlineStr"/>
      <c r="G90" t="inlineStr">
        <is>
          <t>Seattle, WA, US</t>
        </is>
      </c>
      <c r="H90" s="2" t="n">
        <v>45924</v>
      </c>
      <c r="I90"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in-4dc5348b96876cde</t>
        </is>
      </c>
      <c r="B91" t="inlineStr">
        <is>
          <t>Principal Applied Scientist, Amazon - Sponsored Products</t>
        </is>
      </c>
      <c r="C91" t="inlineStr">
        <is>
          <t>Amazon.com</t>
        </is>
      </c>
      <c r="D91" t="inlineStr">
        <is>
          <t>indeed</t>
        </is>
      </c>
      <c r="E91" t="inlineStr"/>
      <c r="F91" t="inlineStr"/>
      <c r="G91" t="inlineStr">
        <is>
          <t>Palo Alto, CA, US</t>
        </is>
      </c>
      <c r="H91" s="2" t="n">
        <v>45924</v>
      </c>
      <c r="I91"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in-181223e81f8f0faf</t>
        </is>
      </c>
      <c r="B92" t="inlineStr">
        <is>
          <t>Principal Applied Scientist, Amazon - Sponsored Products</t>
        </is>
      </c>
      <c r="C92" t="inlineStr">
        <is>
          <t>Amazon.com</t>
        </is>
      </c>
      <c r="D92" t="inlineStr">
        <is>
          <t>indeed</t>
        </is>
      </c>
      <c r="E92" t="inlineStr"/>
      <c r="F92" t="inlineStr"/>
      <c r="G92" t="inlineStr">
        <is>
          <t>New York, NY, US</t>
        </is>
      </c>
      <c r="H92" s="2" t="n">
        <v>45924</v>
      </c>
      <c r="I92"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in-8e0e8b22e14e8eeb</t>
        </is>
      </c>
      <c r="B93" t="inlineStr">
        <is>
          <t>Senior Applied Scientist, Sponsored Products and Brands</t>
        </is>
      </c>
      <c r="C93" t="inlineStr">
        <is>
          <t>Amazon.com</t>
        </is>
      </c>
      <c r="D93" t="inlineStr">
        <is>
          <t>indeed</t>
        </is>
      </c>
      <c r="E93" t="inlineStr"/>
      <c r="F93" t="inlineStr"/>
      <c r="G93" t="inlineStr">
        <is>
          <t>Seattle, WA, US</t>
        </is>
      </c>
      <c r="H93" s="2" t="n">
        <v>45922</v>
      </c>
      <c r="I9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in-98a3e5e449325349</t>
        </is>
      </c>
      <c r="B94" t="inlineStr">
        <is>
          <t>Senior Applied Scientist, Sponsored Products and Brands</t>
        </is>
      </c>
      <c r="C94" t="inlineStr">
        <is>
          <t>Amazon.com</t>
        </is>
      </c>
      <c r="D94" t="inlineStr">
        <is>
          <t>indeed</t>
        </is>
      </c>
      <c r="E94" t="inlineStr"/>
      <c r="F94" t="inlineStr"/>
      <c r="G94" t="inlineStr">
        <is>
          <t>New York, NY, US</t>
        </is>
      </c>
      <c r="H94" s="2" t="n">
        <v>45922</v>
      </c>
      <c r="I9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in-9375da21d3b54635</t>
        </is>
      </c>
      <c r="B95" t="inlineStr">
        <is>
          <t>Applied Scientist, Workplace Health &amp; Safety</t>
        </is>
      </c>
      <c r="C95" t="inlineStr">
        <is>
          <t>Amazon.com</t>
        </is>
      </c>
      <c r="D95" t="inlineStr">
        <is>
          <t>indeed</t>
        </is>
      </c>
      <c r="E95" t="inlineStr"/>
      <c r="F95" t="inlineStr"/>
      <c r="G95" t="inlineStr">
        <is>
          <t>Nashville, TN, US</t>
        </is>
      </c>
      <c r="H95" s="2" t="n">
        <v>45917</v>
      </c>
      <c r="I9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in-fe5378a613771654</t>
        </is>
      </c>
      <c r="B96" t="inlineStr">
        <is>
          <t>Applied Scientist, Workplace Health &amp; Safety</t>
        </is>
      </c>
      <c r="C96" t="inlineStr">
        <is>
          <t>Amazon.com</t>
        </is>
      </c>
      <c r="D96" t="inlineStr">
        <is>
          <t>indeed</t>
        </is>
      </c>
      <c r="E96" t="inlineStr"/>
      <c r="F96" t="inlineStr"/>
      <c r="G96" t="inlineStr">
        <is>
          <t>Bellevue, WA, US</t>
        </is>
      </c>
      <c r="H96" s="2" t="n">
        <v>45917</v>
      </c>
      <c r="I9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in-c975e20e86a0d449</t>
        </is>
      </c>
      <c r="B97" t="inlineStr">
        <is>
          <t>Applied Scientist II, Creative X - RAPID</t>
        </is>
      </c>
      <c r="C97" t="inlineStr">
        <is>
          <t>Amazon.com</t>
        </is>
      </c>
      <c r="D97" t="inlineStr">
        <is>
          <t>indeed</t>
        </is>
      </c>
      <c r="E97" t="inlineStr"/>
      <c r="F97" t="inlineStr"/>
      <c r="G97" t="inlineStr">
        <is>
          <t>New York, NY, US</t>
        </is>
      </c>
      <c r="H97" s="2" t="n">
        <v>45908</v>
      </c>
      <c r="I97"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in-fdf441585b07e03f</t>
        </is>
      </c>
      <c r="B98" t="inlineStr">
        <is>
          <t>Applied Scientist II, Creative X - RAPID</t>
        </is>
      </c>
      <c r="C98" t="inlineStr">
        <is>
          <t>Amazon.com</t>
        </is>
      </c>
      <c r="D98" t="inlineStr">
        <is>
          <t>indeed</t>
        </is>
      </c>
      <c r="E98" t="inlineStr"/>
      <c r="F98" t="inlineStr"/>
      <c r="G98" t="inlineStr">
        <is>
          <t>Seattle, WA, US</t>
        </is>
      </c>
      <c r="H98" s="2" t="n">
        <v>45908</v>
      </c>
      <c r="I98"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in-d4efffd56b062bc8</t>
        </is>
      </c>
      <c r="B99" t="inlineStr">
        <is>
          <t>Senior Applied Scientist, Agentic AI for Data Analytics and Science, Speed Analytics and Science</t>
        </is>
      </c>
      <c r="C99" t="inlineStr">
        <is>
          <t>Amazon.com</t>
        </is>
      </c>
      <c r="D99" t="inlineStr">
        <is>
          <t>indeed</t>
        </is>
      </c>
      <c r="E99" t="inlineStr"/>
      <c r="F99" t="inlineStr"/>
      <c r="G99" t="inlineStr">
        <is>
          <t>Tempe, AZ, US</t>
        </is>
      </c>
      <c r="H99" s="2" t="n">
        <v>45880</v>
      </c>
      <c r="I99"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in-014267953457723e</t>
        </is>
      </c>
      <c r="B100" t="inlineStr">
        <is>
          <t>Senior Applied Scientist, Agentic AI for Data Analytics and Science, Speed Analytics and Science</t>
        </is>
      </c>
      <c r="C100" t="inlineStr">
        <is>
          <t>Amazon.com</t>
        </is>
      </c>
      <c r="D100" t="inlineStr">
        <is>
          <t>indeed</t>
        </is>
      </c>
      <c r="E100" t="inlineStr"/>
      <c r="F100" t="inlineStr"/>
      <c r="G100" t="inlineStr">
        <is>
          <t>Bellevue, WA, US</t>
        </is>
      </c>
      <c r="H100" s="2" t="n">
        <v>45880</v>
      </c>
      <c r="I100"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in-6b89675d10b103b4</t>
        </is>
      </c>
      <c r="B101" t="inlineStr">
        <is>
          <t>Sr. Applied Scientist, Amazon Advertising</t>
        </is>
      </c>
      <c r="C101" t="inlineStr">
        <is>
          <t>Amazon.com</t>
        </is>
      </c>
      <c r="D101" t="inlineStr">
        <is>
          <t>indeed</t>
        </is>
      </c>
      <c r="E101" t="inlineStr"/>
      <c r="F101" t="inlineStr"/>
      <c r="G101" t="inlineStr">
        <is>
          <t>Seattle, WA, US</t>
        </is>
      </c>
      <c r="H101" s="2"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in-109b685cf3ba5876</t>
        </is>
      </c>
      <c r="B102" t="inlineStr">
        <is>
          <t>Sr. Applied Scientist, Amazon Advertising</t>
        </is>
      </c>
      <c r="C102" t="inlineStr">
        <is>
          <t>Amazon.com</t>
        </is>
      </c>
      <c r="D102" t="inlineStr">
        <is>
          <t>indeed</t>
        </is>
      </c>
      <c r="E102" t="inlineStr"/>
      <c r="F102" t="inlineStr"/>
      <c r="G102" t="inlineStr">
        <is>
          <t>Los Angeles, CA, US</t>
        </is>
      </c>
      <c r="H102" s="2"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in-239f48ad840feeef</t>
        </is>
      </c>
      <c r="B103" t="inlineStr">
        <is>
          <t>Sr. Applied Scientist, Amazon Advertising</t>
        </is>
      </c>
      <c r="C103" t="inlineStr">
        <is>
          <t>Amazon.com</t>
        </is>
      </c>
      <c r="D103" t="inlineStr">
        <is>
          <t>indeed</t>
        </is>
      </c>
      <c r="E103" t="inlineStr"/>
      <c r="F103" t="inlineStr"/>
      <c r="G103" t="inlineStr">
        <is>
          <t>Simi Valley, CA, US</t>
        </is>
      </c>
      <c r="H103" s="2"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in-06f08f0bd8b58cc3</t>
        </is>
      </c>
      <c r="B104" t="inlineStr">
        <is>
          <t>Sr. Applied Scientist, Amazon Advertising</t>
        </is>
      </c>
      <c r="C104" t="inlineStr">
        <is>
          <t>Amazon.com</t>
        </is>
      </c>
      <c r="D104" t="inlineStr">
        <is>
          <t>indeed</t>
        </is>
      </c>
      <c r="E104" t="inlineStr"/>
      <c r="F104" t="inlineStr"/>
      <c r="G104" t="inlineStr">
        <is>
          <t>West Hollywood, CA, US</t>
        </is>
      </c>
      <c r="H104" s="2"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in-3e4b60a26f42eb40</t>
        </is>
      </c>
      <c r="B105" t="inlineStr">
        <is>
          <t>Sr. Applied Scientist, Amazon Advertising</t>
        </is>
      </c>
      <c r="C105" t="inlineStr">
        <is>
          <t>Amazon.com</t>
        </is>
      </c>
      <c r="D105" t="inlineStr">
        <is>
          <t>indeed</t>
        </is>
      </c>
      <c r="E105" t="inlineStr"/>
      <c r="F105" t="inlineStr"/>
      <c r="G105" t="inlineStr">
        <is>
          <t>Austin, TX, US</t>
        </is>
      </c>
      <c r="H105" s="2"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in-3a28b4f0ee9c84e2</t>
        </is>
      </c>
      <c r="B106" t="inlineStr">
        <is>
          <t>Sr. Applied Scientist, Amazon Advertising</t>
        </is>
      </c>
      <c r="C106" t="inlineStr">
        <is>
          <t>Amazon.com</t>
        </is>
      </c>
      <c r="D106" t="inlineStr">
        <is>
          <t>indeed</t>
        </is>
      </c>
      <c r="E106" t="inlineStr"/>
      <c r="F106" t="inlineStr"/>
      <c r="G106" t="inlineStr">
        <is>
          <t>Arlington, VA, US</t>
        </is>
      </c>
      <c r="H106" s="2"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in-5f97e999fd14b849</t>
        </is>
      </c>
      <c r="B107" t="inlineStr">
        <is>
          <t>Sr. Applied Scientist, Amazon Advertising</t>
        </is>
      </c>
      <c r="C107" t="inlineStr">
        <is>
          <t>Amazon.com</t>
        </is>
      </c>
      <c r="D107" t="inlineStr">
        <is>
          <t>indeed</t>
        </is>
      </c>
      <c r="E107" t="inlineStr"/>
      <c r="F107" t="inlineStr"/>
      <c r="G107" t="inlineStr">
        <is>
          <t>New York, NY, US</t>
        </is>
      </c>
      <c r="H107" s="2"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in-67959d873e51e614</t>
        </is>
      </c>
      <c r="B108" t="inlineStr">
        <is>
          <t>Sr. Applied Scientist, Amazon Advertising</t>
        </is>
      </c>
      <c r="C108" t="inlineStr">
        <is>
          <t>Amazon.com</t>
        </is>
      </c>
      <c r="D108" t="inlineStr">
        <is>
          <t>indeed</t>
        </is>
      </c>
      <c r="E108" t="inlineStr"/>
      <c r="F108" t="inlineStr"/>
      <c r="G108" t="inlineStr">
        <is>
          <t>Palo Alto, CA, US</t>
        </is>
      </c>
      <c r="H108" s="2"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in-1831fdffddd97b2e</t>
        </is>
      </c>
      <c r="B109" t="inlineStr">
        <is>
          <t>Senior Applied Scientist, Artificial General Intelligence</t>
        </is>
      </c>
      <c r="C109" t="inlineStr">
        <is>
          <t>Amazon.com</t>
        </is>
      </c>
      <c r="D109" t="inlineStr">
        <is>
          <t>indeed</t>
        </is>
      </c>
      <c r="E109" t="inlineStr"/>
      <c r="F109" t="inlineStr"/>
      <c r="G109" t="inlineStr">
        <is>
          <t>Sunnyvale, CA, US</t>
        </is>
      </c>
      <c r="H109" s="2" t="n">
        <v>45838</v>
      </c>
      <c r="I10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in-a2396eede8c1517c</t>
        </is>
      </c>
      <c r="B110" t="inlineStr">
        <is>
          <t>Senior Applied Scientist, Artificial General Intelligence</t>
        </is>
      </c>
      <c r="C110" t="inlineStr">
        <is>
          <t>Amazon.com</t>
        </is>
      </c>
      <c r="D110" t="inlineStr">
        <is>
          <t>indeed</t>
        </is>
      </c>
      <c r="E110" t="inlineStr"/>
      <c r="F110" t="inlineStr"/>
      <c r="G110" t="inlineStr">
        <is>
          <t>Boston, MA, US</t>
        </is>
      </c>
      <c r="H110" s="2" t="n">
        <v>45838</v>
      </c>
      <c r="I11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in-ce2df4f66a0c0bda</t>
        </is>
      </c>
      <c r="B111" t="inlineStr">
        <is>
          <t>Senior Applied Scientist, Artificial General Intelligence</t>
        </is>
      </c>
      <c r="C111" t="inlineStr">
        <is>
          <t>Amazon.com</t>
        </is>
      </c>
      <c r="D111" t="inlineStr">
        <is>
          <t>indeed</t>
        </is>
      </c>
      <c r="E111" t="inlineStr"/>
      <c r="F111" t="inlineStr"/>
      <c r="G111" t="inlineStr">
        <is>
          <t>New York, NY, US</t>
        </is>
      </c>
      <c r="H111" s="2" t="n">
        <v>45838</v>
      </c>
      <c r="I11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in-2d7dcd163ad0f289</t>
        </is>
      </c>
      <c r="B112" t="inlineStr">
        <is>
          <t>Sr. Applied Scientist, Sales AI</t>
        </is>
      </c>
      <c r="C112" t="inlineStr">
        <is>
          <t>Amazon.com</t>
        </is>
      </c>
      <c r="D112" t="inlineStr">
        <is>
          <t>indeed</t>
        </is>
      </c>
      <c r="E112" t="inlineStr"/>
      <c r="F112" t="inlineStr"/>
      <c r="G112" t="inlineStr">
        <is>
          <t>Seattle, WA, US</t>
        </is>
      </c>
      <c r="H112" s="2" t="n">
        <v>45830</v>
      </c>
      <c r="I11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in-1755cd0dc6a7ddbc</t>
        </is>
      </c>
      <c r="B113" t="inlineStr">
        <is>
          <t>Sr. Applied Scientist, Sales AI</t>
        </is>
      </c>
      <c r="C113" t="inlineStr">
        <is>
          <t>Amazon.com</t>
        </is>
      </c>
      <c r="D113" t="inlineStr">
        <is>
          <t>indeed</t>
        </is>
      </c>
      <c r="E113" t="inlineStr"/>
      <c r="F113" t="inlineStr"/>
      <c r="G113" t="inlineStr">
        <is>
          <t>New York, NY, US</t>
        </is>
      </c>
      <c r="H113" s="2" t="n">
        <v>45830</v>
      </c>
      <c r="I11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in-7ddca397a48bc9c9</t>
        </is>
      </c>
      <c r="B114" t="inlineStr">
        <is>
          <t>Sr. Applied Scientist, Sales AI</t>
        </is>
      </c>
      <c r="C114" t="inlineStr">
        <is>
          <t>Amazon.com</t>
        </is>
      </c>
      <c r="D114" t="inlineStr">
        <is>
          <t>indeed</t>
        </is>
      </c>
      <c r="E114" t="inlineStr"/>
      <c r="F114" t="inlineStr"/>
      <c r="G114" t="inlineStr">
        <is>
          <t>Sunnyvale, CA, US</t>
        </is>
      </c>
      <c r="H114" s="2" t="n">
        <v>45830</v>
      </c>
      <c r="I11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in-fe647bc3bc786966</t>
        </is>
      </c>
      <c r="B115" t="inlineStr">
        <is>
          <t>Sr. Applied Scientist, AGI Info</t>
        </is>
      </c>
      <c r="C115" t="inlineStr">
        <is>
          <t>Amazon.com</t>
        </is>
      </c>
      <c r="D115" t="inlineStr">
        <is>
          <t>indeed</t>
        </is>
      </c>
      <c r="E115" t="inlineStr"/>
      <c r="F115" t="inlineStr"/>
      <c r="G115" t="inlineStr">
        <is>
          <t>Bellevue, WA, US</t>
        </is>
      </c>
      <c r="H115" s="2" t="n">
        <v>45811</v>
      </c>
      <c r="I115"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in-a2613389cfd89f67</t>
        </is>
      </c>
      <c r="B116" t="inlineStr">
        <is>
          <t>Sr. Applied Scientist, AGI Info</t>
        </is>
      </c>
      <c r="C116" t="inlineStr">
        <is>
          <t>Amazon.com</t>
        </is>
      </c>
      <c r="D116" t="inlineStr">
        <is>
          <t>indeed</t>
        </is>
      </c>
      <c r="E116" t="inlineStr"/>
      <c r="F116" t="inlineStr"/>
      <c r="G116" t="inlineStr">
        <is>
          <t>Sunnyvale, CA, US</t>
        </is>
      </c>
      <c r="H116" s="2" t="n">
        <v>45811</v>
      </c>
      <c r="I116"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in-b17278dc7d17d08a</t>
        </is>
      </c>
      <c r="B117" t="inlineStr">
        <is>
          <t>Principal Applied Scientist, Delivery Foundation Model</t>
        </is>
      </c>
      <c r="C117" t="inlineStr">
        <is>
          <t>Amazon.com</t>
        </is>
      </c>
      <c r="D117" t="inlineStr">
        <is>
          <t>indeed</t>
        </is>
      </c>
      <c r="E117" t="inlineStr"/>
      <c r="F117" t="inlineStr"/>
      <c r="G117" t="inlineStr">
        <is>
          <t>Santa Clara, CA, US</t>
        </is>
      </c>
      <c r="H117" s="2" t="n">
        <v>45810</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in-ed0b16b021537887</t>
        </is>
      </c>
      <c r="B118" t="inlineStr">
        <is>
          <t>Principal Applied Scientist, Delivery Foundation Model</t>
        </is>
      </c>
      <c r="C118" t="inlineStr">
        <is>
          <t>Amazon.com</t>
        </is>
      </c>
      <c r="D118" t="inlineStr">
        <is>
          <t>indeed</t>
        </is>
      </c>
      <c r="E118" t="inlineStr"/>
      <c r="F118" t="inlineStr"/>
      <c r="G118" t="inlineStr">
        <is>
          <t>New York, NY, US</t>
        </is>
      </c>
      <c r="H118" s="2" t="n">
        <v>45810</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in-c8964bb7bc7b80f0</t>
        </is>
      </c>
      <c r="B119" t="inlineStr">
        <is>
          <t>Principal Applied Scientist, Delivery Foundation Model</t>
        </is>
      </c>
      <c r="C119" t="inlineStr">
        <is>
          <t>Amazon.com</t>
        </is>
      </c>
      <c r="D119" t="inlineStr">
        <is>
          <t>indeed</t>
        </is>
      </c>
      <c r="E119" t="inlineStr"/>
      <c r="F119" t="inlineStr"/>
      <c r="G119" t="inlineStr">
        <is>
          <t>Bellevue, WA, US</t>
        </is>
      </c>
      <c r="H119" s="2" t="n">
        <v>45810</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in-d1d70541bf8e71c5</t>
        </is>
      </c>
      <c r="B120" t="inlineStr">
        <is>
          <t>Principal Applied Scientist, Delivery Foundation Model</t>
        </is>
      </c>
      <c r="C120" t="inlineStr">
        <is>
          <t>Amazon.com</t>
        </is>
      </c>
      <c r="D120" t="inlineStr">
        <is>
          <t>indeed</t>
        </is>
      </c>
      <c r="E120" t="inlineStr"/>
      <c r="F120" t="inlineStr"/>
      <c r="G120" t="inlineStr">
        <is>
          <t>Austin, TX, US</t>
        </is>
      </c>
      <c r="H120" s="2" t="n">
        <v>45810</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in-0c24ff071055ed81</t>
        </is>
      </c>
      <c r="B121" t="inlineStr">
        <is>
          <t>Principal Applied Scientist, Delivery Foundation Model</t>
        </is>
      </c>
      <c r="C121" t="inlineStr">
        <is>
          <t>Amazon.com</t>
        </is>
      </c>
      <c r="D121" t="inlineStr">
        <is>
          <t>indeed</t>
        </is>
      </c>
      <c r="E121" t="inlineStr"/>
      <c r="F121" t="inlineStr"/>
      <c r="G121" t="inlineStr">
        <is>
          <t>New York, NY, US</t>
        </is>
      </c>
      <c r="H121" s="2" t="n">
        <v>45757</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in-07fbd8c3aeeae798</t>
        </is>
      </c>
      <c r="B122" t="inlineStr">
        <is>
          <t>Principal Applied Scientist, Delivery Foundation Model</t>
        </is>
      </c>
      <c r="C122" t="inlineStr">
        <is>
          <t>Amazon.com</t>
        </is>
      </c>
      <c r="D122" t="inlineStr">
        <is>
          <t>indeed</t>
        </is>
      </c>
      <c r="E122" t="inlineStr"/>
      <c r="F122" t="inlineStr"/>
      <c r="G122" t="inlineStr">
        <is>
          <t>Bellevue, WA, US</t>
        </is>
      </c>
      <c r="H122" s="2" t="n">
        <v>45757</v>
      </c>
      <c r="I12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in-2d9304ae6f650936</t>
        </is>
      </c>
      <c r="B123" t="inlineStr">
        <is>
          <t>Principal Applied Scientist, Delivery Foundation Model</t>
        </is>
      </c>
      <c r="C123" t="inlineStr">
        <is>
          <t>Amazon.com</t>
        </is>
      </c>
      <c r="D123" t="inlineStr">
        <is>
          <t>indeed</t>
        </is>
      </c>
      <c r="E123" t="inlineStr"/>
      <c r="F123" t="inlineStr"/>
      <c r="G123" t="inlineStr">
        <is>
          <t>Santa Clara, CA, US</t>
        </is>
      </c>
      <c r="H123" s="2" t="n">
        <v>45757</v>
      </c>
      <c r="I12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in-e9cfed92af143b8b</t>
        </is>
      </c>
      <c r="B124" t="inlineStr">
        <is>
          <t>Principal Applied Scientist, FAR (Frontier AI &amp; Robotics)</t>
        </is>
      </c>
      <c r="C124" t="inlineStr">
        <is>
          <t>Amazon.com</t>
        </is>
      </c>
      <c r="D124" t="inlineStr">
        <is>
          <t>indeed</t>
        </is>
      </c>
      <c r="E124" t="inlineStr"/>
      <c r="F124" t="inlineStr"/>
      <c r="G124" t="inlineStr">
        <is>
          <t>San Francisco, CA, US</t>
        </is>
      </c>
      <c r="H124" s="2" t="n">
        <v>45740</v>
      </c>
      <c r="I12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in-ddaa8c1df7d03461</t>
        </is>
      </c>
      <c r="B125" t="inlineStr">
        <is>
          <t>Principal Applied Scientist, FAR (Frontier AI &amp; Robotics)</t>
        </is>
      </c>
      <c r="C125" t="inlineStr">
        <is>
          <t>Amazon.com</t>
        </is>
      </c>
      <c r="D125" t="inlineStr">
        <is>
          <t>indeed</t>
        </is>
      </c>
      <c r="E125" t="inlineStr"/>
      <c r="F125" t="inlineStr"/>
      <c r="G125" t="inlineStr">
        <is>
          <t>Seattle, WA, US</t>
        </is>
      </c>
      <c r="H125" s="2" t="n">
        <v>45740</v>
      </c>
      <c r="I12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in-fc700e4ce420c425</t>
        </is>
      </c>
      <c r="B126" t="inlineStr">
        <is>
          <t>Senior AI Engineer</t>
        </is>
      </c>
      <c r="C126" t="inlineStr"/>
      <c r="D126" t="inlineStr">
        <is>
          <t>indeed</t>
        </is>
      </c>
      <c r="E126" t="inlineStr"/>
      <c r="F126" t="inlineStr"/>
      <c r="G126" t="inlineStr">
        <is>
          <t>Dallas-Fort Worth, TX, US</t>
        </is>
      </c>
      <c r="H126" s="2" t="n">
        <v>46040</v>
      </c>
      <c r="I126" t="inlineStr">
        <is>
          <t>**Job Description \- Senior AI Engineer**
Location: Dallas\-Fort Worth, Texas
Employment Type: Contract / Full\-Time
Experience Level: 5\+ years
**About the Company**
Our client is a leading manufacturing company operating in the Dallas\-Fort Worth area. They are executing a comprehensive AI transformation strategy to revolutionize their manufacturing processes, logistics operations, and supply chain management through advanced AI systems.
**Role Overview**
We are seeking experienced Senior AI Engineers to lead the development of sophisticated AI agents and intelligent systems for manufacturing applications. This role offers the opportunity to architect and implement production\-grade AI solutions that will directly impact operational efficiency and innovation in a major organization.
**Key Responsibilities**
\- Architect and develop complex AI agent systems for manufacturing automation and optimization
\- Design and implement multi\-agent orchestration frameworks for production environments
\- Build and maintain ontologies and knowledge bases for domain\-specific AI applications
\- Lead technical initiatives from concept through production deployment
\- Mentor junior engineers and contribute to technical best practices
\- Collaborate with stakeholders across manufacturing, logistics, and engineering teams
\- Drive innovation in AI agent capabilities and integration patterns
\- Ensure scalability, reliability, and performance of AI systems in production
**Required Qualifications**
\- Experience: 5\+ years in AI/ML development and deployment
\- AI Agent Development: Proven track record of building AI agents with at least some production or near\-production deployment experience
**Technical Expertise:**
\- Strong proficiency in Python and modern software engineering practices
\- Deep understanding of LLM architectures, fine\-tuning, and prompt engineering
\- Hands\-on experience designing orchestration systems for multi\-agent workflows
\- Working knowledge of ontology design and knowledge representation
\- Experience with deployment practices and taking systems beyond local development
\- \*\*Work Authorization:\*\* Must be authorized to work in the United States
**Preferred Qualifications**
\- Microsoft AI Studio or Azure AI services experience
\- Model Context Protocol (MCP) \- familiarity or experimentation (this is cutting\-edge, production experience not expected)
\- Domain Knowledge: Background in manufacturing, logistics, automotive, supply chain, or industrial IoT (strong plus but not required)
\- Experience with real\-time systems and edge computing
\- Track record of leading technical projects or mentoring engineers
\- Experience with CI/CD pipelines for AI/ML systems
\- Publications, blog posts, or presentations on AI agent systems
\- Active engagement with emerging AI technologies and frameworks
**Technical Environment**
\- Advanced AI/ML frameworks and agent development platforms
\- Cloud infrastructure (AWS and Azure preferred)
\- Modern MLOps and deployment pipelines
\- Integration with industrial systems and IoT devices
\- High\-performance computing and distributed systems
**What We Offer**
\- Leadership role in transformative AI initiatives within manufacturing, logistics and supply chain industries
\- Opportunity to architect and deploy enterprise\-scale AI solutions
\- Collaborative environment with access to cutting\-edge technology
\- Impact on real\-world industrial applications at scale
\- Work with a growing AI team in the thriving Dallas\-Fort Worth region
\- Professional growth opportunities in AI and advanced technology
Pay: $80,000\.00 \- $120,000\.00 per year
Benefits:
* Relocation assistance
Work Location: In person</t>
        </is>
      </c>
    </row>
    <row r="127">
      <c r="A127" t="inlineStr">
        <is>
          <t>in-9791295343ad3bbe</t>
        </is>
      </c>
      <c r="B127" t="inlineStr">
        <is>
          <t>Sr. Machine Learning Engineer, AGIF | Finetuning</t>
        </is>
      </c>
      <c r="C127" t="inlineStr">
        <is>
          <t>Amazon.com</t>
        </is>
      </c>
      <c r="D127" t="inlineStr">
        <is>
          <t>indeed</t>
        </is>
      </c>
      <c r="E127" t="inlineStr"/>
      <c r="F127" t="inlineStr"/>
      <c r="G127" t="inlineStr">
        <is>
          <t>New York, NY, US</t>
        </is>
      </c>
      <c r="H127" s="2" t="n">
        <v>45984</v>
      </c>
      <c r="I12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in-06325cf0d64908ed</t>
        </is>
      </c>
      <c r="B128" t="inlineStr">
        <is>
          <t>Sr. Machine Learning Engineer, AGIF | Finetuning</t>
        </is>
      </c>
      <c r="C128" t="inlineStr">
        <is>
          <t>Amazon.com</t>
        </is>
      </c>
      <c r="D128" t="inlineStr">
        <is>
          <t>indeed</t>
        </is>
      </c>
      <c r="E128" t="inlineStr"/>
      <c r="F128" t="inlineStr"/>
      <c r="G128" t="inlineStr">
        <is>
          <t>Sunnyvale, CA, US</t>
        </is>
      </c>
      <c r="H128" s="2" t="n">
        <v>45984</v>
      </c>
      <c r="I12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in-dfa45bcd8387b7f3</t>
        </is>
      </c>
      <c r="B129" t="inlineStr">
        <is>
          <t>Principal Applied Scientist, Amazon Special Projects</t>
        </is>
      </c>
      <c r="C129" t="inlineStr">
        <is>
          <t>Amazon.com</t>
        </is>
      </c>
      <c r="D129" t="inlineStr">
        <is>
          <t>indeed</t>
        </is>
      </c>
      <c r="E129">
        <f>HYPERLINK("https://www.indeed.com/viewjob?jk=dfa45bcd8387b7f3", "https://www.indeed.com/viewjob?jk=dfa45bcd8387b7f3")</f>
        <v/>
      </c>
      <c r="F129">
        <f>HYPERLINK("https://www.amazon.jobs/jobs/3132566/principal-applied-scientist-amazon-special-projects?cmpid=DA_INAD200785B", "https://www.amazon.jobs/jobs/3132566/principal-applied-scientist-amazon-special-projects?cmpid=DA_INAD200785B")</f>
        <v/>
      </c>
      <c r="G129" t="inlineStr">
        <is>
          <t>Seattle, WA, US</t>
        </is>
      </c>
      <c r="H129" s="3" t="n">
        <v>45982</v>
      </c>
      <c r="I12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in-6d643906121f226a</t>
        </is>
      </c>
      <c r="B130" t="inlineStr">
        <is>
          <t>Sr. Applied Scientist, AGI Foundations</t>
        </is>
      </c>
      <c r="C130" t="inlineStr">
        <is>
          <t>Amazon.com</t>
        </is>
      </c>
      <c r="D130" t="inlineStr">
        <is>
          <t>indeed</t>
        </is>
      </c>
      <c r="E130">
        <f>HYPERLINK("https://www.indeed.com/viewjob?jk=6d643906121f226a", "https://www.indeed.com/viewjob?jk=6d643906121f226a")</f>
        <v/>
      </c>
      <c r="F130">
        <f>HYPERLINK("https://www.amazon.jobs/jobs/3128807/sr-applied-scientist-agi-foundations?cmpid=DA_INAD200785B", "https://www.amazon.jobs/jobs/3128807/sr-applied-scientist-agi-foundations?cmpid=DA_INAD200785B")</f>
        <v/>
      </c>
      <c r="G130" t="inlineStr">
        <is>
          <t>Boston, MA, US</t>
        </is>
      </c>
      <c r="H130" s="3" t="n">
        <v>45978</v>
      </c>
      <c r="I13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in-e8ce1ff6e7adf728</t>
        </is>
      </c>
      <c r="B131" t="inlineStr">
        <is>
          <t>Sr. Applied Scientist, AGI Foundations</t>
        </is>
      </c>
      <c r="C131" t="inlineStr">
        <is>
          <t>Amazon.com</t>
        </is>
      </c>
      <c r="D131" t="inlineStr">
        <is>
          <t>indeed</t>
        </is>
      </c>
      <c r="E131">
        <f>HYPERLINK("https://www.indeed.com/viewjob?jk=e8ce1ff6e7adf728", "https://www.indeed.com/viewjob?jk=e8ce1ff6e7adf728")</f>
        <v/>
      </c>
      <c r="F131">
        <f>HYPERLINK("https://www.amazon.jobs/jobs/3128807/sr-applied-scientist-agi-foundations?cmpid=DA_INAD200785B", "https://www.amazon.jobs/jobs/3128807/sr-applied-scientist-agi-foundations?cmpid=DA_INAD200785B")</f>
        <v/>
      </c>
      <c r="G131" t="inlineStr">
        <is>
          <t>Sunnyvale, CA, US</t>
        </is>
      </c>
      <c r="H131" s="3" t="n">
        <v>45978</v>
      </c>
      <c r="I13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in-cbf7f7129789a0fa</t>
        </is>
      </c>
      <c r="B132" t="inlineStr">
        <is>
          <t>Sr. Applied Scientist, AGI Foundations</t>
        </is>
      </c>
      <c r="C132" t="inlineStr">
        <is>
          <t>Amazon.com</t>
        </is>
      </c>
      <c r="D132" t="inlineStr">
        <is>
          <t>indeed</t>
        </is>
      </c>
      <c r="E132">
        <f>HYPERLINK("https://www.indeed.com/viewjob?jk=cbf7f7129789a0fa", "https://www.indeed.com/viewjob?jk=cbf7f7129789a0fa")</f>
        <v/>
      </c>
      <c r="F132">
        <f>HYPERLINK("https://www.amazon.jobs/jobs/3128807/sr-applied-scientist-agi-foundations?cmpid=DA_INAD200785B", "https://www.amazon.jobs/jobs/3128807/sr-applied-scientist-agi-foundations?cmpid=DA_INAD200785B")</f>
        <v/>
      </c>
      <c r="G132" t="inlineStr">
        <is>
          <t>Bellevue, WA, US</t>
        </is>
      </c>
      <c r="H132" s="3" t="n">
        <v>45978</v>
      </c>
      <c r="I13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in-e3cc7db05f7b5579</t>
        </is>
      </c>
      <c r="B133" t="inlineStr">
        <is>
          <t>Sr. Applied Scientist, AGI Foundations</t>
        </is>
      </c>
      <c r="C133" t="inlineStr">
        <is>
          <t>Amazon.com</t>
        </is>
      </c>
      <c r="D133" t="inlineStr">
        <is>
          <t>indeed</t>
        </is>
      </c>
      <c r="E133">
        <f>HYPERLINK("https://www.indeed.com/viewjob?jk=e3cc7db05f7b5579", "https://www.indeed.com/viewjob?jk=e3cc7db05f7b5579")</f>
        <v/>
      </c>
      <c r="F133">
        <f>HYPERLINK("https://www.amazon.jobs/jobs/3128807/sr-applied-scientist-agi-foundations?cmpid=DA_INAD200785B", "https://www.amazon.jobs/jobs/3128807/sr-applied-scientist-agi-foundations?cmpid=DA_INAD200785B")</f>
        <v/>
      </c>
      <c r="G133" t="inlineStr">
        <is>
          <t>New York, NY, US</t>
        </is>
      </c>
      <c r="H133" s="3" t="n">
        <v>45978</v>
      </c>
      <c r="I13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in-ceccb3edc67c108d</t>
        </is>
      </c>
      <c r="B134" t="inlineStr">
        <is>
          <t>Sr. Applied Scientist, AGI Foundations</t>
        </is>
      </c>
      <c r="C134" t="inlineStr">
        <is>
          <t>Amazon.com</t>
        </is>
      </c>
      <c r="D134" t="inlineStr">
        <is>
          <t>indeed</t>
        </is>
      </c>
      <c r="E134">
        <f>HYPERLINK("https://www.indeed.com/viewjob?jk=ceccb3edc67c108d", "https://www.indeed.com/viewjob?jk=ceccb3edc67c108d")</f>
        <v/>
      </c>
      <c r="F134">
        <f>HYPERLINK("https://www.amazon.jobs/jobs/3123268/sr-applied-scientist-agi-foundations?cmpid=DA_INAD200785B", "https://www.amazon.jobs/jobs/3123268/sr-applied-scientist-agi-foundations?cmpid=DA_INAD200785B")</f>
        <v/>
      </c>
      <c r="G134" t="inlineStr">
        <is>
          <t>Bellevue, WA, US</t>
        </is>
      </c>
      <c r="H134" s="3" t="n">
        <v>45963</v>
      </c>
      <c r="I13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in-9753efc80cb7dfd6</t>
        </is>
      </c>
      <c r="B135" t="inlineStr">
        <is>
          <t>Sr. Applied Scientist, AGI Foundations</t>
        </is>
      </c>
      <c r="C135" t="inlineStr">
        <is>
          <t>Amazon.com</t>
        </is>
      </c>
      <c r="D135" t="inlineStr">
        <is>
          <t>indeed</t>
        </is>
      </c>
      <c r="E135">
        <f>HYPERLINK("https://www.indeed.com/viewjob?jk=9753efc80cb7dfd6", "https://www.indeed.com/viewjob?jk=9753efc80cb7dfd6")</f>
        <v/>
      </c>
      <c r="F135">
        <f>HYPERLINK("https://www.amazon.jobs/jobs/3123268/sr-applied-scientist-agi-foundations?cmpid=DA_INAD200785B", "https://www.amazon.jobs/jobs/3123268/sr-applied-scientist-agi-foundations?cmpid=DA_INAD200785B")</f>
        <v/>
      </c>
      <c r="G135" t="inlineStr">
        <is>
          <t>New York, NY, US</t>
        </is>
      </c>
      <c r="H135" s="3" t="n">
        <v>45963</v>
      </c>
      <c r="I13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in-f35427886bc23db4</t>
        </is>
      </c>
      <c r="B136" t="inlineStr">
        <is>
          <t>Sr. Applied Scientist, AGI Foundations</t>
        </is>
      </c>
      <c r="C136" t="inlineStr">
        <is>
          <t>Amazon.com</t>
        </is>
      </c>
      <c r="D136" t="inlineStr">
        <is>
          <t>indeed</t>
        </is>
      </c>
      <c r="E136">
        <f>HYPERLINK("https://www.indeed.com/viewjob?jk=f35427886bc23db4", "https://www.indeed.com/viewjob?jk=f35427886bc23db4")</f>
        <v/>
      </c>
      <c r="F136">
        <f>HYPERLINK("https://www.amazon.jobs/jobs/3123268/sr-applied-scientist-agi-foundations?cmpid=DA_INAD200785B", "https://www.amazon.jobs/jobs/3123268/sr-applied-scientist-agi-foundations?cmpid=DA_INAD200785B")</f>
        <v/>
      </c>
      <c r="G136" t="inlineStr">
        <is>
          <t>Boston, MA, US</t>
        </is>
      </c>
      <c r="H136" s="3" t="n">
        <v>45963</v>
      </c>
      <c r="I13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in-00c2a10fdc42a7f2</t>
        </is>
      </c>
      <c r="B137" t="inlineStr">
        <is>
          <t>Applied Scientist II, Prime Video - Personalization and Discovery Science, Personalization and Discovery Science</t>
        </is>
      </c>
      <c r="C137" t="inlineStr">
        <is>
          <t>Amazon.com</t>
        </is>
      </c>
      <c r="D137" t="inlineStr">
        <is>
          <t>indeed</t>
        </is>
      </c>
      <c r="E137">
        <f>HYPERLINK("https://www.indeed.com/viewjob?jk=00c2a10fdc42a7f2", "https://www.indeed.com/viewjob?jk=00c2a10fdc42a7f2")</f>
        <v/>
      </c>
      <c r="F13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7" t="inlineStr">
        <is>
          <t>New York, NY, US</t>
        </is>
      </c>
      <c r="H137" s="3" t="n">
        <v>45930</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in-c6aa85c875c28929</t>
        </is>
      </c>
      <c r="B138" t="inlineStr">
        <is>
          <t>Applied Scientist II, Prime Video - Personalization and Discovery Science, Personalization and Discovery Science</t>
        </is>
      </c>
      <c r="C138" t="inlineStr">
        <is>
          <t>Amazon.com</t>
        </is>
      </c>
      <c r="D138" t="inlineStr">
        <is>
          <t>indeed</t>
        </is>
      </c>
      <c r="E138">
        <f>HYPERLINK("https://www.indeed.com/viewjob?jk=c6aa85c875c28929", "https://www.indeed.com/viewjob?jk=c6aa85c875c28929")</f>
        <v/>
      </c>
      <c r="F13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8" t="inlineStr">
        <is>
          <t>Sunnyvale, CA, US</t>
        </is>
      </c>
      <c r="H138" s="3" t="n">
        <v>45930</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in-2a4afec27b7aea5d</t>
        </is>
      </c>
      <c r="B139" t="inlineStr">
        <is>
          <t>Applied Scientist II, Prime Video - Personalization and Discovery Science, Personalization and Discovery Science</t>
        </is>
      </c>
      <c r="C139" t="inlineStr">
        <is>
          <t>Amazon.com</t>
        </is>
      </c>
      <c r="D139" t="inlineStr">
        <is>
          <t>indeed</t>
        </is>
      </c>
      <c r="E139">
        <f>HYPERLINK("https://www.indeed.com/viewjob?jk=2a4afec27b7aea5d", "https://www.indeed.com/viewjob?jk=2a4afec27b7aea5d")</f>
        <v/>
      </c>
      <c r="F13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9" t="inlineStr">
        <is>
          <t>Seattle, WA, US</t>
        </is>
      </c>
      <c r="H139" s="3" t="n">
        <v>45930</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in-205dc42f95fb9a93</t>
        </is>
      </c>
      <c r="B140" t="inlineStr">
        <is>
          <t>Applied Scientist II, Prime Video - Personalization and Discovery Science</t>
        </is>
      </c>
      <c r="C140" t="inlineStr">
        <is>
          <t>Amazon.com</t>
        </is>
      </c>
      <c r="D140" t="inlineStr">
        <is>
          <t>indeed</t>
        </is>
      </c>
      <c r="E140">
        <f>HYPERLINK("https://www.indeed.com/viewjob?jk=205dc42f95fb9a93", "https://www.indeed.com/viewjob?jk=205dc42f95fb9a93")</f>
        <v/>
      </c>
      <c r="F140">
        <f>HYPERLINK("https://www.amazon.jobs/jobs/3086060/applied-scientist-ii-prime-video--personalization-and-discovery-science?cmpid=DA_INAD200785B", "https://www.amazon.jobs/jobs/3086060/applied-scientist-ii-prime-video--personalization-and-discovery-science?cmpid=DA_INAD200785B")</f>
        <v/>
      </c>
      <c r="G140" t="inlineStr">
        <is>
          <t>Seattle, WA, US</t>
        </is>
      </c>
      <c r="H140" s="3" t="n">
        <v>45915</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in-0e06883c62bbec1d</t>
        </is>
      </c>
      <c r="B141" t="inlineStr">
        <is>
          <t>Applied Scientist II, Prime Video - Personalization and Discovery Science</t>
        </is>
      </c>
      <c r="C141" t="inlineStr">
        <is>
          <t>Amazon.com</t>
        </is>
      </c>
      <c r="D141" t="inlineStr">
        <is>
          <t>indeed</t>
        </is>
      </c>
      <c r="E141">
        <f>HYPERLINK("https://www.indeed.com/viewjob?jk=0e06883c62bbec1d", "https://www.indeed.com/viewjob?jk=0e06883c62bbec1d")</f>
        <v/>
      </c>
      <c r="F141">
        <f>HYPERLINK("https://www.amazon.jobs/jobs/3086060/applied-scientist-ii-prime-video--personalization-and-discovery-science?cmpid=DA_INAD200785B", "https://www.amazon.jobs/jobs/3086060/applied-scientist-ii-prime-video--personalization-and-discovery-science?cmpid=DA_INAD200785B")</f>
        <v/>
      </c>
      <c r="G141" t="inlineStr">
        <is>
          <t>New York, NY, US</t>
        </is>
      </c>
      <c r="H141" s="3" t="n">
        <v>45915</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in-68a209a8ceac075a</t>
        </is>
      </c>
      <c r="B142" t="inlineStr">
        <is>
          <t>Applied Scientist II, Prime Video - Personalization and Discovery Science</t>
        </is>
      </c>
      <c r="C142" t="inlineStr">
        <is>
          <t>Amazon.com</t>
        </is>
      </c>
      <c r="D142" t="inlineStr">
        <is>
          <t>indeed</t>
        </is>
      </c>
      <c r="E142">
        <f>HYPERLINK("https://www.indeed.com/viewjob?jk=68a209a8ceac075a", "https://www.indeed.com/viewjob?jk=68a209a8ceac075a")</f>
        <v/>
      </c>
      <c r="F142">
        <f>HYPERLINK("https://www.amazon.jobs/jobs/3086060/applied-scientist-ii-prime-video--personalization-and-discovery-science?cmpid=DA_INAD200785B", "https://www.amazon.jobs/jobs/3086060/applied-scientist-ii-prime-video--personalization-and-discovery-science?cmpid=DA_INAD200785B")</f>
        <v/>
      </c>
      <c r="G142" t="inlineStr">
        <is>
          <t>Sunnyvale, CA, US</t>
        </is>
      </c>
      <c r="H142" s="3" t="n">
        <v>45915</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in-a4a3f75b4338c681</t>
        </is>
      </c>
      <c r="B143" t="inlineStr">
        <is>
          <t>Sr. Applied Scientist, Prime Video - Personalization and Discovery Science</t>
        </is>
      </c>
      <c r="C143" t="inlineStr">
        <is>
          <t>Amazon.com</t>
        </is>
      </c>
      <c r="D143" t="inlineStr">
        <is>
          <t>indeed</t>
        </is>
      </c>
      <c r="E143">
        <f>HYPERLINK("https://www.indeed.com/viewjob?jk=a4a3f75b4338c681", "https://www.indeed.com/viewjob?jk=a4a3f75b4338c681")</f>
        <v/>
      </c>
      <c r="F143">
        <f>HYPERLINK("https://www.amazon.jobs/jobs/3083564/sr-applied-scientist-prime-video--personalization-and-discovery-science?cmpid=DA_INAD200785B", "https://www.amazon.jobs/jobs/3083564/sr-applied-scientist-prime-video--personalization-and-discovery-science?cmpid=DA_INAD200785B")</f>
        <v/>
      </c>
      <c r="G143" t="inlineStr">
        <is>
          <t>Seattle, WA, US</t>
        </is>
      </c>
      <c r="H143" s="3" t="n">
        <v>45914</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in-13f288a3c206870b</t>
        </is>
      </c>
      <c r="B144" t="inlineStr">
        <is>
          <t>Sr. Applied Scientist, Prime Video - Personalization and Discovery Science</t>
        </is>
      </c>
      <c r="C144" t="inlineStr">
        <is>
          <t>Amazon.com</t>
        </is>
      </c>
      <c r="D144" t="inlineStr">
        <is>
          <t>indeed</t>
        </is>
      </c>
      <c r="E144">
        <f>HYPERLINK("https://www.indeed.com/viewjob?jk=13f288a3c206870b", "https://www.indeed.com/viewjob?jk=13f288a3c206870b")</f>
        <v/>
      </c>
      <c r="F144">
        <f>HYPERLINK("https://www.amazon.jobs/jobs/3083564/sr-applied-scientist-prime-video--personalization-and-discovery-science?cmpid=DA_INAD200785B", "https://www.amazon.jobs/jobs/3083564/sr-applied-scientist-prime-video--personalization-and-discovery-science?cmpid=DA_INAD200785B")</f>
        <v/>
      </c>
      <c r="G144" t="inlineStr">
        <is>
          <t>New York, NY, US</t>
        </is>
      </c>
      <c r="H144" s="3" t="n">
        <v>45914</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in-8543d63e3cc450a8</t>
        </is>
      </c>
      <c r="B145" t="inlineStr">
        <is>
          <t>Sr. Applied Scientist, Prime Video - Personalization and Discovery Science</t>
        </is>
      </c>
      <c r="C145" t="inlineStr">
        <is>
          <t>Amazon.com</t>
        </is>
      </c>
      <c r="D145" t="inlineStr">
        <is>
          <t>indeed</t>
        </is>
      </c>
      <c r="E145">
        <f>HYPERLINK("https://www.indeed.com/viewjob?jk=8543d63e3cc450a8", "https://www.indeed.com/viewjob?jk=8543d63e3cc450a8")</f>
        <v/>
      </c>
      <c r="F145">
        <f>HYPERLINK("https://www.amazon.jobs/jobs/3083564/sr-applied-scientist-prime-video--personalization-and-discovery-science?cmpid=DA_INAD200785B", "https://www.amazon.jobs/jobs/3083564/sr-applied-scientist-prime-video--personalization-and-discovery-science?cmpid=DA_INAD200785B")</f>
        <v/>
      </c>
      <c r="G145" t="inlineStr">
        <is>
          <t>Sunnyvale, CA, US</t>
        </is>
      </c>
      <c r="H145" s="3" t="n">
        <v>45914</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in-58d145135a8fd5ca</t>
        </is>
      </c>
      <c r="B146" t="inlineStr">
        <is>
          <t>Sr. Applied Scientist, Prime Video - Personalization and Discovery Science</t>
        </is>
      </c>
      <c r="C146" t="inlineStr">
        <is>
          <t>Amazon.com</t>
        </is>
      </c>
      <c r="D146" t="inlineStr">
        <is>
          <t>indeed</t>
        </is>
      </c>
      <c r="E146">
        <f>HYPERLINK("https://www.indeed.com/viewjob?jk=58d145135a8fd5ca", "https://www.indeed.com/viewjob?jk=58d145135a8fd5ca")</f>
        <v/>
      </c>
      <c r="F146">
        <f>HYPERLINK("https://www.amazon.jobs/jobs/3059256/sr-applied-scientist-prime-video--personalization-and-discovery-science?cmpid=DA_INAD200785B", "https://www.amazon.jobs/jobs/3059256/sr-applied-scientist-prime-video--personalization-and-discovery-science?cmpid=DA_INAD200785B")</f>
        <v/>
      </c>
      <c r="G146" t="inlineStr">
        <is>
          <t>Seattle, WA, US</t>
        </is>
      </c>
      <c r="H146" s="3" t="n">
        <v>45881</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in-aba19e786ac97660</t>
        </is>
      </c>
      <c r="B147" t="inlineStr">
        <is>
          <t>Sr. Applied Scientist, Prime Video - Personalization and Discovery Science</t>
        </is>
      </c>
      <c r="C147" t="inlineStr">
        <is>
          <t>Amazon.com</t>
        </is>
      </c>
      <c r="D147" t="inlineStr">
        <is>
          <t>indeed</t>
        </is>
      </c>
      <c r="E147">
        <f>HYPERLINK("https://www.indeed.com/viewjob?jk=aba19e786ac97660", "https://www.indeed.com/viewjob?jk=aba19e786ac97660")</f>
        <v/>
      </c>
      <c r="F147">
        <f>HYPERLINK("https://www.amazon.jobs/jobs/3059256/sr-applied-scientist-prime-video--personalization-and-discovery-science?cmpid=DA_INAD200785B", "https://www.amazon.jobs/jobs/3059256/sr-applied-scientist-prime-video--personalization-and-discovery-science?cmpid=DA_INAD200785B")</f>
        <v/>
      </c>
      <c r="G147" t="inlineStr">
        <is>
          <t>New York, NY, US</t>
        </is>
      </c>
      <c r="H147" s="3" t="n">
        <v>45881</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in-c3edc4155a62bdd6</t>
        </is>
      </c>
      <c r="B148" t="inlineStr">
        <is>
          <t>Applied Scientist II, Prime Video - Personalization and Discovery Science</t>
        </is>
      </c>
      <c r="C148" t="inlineStr">
        <is>
          <t>Amazon.com</t>
        </is>
      </c>
      <c r="D148" t="inlineStr">
        <is>
          <t>indeed</t>
        </is>
      </c>
      <c r="E148">
        <f>HYPERLINK("https://www.indeed.com/viewjob?jk=c3edc4155a62bdd6", "https://www.indeed.com/viewjob?jk=c3edc4155a62bdd6")</f>
        <v/>
      </c>
      <c r="F148">
        <f>HYPERLINK("https://www.amazon.jobs/jobs/3059253/applied-scientist-ii-prime-video--personalization-and-discovery-science?cmpid=DA_INAD200785B", "https://www.amazon.jobs/jobs/3059253/applied-scientist-ii-prime-video--personalization-and-discovery-science?cmpid=DA_INAD200785B")</f>
        <v/>
      </c>
      <c r="G148" t="inlineStr">
        <is>
          <t>Sunnyvale, CA, US</t>
        </is>
      </c>
      <c r="H148" s="3" t="n">
        <v>45881</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in-e213146fc9c45043</t>
        </is>
      </c>
      <c r="B149" t="inlineStr">
        <is>
          <t>Sr. Applied Scientist, Prime Video - Personalization and Discovery Science</t>
        </is>
      </c>
      <c r="C149" t="inlineStr">
        <is>
          <t>Amazon.com</t>
        </is>
      </c>
      <c r="D149" t="inlineStr">
        <is>
          <t>indeed</t>
        </is>
      </c>
      <c r="E149">
        <f>HYPERLINK("https://www.indeed.com/viewjob?jk=e213146fc9c45043", "https://www.indeed.com/viewjob?jk=e213146fc9c45043")</f>
        <v/>
      </c>
      <c r="F149">
        <f>HYPERLINK("https://www.amazon.jobs/jobs/3059256/sr-applied-scientist-prime-video--personalization-and-discovery-science?cmpid=DA_INAD200785B", "https://www.amazon.jobs/jobs/3059256/sr-applied-scientist-prime-video--personalization-and-discovery-science?cmpid=DA_INAD200785B")</f>
        <v/>
      </c>
      <c r="G149" t="inlineStr">
        <is>
          <t>Sunnyvale, CA, US</t>
        </is>
      </c>
      <c r="H149" s="3" t="n">
        <v>45881</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in-164a665cbc41a4eb</t>
        </is>
      </c>
      <c r="B150" t="inlineStr">
        <is>
          <t>Applied Scientist II, Prime Video - Personalization and Discovery Science</t>
        </is>
      </c>
      <c r="C150" t="inlineStr">
        <is>
          <t>Amazon.com</t>
        </is>
      </c>
      <c r="D150" t="inlineStr">
        <is>
          <t>indeed</t>
        </is>
      </c>
      <c r="E150">
        <f>HYPERLINK("https://www.indeed.com/viewjob?jk=164a665cbc41a4eb", "https://www.indeed.com/viewjob?jk=164a665cbc41a4eb")</f>
        <v/>
      </c>
      <c r="F150">
        <f>HYPERLINK("https://www.amazon.jobs/jobs/3059253/applied-scientist-ii-prime-video--personalization-and-discovery-science?cmpid=DA_INAD200785B", "https://www.amazon.jobs/jobs/3059253/applied-scientist-ii-prime-video--personalization-and-discovery-science?cmpid=DA_INAD200785B")</f>
        <v/>
      </c>
      <c r="G150" t="inlineStr">
        <is>
          <t>New York, NY, US</t>
        </is>
      </c>
      <c r="H150" s="3" t="n">
        <v>45881</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in-8aeca85c6270ec32</t>
        </is>
      </c>
      <c r="B151" t="inlineStr">
        <is>
          <t>Applied Scientist II, Prime Video - Personalization and Discovery Science</t>
        </is>
      </c>
      <c r="C151" t="inlineStr">
        <is>
          <t>Amazon.com</t>
        </is>
      </c>
      <c r="D151" t="inlineStr">
        <is>
          <t>indeed</t>
        </is>
      </c>
      <c r="E151">
        <f>HYPERLINK("https://www.indeed.com/viewjob?jk=8aeca85c6270ec32", "https://www.indeed.com/viewjob?jk=8aeca85c6270ec32")</f>
        <v/>
      </c>
      <c r="F151">
        <f>HYPERLINK("https://www.amazon.jobs/jobs/3059253/applied-scientist-ii-prime-video--personalization-and-discovery-science?cmpid=DA_INAD200785B", "https://www.amazon.jobs/jobs/3059253/applied-scientist-ii-prime-video--personalization-and-discovery-science?cmpid=DA_INAD200785B")</f>
        <v/>
      </c>
      <c r="G151" t="inlineStr">
        <is>
          <t>Seattle, WA, US</t>
        </is>
      </c>
      <c r="H151" s="3" t="n">
        <v>45881</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in-4f004975a1d60437</t>
        </is>
      </c>
      <c r="B152" t="inlineStr">
        <is>
          <t>Applied Scientist, Prime Video - Personalization and Discovery Science</t>
        </is>
      </c>
      <c r="C152" t="inlineStr">
        <is>
          <t>Amazon.com</t>
        </is>
      </c>
      <c r="D152" t="inlineStr">
        <is>
          <t>indeed</t>
        </is>
      </c>
      <c r="E152">
        <f>HYPERLINK("https://www.indeed.com/viewjob?jk=4f004975a1d60437", "https://www.indeed.com/viewjob?jk=4f004975a1d60437")</f>
        <v/>
      </c>
      <c r="F152">
        <f>HYPERLINK("https://www.amazon.jobs/jobs/3033050/applied-scientist-prime-video--personalization-and-discovery-science?cmpid=DA_INAD200785B", "https://www.amazon.jobs/jobs/3033050/applied-scientist-prime-video--personalization-and-discovery-science?cmpid=DA_INAD200785B")</f>
        <v/>
      </c>
      <c r="G152" t="inlineStr">
        <is>
          <t>Seattle, WA, US</t>
        </is>
      </c>
      <c r="H152" s="3" t="n">
        <v>45845</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in-ba713cc5b76f5636</t>
        </is>
      </c>
      <c r="B153" t="inlineStr">
        <is>
          <t>Applied Scientist, Prime Video - Personalization and Discovery Science</t>
        </is>
      </c>
      <c r="C153" t="inlineStr">
        <is>
          <t>Amazon.com</t>
        </is>
      </c>
      <c r="D153" t="inlineStr">
        <is>
          <t>indeed</t>
        </is>
      </c>
      <c r="E153">
        <f>HYPERLINK("https://www.indeed.com/viewjob?jk=ba713cc5b76f5636", "https://www.indeed.com/viewjob?jk=ba713cc5b76f5636")</f>
        <v/>
      </c>
      <c r="F153">
        <f>HYPERLINK("https://www.amazon.jobs/jobs/3033050/applied-scientist-prime-video--personalization-and-discovery-science?cmpid=DA_INAD200785B", "https://www.amazon.jobs/jobs/3033050/applied-scientist-prime-video--personalization-and-discovery-science?cmpid=DA_INAD200785B")</f>
        <v/>
      </c>
      <c r="G153" t="inlineStr">
        <is>
          <t>New York, NY, US</t>
        </is>
      </c>
      <c r="H153" s="3" t="n">
        <v>45845</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in-99d05d24318d09eb</t>
        </is>
      </c>
      <c r="B154" t="inlineStr">
        <is>
          <t>Applied Scientist, Prime Video - Personalization and Discovery Science</t>
        </is>
      </c>
      <c r="C154" t="inlineStr">
        <is>
          <t>Amazon.com</t>
        </is>
      </c>
      <c r="D154" t="inlineStr">
        <is>
          <t>indeed</t>
        </is>
      </c>
      <c r="E154">
        <f>HYPERLINK("https://www.indeed.com/viewjob?jk=99d05d24318d09eb", "https://www.indeed.com/viewjob?jk=99d05d24318d09eb")</f>
        <v/>
      </c>
      <c r="F154">
        <f>HYPERLINK("https://www.amazon.jobs/jobs/3033050/applied-scientist-prime-video--personalization-and-discovery-science?cmpid=DA_INAD200785B", "https://www.amazon.jobs/jobs/3033050/applied-scientist-prime-video--personalization-and-discovery-science?cmpid=DA_INAD200785B")</f>
        <v/>
      </c>
      <c r="G154" t="inlineStr">
        <is>
          <t>Sunnyvale, CA, US</t>
        </is>
      </c>
      <c r="H154" s="3" t="n">
        <v>45845</v>
      </c>
      <c r="I1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in-3d62cd182c18fcd4</t>
        </is>
      </c>
      <c r="B155" t="inlineStr">
        <is>
          <t>Applied Scientist, AGI</t>
        </is>
      </c>
      <c r="C155" t="inlineStr">
        <is>
          <t>Amazon.com</t>
        </is>
      </c>
      <c r="D155" t="inlineStr">
        <is>
          <t>indeed</t>
        </is>
      </c>
      <c r="E155">
        <f>HYPERLINK("https://www.indeed.com/viewjob?jk=3d62cd182c18fcd4", "https://www.indeed.com/viewjob?jk=3d62cd182c18fcd4")</f>
        <v/>
      </c>
      <c r="F155">
        <f>HYPERLINK("https://www.amazon.jobs/jobs/3139033/applied-scientist-agi?cmpid=DA_INAD200785B", "https://www.amazon.jobs/jobs/3139033/applied-scientist-agi?cmpid=DA_INAD200785B")</f>
        <v/>
      </c>
      <c r="G155" t="inlineStr">
        <is>
          <t>Cambridge, MA, US</t>
        </is>
      </c>
      <c r="H155" s="3" t="n">
        <v>45998</v>
      </c>
      <c r="I15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in-2233d46783d2125f</t>
        </is>
      </c>
      <c r="B156" t="inlineStr">
        <is>
          <t>Applied Scientist, AGI</t>
        </is>
      </c>
      <c r="C156" t="inlineStr">
        <is>
          <t>Amazon.com</t>
        </is>
      </c>
      <c r="D156" t="inlineStr">
        <is>
          <t>indeed</t>
        </is>
      </c>
      <c r="E156">
        <f>HYPERLINK("https://www.indeed.com/viewjob?jk=2233d46783d2125f", "https://www.indeed.com/viewjob?jk=2233d46783d2125f")</f>
        <v/>
      </c>
      <c r="F156">
        <f>HYPERLINK("https://www.amazon.jobs/jobs/3139033/applied-scientist-agi?cmpid=DA_INAD200785B", "https://www.amazon.jobs/jobs/3139033/applied-scientist-agi?cmpid=DA_INAD200785B")</f>
        <v/>
      </c>
      <c r="G156" t="inlineStr">
        <is>
          <t>New York, NY, US</t>
        </is>
      </c>
      <c r="H156" s="3" t="n">
        <v>45998</v>
      </c>
      <c r="I15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in-bfe4d8ecc5d03827</t>
        </is>
      </c>
      <c r="B157" t="inlineStr">
        <is>
          <t>Applied Scientist, AGI</t>
        </is>
      </c>
      <c r="C157" t="inlineStr">
        <is>
          <t>Amazon.com</t>
        </is>
      </c>
      <c r="D157" t="inlineStr">
        <is>
          <t>indeed</t>
        </is>
      </c>
      <c r="E157">
        <f>HYPERLINK("https://www.indeed.com/viewjob?jk=bfe4d8ecc5d03827", "https://www.indeed.com/viewjob?jk=bfe4d8ecc5d03827")</f>
        <v/>
      </c>
      <c r="F157">
        <f>HYPERLINK("https://www.amazon.jobs/jobs/3139033/applied-scientist-agi?cmpid=DA_INAD200785B", "https://www.amazon.jobs/jobs/3139033/applied-scientist-agi?cmpid=DA_INAD200785B")</f>
        <v/>
      </c>
      <c r="G157" t="inlineStr">
        <is>
          <t>Sunnyvale, CA, US</t>
        </is>
      </c>
      <c r="H157" s="3" t="n">
        <v>45998</v>
      </c>
      <c r="I15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in-d3c1ea5cde3926e7</t>
        </is>
      </c>
      <c r="B158" t="inlineStr">
        <is>
          <t>Applied Scientist, AGI</t>
        </is>
      </c>
      <c r="C158" t="inlineStr">
        <is>
          <t>Amazon.com</t>
        </is>
      </c>
      <c r="D158" t="inlineStr">
        <is>
          <t>indeed</t>
        </is>
      </c>
      <c r="E158">
        <f>HYPERLINK("https://www.indeed.com/viewjob?jk=d3c1ea5cde3926e7", "https://www.indeed.com/viewjob?jk=d3c1ea5cde3926e7")</f>
        <v/>
      </c>
      <c r="F158">
        <f>HYPERLINK("https://www.amazon.jobs/jobs/3139033/applied-scientist-agi?cmpid=DA_INAD200785B", "https://www.amazon.jobs/jobs/3139033/applied-scientist-agi?cmpid=DA_INAD200785B")</f>
        <v/>
      </c>
      <c r="G158" t="inlineStr">
        <is>
          <t>Bellevue, WA, US</t>
        </is>
      </c>
      <c r="H158" s="3" t="n">
        <v>45998</v>
      </c>
      <c r="I15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in-c7e8b1948bb33db2</t>
        </is>
      </c>
      <c r="B159" t="inlineStr">
        <is>
          <t>Sr. Applied Scientist, Amazon Ads</t>
        </is>
      </c>
      <c r="C159" t="inlineStr">
        <is>
          <t>Amazon.com</t>
        </is>
      </c>
      <c r="D159" t="inlineStr">
        <is>
          <t>indeed</t>
        </is>
      </c>
      <c r="E159">
        <f>HYPERLINK("https://www.indeed.com/viewjob?jk=c7e8b1948bb33db2", "https://www.indeed.com/viewjob?jk=c7e8b1948bb33db2")</f>
        <v/>
      </c>
      <c r="F159">
        <f>HYPERLINK("https://www.amazon.jobs/jobs/3139328/sr-applied-scientist-amazon-ads?cmpid=DA_INAD200785B", "https://www.amazon.jobs/jobs/3139328/sr-applied-scientist-amazon-ads?cmpid=DA_INAD200785B")</f>
        <v/>
      </c>
      <c r="G159" t="inlineStr">
        <is>
          <t>Boulder, CO, US</t>
        </is>
      </c>
      <c r="H159" s="3" t="n">
        <v>45998</v>
      </c>
      <c r="I1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0">
      <c r="A160" t="inlineStr">
        <is>
          <t>in-2de6f19e446ec178</t>
        </is>
      </c>
      <c r="B160" t="inlineStr">
        <is>
          <t>Sr. Applied Scientist, Amazon Ads</t>
        </is>
      </c>
      <c r="C160" t="inlineStr">
        <is>
          <t>Amazon.com</t>
        </is>
      </c>
      <c r="D160" t="inlineStr">
        <is>
          <t>indeed</t>
        </is>
      </c>
      <c r="E160">
        <f>HYPERLINK("https://www.indeed.com/viewjob?jk=2de6f19e446ec178", "https://www.indeed.com/viewjob?jk=2de6f19e446ec178")</f>
        <v/>
      </c>
      <c r="F160">
        <f>HYPERLINK("https://www.amazon.jobs/jobs/3139328/sr-applied-scientist-amazon-ads?cmpid=DA_INAD200785B", "https://www.amazon.jobs/jobs/3139328/sr-applied-scientist-amazon-ads?cmpid=DA_INAD200785B")</f>
        <v/>
      </c>
      <c r="G160" t="inlineStr">
        <is>
          <t>Seattle, WA, US</t>
        </is>
      </c>
      <c r="H160" s="3" t="n">
        <v>45998</v>
      </c>
      <c r="I1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1">
      <c r="A161" t="inlineStr">
        <is>
          <t>in-f809582cbcd00121</t>
        </is>
      </c>
      <c r="B161" t="inlineStr">
        <is>
          <t>Sr. Applied Scientist, Amazon Ads</t>
        </is>
      </c>
      <c r="C161" t="inlineStr">
        <is>
          <t>Amazon.com</t>
        </is>
      </c>
      <c r="D161" t="inlineStr">
        <is>
          <t>indeed</t>
        </is>
      </c>
      <c r="E161">
        <f>HYPERLINK("https://www.indeed.com/viewjob?jk=f809582cbcd00121", "https://www.indeed.com/viewjob?jk=f809582cbcd00121")</f>
        <v/>
      </c>
      <c r="F161">
        <f>HYPERLINK("https://www.amazon.jobs/jobs/3139328/sr-applied-scientist-amazon-ads?cmpid=DA_INAD200785B", "https://www.amazon.jobs/jobs/3139328/sr-applied-scientist-amazon-ads?cmpid=DA_INAD200785B")</f>
        <v/>
      </c>
      <c r="G161" t="inlineStr">
        <is>
          <t>New York, NY, US</t>
        </is>
      </c>
      <c r="H161" s="3" t="n">
        <v>45998</v>
      </c>
      <c r="I1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2">
      <c r="A162" t="inlineStr">
        <is>
          <t>in-325c1420ace712c3</t>
        </is>
      </c>
      <c r="B162" t="inlineStr">
        <is>
          <t>Sr. Applied Scientist, Amazon Ads</t>
        </is>
      </c>
      <c r="C162" t="inlineStr">
        <is>
          <t>Amazon.com</t>
        </is>
      </c>
      <c r="D162" t="inlineStr">
        <is>
          <t>indeed</t>
        </is>
      </c>
      <c r="E162">
        <f>HYPERLINK("https://www.indeed.com/viewjob?jk=325c1420ace712c3", "https://www.indeed.com/viewjob?jk=325c1420ace712c3")</f>
        <v/>
      </c>
      <c r="F162">
        <f>HYPERLINK("https://www.amazon.jobs/jobs/3139328/sr-applied-scientist-amazon-ads?cmpid=DA_INAD200785B", "https://www.amazon.jobs/jobs/3139328/sr-applied-scientist-amazon-ads?cmpid=DA_INAD200785B")</f>
        <v/>
      </c>
      <c r="G162" t="inlineStr">
        <is>
          <t>Brooklyn, NY, US</t>
        </is>
      </c>
      <c r="H162" s="3" t="n">
        <v>45998</v>
      </c>
      <c r="I1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3">
      <c r="A163" t="inlineStr">
        <is>
          <t>in-6d0e42696aa8754c</t>
        </is>
      </c>
      <c r="B163" t="inlineStr">
        <is>
          <t>Sr. Applied Scientist, Amazon Ads</t>
        </is>
      </c>
      <c r="C163" t="inlineStr">
        <is>
          <t>Amazon.com</t>
        </is>
      </c>
      <c r="D163" t="inlineStr">
        <is>
          <t>indeed</t>
        </is>
      </c>
      <c r="E163">
        <f>HYPERLINK("https://www.indeed.com/viewjob?jk=6d0e42696aa8754c", "https://www.indeed.com/viewjob?jk=6d0e42696aa8754c")</f>
        <v/>
      </c>
      <c r="F163">
        <f>HYPERLINK("https://www.amazon.jobs/jobs/3139328/sr-applied-scientist-amazon-ads?cmpid=DA_INAD200785B", "https://www.amazon.jobs/jobs/3139328/sr-applied-scientist-amazon-ads?cmpid=DA_INAD200785B")</f>
        <v/>
      </c>
      <c r="G163" t="inlineStr">
        <is>
          <t>Santa Monica, CA, US</t>
        </is>
      </c>
      <c r="H163" s="3" t="n">
        <v>45998</v>
      </c>
      <c r="I16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4">
      <c r="A164" t="inlineStr">
        <is>
          <t>in-8776ff199959c683</t>
        </is>
      </c>
      <c r="B164" t="inlineStr">
        <is>
          <t>Sr. Applied Scientist, Amazon Ads</t>
        </is>
      </c>
      <c r="C164" t="inlineStr">
        <is>
          <t>Amazon.com</t>
        </is>
      </c>
      <c r="D164" t="inlineStr">
        <is>
          <t>indeed</t>
        </is>
      </c>
      <c r="E164">
        <f>HYPERLINK("https://www.indeed.com/viewjob?jk=8776ff199959c683", "https://www.indeed.com/viewjob?jk=8776ff199959c683")</f>
        <v/>
      </c>
      <c r="F164">
        <f>HYPERLINK("https://www.amazon.jobs/jobs/3139328/sr-applied-scientist-amazon-ads?cmpid=DA_INAD200785B", "https://www.amazon.jobs/jobs/3139328/sr-applied-scientist-amazon-ads?cmpid=DA_INAD200785B")</f>
        <v/>
      </c>
      <c r="G164" t="inlineStr">
        <is>
          <t>Sunnyvale, CA, US</t>
        </is>
      </c>
      <c r="H164" s="3" t="n">
        <v>45998</v>
      </c>
      <c r="I16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5">
      <c r="A165" t="inlineStr">
        <is>
          <t>in-b0359751aad9eac9</t>
        </is>
      </c>
      <c r="B165" t="inlineStr">
        <is>
          <t>Sr. Applied Scientist, Amazon Ads</t>
        </is>
      </c>
      <c r="C165" t="inlineStr">
        <is>
          <t>Amazon.com</t>
        </is>
      </c>
      <c r="D165" t="inlineStr">
        <is>
          <t>indeed</t>
        </is>
      </c>
      <c r="E165">
        <f>HYPERLINK("https://www.indeed.com/viewjob?jk=b0359751aad9eac9", "https://www.indeed.com/viewjob?jk=b0359751aad9eac9")</f>
        <v/>
      </c>
      <c r="F165">
        <f>HYPERLINK("https://www.amazon.jobs/jobs/3139328/sr-applied-scientist-amazon-ads?cmpid=DA_INAD200785B", "https://www.amazon.jobs/jobs/3139328/sr-applied-scientist-amazon-ads?cmpid=DA_INAD200785B")</f>
        <v/>
      </c>
      <c r="G165" t="inlineStr">
        <is>
          <t>Palo Alto, CA, US</t>
        </is>
      </c>
      <c r="H165" s="3" t="n">
        <v>45998</v>
      </c>
      <c r="I16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6">
      <c r="A166" t="inlineStr">
        <is>
          <t>in-68a8e5ae3a28176f</t>
        </is>
      </c>
      <c r="B166" t="inlineStr">
        <is>
          <t>Sr. Applied Scientist, Amazon Ads</t>
        </is>
      </c>
      <c r="C166" t="inlineStr">
        <is>
          <t>Amazon.com</t>
        </is>
      </c>
      <c r="D166" t="inlineStr">
        <is>
          <t>indeed</t>
        </is>
      </c>
      <c r="E166">
        <f>HYPERLINK("https://www.indeed.com/viewjob?jk=68a8e5ae3a28176f", "https://www.indeed.com/viewjob?jk=68a8e5ae3a28176f")</f>
        <v/>
      </c>
      <c r="F166">
        <f>HYPERLINK("https://www.amazon.jobs/jobs/3139328/sr-applied-scientist-amazon-ads?cmpid=DA_INAD200785B", "https://www.amazon.jobs/jobs/3139328/sr-applied-scientist-amazon-ads?cmpid=DA_INAD200785B")</f>
        <v/>
      </c>
      <c r="G166" t="inlineStr">
        <is>
          <t>Boston, MA, US</t>
        </is>
      </c>
      <c r="H166" s="3" t="n">
        <v>45998</v>
      </c>
      <c r="I16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7">
      <c r="A167" t="inlineStr">
        <is>
          <t>in-6113c3d323a72cff</t>
        </is>
      </c>
      <c r="B167" t="inlineStr">
        <is>
          <t>Sr. Applied Scientist, Amazon Ads</t>
        </is>
      </c>
      <c r="C167" t="inlineStr">
        <is>
          <t>Amazon.com</t>
        </is>
      </c>
      <c r="D167" t="inlineStr">
        <is>
          <t>indeed</t>
        </is>
      </c>
      <c r="E167">
        <f>HYPERLINK("https://www.indeed.com/viewjob?jk=6113c3d323a72cff", "https://www.indeed.com/viewjob?jk=6113c3d323a72cff")</f>
        <v/>
      </c>
      <c r="F167">
        <f>HYPERLINK("https://www.amazon.jobs/jobs/3139328/sr-applied-scientist-amazon-ads?cmpid=DA_INAD200785B", "https://www.amazon.jobs/jobs/3139328/sr-applied-scientist-amazon-ads?cmpid=DA_INAD200785B")</f>
        <v/>
      </c>
      <c r="G167" t="inlineStr">
        <is>
          <t>Tukwila, WA, US</t>
        </is>
      </c>
      <c r="H167" s="3" t="n">
        <v>45998</v>
      </c>
      <c r="I16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8">
      <c r="A168" t="inlineStr">
        <is>
          <t>in-403c6968a5d268fe</t>
        </is>
      </c>
      <c r="B168" t="inlineStr">
        <is>
          <t>Sr. Applied Scientist, Amazon Ads</t>
        </is>
      </c>
      <c r="C168" t="inlineStr">
        <is>
          <t>Amazon.com</t>
        </is>
      </c>
      <c r="D168" t="inlineStr">
        <is>
          <t>indeed</t>
        </is>
      </c>
      <c r="E168">
        <f>HYPERLINK("https://www.indeed.com/viewjob?jk=403c6968a5d268fe", "https://www.indeed.com/viewjob?jk=403c6968a5d268fe")</f>
        <v/>
      </c>
      <c r="F168">
        <f>HYPERLINK("https://www.amazon.jobs/jobs/3139328/sr-applied-scientist-amazon-ads?cmpid=DA_INAD200785B", "https://www.amazon.jobs/jobs/3139328/sr-applied-scientist-amazon-ads?cmpid=DA_INAD200785B")</f>
        <v/>
      </c>
      <c r="G168" t="inlineStr">
        <is>
          <t>Corvallis, OR, US</t>
        </is>
      </c>
      <c r="H168" s="3" t="n">
        <v>45998</v>
      </c>
      <c r="I16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9">
      <c r="A169" t="inlineStr">
        <is>
          <t>in-56781c0c7700ab07</t>
        </is>
      </c>
      <c r="B169" t="inlineStr">
        <is>
          <t>Applied Scientist, ML Compiler</t>
        </is>
      </c>
      <c r="C169" t="inlineStr">
        <is>
          <t>Amazon Web Services</t>
        </is>
      </c>
      <c r="D169" t="inlineStr">
        <is>
          <t>indeed</t>
        </is>
      </c>
      <c r="E169">
        <f>HYPERLINK("https://www.indeed.com/viewjob?jk=56781c0c7700ab07", "https://www.indeed.com/viewjob?jk=56781c0c7700ab07")</f>
        <v/>
      </c>
      <c r="F169">
        <f>HYPERLINK("https://www.amazon.jobs/jobs/3136884/applied-scientist-ml-compiler?cmpid=DA_INAD200785B", "https://www.amazon.jobs/jobs/3136884/applied-scientist-ml-compiler?cmpid=DA_INAD200785B")</f>
        <v/>
      </c>
      <c r="G169" t="inlineStr">
        <is>
          <t>Cupertino, CA, US</t>
        </is>
      </c>
      <c r="H169" s="3" t="n">
        <v>45993</v>
      </c>
      <c r="I169"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in-5bc9d7f19a172b30</t>
        </is>
      </c>
      <c r="B170" t="inlineStr">
        <is>
          <t>Applied Scientist, ML Compiler</t>
        </is>
      </c>
      <c r="C170" t="inlineStr">
        <is>
          <t>Amazon Web Services</t>
        </is>
      </c>
      <c r="D170" t="inlineStr">
        <is>
          <t>indeed</t>
        </is>
      </c>
      <c r="E170">
        <f>HYPERLINK("https://www.indeed.com/viewjob?jk=5bc9d7f19a172b30", "https://www.indeed.com/viewjob?jk=5bc9d7f19a172b30")</f>
        <v/>
      </c>
      <c r="F170">
        <f>HYPERLINK("https://www.amazon.jobs/jobs/3136884/applied-scientist-ml-compiler?cmpid=DA_INAD200785B", "https://www.amazon.jobs/jobs/3136884/applied-scientist-ml-compiler?cmpid=DA_INAD200785B")</f>
        <v/>
      </c>
      <c r="G170" t="inlineStr">
        <is>
          <t>Seattle, WA, US</t>
        </is>
      </c>
      <c r="H170" s="3" t="n">
        <v>45993</v>
      </c>
      <c r="I170"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in-80b8fda5245c81c0</t>
        </is>
      </c>
      <c r="B171" t="inlineStr">
        <is>
          <t>Applied Scientist, Model Customization, Generative AI Innovation Center, Model Customization</t>
        </is>
      </c>
      <c r="C171" t="inlineStr">
        <is>
          <t>Amazon Web Services</t>
        </is>
      </c>
      <c r="D171" t="inlineStr">
        <is>
          <t>indeed</t>
        </is>
      </c>
      <c r="E171">
        <f>HYPERLINK("https://www.indeed.com/viewjob?jk=80b8fda5245c81c0", "https://www.indeed.com/viewjob?jk=80b8fda5245c81c0")</f>
        <v/>
      </c>
      <c r="F171">
        <f>HYPERLINK("https://www.amazon.jobs/jobs/3137793/applied-scientist-model-customization-generative-ai-innovation-center-model-customization?cmpid=DA_INAD200785B", "https://www.amazon.jobs/jobs/3137793/applied-scientist-model-customization-generative-ai-innovation-center-model-customization?cmpid=DA_INAD200785B")</f>
        <v/>
      </c>
      <c r="G171" t="inlineStr">
        <is>
          <t>Arlington, VA, US</t>
        </is>
      </c>
      <c r="H171" s="3" t="n">
        <v>45993</v>
      </c>
      <c r="I17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in-4425ea3ad0e96986</t>
        </is>
      </c>
      <c r="B172" t="inlineStr">
        <is>
          <t>Applied Scientist, Model Customization, Generative AI Innovation Center, Model Customization</t>
        </is>
      </c>
      <c r="C172" t="inlineStr">
        <is>
          <t>Amazon Web Services</t>
        </is>
      </c>
      <c r="D172" t="inlineStr">
        <is>
          <t>indeed</t>
        </is>
      </c>
      <c r="E172">
        <f>HYPERLINK("https://www.indeed.com/viewjob?jk=4425ea3ad0e96986", "https://www.indeed.com/viewjob?jk=4425ea3ad0e96986")</f>
        <v/>
      </c>
      <c r="F172">
        <f>HYPERLINK("https://www.amazon.jobs/jobs/3137793/applied-scientist-model-customization-generative-ai-innovation-center-model-customization?cmpid=DA_INAD200785B", "https://www.amazon.jobs/jobs/3137793/applied-scientist-model-customization-generative-ai-innovation-center-model-customization?cmpid=DA_INAD200785B")</f>
        <v/>
      </c>
      <c r="G172" t="inlineStr">
        <is>
          <t>Bellevue, WA, US</t>
        </is>
      </c>
      <c r="H172" s="3" t="n">
        <v>45993</v>
      </c>
      <c r="I17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in-55bc2693316fe149</t>
        </is>
      </c>
      <c r="B173" t="inlineStr">
        <is>
          <t>Applied Scientist, Model Customization, Generative AI Innovation Center, Model Customization</t>
        </is>
      </c>
      <c r="C173" t="inlineStr">
        <is>
          <t>Amazon Web Services</t>
        </is>
      </c>
      <c r="D173" t="inlineStr">
        <is>
          <t>indeed</t>
        </is>
      </c>
      <c r="E173">
        <f>HYPERLINK("https://www.indeed.com/viewjob?jk=55bc2693316fe149", "https://www.indeed.com/viewjob?jk=55bc2693316fe149")</f>
        <v/>
      </c>
      <c r="F173">
        <f>HYPERLINK("https://www.amazon.jobs/jobs/3137793/applied-scientist-model-customization-generative-ai-innovation-center-model-customization?cmpid=DA_INAD200785B", "https://www.amazon.jobs/jobs/3137793/applied-scientist-model-customization-generative-ai-innovation-center-model-customization?cmpid=DA_INAD200785B")</f>
        <v/>
      </c>
      <c r="G173" t="inlineStr">
        <is>
          <t>New York, NY, US</t>
        </is>
      </c>
      <c r="H173" s="3" t="n">
        <v>45993</v>
      </c>
      <c r="I17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in-8231a03bcb63e3e6</t>
        </is>
      </c>
      <c r="B174" t="inlineStr">
        <is>
          <t>Sr. Applied Scientist, Sponsored Products and Brands Off-Search</t>
        </is>
      </c>
      <c r="C174" t="inlineStr">
        <is>
          <t>Amazon.com</t>
        </is>
      </c>
      <c r="D174" t="inlineStr">
        <is>
          <t>indeed</t>
        </is>
      </c>
      <c r="E174">
        <f>HYPERLINK("https://www.indeed.com/viewjob?jk=8231a03bcb63e3e6", "https://www.indeed.com/viewjob?jk=8231a03bcb63e3e6")</f>
        <v/>
      </c>
      <c r="F174">
        <f>HYPERLINK("https://www.amazon.jobs/jobs/3136934/sr-applied-scientist-sponsored-products-and-brands-offsearch?cmpid=DA_INAD200785B", "https://www.amazon.jobs/jobs/3136934/sr-applied-scientist-sponsored-products-and-brands-offsearch?cmpid=DA_INAD200785B")</f>
        <v/>
      </c>
      <c r="G174" t="inlineStr">
        <is>
          <t>New York, NY, US</t>
        </is>
      </c>
      <c r="H174" s="3" t="n">
        <v>45993</v>
      </c>
      <c r="I17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in-c0522ccb4fb4f37f</t>
        </is>
      </c>
      <c r="B175" t="inlineStr">
        <is>
          <t>Sr. Applied Scientist, Sponsored Products and Brands Off-Search</t>
        </is>
      </c>
      <c r="C175" t="inlineStr">
        <is>
          <t>Amazon.com</t>
        </is>
      </c>
      <c r="D175" t="inlineStr">
        <is>
          <t>indeed</t>
        </is>
      </c>
      <c r="E175">
        <f>HYPERLINK("https://www.indeed.com/viewjob?jk=c0522ccb4fb4f37f", "https://www.indeed.com/viewjob?jk=c0522ccb4fb4f37f")</f>
        <v/>
      </c>
      <c r="F175">
        <f>HYPERLINK("https://www.amazon.jobs/jobs/3136934/sr-applied-scientist-sponsored-products-and-brands-offsearch?cmpid=DA_INAD200785B", "https://www.amazon.jobs/jobs/3136934/sr-applied-scientist-sponsored-products-and-brands-offsearch?cmpid=DA_INAD200785B")</f>
        <v/>
      </c>
      <c r="G175" t="inlineStr">
        <is>
          <t>Seattle, WA, US</t>
        </is>
      </c>
      <c r="H175" s="3" t="n">
        <v>45993</v>
      </c>
      <c r="I17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in-79f42955e24e2b9b</t>
        </is>
      </c>
      <c r="B176" t="inlineStr">
        <is>
          <t>Sr. Machine Learning Engineer, AGIF | Finetuning</t>
        </is>
      </c>
      <c r="C176" t="inlineStr">
        <is>
          <t>Amazon.com</t>
        </is>
      </c>
      <c r="D176" t="inlineStr">
        <is>
          <t>indeed</t>
        </is>
      </c>
      <c r="E176">
        <f>HYPERLINK("https://www.indeed.com/viewjob?jk=79f42955e24e2b9b", "https://www.indeed.com/viewjob?jk=79f42955e24e2b9b")</f>
        <v/>
      </c>
      <c r="F176">
        <f>HYPERLINK("https://www.amazon.jobs/jobs/3145989/sr-machine-learning-engineer-agif--finetuning?cmpid=DA_INAD200785B", "https://www.amazon.jobs/jobs/3145989/sr-machine-learning-engineer-agif--finetuning?cmpid=DA_INAD200785B")</f>
        <v/>
      </c>
      <c r="G176" t="inlineStr">
        <is>
          <t>Sunnyvale, CA, US</t>
        </is>
      </c>
      <c r="H176" s="3" t="n">
        <v>45984</v>
      </c>
      <c r="I17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in-e3ed4e5fad7fc93a</t>
        </is>
      </c>
      <c r="B177" t="inlineStr">
        <is>
          <t>Principal Applied Scientist, Amazon Special Projects</t>
        </is>
      </c>
      <c r="C177" t="inlineStr">
        <is>
          <t>Amazon.com</t>
        </is>
      </c>
      <c r="D177" t="inlineStr">
        <is>
          <t>indeed</t>
        </is>
      </c>
      <c r="E177">
        <f>HYPERLINK("https://www.indeed.com/viewjob?jk=e3ed4e5fad7fc93a", "https://www.indeed.com/viewjob?jk=e3ed4e5fad7fc93a")</f>
        <v/>
      </c>
      <c r="F177">
        <f>HYPERLINK("https://www.amazon.jobs/jobs/3132566/principal-applied-scientist-amazon-special-projects?cmpid=DA_INAD200785B", "https://www.amazon.jobs/jobs/3132566/principal-applied-scientist-amazon-special-projects?cmpid=DA_INAD200785B")</f>
        <v/>
      </c>
      <c r="G177" t="inlineStr">
        <is>
          <t>Boston, MA, US</t>
        </is>
      </c>
      <c r="H177" s="3" t="n">
        <v>45982</v>
      </c>
      <c r="I17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in-ab8c5aaa88ad0487</t>
        </is>
      </c>
      <c r="B178" t="inlineStr">
        <is>
          <t>Senior Applied Scientist, Generative AI Innovation Center</t>
        </is>
      </c>
      <c r="C178" t="inlineStr">
        <is>
          <t>Amazon Web Services</t>
        </is>
      </c>
      <c r="D178" t="inlineStr">
        <is>
          <t>indeed</t>
        </is>
      </c>
      <c r="E178">
        <f>HYPERLINK("https://www.indeed.com/viewjob?jk=ab8c5aaa88ad0487", "https://www.indeed.com/viewjob?jk=ab8c5aaa88ad0487")</f>
        <v/>
      </c>
      <c r="F178">
        <f>HYPERLINK("https://www.amazon.jobs/jobs/3137791/senior-applied-scientist-generative-ai-innovation-center?cmpid=DA_INAD200785B", "https://www.amazon.jobs/jobs/3137791/senior-applied-scientist-generative-ai-innovation-center?cmpid=DA_INAD200785B")</f>
        <v/>
      </c>
      <c r="G178" t="inlineStr">
        <is>
          <t>New York, NY, US</t>
        </is>
      </c>
      <c r="H178" s="3" t="n">
        <v>45981</v>
      </c>
      <c r="I178"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in-ba248bb906fd93a6</t>
        </is>
      </c>
      <c r="B179" t="inlineStr">
        <is>
          <t>Senior Applied Scientist, Generative AI Innovation Center</t>
        </is>
      </c>
      <c r="C179" t="inlineStr">
        <is>
          <t>Amazon Web Services</t>
        </is>
      </c>
      <c r="D179" t="inlineStr">
        <is>
          <t>indeed</t>
        </is>
      </c>
      <c r="E179">
        <f>HYPERLINK("https://www.indeed.com/viewjob?jk=ba248bb906fd93a6", "https://www.indeed.com/viewjob?jk=ba248bb906fd93a6")</f>
        <v/>
      </c>
      <c r="F179">
        <f>HYPERLINK("https://www.amazon.jobs/jobs/3137791/senior-applied-scientist-generative-ai-innovation-center?cmpid=DA_INAD200785B", "https://www.amazon.jobs/jobs/3137791/senior-applied-scientist-generative-ai-innovation-center?cmpid=DA_INAD200785B")</f>
        <v/>
      </c>
      <c r="G179" t="inlineStr">
        <is>
          <t>Bellevue, WA, US</t>
        </is>
      </c>
      <c r="H179" s="3" t="n">
        <v>45981</v>
      </c>
      <c r="I179"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in-840204dc692a1559</t>
        </is>
      </c>
      <c r="B180" t="inlineStr">
        <is>
          <t>Senior Applied Scientist, Generative AI Innovation Center</t>
        </is>
      </c>
      <c r="C180" t="inlineStr">
        <is>
          <t>Amazon Web Services</t>
        </is>
      </c>
      <c r="D180" t="inlineStr">
        <is>
          <t>indeed</t>
        </is>
      </c>
      <c r="E180">
        <f>HYPERLINK("https://www.indeed.com/viewjob?jk=840204dc692a1559", "https://www.indeed.com/viewjob?jk=840204dc692a1559")</f>
        <v/>
      </c>
      <c r="F180">
        <f>HYPERLINK("https://www.amazon.jobs/jobs/3137791/senior-applied-scientist-generative-ai-innovation-center?cmpid=DA_INAD200785B", "https://www.amazon.jobs/jobs/3137791/senior-applied-scientist-generative-ai-innovation-center?cmpid=DA_INAD200785B")</f>
        <v/>
      </c>
      <c r="G180" t="inlineStr">
        <is>
          <t>Boston, MA, US</t>
        </is>
      </c>
      <c r="H180" s="3" t="n">
        <v>45981</v>
      </c>
      <c r="I180"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in-ca0392f9166eda63</t>
        </is>
      </c>
      <c r="B181" t="inlineStr">
        <is>
          <t>Senior Applied Scientist, Generative AI Innovation Center</t>
        </is>
      </c>
      <c r="C181" t="inlineStr">
        <is>
          <t>Amazon Web Services</t>
        </is>
      </c>
      <c r="D181" t="inlineStr">
        <is>
          <t>indeed</t>
        </is>
      </c>
      <c r="E181">
        <f>HYPERLINK("https://www.indeed.com/viewjob?jk=ca0392f9166eda63", "https://www.indeed.com/viewjob?jk=ca0392f9166eda63")</f>
        <v/>
      </c>
      <c r="F181">
        <f>HYPERLINK("https://www.amazon.jobs/jobs/3137791/senior-applied-scientist-generative-ai-innovation-center?cmpid=DA_INAD200785B", "https://www.amazon.jobs/jobs/3137791/senior-applied-scientist-generative-ai-innovation-center?cmpid=DA_INAD200785B")</f>
        <v/>
      </c>
      <c r="G181" t="inlineStr">
        <is>
          <t>Austin, TX, US</t>
        </is>
      </c>
      <c r="H181" s="3" t="n">
        <v>45981</v>
      </c>
      <c r="I181"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in-89b143bb12c2b6b3</t>
        </is>
      </c>
      <c r="B182" t="inlineStr">
        <is>
          <t>Senior Applied Scientist, Generative AI Innovation Center</t>
        </is>
      </c>
      <c r="C182" t="inlineStr">
        <is>
          <t>Amazon Web Services</t>
        </is>
      </c>
      <c r="D182" t="inlineStr">
        <is>
          <t>indeed</t>
        </is>
      </c>
      <c r="E182">
        <f>HYPERLINK("https://www.indeed.com/viewjob?jk=89b143bb12c2b6b3", "https://www.indeed.com/viewjob?jk=89b143bb12c2b6b3")</f>
        <v/>
      </c>
      <c r="F182">
        <f>HYPERLINK("https://www.amazon.jobs/jobs/3137791/senior-applied-scientist-generative-ai-innovation-center?cmpid=DA_INAD200785B", "https://www.amazon.jobs/jobs/3137791/senior-applied-scientist-generative-ai-innovation-center?cmpid=DA_INAD200785B")</f>
        <v/>
      </c>
      <c r="G182" t="inlineStr">
        <is>
          <t>Seattle, WA, US</t>
        </is>
      </c>
      <c r="H182" s="3" t="n">
        <v>45981</v>
      </c>
      <c r="I182"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in-41a05596c980fb7b</t>
        </is>
      </c>
      <c r="B183" t="inlineStr">
        <is>
          <t>Senior Applied Scientist, Generative AI Innovation Center</t>
        </is>
      </c>
      <c r="C183" t="inlineStr">
        <is>
          <t>Amazon Web Services</t>
        </is>
      </c>
      <c r="D183" t="inlineStr">
        <is>
          <t>indeed</t>
        </is>
      </c>
      <c r="E183">
        <f>HYPERLINK("https://www.indeed.com/viewjob?jk=41a05596c980fb7b", "https://www.indeed.com/viewjob?jk=41a05596c980fb7b")</f>
        <v/>
      </c>
      <c r="F183">
        <f>HYPERLINK("https://www.amazon.jobs/jobs/3137791/senior-applied-scientist-generative-ai-innovation-center?cmpid=DA_INAD200785B", "https://www.amazon.jobs/jobs/3137791/senior-applied-scientist-generative-ai-innovation-center?cmpid=DA_INAD200785B")</f>
        <v/>
      </c>
      <c r="G183" t="inlineStr">
        <is>
          <t>Houston, TX, US</t>
        </is>
      </c>
      <c r="H183" s="3" t="n">
        <v>45981</v>
      </c>
      <c r="I183"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in-081a495ab2cf0c18</t>
        </is>
      </c>
      <c r="B184" t="inlineStr">
        <is>
          <t>Sr. Applied Scientist, SPB Advertiser Guidance</t>
        </is>
      </c>
      <c r="C184" t="inlineStr">
        <is>
          <t>Amazon.com</t>
        </is>
      </c>
      <c r="D184" t="inlineStr">
        <is>
          <t>indeed</t>
        </is>
      </c>
      <c r="E184">
        <f>HYPERLINK("https://www.indeed.com/viewjob?jk=081a495ab2cf0c18", "https://www.indeed.com/viewjob?jk=081a495ab2cf0c18")</f>
        <v/>
      </c>
      <c r="F184">
        <f>HYPERLINK("https://www.amazon.jobs/jobs/3132336/sr-applied-scientist-spb-advertiser-guidance?cmpid=DA_INAD200785B", "https://www.amazon.jobs/jobs/3132336/sr-applied-scientist-spb-advertiser-guidance?cmpid=DA_INAD200785B")</f>
        <v/>
      </c>
      <c r="G184" t="inlineStr">
        <is>
          <t>Palo Alto, CA, US</t>
        </is>
      </c>
      <c r="H184" s="3" t="n">
        <v>45981</v>
      </c>
      <c r="I18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in-f472b94e97658292</t>
        </is>
      </c>
      <c r="B185" t="inlineStr">
        <is>
          <t>Sr. Applied Scientist, SPB Advertiser Guidance</t>
        </is>
      </c>
      <c r="C185" t="inlineStr">
        <is>
          <t>Amazon.com</t>
        </is>
      </c>
      <c r="D185" t="inlineStr">
        <is>
          <t>indeed</t>
        </is>
      </c>
      <c r="E185">
        <f>HYPERLINK("https://www.indeed.com/viewjob?jk=f472b94e97658292", "https://www.indeed.com/viewjob?jk=f472b94e97658292")</f>
        <v/>
      </c>
      <c r="F185">
        <f>HYPERLINK("https://www.amazon.jobs/jobs/3132336/sr-applied-scientist-spb-advertiser-guidance?cmpid=DA_INAD200785B", "https://www.amazon.jobs/jobs/3132336/sr-applied-scientist-spb-advertiser-guidance?cmpid=DA_INAD200785B")</f>
        <v/>
      </c>
      <c r="G185" t="inlineStr">
        <is>
          <t>New York, NY, US</t>
        </is>
      </c>
      <c r="H185" s="3" t="n">
        <v>45981</v>
      </c>
      <c r="I18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in-df61b1778dff88cf</t>
        </is>
      </c>
      <c r="B186" t="inlineStr">
        <is>
          <t>Sr. Applied Scientist, SPB Advertiser Guidance</t>
        </is>
      </c>
      <c r="C186" t="inlineStr">
        <is>
          <t>Amazon.com</t>
        </is>
      </c>
      <c r="D186" t="inlineStr">
        <is>
          <t>indeed</t>
        </is>
      </c>
      <c r="E186">
        <f>HYPERLINK("https://www.indeed.com/viewjob?jk=df61b1778dff88cf", "https://www.indeed.com/viewjob?jk=df61b1778dff88cf")</f>
        <v/>
      </c>
      <c r="F186">
        <f>HYPERLINK("https://www.amazon.jobs/jobs/3132336/sr-applied-scientist-spb-advertiser-guidance?cmpid=DA_INAD200785B", "https://www.amazon.jobs/jobs/3132336/sr-applied-scientist-spb-advertiser-guidance?cmpid=DA_INAD200785B")</f>
        <v/>
      </c>
      <c r="G186" t="inlineStr">
        <is>
          <t>Seattle, WA, US</t>
        </is>
      </c>
      <c r="H186" s="3" t="n">
        <v>45981</v>
      </c>
      <c r="I18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in-b668be9f6ffa045a</t>
        </is>
      </c>
      <c r="B187" t="inlineStr">
        <is>
          <t>Senior Applied Scientist, Artificial General Intelligence</t>
        </is>
      </c>
      <c r="C187" t="inlineStr">
        <is>
          <t>Amazon.com</t>
        </is>
      </c>
      <c r="D187" t="inlineStr">
        <is>
          <t>indeed</t>
        </is>
      </c>
      <c r="E187">
        <f>HYPERLINK("https://www.indeed.com/viewjob?jk=b668be9f6ffa045a", "https://www.indeed.com/viewjob?jk=b668be9f6ffa045a")</f>
        <v/>
      </c>
      <c r="F187">
        <f>HYPERLINK("https://www.amazon.jobs/jobs/3131971/senior-applied-scientist-artificial-general-intelligence?cmpid=DA_INAD200785B", "https://www.amazon.jobs/jobs/3131971/senior-applied-scientist-artificial-general-intelligence?cmpid=DA_INAD200785B")</f>
        <v/>
      </c>
      <c r="G187" t="inlineStr">
        <is>
          <t>Sunnyvale, CA, US</t>
        </is>
      </c>
      <c r="H187" s="3" t="n">
        <v>45980</v>
      </c>
      <c r="I18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in-45371f473e0d3566</t>
        </is>
      </c>
      <c r="B188" t="inlineStr">
        <is>
          <t>Senior Applied Scientist, Artificial General Intelligence</t>
        </is>
      </c>
      <c r="C188" t="inlineStr">
        <is>
          <t>Amazon.com</t>
        </is>
      </c>
      <c r="D188" t="inlineStr">
        <is>
          <t>indeed</t>
        </is>
      </c>
      <c r="E188">
        <f>HYPERLINK("https://www.indeed.com/viewjob?jk=45371f473e0d3566", "https://www.indeed.com/viewjob?jk=45371f473e0d3566")</f>
        <v/>
      </c>
      <c r="F188">
        <f>HYPERLINK("https://www.amazon.jobs/jobs/3131971/senior-applied-scientist-artificial-general-intelligence?cmpid=DA_INAD200785B", "https://www.amazon.jobs/jobs/3131971/senior-applied-scientist-artificial-general-intelligence?cmpid=DA_INAD200785B")</f>
        <v/>
      </c>
      <c r="G188" t="inlineStr">
        <is>
          <t>New York, NY, US</t>
        </is>
      </c>
      <c r="H188" s="3" t="n">
        <v>45980</v>
      </c>
      <c r="I18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in-190edb997938054b</t>
        </is>
      </c>
      <c r="B189" t="inlineStr">
        <is>
          <t>Senior Applied Scientist, Artificial General Intelligence</t>
        </is>
      </c>
      <c r="C189" t="inlineStr">
        <is>
          <t>Amazon.com</t>
        </is>
      </c>
      <c r="D189" t="inlineStr">
        <is>
          <t>indeed</t>
        </is>
      </c>
      <c r="E189">
        <f>HYPERLINK("https://www.indeed.com/viewjob?jk=190edb997938054b", "https://www.indeed.com/viewjob?jk=190edb997938054b")</f>
        <v/>
      </c>
      <c r="F189">
        <f>HYPERLINK("https://www.amazon.jobs/jobs/3131971/senior-applied-scientist-artificial-general-intelligence?cmpid=DA_INAD200785B", "https://www.amazon.jobs/jobs/3131971/senior-applied-scientist-artificial-general-intelligence?cmpid=DA_INAD200785B")</f>
        <v/>
      </c>
      <c r="G189" t="inlineStr">
        <is>
          <t>Boston, MA, US</t>
        </is>
      </c>
      <c r="H189" s="3" t="n">
        <v>45980</v>
      </c>
      <c r="I18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in-e79a87971553e345</t>
        </is>
      </c>
      <c r="B190" t="inlineStr">
        <is>
          <t>Senior Applied Scientist, Artificial General Intelligence</t>
        </is>
      </c>
      <c r="C190" t="inlineStr">
        <is>
          <t>Amazon.com</t>
        </is>
      </c>
      <c r="D190" t="inlineStr">
        <is>
          <t>indeed</t>
        </is>
      </c>
      <c r="E190">
        <f>HYPERLINK("https://www.indeed.com/viewjob?jk=e79a87971553e345", "https://www.indeed.com/viewjob?jk=e79a87971553e345")</f>
        <v/>
      </c>
      <c r="F190">
        <f>HYPERLINK("https://www.amazon.jobs/jobs/3131971/senior-applied-scientist-artificial-general-intelligence?cmpid=DA_INAD200785B", "https://www.amazon.jobs/jobs/3131971/senior-applied-scientist-artificial-general-intelligence?cmpid=DA_INAD200785B")</f>
        <v/>
      </c>
      <c r="G190" t="inlineStr">
        <is>
          <t>Seattle, WA, US</t>
        </is>
      </c>
      <c r="H190" s="3" t="n">
        <v>45980</v>
      </c>
      <c r="I19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in-82fc27a7280e61ef</t>
        </is>
      </c>
      <c r="B191" t="inlineStr">
        <is>
          <t>Applied Scientist II, SPB Advertiser Guidance</t>
        </is>
      </c>
      <c r="C191" t="inlineStr">
        <is>
          <t>Amazon.com</t>
        </is>
      </c>
      <c r="D191" t="inlineStr">
        <is>
          <t>indeed</t>
        </is>
      </c>
      <c r="E191">
        <f>HYPERLINK("https://www.indeed.com/viewjob?jk=82fc27a7280e61ef", "https://www.indeed.com/viewjob?jk=82fc27a7280e61ef")</f>
        <v/>
      </c>
      <c r="F191">
        <f>HYPERLINK("https://www.amazon.jobs/jobs/3131876/applied-scientist-ii-spb-advertiser-guidance?cmpid=DA_INAD200785B", "https://www.amazon.jobs/jobs/3131876/applied-scientist-ii-spb-advertiser-guidance?cmpid=DA_INAD200785B")</f>
        <v/>
      </c>
      <c r="G191" t="inlineStr">
        <is>
          <t>New York, NY, US</t>
        </is>
      </c>
      <c r="H191" s="3" t="n">
        <v>45980</v>
      </c>
      <c r="I19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in-47e9e47d3f669e61</t>
        </is>
      </c>
      <c r="B192" t="inlineStr">
        <is>
          <t>Applied Scientist II, SPB Advertiser Guidance</t>
        </is>
      </c>
      <c r="C192" t="inlineStr">
        <is>
          <t>Amazon.com</t>
        </is>
      </c>
      <c r="D192" t="inlineStr">
        <is>
          <t>indeed</t>
        </is>
      </c>
      <c r="E192">
        <f>HYPERLINK("https://www.indeed.com/viewjob?jk=47e9e47d3f669e61", "https://www.indeed.com/viewjob?jk=47e9e47d3f669e61")</f>
        <v/>
      </c>
      <c r="F192">
        <f>HYPERLINK("https://www.amazon.jobs/jobs/3131876/applied-scientist-ii-spb-advertiser-guidance?cmpid=DA_INAD200785B", "https://www.amazon.jobs/jobs/3131876/applied-scientist-ii-spb-advertiser-guidance?cmpid=DA_INAD200785B")</f>
        <v/>
      </c>
      <c r="G192" t="inlineStr">
        <is>
          <t>Seattle, WA, US</t>
        </is>
      </c>
      <c r="H192" s="3" t="n">
        <v>45980</v>
      </c>
      <c r="I19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in-a57aa3c12ad9c75d</t>
        </is>
      </c>
      <c r="B193" t="inlineStr">
        <is>
          <t>Applied Scientist II, SPB Advertiser Guidance</t>
        </is>
      </c>
      <c r="C193" t="inlineStr">
        <is>
          <t>Amazon.com</t>
        </is>
      </c>
      <c r="D193" t="inlineStr">
        <is>
          <t>indeed</t>
        </is>
      </c>
      <c r="E193">
        <f>HYPERLINK("https://www.indeed.com/viewjob?jk=a57aa3c12ad9c75d", "https://www.indeed.com/viewjob?jk=a57aa3c12ad9c75d")</f>
        <v/>
      </c>
      <c r="F193">
        <f>HYPERLINK("https://www.amazon.jobs/jobs/3131876/applied-scientist-ii-spb-advertiser-guidance?cmpid=DA_INAD200785B", "https://www.amazon.jobs/jobs/3131876/applied-scientist-ii-spb-advertiser-guidance?cmpid=DA_INAD200785B")</f>
        <v/>
      </c>
      <c r="G193" t="inlineStr">
        <is>
          <t>Palo Alto, CA, US</t>
        </is>
      </c>
      <c r="H193" s="3" t="n">
        <v>45980</v>
      </c>
      <c r="I19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in-31c16ce6f23ff611</t>
        </is>
      </c>
      <c r="B194" t="inlineStr">
        <is>
          <t>Principal Applied Scientist, Sponsored Products and Brands</t>
        </is>
      </c>
      <c r="C194" t="inlineStr">
        <is>
          <t>Amazon.com</t>
        </is>
      </c>
      <c r="D194" t="inlineStr">
        <is>
          <t>indeed</t>
        </is>
      </c>
      <c r="E194">
        <f>HYPERLINK("https://www.indeed.com/viewjob?jk=31c16ce6f23ff611", "https://www.indeed.com/viewjob?jk=31c16ce6f23ff611")</f>
        <v/>
      </c>
      <c r="F194">
        <f>HYPERLINK("https://www.amazon.jobs/jobs/3130855/principal-applied-scientist-sponsored-products-and-brands?cmpid=DA_INAD200785B", "https://www.amazon.jobs/jobs/3130855/principal-applied-scientist-sponsored-products-and-brands?cmpid=DA_INAD200785B")</f>
        <v/>
      </c>
      <c r="G194" t="inlineStr">
        <is>
          <t>Seattle, WA, US</t>
        </is>
      </c>
      <c r="H194" s="3" t="n">
        <v>45979</v>
      </c>
      <c r="I19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in-47bf75061c8532b3</t>
        </is>
      </c>
      <c r="B195" t="inlineStr">
        <is>
          <t>Principal Applied Scientist, Sponsored Products and Brands</t>
        </is>
      </c>
      <c r="C195" t="inlineStr">
        <is>
          <t>Amazon.com</t>
        </is>
      </c>
      <c r="D195" t="inlineStr">
        <is>
          <t>indeed</t>
        </is>
      </c>
      <c r="E195">
        <f>HYPERLINK("https://www.indeed.com/viewjob?jk=47bf75061c8532b3", "https://www.indeed.com/viewjob?jk=47bf75061c8532b3")</f>
        <v/>
      </c>
      <c r="F195">
        <f>HYPERLINK("https://www.amazon.jobs/jobs/3130855/principal-applied-scientist-sponsored-products-and-brands?cmpid=DA_INAD200785B", "https://www.amazon.jobs/jobs/3130855/principal-applied-scientist-sponsored-products-and-brands?cmpid=DA_INAD200785B")</f>
        <v/>
      </c>
      <c r="G195" t="inlineStr">
        <is>
          <t>New York, NY, US</t>
        </is>
      </c>
      <c r="H195" s="3" t="n">
        <v>45979</v>
      </c>
      <c r="I19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in-19e779b9e348bcf7</t>
        </is>
      </c>
      <c r="B196" t="inlineStr">
        <is>
          <t>Sr. Applied Scientist, Prime Video - Personalization and Discovery Science</t>
        </is>
      </c>
      <c r="C196" t="inlineStr">
        <is>
          <t>Amazon.com</t>
        </is>
      </c>
      <c r="D196" t="inlineStr">
        <is>
          <t>indeed</t>
        </is>
      </c>
      <c r="E196">
        <f>HYPERLINK("https://www.indeed.com/viewjob?jk=19e779b9e348bcf7", "https://www.indeed.com/viewjob?jk=19e779b9e348bcf7")</f>
        <v/>
      </c>
      <c r="F196">
        <f>HYPERLINK("https://www.amazon.jobs/jobs/3134486/sr-applied-scientist-prime-video--personalization-and-discovery-science?cmpid=DA_INAD200785B", "https://www.amazon.jobs/jobs/3134486/sr-applied-scientist-prime-video--personalization-and-discovery-science?cmpid=DA_INAD200785B")</f>
        <v/>
      </c>
      <c r="G196" t="inlineStr">
        <is>
          <t>New York, NY, US</t>
        </is>
      </c>
      <c r="H196" s="3" t="n">
        <v>45969</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in-514775952233d37a</t>
        </is>
      </c>
      <c r="B197" t="inlineStr">
        <is>
          <t>Sr. Applied Scientist, Prime Video - Personalization and Discovery Science</t>
        </is>
      </c>
      <c r="C197" t="inlineStr">
        <is>
          <t>Amazon.com</t>
        </is>
      </c>
      <c r="D197" t="inlineStr">
        <is>
          <t>indeed</t>
        </is>
      </c>
      <c r="E197">
        <f>HYPERLINK("https://www.indeed.com/viewjob?jk=514775952233d37a", "https://www.indeed.com/viewjob?jk=514775952233d37a")</f>
        <v/>
      </c>
      <c r="F197">
        <f>HYPERLINK("https://www.amazon.jobs/jobs/3134486/sr-applied-scientist-prime-video--personalization-and-discovery-science?cmpid=DA_INAD200785B", "https://www.amazon.jobs/jobs/3134486/sr-applied-scientist-prime-video--personalization-and-discovery-science?cmpid=DA_INAD200785B")</f>
        <v/>
      </c>
      <c r="G197" t="inlineStr">
        <is>
          <t>Seattle, WA, US</t>
        </is>
      </c>
      <c r="H197" s="3" t="n">
        <v>45969</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in-4292492b61951972</t>
        </is>
      </c>
      <c r="B198" t="inlineStr">
        <is>
          <t>Sr. Applied Scientist, Prime Video - Personalization and Discovery Science</t>
        </is>
      </c>
      <c r="C198" t="inlineStr">
        <is>
          <t>Amazon.com</t>
        </is>
      </c>
      <c r="D198" t="inlineStr">
        <is>
          <t>indeed</t>
        </is>
      </c>
      <c r="E198">
        <f>HYPERLINK("https://www.indeed.com/viewjob?jk=4292492b61951972", "https://www.indeed.com/viewjob?jk=4292492b61951972")</f>
        <v/>
      </c>
      <c r="F198">
        <f>HYPERLINK("https://www.amazon.jobs/jobs/3134486/sr-applied-scientist-prime-video--personalization-and-discovery-science?cmpid=DA_INAD200785B", "https://www.amazon.jobs/jobs/3134486/sr-applied-scientist-prime-video--personalization-and-discovery-science?cmpid=DA_INAD200785B")</f>
        <v/>
      </c>
      <c r="G198" t="inlineStr">
        <is>
          <t>Sunnyvale, CA, US</t>
        </is>
      </c>
      <c r="H198" s="3" t="n">
        <v>45969</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in-0a1ccd7a218979bc</t>
        </is>
      </c>
      <c r="B199" t="inlineStr">
        <is>
          <t>Principal Applied Scientist, Amazon AGI</t>
        </is>
      </c>
      <c r="C199" t="inlineStr">
        <is>
          <t>Amazon.com</t>
        </is>
      </c>
      <c r="D199" t="inlineStr">
        <is>
          <t>indeed</t>
        </is>
      </c>
      <c r="E199">
        <f>HYPERLINK("https://www.indeed.com/viewjob?jk=0a1ccd7a218979bc", "https://www.indeed.com/viewjob?jk=0a1ccd7a218979bc")</f>
        <v/>
      </c>
      <c r="F199">
        <f>HYPERLINK("https://www.amazon.jobs/jobs/3128808/principal-applied-scientist-amazon-agi?cmpid=DA_INAD200785B", "https://www.amazon.jobs/jobs/3128808/principal-applied-scientist-amazon-agi?cmpid=DA_INAD200785B")</f>
        <v/>
      </c>
      <c r="G199" t="inlineStr">
        <is>
          <t>San Francisco, CA, US</t>
        </is>
      </c>
      <c r="H199" s="3" t="n">
        <v>45964</v>
      </c>
      <c r="I19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in-a663512161df6514</t>
        </is>
      </c>
      <c r="B200" t="inlineStr">
        <is>
          <t>Principal Applied Scientist, Amazon AGI</t>
        </is>
      </c>
      <c r="C200" t="inlineStr">
        <is>
          <t>Amazon.com</t>
        </is>
      </c>
      <c r="D200" t="inlineStr">
        <is>
          <t>indeed</t>
        </is>
      </c>
      <c r="E200">
        <f>HYPERLINK("https://www.indeed.com/viewjob?jk=a663512161df6514", "https://www.indeed.com/viewjob?jk=a663512161df6514")</f>
        <v/>
      </c>
      <c r="F200">
        <f>HYPERLINK("https://www.amazon.jobs/jobs/3128808/principal-applied-scientist-amazon-agi?cmpid=DA_INAD200785B", "https://www.amazon.jobs/jobs/3128808/principal-applied-scientist-amazon-agi?cmpid=DA_INAD200785B")</f>
        <v/>
      </c>
      <c r="G200" t="inlineStr">
        <is>
          <t>Boston, MA, US</t>
        </is>
      </c>
      <c r="H200" s="3" t="n">
        <v>45964</v>
      </c>
      <c r="I20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in-2e281ec863005699</t>
        </is>
      </c>
      <c r="B201" t="inlineStr">
        <is>
          <t>Principal Applied Scientist, AWS Agentic AI Science</t>
        </is>
      </c>
      <c r="C201" t="inlineStr">
        <is>
          <t>Amazon Web Services</t>
        </is>
      </c>
      <c r="D201" t="inlineStr">
        <is>
          <t>indeed</t>
        </is>
      </c>
      <c r="E201">
        <f>HYPERLINK("https://www.indeed.com/viewjob?jk=2e281ec863005699", "https://www.indeed.com/viewjob?jk=2e281ec863005699")</f>
        <v/>
      </c>
      <c r="F201">
        <f>HYPERLINK("https://www.amazon.jobs/jobs/3132887/principal-applied-scientist-aws-agentic-ai-science?cmpid=DA_INAD200785B", "https://www.amazon.jobs/jobs/3132887/principal-applied-scientist-aws-agentic-ai-science?cmpid=DA_INAD200785B")</f>
        <v/>
      </c>
      <c r="G201" t="inlineStr">
        <is>
          <t>Santa Clara, CA, US</t>
        </is>
      </c>
      <c r="H201" s="3" t="n">
        <v>45963</v>
      </c>
      <c r="I201"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in-d583ed54b835dc67</t>
        </is>
      </c>
      <c r="B202" t="inlineStr">
        <is>
          <t>Principal Applied Scientist, AWS Agentic AI Science</t>
        </is>
      </c>
      <c r="C202" t="inlineStr">
        <is>
          <t>Amazon Web Services</t>
        </is>
      </c>
      <c r="D202" t="inlineStr">
        <is>
          <t>indeed</t>
        </is>
      </c>
      <c r="E202">
        <f>HYPERLINK("https://www.indeed.com/viewjob?jk=d583ed54b835dc67", "https://www.indeed.com/viewjob?jk=d583ed54b835dc67")</f>
        <v/>
      </c>
      <c r="F202">
        <f>HYPERLINK("https://www.amazon.jobs/jobs/3132887/principal-applied-scientist-aws-agentic-ai-science?cmpid=DA_INAD200785B", "https://www.amazon.jobs/jobs/3132887/principal-applied-scientist-aws-agentic-ai-science?cmpid=DA_INAD200785B")</f>
        <v/>
      </c>
      <c r="G202" t="inlineStr">
        <is>
          <t>New York, NY, US</t>
        </is>
      </c>
      <c r="H202" s="3" t="n">
        <v>45963</v>
      </c>
      <c r="I202"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in-77cb823c06f47937</t>
        </is>
      </c>
      <c r="B203" t="inlineStr">
        <is>
          <t>Sr. Applied Scientist, Sponsored Product Off-Search</t>
        </is>
      </c>
      <c r="C203" t="inlineStr">
        <is>
          <t>Amazon.com</t>
        </is>
      </c>
      <c r="D203" t="inlineStr">
        <is>
          <t>indeed</t>
        </is>
      </c>
      <c r="E203">
        <f>HYPERLINK("https://www.indeed.com/viewjob?jk=77cb823c06f47937", "https://www.indeed.com/viewjob?jk=77cb823c06f47937")</f>
        <v/>
      </c>
      <c r="F203">
        <f>HYPERLINK("https://www.amazon.jobs/jobs/3120815/sr-applied-scientist-sponsored-product-offsearch-?cmpid=DA_INAD200785B", "https://www.amazon.jobs/jobs/3120815/sr-applied-scientist-sponsored-product-offsearch-?cmpid=DA_INAD200785B")</f>
        <v/>
      </c>
      <c r="G203" t="inlineStr">
        <is>
          <t>Seattle, WA, US</t>
        </is>
      </c>
      <c r="H203" s="3" t="n">
        <v>45963</v>
      </c>
      <c r="I20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in-a94d7cf7f6848bbc</t>
        </is>
      </c>
      <c r="B204" t="inlineStr">
        <is>
          <t>Sr. Applied Scientist, Sponsored Product Off-Search</t>
        </is>
      </c>
      <c r="C204" t="inlineStr">
        <is>
          <t>Amazon.com</t>
        </is>
      </c>
      <c r="D204" t="inlineStr">
        <is>
          <t>indeed</t>
        </is>
      </c>
      <c r="E204">
        <f>HYPERLINK("https://www.indeed.com/viewjob?jk=a94d7cf7f6848bbc", "https://www.indeed.com/viewjob?jk=a94d7cf7f6848bbc")</f>
        <v/>
      </c>
      <c r="F204">
        <f>HYPERLINK("https://www.amazon.jobs/jobs/3120815/sr-applied-scientist-sponsored-product-offsearch-?cmpid=DA_INAD200785B", "https://www.amazon.jobs/jobs/3120815/sr-applied-scientist-sponsored-product-offsearch-?cmpid=DA_INAD200785B")</f>
        <v/>
      </c>
      <c r="G204" t="inlineStr">
        <is>
          <t>New York, NY, US</t>
        </is>
      </c>
      <c r="H204" s="3" t="n">
        <v>45963</v>
      </c>
      <c r="I20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in-4f6c90dfde2b22a0</t>
        </is>
      </c>
      <c r="B205" t="inlineStr">
        <is>
          <t>Applied Scientist, AWS Agentic AI</t>
        </is>
      </c>
      <c r="C205" t="inlineStr">
        <is>
          <t>Amazon Web Services</t>
        </is>
      </c>
      <c r="D205" t="inlineStr">
        <is>
          <t>indeed</t>
        </is>
      </c>
      <c r="E205">
        <f>HYPERLINK("https://www.indeed.com/viewjob?jk=4f6c90dfde2b22a0", "https://www.indeed.com/viewjob?jk=4f6c90dfde2b22a0")</f>
        <v/>
      </c>
      <c r="F205">
        <f>HYPERLINK("https://www.amazon.jobs/jobs/3141517/applied-scientist-aws-agentic-ai-?cmpid=DA_INAD200785B", "https://www.amazon.jobs/jobs/3141517/applied-scientist-aws-agentic-ai-?cmpid=DA_INAD200785B")</f>
        <v/>
      </c>
      <c r="G205" t="inlineStr">
        <is>
          <t>Seattle, WA, US</t>
        </is>
      </c>
      <c r="H205" s="3" t="n">
        <v>45962</v>
      </c>
      <c r="I20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in-93eab0845855afeb</t>
        </is>
      </c>
      <c r="B206" t="inlineStr">
        <is>
          <t>Applied Scientist, AWS Agentic AI</t>
        </is>
      </c>
      <c r="C206" t="inlineStr">
        <is>
          <t>Amazon Web Services</t>
        </is>
      </c>
      <c r="D206" t="inlineStr">
        <is>
          <t>indeed</t>
        </is>
      </c>
      <c r="E206">
        <f>HYPERLINK("https://www.indeed.com/viewjob?jk=93eab0845855afeb", "https://www.indeed.com/viewjob?jk=93eab0845855afeb")</f>
        <v/>
      </c>
      <c r="F206">
        <f>HYPERLINK("https://www.amazon.jobs/jobs/3141517/applied-scientist-aws-agentic-ai-?cmpid=DA_INAD200785B", "https://www.amazon.jobs/jobs/3141517/applied-scientist-aws-agentic-ai-?cmpid=DA_INAD200785B")</f>
        <v/>
      </c>
      <c r="G206" t="inlineStr">
        <is>
          <t>Santa Clara, CA, US</t>
        </is>
      </c>
      <c r="H206" s="3" t="n">
        <v>45962</v>
      </c>
      <c r="I20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in-6a44b052c29db78c</t>
        </is>
      </c>
      <c r="B207" t="inlineStr">
        <is>
          <t>Applied Scientist, AWS Agentic AI</t>
        </is>
      </c>
      <c r="C207" t="inlineStr">
        <is>
          <t>Amazon Web Services</t>
        </is>
      </c>
      <c r="D207" t="inlineStr">
        <is>
          <t>indeed</t>
        </is>
      </c>
      <c r="E207">
        <f>HYPERLINK("https://www.indeed.com/viewjob?jk=6a44b052c29db78c", "https://www.indeed.com/viewjob?jk=6a44b052c29db78c")</f>
        <v/>
      </c>
      <c r="F207">
        <f>HYPERLINK("https://www.amazon.jobs/jobs/3141517/applied-scientist-aws-agentic-ai-?cmpid=DA_INAD200785B", "https://www.amazon.jobs/jobs/3141517/applied-scientist-aws-agentic-ai-?cmpid=DA_INAD200785B")</f>
        <v/>
      </c>
      <c r="G207" t="inlineStr">
        <is>
          <t>New York, NY, US</t>
        </is>
      </c>
      <c r="H207" s="3" t="n">
        <v>45962</v>
      </c>
      <c r="I20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in-b3169cfaf84f9d8f</t>
        </is>
      </c>
      <c r="B208" t="inlineStr">
        <is>
          <t>Principal Applied Scientist, Advertiser Growth, Amazon Sponsored Products &amp; Brands</t>
        </is>
      </c>
      <c r="C208" t="inlineStr">
        <is>
          <t>Amazon.com</t>
        </is>
      </c>
      <c r="D208" t="inlineStr">
        <is>
          <t>indeed</t>
        </is>
      </c>
      <c r="E208">
        <f>HYPERLINK("https://www.indeed.com/viewjob?jk=b3169cfaf84f9d8f", "https://www.indeed.com/viewjob?jk=b3169cfaf84f9d8f")</f>
        <v/>
      </c>
      <c r="F208">
        <f>HYPERLINK("https://www.amazon.jobs/jobs/3115279/principal-applied-scientist-advertiser-growth-amazon-sponsored-products--brands?cmpid=DA_INAD200785B", "https://www.amazon.jobs/jobs/3115279/principal-applied-scientist-advertiser-growth-amazon-sponsored-products--brands?cmpid=DA_INAD200785B")</f>
        <v/>
      </c>
      <c r="G208" t="inlineStr">
        <is>
          <t>Palo Alto, CA, US</t>
        </is>
      </c>
      <c r="H208" s="3" t="n">
        <v>45942</v>
      </c>
      <c r="I20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in-fc4954e5d0ceed31</t>
        </is>
      </c>
      <c r="B209" t="inlineStr">
        <is>
          <t>Principal Applied Scientist, Advertiser Growth, Amazon Sponsored Products &amp; Brands</t>
        </is>
      </c>
      <c r="C209" t="inlineStr">
        <is>
          <t>Amazon.com</t>
        </is>
      </c>
      <c r="D209" t="inlineStr">
        <is>
          <t>indeed</t>
        </is>
      </c>
      <c r="E209">
        <f>HYPERLINK("https://www.indeed.com/viewjob?jk=fc4954e5d0ceed31", "https://www.indeed.com/viewjob?jk=fc4954e5d0ceed31")</f>
        <v/>
      </c>
      <c r="F209">
        <f>HYPERLINK("https://www.amazon.jobs/jobs/3115279/principal-applied-scientist-advertiser-growth-amazon-sponsored-products--brands?cmpid=DA_INAD200785B", "https://www.amazon.jobs/jobs/3115279/principal-applied-scientist-advertiser-growth-amazon-sponsored-products--brands?cmpid=DA_INAD200785B")</f>
        <v/>
      </c>
      <c r="G209" t="inlineStr">
        <is>
          <t>New York, NY, US</t>
        </is>
      </c>
      <c r="H209" s="3" t="n">
        <v>45942</v>
      </c>
      <c r="I20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in-26499a12b3d85f2b</t>
        </is>
      </c>
      <c r="B210" t="inlineStr">
        <is>
          <t>Principal Applied Scientist, Advertiser Growth, Amazon Sponsored Products &amp; Brands</t>
        </is>
      </c>
      <c r="C210" t="inlineStr">
        <is>
          <t>Amazon.com</t>
        </is>
      </c>
      <c r="D210" t="inlineStr">
        <is>
          <t>indeed</t>
        </is>
      </c>
      <c r="E210">
        <f>HYPERLINK("https://www.indeed.com/viewjob?jk=26499a12b3d85f2b", "https://www.indeed.com/viewjob?jk=26499a12b3d85f2b")</f>
        <v/>
      </c>
      <c r="F210">
        <f>HYPERLINK("https://www.amazon.jobs/jobs/3115279/principal-applied-scientist-advertiser-growth-amazon-sponsored-products--brands?cmpid=DA_INAD200785B", "https://www.amazon.jobs/jobs/3115279/principal-applied-scientist-advertiser-growth-amazon-sponsored-products--brands?cmpid=DA_INAD200785B")</f>
        <v/>
      </c>
      <c r="G210" t="inlineStr">
        <is>
          <t>Seattle, WA, US</t>
        </is>
      </c>
      <c r="H210" s="3" t="n">
        <v>45942</v>
      </c>
      <c r="I21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in-ed57d20609e43722</t>
        </is>
      </c>
      <c r="B211" t="inlineStr">
        <is>
          <t>Sr. Applied Scientist, SPB Advertiser Guidance</t>
        </is>
      </c>
      <c r="C211" t="inlineStr">
        <is>
          <t>Amazon.com</t>
        </is>
      </c>
      <c r="D211" t="inlineStr">
        <is>
          <t>indeed</t>
        </is>
      </c>
      <c r="E211">
        <f>HYPERLINK("https://www.indeed.com/viewjob?jk=ed57d20609e43722", "https://www.indeed.com/viewjob?jk=ed57d20609e43722")</f>
        <v/>
      </c>
      <c r="F211">
        <f>HYPERLINK("https://www.amazon.jobs/jobs/3106497/sr-applied-scientist-spb-advertiser-guidance?cmpid=DA_INAD200785B", "https://www.amazon.jobs/jobs/3106497/sr-applied-scientist-spb-advertiser-guidance?cmpid=DA_INAD200785B")</f>
        <v/>
      </c>
      <c r="G211" t="inlineStr">
        <is>
          <t>Seattle, WA, US</t>
        </is>
      </c>
      <c r="H211" s="3" t="n">
        <v>45939</v>
      </c>
      <c r="I21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in-7d462fb019c1854f</t>
        </is>
      </c>
      <c r="B212" t="inlineStr">
        <is>
          <t>Sr. Applied Scientist, SPB Advertiser Guidance</t>
        </is>
      </c>
      <c r="C212" t="inlineStr">
        <is>
          <t>Amazon.com</t>
        </is>
      </c>
      <c r="D212" t="inlineStr">
        <is>
          <t>indeed</t>
        </is>
      </c>
      <c r="E212">
        <f>HYPERLINK("https://www.indeed.com/viewjob?jk=7d462fb019c1854f", "https://www.indeed.com/viewjob?jk=7d462fb019c1854f")</f>
        <v/>
      </c>
      <c r="F212">
        <f>HYPERLINK("https://www.amazon.jobs/jobs/3106497/sr-applied-scientist-spb-advertiser-guidance?cmpid=DA_INAD200785B", "https://www.amazon.jobs/jobs/3106497/sr-applied-scientist-spb-advertiser-guidance?cmpid=DA_INAD200785B")</f>
        <v/>
      </c>
      <c r="G212" t="inlineStr">
        <is>
          <t>Palo Alto, CA, US</t>
        </is>
      </c>
      <c r="H212" s="3" t="n">
        <v>45939</v>
      </c>
      <c r="I21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in-ea73c66f85f449e0</t>
        </is>
      </c>
      <c r="B213" t="inlineStr">
        <is>
          <t>Applied Scientist</t>
        </is>
      </c>
      <c r="C213" t="inlineStr">
        <is>
          <t>Amazon.com</t>
        </is>
      </c>
      <c r="D213" t="inlineStr">
        <is>
          <t>indeed</t>
        </is>
      </c>
      <c r="E213">
        <f>HYPERLINK("https://www.indeed.com/viewjob?jk=ea73c66f85f449e0", "https://www.indeed.com/viewjob?jk=ea73c66f85f449e0")</f>
        <v/>
      </c>
      <c r="F213">
        <f>HYPERLINK("https://www.amazon.jobs/jobs/3106501/applied-scientist?cmpid=DA_INAD200785B", "https://www.amazon.jobs/jobs/3106501/applied-scientist?cmpid=DA_INAD200785B")</f>
        <v/>
      </c>
      <c r="G213" t="inlineStr">
        <is>
          <t>New York, NY, US</t>
        </is>
      </c>
      <c r="H213" s="3" t="n">
        <v>45939</v>
      </c>
      <c r="I21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in-3d475f4b41ec5cf2</t>
        </is>
      </c>
      <c r="B214" t="inlineStr">
        <is>
          <t>Applied Scientist</t>
        </is>
      </c>
      <c r="C214" t="inlineStr">
        <is>
          <t>Amazon.com</t>
        </is>
      </c>
      <c r="D214" t="inlineStr">
        <is>
          <t>indeed</t>
        </is>
      </c>
      <c r="E214">
        <f>HYPERLINK("https://www.indeed.com/viewjob?jk=3d475f4b41ec5cf2", "https://www.indeed.com/viewjob?jk=3d475f4b41ec5cf2")</f>
        <v/>
      </c>
      <c r="F214">
        <f>HYPERLINK("https://www.amazon.jobs/jobs/3106501/applied-scientist?cmpid=DA_INAD200785B", "https://www.amazon.jobs/jobs/3106501/applied-scientist?cmpid=DA_INAD200785B")</f>
        <v/>
      </c>
      <c r="G214" t="inlineStr">
        <is>
          <t>Seattle, WA, US</t>
        </is>
      </c>
      <c r="H214" s="3" t="n">
        <v>45939</v>
      </c>
      <c r="I21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in-b0806394ce20d8ac</t>
        </is>
      </c>
      <c r="B215" t="inlineStr">
        <is>
          <t>Applied Scientist</t>
        </is>
      </c>
      <c r="C215" t="inlineStr">
        <is>
          <t>Amazon.com</t>
        </is>
      </c>
      <c r="D215" t="inlineStr">
        <is>
          <t>indeed</t>
        </is>
      </c>
      <c r="E215">
        <f>HYPERLINK("https://www.indeed.com/viewjob?jk=b0806394ce20d8ac", "https://www.indeed.com/viewjob?jk=b0806394ce20d8ac")</f>
        <v/>
      </c>
      <c r="F215">
        <f>HYPERLINK("https://www.amazon.jobs/jobs/3106501/applied-scientist?cmpid=DA_INAD200785B", "https://www.amazon.jobs/jobs/3106501/applied-scientist?cmpid=DA_INAD200785B")</f>
        <v/>
      </c>
      <c r="G215" t="inlineStr">
        <is>
          <t>Palo Alto, CA, US</t>
        </is>
      </c>
      <c r="H215" s="3" t="n">
        <v>45939</v>
      </c>
      <c r="I21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in-d632ae47364fa1a4</t>
        </is>
      </c>
      <c r="B216" t="inlineStr">
        <is>
          <t>Sr. Applied Scientist, SPB Advertiser Guidance</t>
        </is>
      </c>
      <c r="C216" t="inlineStr">
        <is>
          <t>Amazon.com</t>
        </is>
      </c>
      <c r="D216" t="inlineStr">
        <is>
          <t>indeed</t>
        </is>
      </c>
      <c r="E216">
        <f>HYPERLINK("https://www.indeed.com/viewjob?jk=d632ae47364fa1a4", "https://www.indeed.com/viewjob?jk=d632ae47364fa1a4")</f>
        <v/>
      </c>
      <c r="F216">
        <f>HYPERLINK("https://www.amazon.jobs/jobs/3106497/sr-applied-scientist-spb-advertiser-guidance?cmpid=DA_INAD200785B", "https://www.amazon.jobs/jobs/3106497/sr-applied-scientist-spb-advertiser-guidance?cmpid=DA_INAD200785B")</f>
        <v/>
      </c>
      <c r="G216" t="inlineStr">
        <is>
          <t>New York, NY, US</t>
        </is>
      </c>
      <c r="H216" s="3" t="n">
        <v>45939</v>
      </c>
      <c r="I21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in-23e4a4749eba0cc3</t>
        </is>
      </c>
      <c r="B217" t="inlineStr">
        <is>
          <t>Principal Applied Scientist, Amazon - Sponsored Products</t>
        </is>
      </c>
      <c r="C217" t="inlineStr">
        <is>
          <t>Amazon.com</t>
        </is>
      </c>
      <c r="D217" t="inlineStr">
        <is>
          <t>indeed</t>
        </is>
      </c>
      <c r="E217">
        <f>HYPERLINK("https://www.indeed.com/viewjob?jk=23e4a4749eba0cc3", "https://www.indeed.com/viewjob?jk=23e4a4749eba0cc3")</f>
        <v/>
      </c>
      <c r="F217">
        <f>HYPERLINK("https://www.amazon.jobs/jobs/3094885/principal-applied-scientist-amazon--sponsored-products-?cmpid=DA_INAD200785B", "https://www.amazon.jobs/jobs/3094885/principal-applied-scientist-amazon--sponsored-products-?cmpid=DA_INAD200785B")</f>
        <v/>
      </c>
      <c r="G217" t="inlineStr">
        <is>
          <t>Palo Alto, CA, US</t>
        </is>
      </c>
      <c r="H217" s="3" t="n">
        <v>45924</v>
      </c>
      <c r="I217"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in-f910956c4babf1fa</t>
        </is>
      </c>
      <c r="B218" t="inlineStr">
        <is>
          <t>Principal Applied Scientist, Amazon - Sponsored Products</t>
        </is>
      </c>
      <c r="C218" t="inlineStr">
        <is>
          <t>Amazon.com</t>
        </is>
      </c>
      <c r="D218" t="inlineStr">
        <is>
          <t>indeed</t>
        </is>
      </c>
      <c r="E218">
        <f>HYPERLINK("https://www.indeed.com/viewjob?jk=f910956c4babf1fa", "https://www.indeed.com/viewjob?jk=f910956c4babf1fa")</f>
        <v/>
      </c>
      <c r="F218">
        <f>HYPERLINK("https://www.amazon.jobs/jobs/3094885/principal-applied-scientist-amazon--sponsored-products-?cmpid=DA_INAD200785B", "https://www.amazon.jobs/jobs/3094885/principal-applied-scientist-amazon--sponsored-products-?cmpid=DA_INAD200785B")</f>
        <v/>
      </c>
      <c r="G218" t="inlineStr">
        <is>
          <t>Seattle, WA, US</t>
        </is>
      </c>
      <c r="H218" s="3" t="n">
        <v>45924</v>
      </c>
      <c r="I218"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in-da70f2a5141248e2</t>
        </is>
      </c>
      <c r="B219" t="inlineStr">
        <is>
          <t>Principal Applied Scientist, Amazon - Sponsored Products</t>
        </is>
      </c>
      <c r="C219" t="inlineStr">
        <is>
          <t>Amazon.com</t>
        </is>
      </c>
      <c r="D219" t="inlineStr">
        <is>
          <t>indeed</t>
        </is>
      </c>
      <c r="E219">
        <f>HYPERLINK("https://www.indeed.com/viewjob?jk=da70f2a5141248e2", "https://www.indeed.com/viewjob?jk=da70f2a5141248e2")</f>
        <v/>
      </c>
      <c r="F219">
        <f>HYPERLINK("https://www.amazon.jobs/jobs/3094885/principal-applied-scientist-amazon--sponsored-products-?cmpid=DA_INAD200785B", "https://www.amazon.jobs/jobs/3094885/principal-applied-scientist-amazon--sponsored-products-?cmpid=DA_INAD200785B")</f>
        <v/>
      </c>
      <c r="G219" t="inlineStr">
        <is>
          <t>New York, NY, US</t>
        </is>
      </c>
      <c r="H219" s="3" t="n">
        <v>45924</v>
      </c>
      <c r="I219"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in-b36747160748ab77</t>
        </is>
      </c>
      <c r="B220" t="inlineStr">
        <is>
          <t>Senior Applied Scientist, Sponsored Products and Brands</t>
        </is>
      </c>
      <c r="C220" t="inlineStr">
        <is>
          <t>Amazon.com</t>
        </is>
      </c>
      <c r="D220" t="inlineStr">
        <is>
          <t>indeed</t>
        </is>
      </c>
      <c r="E220">
        <f>HYPERLINK("https://www.indeed.com/viewjob?jk=b36747160748ab77", "https://www.indeed.com/viewjob?jk=b36747160748ab77")</f>
        <v/>
      </c>
      <c r="F220">
        <f>HYPERLINK("https://www.amazon.jobs/jobs/3094886/senior-applied-scientist-sponsored-products-and-brands?cmpid=DA_INAD200785B", "https://www.amazon.jobs/jobs/3094886/senior-applied-scientist-sponsored-products-and-brands?cmpid=DA_INAD200785B")</f>
        <v/>
      </c>
      <c r="G220" t="inlineStr">
        <is>
          <t>Seattle, WA, US</t>
        </is>
      </c>
      <c r="H220" s="3" t="n">
        <v>45922</v>
      </c>
      <c r="I22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in-dc2950e3a615a5e2</t>
        </is>
      </c>
      <c r="B221" t="inlineStr">
        <is>
          <t>Senior Applied Scientist, Sponsored Products and Brands</t>
        </is>
      </c>
      <c r="C221" t="inlineStr">
        <is>
          <t>Amazon.com</t>
        </is>
      </c>
      <c r="D221" t="inlineStr">
        <is>
          <t>indeed</t>
        </is>
      </c>
      <c r="E221">
        <f>HYPERLINK("https://www.indeed.com/viewjob?jk=dc2950e3a615a5e2", "https://www.indeed.com/viewjob?jk=dc2950e3a615a5e2")</f>
        <v/>
      </c>
      <c r="F221">
        <f>HYPERLINK("https://www.amazon.jobs/jobs/3094886/senior-applied-scientist-sponsored-products-and-brands?cmpid=DA_INAD200785B", "https://www.amazon.jobs/jobs/3094886/senior-applied-scientist-sponsored-products-and-brands?cmpid=DA_INAD200785B")</f>
        <v/>
      </c>
      <c r="G221" t="inlineStr">
        <is>
          <t>New York, NY, US</t>
        </is>
      </c>
      <c r="H221" s="3" t="n">
        <v>45922</v>
      </c>
      <c r="I22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in-66bde1d9b9318ab6</t>
        </is>
      </c>
      <c r="B222" t="inlineStr">
        <is>
          <t>Applied Scientist, Workplace Health &amp; Safety</t>
        </is>
      </c>
      <c r="C222" t="inlineStr">
        <is>
          <t>Amazon.com</t>
        </is>
      </c>
      <c r="D222" t="inlineStr">
        <is>
          <t>indeed</t>
        </is>
      </c>
      <c r="E222">
        <f>HYPERLINK("https://www.indeed.com/viewjob?jk=66bde1d9b9318ab6", "https://www.indeed.com/viewjob?jk=66bde1d9b9318ab6")</f>
        <v/>
      </c>
      <c r="F222">
        <f>HYPERLINK("https://www.amazon.jobs/jobs/3144886/applied-scientist-workplace-health--safety-?cmpid=DA_INAD200785B", "https://www.amazon.jobs/jobs/3144886/applied-scientist-workplace-health--safety-?cmpid=DA_INAD200785B")</f>
        <v/>
      </c>
      <c r="G222" t="inlineStr">
        <is>
          <t>Bellevue, WA, US</t>
        </is>
      </c>
      <c r="H222" s="3" t="n">
        <v>45917</v>
      </c>
      <c r="I22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in-08f097f40ffee890</t>
        </is>
      </c>
      <c r="B223" t="inlineStr">
        <is>
          <t>Applied Scientist, Workplace Health &amp; Safety</t>
        </is>
      </c>
      <c r="C223" t="inlineStr">
        <is>
          <t>Amazon.com</t>
        </is>
      </c>
      <c r="D223" t="inlineStr">
        <is>
          <t>indeed</t>
        </is>
      </c>
      <c r="E223">
        <f>HYPERLINK("https://www.indeed.com/viewjob?jk=08f097f40ffee890", "https://www.indeed.com/viewjob?jk=08f097f40ffee890")</f>
        <v/>
      </c>
      <c r="F223">
        <f>HYPERLINK("https://www.amazon.jobs/jobs/3144886/applied-scientist-workplace-health--safety-?cmpid=DA_INAD200785B", "https://www.amazon.jobs/jobs/3144886/applied-scientist-workplace-health--safety-?cmpid=DA_INAD200785B")</f>
        <v/>
      </c>
      <c r="G223" t="inlineStr">
        <is>
          <t>Nashville, TN, US</t>
        </is>
      </c>
      <c r="H223" s="3" t="n">
        <v>45917</v>
      </c>
      <c r="I22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in-d87f2b349b9fa0d0</t>
        </is>
      </c>
      <c r="B224" t="inlineStr">
        <is>
          <t>Applied Scientist II, Creative X - RAPID</t>
        </is>
      </c>
      <c r="C224" t="inlineStr">
        <is>
          <t>Amazon.com</t>
        </is>
      </c>
      <c r="D224" t="inlineStr">
        <is>
          <t>indeed</t>
        </is>
      </c>
      <c r="E224">
        <f>HYPERLINK("https://www.indeed.com/viewjob?jk=d87f2b349b9fa0d0", "https://www.indeed.com/viewjob?jk=d87f2b349b9fa0d0")</f>
        <v/>
      </c>
      <c r="F224">
        <f>HYPERLINK("https://www.amazon.jobs/jobs/3083576/applied-scientist-ii-creative-x--rapid?cmpid=DA_INAD200785B", "https://www.amazon.jobs/jobs/3083576/applied-scientist-ii-creative-x--rapid?cmpid=DA_INAD200785B")</f>
        <v/>
      </c>
      <c r="G224" t="inlineStr">
        <is>
          <t>Seattle, WA, US</t>
        </is>
      </c>
      <c r="H224" s="3" t="n">
        <v>45908</v>
      </c>
      <c r="I224"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in-f73390179d9a39a0</t>
        </is>
      </c>
      <c r="B225" t="inlineStr">
        <is>
          <t>Applied Scientist II, Creative X - RAPID</t>
        </is>
      </c>
      <c r="C225" t="inlineStr">
        <is>
          <t>Amazon.com</t>
        </is>
      </c>
      <c r="D225" t="inlineStr">
        <is>
          <t>indeed</t>
        </is>
      </c>
      <c r="E225">
        <f>HYPERLINK("https://www.indeed.com/viewjob?jk=f73390179d9a39a0", "https://www.indeed.com/viewjob?jk=f73390179d9a39a0")</f>
        <v/>
      </c>
      <c r="F225">
        <f>HYPERLINK("https://www.amazon.jobs/jobs/3083576/applied-scientist-ii-creative-x--rapid?cmpid=DA_INAD200785B", "https://www.amazon.jobs/jobs/3083576/applied-scientist-ii-creative-x--rapid?cmpid=DA_INAD200785B")</f>
        <v/>
      </c>
      <c r="G225" t="inlineStr">
        <is>
          <t>New York, NY, US</t>
        </is>
      </c>
      <c r="H225" s="3" t="n">
        <v>45908</v>
      </c>
      <c r="I225"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in-e54ebe21303378ff</t>
        </is>
      </c>
      <c r="B226" t="inlineStr">
        <is>
          <t>Senior Applied Scientist, Agentic AI for Data Analytics and Science, Speed Analytics and Science</t>
        </is>
      </c>
      <c r="C226" t="inlineStr">
        <is>
          <t>Amazon.com</t>
        </is>
      </c>
      <c r="D226" t="inlineStr">
        <is>
          <t>indeed</t>
        </is>
      </c>
      <c r="E226">
        <f>HYPERLINK("https://www.indeed.com/viewjob?jk=e54ebe21303378ff", "https://www.indeed.com/viewjob?jk=e54ebe21303378ff")</f>
        <v/>
      </c>
      <c r="F226">
        <f>HYPERLINK("https://www.amazon.jobs/jobs/3068727/senior-applied-scientist-agentic-ai-for-data-analytics-and-science-speed-analytics-and-science?cmpid=DA_INAD200785B", "https://www.amazon.jobs/jobs/3068727/senior-applied-scientist-agentic-ai-for-data-analytics-and-science-speed-analytics-and-science?cmpid=DA_INAD200785B")</f>
        <v/>
      </c>
      <c r="G226" t="inlineStr">
        <is>
          <t>Tempe, AZ, US</t>
        </is>
      </c>
      <c r="H226" s="3" t="n">
        <v>45880</v>
      </c>
      <c r="I226"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in-6992a48d97eb7f5f</t>
        </is>
      </c>
      <c r="B227" t="inlineStr">
        <is>
          <t>Senior Applied Scientist, Agentic AI for Data Analytics and Science, Speed Analytics and Science</t>
        </is>
      </c>
      <c r="C227" t="inlineStr">
        <is>
          <t>Amazon.com</t>
        </is>
      </c>
      <c r="D227" t="inlineStr">
        <is>
          <t>indeed</t>
        </is>
      </c>
      <c r="E227">
        <f>HYPERLINK("https://www.indeed.com/viewjob?jk=6992a48d97eb7f5f", "https://www.indeed.com/viewjob?jk=6992a48d97eb7f5f")</f>
        <v/>
      </c>
      <c r="F227">
        <f>HYPERLINK("https://www.amazon.jobs/jobs/3068727/senior-applied-scientist-agentic-ai-for-data-analytics-and-science-speed-analytics-and-science?cmpid=DA_INAD200785B", "https://www.amazon.jobs/jobs/3068727/senior-applied-scientist-agentic-ai-for-data-analytics-and-science-speed-analytics-and-science?cmpid=DA_INAD200785B")</f>
        <v/>
      </c>
      <c r="G227" t="inlineStr">
        <is>
          <t>Bellevue, WA, US</t>
        </is>
      </c>
      <c r="H227" s="3" t="n">
        <v>45880</v>
      </c>
      <c r="I227"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in-0b388d3d3624c2ac</t>
        </is>
      </c>
      <c r="B228" t="inlineStr">
        <is>
          <t>Sr. Applied Scientist, Amazon Advertising</t>
        </is>
      </c>
      <c r="C228" t="inlineStr">
        <is>
          <t>Amazon.com</t>
        </is>
      </c>
      <c r="D228" t="inlineStr">
        <is>
          <t>indeed</t>
        </is>
      </c>
      <c r="E228">
        <f>HYPERLINK("https://www.indeed.com/viewjob?jk=0b388d3d3624c2ac", "https://www.indeed.com/viewjob?jk=0b388d3d3624c2ac")</f>
        <v/>
      </c>
      <c r="F228">
        <f>HYPERLINK("https://www.amazon.jobs/jobs/3035686/sr-applied-scientist-amazon-advertising?cmpid=DA_INAD200785B", "https://www.amazon.jobs/jobs/3035686/sr-applied-scientist-amazon-advertising?cmpid=DA_INAD200785B")</f>
        <v/>
      </c>
      <c r="G228" t="inlineStr">
        <is>
          <t>West Hollywood, CA, US</t>
        </is>
      </c>
      <c r="H228" s="3" t="n">
        <v>45851</v>
      </c>
      <c r="I22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in-9a1fc1bfa8450e18</t>
        </is>
      </c>
      <c r="B229" t="inlineStr">
        <is>
          <t>Sr. Applied Scientist, Amazon Advertising</t>
        </is>
      </c>
      <c r="C229" t="inlineStr">
        <is>
          <t>Amazon.com</t>
        </is>
      </c>
      <c r="D229" t="inlineStr">
        <is>
          <t>indeed</t>
        </is>
      </c>
      <c r="E229">
        <f>HYPERLINK("https://www.indeed.com/viewjob?jk=9a1fc1bfa8450e18", "https://www.indeed.com/viewjob?jk=9a1fc1bfa8450e18")</f>
        <v/>
      </c>
      <c r="F229">
        <f>HYPERLINK("https://www.amazon.jobs/jobs/3035686/sr-applied-scientist-amazon-advertising?cmpid=DA_INAD200785B", "https://www.amazon.jobs/jobs/3035686/sr-applied-scientist-amazon-advertising?cmpid=DA_INAD200785B")</f>
        <v/>
      </c>
      <c r="G229" t="inlineStr">
        <is>
          <t>Seattle, WA, US</t>
        </is>
      </c>
      <c r="H229" s="3" t="n">
        <v>45851</v>
      </c>
      <c r="I2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in-d878f2dbdacc854b</t>
        </is>
      </c>
      <c r="B230" t="inlineStr">
        <is>
          <t>Sr. Applied Scientist, Amazon Advertising</t>
        </is>
      </c>
      <c r="C230" t="inlineStr">
        <is>
          <t>Amazon.com</t>
        </is>
      </c>
      <c r="D230" t="inlineStr">
        <is>
          <t>indeed</t>
        </is>
      </c>
      <c r="E230">
        <f>HYPERLINK("https://www.indeed.com/viewjob?jk=d878f2dbdacc854b", "https://www.indeed.com/viewjob?jk=d878f2dbdacc854b")</f>
        <v/>
      </c>
      <c r="F230">
        <f>HYPERLINK("https://www.amazon.jobs/jobs/3035686/sr-applied-scientist-amazon-advertising?cmpid=DA_INAD200785B", "https://www.amazon.jobs/jobs/3035686/sr-applied-scientist-amazon-advertising?cmpid=DA_INAD200785B")</f>
        <v/>
      </c>
      <c r="G230" t="inlineStr">
        <is>
          <t>New York, NY, US</t>
        </is>
      </c>
      <c r="H230" s="3" t="n">
        <v>45851</v>
      </c>
      <c r="I2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in-2c5a83c88ae51518</t>
        </is>
      </c>
      <c r="B231" t="inlineStr">
        <is>
          <t>Sr. Applied Scientist, Amazon Advertising</t>
        </is>
      </c>
      <c r="C231" t="inlineStr">
        <is>
          <t>Amazon.com</t>
        </is>
      </c>
      <c r="D231" t="inlineStr">
        <is>
          <t>indeed</t>
        </is>
      </c>
      <c r="E231">
        <f>HYPERLINK("https://www.indeed.com/viewjob?jk=2c5a83c88ae51518", "https://www.indeed.com/viewjob?jk=2c5a83c88ae51518")</f>
        <v/>
      </c>
      <c r="F231">
        <f>HYPERLINK("https://www.amazon.jobs/jobs/3035686/sr-applied-scientist-amazon-advertising?cmpid=DA_INAD200785B", "https://www.amazon.jobs/jobs/3035686/sr-applied-scientist-amazon-advertising?cmpid=DA_INAD200785B")</f>
        <v/>
      </c>
      <c r="G231" t="inlineStr">
        <is>
          <t>Palo Alto, CA, US</t>
        </is>
      </c>
      <c r="H231" s="3" t="n">
        <v>45851</v>
      </c>
      <c r="I2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in-7cc8351ca5e0a9d7</t>
        </is>
      </c>
      <c r="B232" t="inlineStr">
        <is>
          <t>Sr. Applied Scientist, Amazon Advertising</t>
        </is>
      </c>
      <c r="C232" t="inlineStr">
        <is>
          <t>Amazon.com</t>
        </is>
      </c>
      <c r="D232" t="inlineStr">
        <is>
          <t>indeed</t>
        </is>
      </c>
      <c r="E232">
        <f>HYPERLINK("https://www.indeed.com/viewjob?jk=7cc8351ca5e0a9d7", "https://www.indeed.com/viewjob?jk=7cc8351ca5e0a9d7")</f>
        <v/>
      </c>
      <c r="F232">
        <f>HYPERLINK("https://www.amazon.jobs/jobs/3035686/sr-applied-scientist-amazon-advertising?cmpid=DA_INAD200785B", "https://www.amazon.jobs/jobs/3035686/sr-applied-scientist-amazon-advertising?cmpid=DA_INAD200785B")</f>
        <v/>
      </c>
      <c r="G232" t="inlineStr">
        <is>
          <t>Los Angeles, CA, US</t>
        </is>
      </c>
      <c r="H232" s="3" t="n">
        <v>45851</v>
      </c>
      <c r="I2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in-1f1eed30609e60ec</t>
        </is>
      </c>
      <c r="B233" t="inlineStr">
        <is>
          <t>Sr. Applied Scientist, Amazon Advertising</t>
        </is>
      </c>
      <c r="C233" t="inlineStr">
        <is>
          <t>Amazon.com</t>
        </is>
      </c>
      <c r="D233" t="inlineStr">
        <is>
          <t>indeed</t>
        </is>
      </c>
      <c r="E233">
        <f>HYPERLINK("https://www.indeed.com/viewjob?jk=1f1eed30609e60ec", "https://www.indeed.com/viewjob?jk=1f1eed30609e60ec")</f>
        <v/>
      </c>
      <c r="F233">
        <f>HYPERLINK("https://www.amazon.jobs/jobs/3035686/sr-applied-scientist-amazon-advertising?cmpid=DA_INAD200785B", "https://www.amazon.jobs/jobs/3035686/sr-applied-scientist-amazon-advertising?cmpid=DA_INAD200785B")</f>
        <v/>
      </c>
      <c r="G233" t="inlineStr">
        <is>
          <t>Simi Valley, CA, US</t>
        </is>
      </c>
      <c r="H233" s="3" t="n">
        <v>45851</v>
      </c>
      <c r="I2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in-307631dd23255222</t>
        </is>
      </c>
      <c r="B234" t="inlineStr">
        <is>
          <t>Sr. Applied Scientist, Amazon Advertising</t>
        </is>
      </c>
      <c r="C234" t="inlineStr">
        <is>
          <t>Amazon.com</t>
        </is>
      </c>
      <c r="D234" t="inlineStr">
        <is>
          <t>indeed</t>
        </is>
      </c>
      <c r="E234">
        <f>HYPERLINK("https://www.indeed.com/viewjob?jk=307631dd23255222", "https://www.indeed.com/viewjob?jk=307631dd23255222")</f>
        <v/>
      </c>
      <c r="F234">
        <f>HYPERLINK("https://www.amazon.jobs/jobs/3035686/sr-applied-scientist-amazon-advertising?cmpid=DA_INAD200785B", "https://www.amazon.jobs/jobs/3035686/sr-applied-scientist-amazon-advertising?cmpid=DA_INAD200785B")</f>
        <v/>
      </c>
      <c r="G234" t="inlineStr">
        <is>
          <t>Austin, TX, US</t>
        </is>
      </c>
      <c r="H234" s="3" t="n">
        <v>45851</v>
      </c>
      <c r="I2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in-41606f062c949bec</t>
        </is>
      </c>
      <c r="B235" t="inlineStr">
        <is>
          <t>Sr. Applied Scientist, Amazon Advertising</t>
        </is>
      </c>
      <c r="C235" t="inlineStr">
        <is>
          <t>Amazon.com</t>
        </is>
      </c>
      <c r="D235" t="inlineStr">
        <is>
          <t>indeed</t>
        </is>
      </c>
      <c r="E235">
        <f>HYPERLINK("https://www.indeed.com/viewjob?jk=41606f062c949bec", "https://www.indeed.com/viewjob?jk=41606f062c949bec")</f>
        <v/>
      </c>
      <c r="F235">
        <f>HYPERLINK("https://www.amazon.jobs/jobs/3035686/sr-applied-scientist-amazon-advertising?cmpid=DA_INAD200785B", "https://www.amazon.jobs/jobs/3035686/sr-applied-scientist-amazon-advertising?cmpid=DA_INAD200785B")</f>
        <v/>
      </c>
      <c r="G235" t="inlineStr">
        <is>
          <t>Arlington, VA, US</t>
        </is>
      </c>
      <c r="H235" s="3" t="n">
        <v>45851</v>
      </c>
      <c r="I2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in-3dc7c111db2dd902</t>
        </is>
      </c>
      <c r="B236" t="inlineStr">
        <is>
          <t>Senior Applied Scientist, Artificial General Intelligence</t>
        </is>
      </c>
      <c r="C236" t="inlineStr">
        <is>
          <t>Amazon.com</t>
        </is>
      </c>
      <c r="D236" t="inlineStr">
        <is>
          <t>indeed</t>
        </is>
      </c>
      <c r="E236">
        <f>HYPERLINK("https://www.indeed.com/viewjob?jk=3dc7c111db2dd902", "https://www.indeed.com/viewjob?jk=3dc7c111db2dd902")</f>
        <v/>
      </c>
      <c r="F236">
        <f>HYPERLINK("https://www.amazon.jobs/jobs/3032183/senior-applied-scientist-artificial-general-intelligence?cmpid=DA_INAD200785B", "https://www.amazon.jobs/jobs/3032183/senior-applied-scientist-artificial-general-intelligence?cmpid=DA_INAD200785B")</f>
        <v/>
      </c>
      <c r="G236" t="inlineStr">
        <is>
          <t>Boston, MA, US</t>
        </is>
      </c>
      <c r="H236" s="3" t="n">
        <v>45838</v>
      </c>
      <c r="I23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in-f8cefdab0300b88a</t>
        </is>
      </c>
      <c r="B237" t="inlineStr">
        <is>
          <t>Senior Applied Scientist, Artificial General Intelligence</t>
        </is>
      </c>
      <c r="C237" t="inlineStr">
        <is>
          <t>Amazon.com</t>
        </is>
      </c>
      <c r="D237" t="inlineStr">
        <is>
          <t>indeed</t>
        </is>
      </c>
      <c r="E237">
        <f>HYPERLINK("https://www.indeed.com/viewjob?jk=f8cefdab0300b88a", "https://www.indeed.com/viewjob?jk=f8cefdab0300b88a")</f>
        <v/>
      </c>
      <c r="F237">
        <f>HYPERLINK("https://www.amazon.jobs/jobs/3032183/senior-applied-scientist-artificial-general-intelligence?cmpid=DA_INAD200785B", "https://www.amazon.jobs/jobs/3032183/senior-applied-scientist-artificial-general-intelligence?cmpid=DA_INAD200785B")</f>
        <v/>
      </c>
      <c r="G237" t="inlineStr">
        <is>
          <t>Sunnyvale, CA, US</t>
        </is>
      </c>
      <c r="H237" s="3" t="n">
        <v>45838</v>
      </c>
      <c r="I23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in-521bd7e7c0b7f5cf</t>
        </is>
      </c>
      <c r="B238" t="inlineStr">
        <is>
          <t>Senior Applied Scientist, Artificial General Intelligence</t>
        </is>
      </c>
      <c r="C238" t="inlineStr">
        <is>
          <t>Amazon.com</t>
        </is>
      </c>
      <c r="D238" t="inlineStr">
        <is>
          <t>indeed</t>
        </is>
      </c>
      <c r="E238">
        <f>HYPERLINK("https://www.indeed.com/viewjob?jk=521bd7e7c0b7f5cf", "https://www.indeed.com/viewjob?jk=521bd7e7c0b7f5cf")</f>
        <v/>
      </c>
      <c r="F238">
        <f>HYPERLINK("https://www.amazon.jobs/jobs/3032183/senior-applied-scientist-artificial-general-intelligence?cmpid=DA_INAD200785B", "https://www.amazon.jobs/jobs/3032183/senior-applied-scientist-artificial-general-intelligence?cmpid=DA_INAD200785B")</f>
        <v/>
      </c>
      <c r="G238" t="inlineStr">
        <is>
          <t>New York, NY, US</t>
        </is>
      </c>
      <c r="H238" s="3" t="n">
        <v>45838</v>
      </c>
      <c r="I23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in-7b368a9883dad998</t>
        </is>
      </c>
      <c r="B239" t="inlineStr">
        <is>
          <t>Sr. Applied Scientist, Sales AI</t>
        </is>
      </c>
      <c r="C239" t="inlineStr">
        <is>
          <t>Amazon.com</t>
        </is>
      </c>
      <c r="D239" t="inlineStr">
        <is>
          <t>indeed</t>
        </is>
      </c>
      <c r="E239">
        <f>HYPERLINK("https://www.indeed.com/viewjob?jk=7b368a9883dad998", "https://www.indeed.com/viewjob?jk=7b368a9883dad998")</f>
        <v/>
      </c>
      <c r="F239">
        <f>HYPERLINK("https://www.amazon.jobs/jobs/3020528/sr-applied-scientist-sales-ai?cmpid=DA_INAD200785B", "https://www.amazon.jobs/jobs/3020528/sr-applied-scientist-sales-ai?cmpid=DA_INAD200785B")</f>
        <v/>
      </c>
      <c r="G239" t="inlineStr">
        <is>
          <t>New York, NY, US</t>
        </is>
      </c>
      <c r="H239" s="3" t="n">
        <v>45830</v>
      </c>
      <c r="I23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in-9409e7f8327aba92</t>
        </is>
      </c>
      <c r="B240" t="inlineStr">
        <is>
          <t>Sr. Applied Scientist, Sales AI</t>
        </is>
      </c>
      <c r="C240" t="inlineStr">
        <is>
          <t>Amazon.com</t>
        </is>
      </c>
      <c r="D240" t="inlineStr">
        <is>
          <t>indeed</t>
        </is>
      </c>
      <c r="E240">
        <f>HYPERLINK("https://www.indeed.com/viewjob?jk=9409e7f8327aba92", "https://www.indeed.com/viewjob?jk=9409e7f8327aba92")</f>
        <v/>
      </c>
      <c r="F240">
        <f>HYPERLINK("https://www.amazon.jobs/jobs/3020528/sr-applied-scientist-sales-ai?cmpid=DA_INAD200785B", "https://www.amazon.jobs/jobs/3020528/sr-applied-scientist-sales-ai?cmpid=DA_INAD200785B")</f>
        <v/>
      </c>
      <c r="G240" t="inlineStr">
        <is>
          <t>Sunnyvale, CA, US</t>
        </is>
      </c>
      <c r="H240" s="3" t="n">
        <v>45830</v>
      </c>
      <c r="I24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in-9d68f83dc73a61cb</t>
        </is>
      </c>
      <c r="B241" t="inlineStr">
        <is>
          <t>Sr. Applied Scientist, Sales AI</t>
        </is>
      </c>
      <c r="C241" t="inlineStr">
        <is>
          <t>Amazon.com</t>
        </is>
      </c>
      <c r="D241" t="inlineStr">
        <is>
          <t>indeed</t>
        </is>
      </c>
      <c r="E241">
        <f>HYPERLINK("https://www.indeed.com/viewjob?jk=9d68f83dc73a61cb", "https://www.indeed.com/viewjob?jk=9d68f83dc73a61cb")</f>
        <v/>
      </c>
      <c r="F241">
        <f>HYPERLINK("https://www.amazon.jobs/jobs/3020528/sr-applied-scientist-sales-ai?cmpid=DA_INAD200785B", "https://www.amazon.jobs/jobs/3020528/sr-applied-scientist-sales-ai?cmpid=DA_INAD200785B")</f>
        <v/>
      </c>
      <c r="G241" t="inlineStr">
        <is>
          <t>Seattle, WA, US</t>
        </is>
      </c>
      <c r="H241" s="3" t="n">
        <v>45830</v>
      </c>
      <c r="I24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in-458032fa9317762c</t>
        </is>
      </c>
      <c r="B242" t="inlineStr">
        <is>
          <t>Sr. Applied Scientist, AGI Info</t>
        </is>
      </c>
      <c r="C242" t="inlineStr">
        <is>
          <t>Amazon.com</t>
        </is>
      </c>
      <c r="D242" t="inlineStr">
        <is>
          <t>indeed</t>
        </is>
      </c>
      <c r="E242">
        <f>HYPERLINK("https://www.indeed.com/viewjob?jk=458032fa9317762c", "https://www.indeed.com/viewjob?jk=458032fa9317762c")</f>
        <v/>
      </c>
      <c r="F242">
        <f>HYPERLINK("https://www.amazon.jobs/jobs/2999351/sr-applied-scientist-agi-info?cmpid=DA_INAD200785B", "https://www.amazon.jobs/jobs/2999351/sr-applied-scientist-agi-info?cmpid=DA_INAD200785B")</f>
        <v/>
      </c>
      <c r="G242" t="inlineStr">
        <is>
          <t>Sunnyvale, CA, US</t>
        </is>
      </c>
      <c r="H242" s="3" t="n">
        <v>45811</v>
      </c>
      <c r="I242"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in-691fd28679902f6d</t>
        </is>
      </c>
      <c r="B243" t="inlineStr">
        <is>
          <t>Sr. Applied Scientist, AGI Info</t>
        </is>
      </c>
      <c r="C243" t="inlineStr">
        <is>
          <t>Amazon.com</t>
        </is>
      </c>
      <c r="D243" t="inlineStr">
        <is>
          <t>indeed</t>
        </is>
      </c>
      <c r="E243">
        <f>HYPERLINK("https://www.indeed.com/viewjob?jk=691fd28679902f6d", "https://www.indeed.com/viewjob?jk=691fd28679902f6d")</f>
        <v/>
      </c>
      <c r="F243">
        <f>HYPERLINK("https://www.amazon.jobs/jobs/2999351/sr-applied-scientist-agi-info?cmpid=DA_INAD200785B", "https://www.amazon.jobs/jobs/2999351/sr-applied-scientist-agi-info?cmpid=DA_INAD200785B")</f>
        <v/>
      </c>
      <c r="G243" t="inlineStr">
        <is>
          <t>Bellevue, WA, US</t>
        </is>
      </c>
      <c r="H243" s="3" t="n">
        <v>45811</v>
      </c>
      <c r="I243"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in-9a01e6d6424b97a5</t>
        </is>
      </c>
      <c r="B244" t="inlineStr">
        <is>
          <t>Principal Applied Scientist, Delivery Foundation Model</t>
        </is>
      </c>
      <c r="C244" t="inlineStr">
        <is>
          <t>Amazon.com</t>
        </is>
      </c>
      <c r="D244" t="inlineStr">
        <is>
          <t>indeed</t>
        </is>
      </c>
      <c r="E244">
        <f>HYPERLINK("https://www.indeed.com/viewjob?jk=9a01e6d6424b97a5", "https://www.indeed.com/viewjob?jk=9a01e6d6424b97a5")</f>
        <v/>
      </c>
      <c r="F244">
        <f>HYPERLINK("https://www.amazon.jobs/jobs/3006938/principal-applied-scientist-delivery-foundation-model-?cmpid=DA_INAD200785B", "https://www.amazon.jobs/jobs/3006938/principal-applied-scientist-delivery-foundation-model-?cmpid=DA_INAD200785B")</f>
        <v/>
      </c>
      <c r="G244" t="inlineStr">
        <is>
          <t>Santa Clara, CA, US</t>
        </is>
      </c>
      <c r="H244" s="3" t="n">
        <v>45810</v>
      </c>
      <c r="I24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in-ed6c6985d09724d1</t>
        </is>
      </c>
      <c r="B245" t="inlineStr">
        <is>
          <t>Principal Applied Scientist, Delivery Foundation Model</t>
        </is>
      </c>
      <c r="C245" t="inlineStr">
        <is>
          <t>Amazon.com</t>
        </is>
      </c>
      <c r="D245" t="inlineStr">
        <is>
          <t>indeed</t>
        </is>
      </c>
      <c r="E245">
        <f>HYPERLINK("https://www.indeed.com/viewjob?jk=ed6c6985d09724d1", "https://www.indeed.com/viewjob?jk=ed6c6985d09724d1")</f>
        <v/>
      </c>
      <c r="F245">
        <f>HYPERLINK("https://www.amazon.jobs/jobs/3006938/principal-applied-scientist-delivery-foundation-model-?cmpid=DA_INAD200785B", "https://www.amazon.jobs/jobs/3006938/principal-applied-scientist-delivery-foundation-model-?cmpid=DA_INAD200785B")</f>
        <v/>
      </c>
      <c r="G245" t="inlineStr">
        <is>
          <t>New York, NY, US</t>
        </is>
      </c>
      <c r="H245" s="3" t="n">
        <v>45810</v>
      </c>
      <c r="I24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in-b4dc191181850060</t>
        </is>
      </c>
      <c r="B246" t="inlineStr">
        <is>
          <t>Principal Applied Scientist, Delivery Foundation Model</t>
        </is>
      </c>
      <c r="C246" t="inlineStr">
        <is>
          <t>Amazon.com</t>
        </is>
      </c>
      <c r="D246" t="inlineStr">
        <is>
          <t>indeed</t>
        </is>
      </c>
      <c r="E246">
        <f>HYPERLINK("https://www.indeed.com/viewjob?jk=b4dc191181850060", "https://www.indeed.com/viewjob?jk=b4dc191181850060")</f>
        <v/>
      </c>
      <c r="F246">
        <f>HYPERLINK("https://www.amazon.jobs/jobs/3006938/principal-applied-scientist-delivery-foundation-model-?cmpid=DA_INAD200785B", "https://www.amazon.jobs/jobs/3006938/principal-applied-scientist-delivery-foundation-model-?cmpid=DA_INAD200785B")</f>
        <v/>
      </c>
      <c r="G246" t="inlineStr">
        <is>
          <t>Austin, TX, US</t>
        </is>
      </c>
      <c r="H246" s="3" t="n">
        <v>45810</v>
      </c>
      <c r="I24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in-5a0cacb9ce5f076d</t>
        </is>
      </c>
      <c r="B247" t="inlineStr">
        <is>
          <t>Principal Applied Scientist, Delivery Foundation Model</t>
        </is>
      </c>
      <c r="C247" t="inlineStr">
        <is>
          <t>Amazon.com</t>
        </is>
      </c>
      <c r="D247" t="inlineStr">
        <is>
          <t>indeed</t>
        </is>
      </c>
      <c r="E247">
        <f>HYPERLINK("https://www.indeed.com/viewjob?jk=5a0cacb9ce5f076d", "https://www.indeed.com/viewjob?jk=5a0cacb9ce5f076d")</f>
        <v/>
      </c>
      <c r="F247">
        <f>HYPERLINK("https://www.amazon.jobs/jobs/3006938/principal-applied-scientist-delivery-foundation-model-?cmpid=DA_INAD200785B", "https://www.amazon.jobs/jobs/3006938/principal-applied-scientist-delivery-foundation-model-?cmpid=DA_INAD200785B")</f>
        <v/>
      </c>
      <c r="G247" t="inlineStr">
        <is>
          <t>Bellevue, WA, US</t>
        </is>
      </c>
      <c r="H247" s="3" t="n">
        <v>45810</v>
      </c>
      <c r="I24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in-0f2e3a7bc396d004</t>
        </is>
      </c>
      <c r="B248" t="inlineStr">
        <is>
          <t>Principal Applied Scientist, Delivery Foundation Model</t>
        </is>
      </c>
      <c r="C248" t="inlineStr">
        <is>
          <t>Amazon.com</t>
        </is>
      </c>
      <c r="D248" t="inlineStr">
        <is>
          <t>indeed</t>
        </is>
      </c>
      <c r="E248">
        <f>HYPERLINK("https://www.indeed.com/viewjob?jk=0f2e3a7bc396d004", "https://www.indeed.com/viewjob?jk=0f2e3a7bc396d004")</f>
        <v/>
      </c>
      <c r="F248">
        <f>HYPERLINK("https://www.amazon.jobs/jobs/2998635/principal-applied-scientist-delivery-foundation-model-?cmpid=DA_INAD200785B", "https://www.amazon.jobs/jobs/2998635/principal-applied-scientist-delivery-foundation-model-?cmpid=DA_INAD200785B")</f>
        <v/>
      </c>
      <c r="G248" t="inlineStr">
        <is>
          <t>Santa Clara, CA, US</t>
        </is>
      </c>
      <c r="H248" s="3" t="n">
        <v>45757</v>
      </c>
      <c r="I24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in-bf4f5929d3fe316f</t>
        </is>
      </c>
      <c r="B249" t="inlineStr">
        <is>
          <t>Principal Applied Scientist, Delivery Foundation Model</t>
        </is>
      </c>
      <c r="C249" t="inlineStr">
        <is>
          <t>Amazon.com</t>
        </is>
      </c>
      <c r="D249" t="inlineStr">
        <is>
          <t>indeed</t>
        </is>
      </c>
      <c r="E249">
        <f>HYPERLINK("https://www.indeed.com/viewjob?jk=bf4f5929d3fe316f", "https://www.indeed.com/viewjob?jk=bf4f5929d3fe316f")</f>
        <v/>
      </c>
      <c r="F249">
        <f>HYPERLINK("https://www.amazon.jobs/jobs/2998635/principal-applied-scientist-delivery-foundation-model-?cmpid=DA_INAD200785B", "https://www.amazon.jobs/jobs/2998635/principal-applied-scientist-delivery-foundation-model-?cmpid=DA_INAD200785B")</f>
        <v/>
      </c>
      <c r="G249" t="inlineStr">
        <is>
          <t>Bellevue, WA, US</t>
        </is>
      </c>
      <c r="H249" s="3" t="n">
        <v>45757</v>
      </c>
      <c r="I24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in-4989a3e150197342</t>
        </is>
      </c>
      <c r="B250" t="inlineStr">
        <is>
          <t>Principal Applied Scientist, Delivery Foundation Model</t>
        </is>
      </c>
      <c r="C250" t="inlineStr">
        <is>
          <t>Amazon.com</t>
        </is>
      </c>
      <c r="D250" t="inlineStr">
        <is>
          <t>indeed</t>
        </is>
      </c>
      <c r="E250">
        <f>HYPERLINK("https://www.indeed.com/viewjob?jk=4989a3e150197342", "https://www.indeed.com/viewjob?jk=4989a3e150197342")</f>
        <v/>
      </c>
      <c r="F250">
        <f>HYPERLINK("https://www.amazon.jobs/jobs/2998635/principal-applied-scientist-delivery-foundation-model-?cmpid=DA_INAD200785B", "https://www.amazon.jobs/jobs/2998635/principal-applied-scientist-delivery-foundation-model-?cmpid=DA_INAD200785B")</f>
        <v/>
      </c>
      <c r="G250" t="inlineStr">
        <is>
          <t>New York, NY, US</t>
        </is>
      </c>
      <c r="H250" s="3" t="n">
        <v>45757</v>
      </c>
      <c r="I25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in-7b484b4a691ef6b5</t>
        </is>
      </c>
      <c r="B251" t="inlineStr">
        <is>
          <t>Principal Applied Scientist, FAR (Frontier AI &amp; Robotics)</t>
        </is>
      </c>
      <c r="C251" t="inlineStr">
        <is>
          <t>Amazon.com</t>
        </is>
      </c>
      <c r="D251" t="inlineStr">
        <is>
          <t>indeed</t>
        </is>
      </c>
      <c r="E251">
        <f>HYPERLINK("https://www.indeed.com/viewjob?jk=7b484b4a691ef6b5", "https://www.indeed.com/viewjob?jk=7b484b4a691ef6b5")</f>
        <v/>
      </c>
      <c r="F251">
        <f>HYPERLINK("https://www.amazon.jobs/jobs/2938625/principal-applied-scientist-far-frontier-ai--robotics?cmpid=DA_INAD200785B", "https://www.amazon.jobs/jobs/2938625/principal-applied-scientist-far-frontier-ai--robotics?cmpid=DA_INAD200785B")</f>
        <v/>
      </c>
      <c r="G251" t="inlineStr">
        <is>
          <t>San Francisco, CA, US</t>
        </is>
      </c>
      <c r="H251" s="3" t="n">
        <v>45740</v>
      </c>
      <c r="I25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in-023abee893af4468</t>
        </is>
      </c>
      <c r="B252" t="inlineStr">
        <is>
          <t>Principal Applied Scientist, FAR (Frontier AI &amp; Robotics)</t>
        </is>
      </c>
      <c r="C252" t="inlineStr">
        <is>
          <t>Amazon.com</t>
        </is>
      </c>
      <c r="D252" t="inlineStr">
        <is>
          <t>indeed</t>
        </is>
      </c>
      <c r="E252">
        <f>HYPERLINK("https://www.indeed.com/viewjob?jk=023abee893af4468", "https://www.indeed.com/viewjob?jk=023abee893af4468")</f>
        <v/>
      </c>
      <c r="F252">
        <f>HYPERLINK("https://www.amazon.jobs/jobs/2938625/principal-applied-scientist-far-frontier-ai--robotics?cmpid=DA_INAD200785B", "https://www.amazon.jobs/jobs/2938625/principal-applied-scientist-far-frontier-ai--robotics?cmpid=DA_INAD200785B")</f>
        <v/>
      </c>
      <c r="G252" t="inlineStr">
        <is>
          <t>Seattle, WA, US</t>
        </is>
      </c>
      <c r="H252" s="3" t="n">
        <v>45740</v>
      </c>
      <c r="I25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in-253ab7873948bc61</t>
        </is>
      </c>
      <c r="B253" t="inlineStr">
        <is>
          <t>Sr. Machine Learning Engineer, AGIF | Finetuning</t>
        </is>
      </c>
      <c r="C253" t="inlineStr">
        <is>
          <t>Amazon.com</t>
        </is>
      </c>
      <c r="D253" t="inlineStr">
        <is>
          <t>indeed</t>
        </is>
      </c>
      <c r="E253">
        <f>HYPERLINK("https://www.indeed.com/viewjob?jk=253ab7873948bc61", "https://www.indeed.com/viewjob?jk=253ab7873948bc61")</f>
        <v/>
      </c>
      <c r="F253">
        <f>HYPERLINK("https://www.amazon.jobs/jobs/3145989/sr-machine-learning-engineer-agif--finetuning?cmpid=DA_INAD200785B", "https://www.amazon.jobs/jobs/3145989/sr-machine-learning-engineer-agif--finetuning?cmpid=DA_INAD200785B")</f>
        <v/>
      </c>
      <c r="G253" t="inlineStr">
        <is>
          <t>Bellevue, WA, US</t>
        </is>
      </c>
      <c r="H253" s="3" t="n">
        <v>45984</v>
      </c>
      <c r="I25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in-084ad9d9cf79bc0f</t>
        </is>
      </c>
      <c r="B254" t="inlineStr">
        <is>
          <t>Sr. Machine Learning Engineer, AGIF | Finetuning</t>
        </is>
      </c>
      <c r="C254" t="inlineStr">
        <is>
          <t>Amazon.com</t>
        </is>
      </c>
      <c r="D254" t="inlineStr">
        <is>
          <t>indeed</t>
        </is>
      </c>
      <c r="E254">
        <f>HYPERLINK("https://www.indeed.com/viewjob?jk=084ad9d9cf79bc0f", "https://www.indeed.com/viewjob?jk=084ad9d9cf79bc0f")</f>
        <v/>
      </c>
      <c r="F254">
        <f>HYPERLINK("https://www.amazon.jobs/jobs/3145989/sr-machine-learning-engineer-agif--finetuning?cmpid=DA_INAD200785B", "https://www.amazon.jobs/jobs/3145989/sr-machine-learning-engineer-agif--finetuning?cmpid=DA_INAD200785B")</f>
        <v/>
      </c>
      <c r="G254" t="inlineStr">
        <is>
          <t>New York, NY, US</t>
        </is>
      </c>
      <c r="H254" s="3" t="n">
        <v>45984</v>
      </c>
      <c r="I25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li-4317435985</t>
        </is>
      </c>
      <c r="B2" t="inlineStr">
        <is>
          <t>Forward Deployed AI Engineer-Palantir Foundry-Senior Associate</t>
        </is>
      </c>
      <c r="C2" t="inlineStr">
        <is>
          <t>PwC</t>
        </is>
      </c>
      <c r="D2" t="inlineStr">
        <is>
          <t>linkedin</t>
        </is>
      </c>
      <c r="E2" t="inlineStr"/>
      <c r="F2" t="inlineStr"/>
      <c r="G2" t="inlineStr">
        <is>
          <t>Greensboro, NC</t>
        </is>
      </c>
      <c r="H2" t="inlineStr"/>
      <c r="I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
      <c r="A3" t="inlineStr">
        <is>
          <t>li-4322684797</t>
        </is>
      </c>
      <c r="B3" t="inlineStr">
        <is>
          <t>Forward Deployed AI Engineer-Palantir Foundry-Senior Associate</t>
        </is>
      </c>
      <c r="C3" t="inlineStr">
        <is>
          <t>PwC</t>
        </is>
      </c>
      <c r="D3" t="inlineStr">
        <is>
          <t>linkedin</t>
        </is>
      </c>
      <c r="E3" t="inlineStr"/>
      <c r="F3" t="inlineStr"/>
      <c r="G3" t="inlineStr">
        <is>
          <t>Charlotte, NC</t>
        </is>
      </c>
      <c r="H3" t="inlineStr"/>
      <c r="I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
      <c r="A4" t="inlineStr">
        <is>
          <t>li-4322574919</t>
        </is>
      </c>
      <c r="B4" t="inlineStr">
        <is>
          <t>Forward Deployed AI Engineer-Palantir Foundry-Senior Associate</t>
        </is>
      </c>
      <c r="C4" t="inlineStr">
        <is>
          <t>PwC</t>
        </is>
      </c>
      <c r="D4" t="inlineStr">
        <is>
          <t>linkedin</t>
        </is>
      </c>
      <c r="E4" t="inlineStr"/>
      <c r="F4" t="inlineStr"/>
      <c r="G4" t="inlineStr">
        <is>
          <t>Austin, TX</t>
        </is>
      </c>
      <c r="H4" t="inlineStr"/>
      <c r="I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
      <c r="A5" t="inlineStr">
        <is>
          <t>li-4317452336</t>
        </is>
      </c>
      <c r="B5" t="inlineStr">
        <is>
          <t>Forward Deployed AI Engineer-Palantir Foundry-Senior Associate</t>
        </is>
      </c>
      <c r="C5" t="inlineStr">
        <is>
          <t>PwC</t>
        </is>
      </c>
      <c r="D5" t="inlineStr">
        <is>
          <t>linkedin</t>
        </is>
      </c>
      <c r="E5" t="inlineStr"/>
      <c r="F5" t="inlineStr"/>
      <c r="G5" t="inlineStr">
        <is>
          <t>Des Moines, IA</t>
        </is>
      </c>
      <c r="H5" t="inlineStr"/>
      <c r="I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
      <c r="A6" t="inlineStr">
        <is>
          <t>li-4317438782</t>
        </is>
      </c>
      <c r="B6" t="inlineStr">
        <is>
          <t>Forward Deployed AI Engineer-Palantir Foundry-Senior Associate</t>
        </is>
      </c>
      <c r="C6" t="inlineStr">
        <is>
          <t>PwC</t>
        </is>
      </c>
      <c r="D6" t="inlineStr">
        <is>
          <t>linkedin</t>
        </is>
      </c>
      <c r="E6" t="inlineStr"/>
      <c r="F6" t="inlineStr"/>
      <c r="G6" t="inlineStr">
        <is>
          <t>Milwaukee, WI</t>
        </is>
      </c>
      <c r="H6" t="inlineStr"/>
      <c r="I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
      <c r="A7" t="inlineStr">
        <is>
          <t>li-4317451354</t>
        </is>
      </c>
      <c r="B7" t="inlineStr">
        <is>
          <t>Forward Deployed AI Engineer-Palantir Foundry-Senior Associate</t>
        </is>
      </c>
      <c r="C7" t="inlineStr">
        <is>
          <t>PwC</t>
        </is>
      </c>
      <c r="D7" t="inlineStr">
        <is>
          <t>linkedin</t>
        </is>
      </c>
      <c r="E7" t="inlineStr"/>
      <c r="F7" t="inlineStr"/>
      <c r="G7" t="inlineStr">
        <is>
          <t>Hartford, CT</t>
        </is>
      </c>
      <c r="H7" t="inlineStr"/>
      <c r="I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
      <c r="A8" t="inlineStr">
        <is>
          <t>li-4317441689</t>
        </is>
      </c>
      <c r="B8" t="inlineStr">
        <is>
          <t>Forward Deployed AI Engineer-Palantir Foundry-Senior Associate</t>
        </is>
      </c>
      <c r="C8" t="inlineStr">
        <is>
          <t>PwC</t>
        </is>
      </c>
      <c r="D8" t="inlineStr">
        <is>
          <t>linkedin</t>
        </is>
      </c>
      <c r="E8" t="inlineStr"/>
      <c r="F8" t="inlineStr"/>
      <c r="G8" t="inlineStr">
        <is>
          <t>New Orleans, LA</t>
        </is>
      </c>
      <c r="H8" t="inlineStr"/>
      <c r="I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
      <c r="A9" t="inlineStr">
        <is>
          <t>li-4322734824</t>
        </is>
      </c>
      <c r="B9" t="inlineStr">
        <is>
          <t>Forward Deployed AI Engineer-Palantir Foundry-Senior Associate</t>
        </is>
      </c>
      <c r="C9" t="inlineStr">
        <is>
          <t>PwC</t>
        </is>
      </c>
      <c r="D9" t="inlineStr">
        <is>
          <t>linkedin</t>
        </is>
      </c>
      <c r="E9" t="inlineStr"/>
      <c r="F9" t="inlineStr"/>
      <c r="G9" t="inlineStr">
        <is>
          <t>Louisville, KY</t>
        </is>
      </c>
      <c r="H9" t="inlineStr"/>
      <c r="I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
      <c r="A10" t="inlineStr">
        <is>
          <t>li-4317430998</t>
        </is>
      </c>
      <c r="B10" t="inlineStr">
        <is>
          <t>Forward Deployed AI Engineer-Palantir Foundry-Senior Associate</t>
        </is>
      </c>
      <c r="C10" t="inlineStr">
        <is>
          <t>PwC</t>
        </is>
      </c>
      <c r="D10" t="inlineStr">
        <is>
          <t>linkedin</t>
        </is>
      </c>
      <c r="E10" t="inlineStr"/>
      <c r="F10" t="inlineStr"/>
      <c r="G10" t="inlineStr">
        <is>
          <t>Las Vegas, NV</t>
        </is>
      </c>
      <c r="H10" t="inlineStr"/>
      <c r="I1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
      <c r="A11" t="inlineStr">
        <is>
          <t>li-4342110495</t>
        </is>
      </c>
      <c r="B11" t="inlineStr">
        <is>
          <t>Senior Applied Scientist</t>
        </is>
      </c>
      <c r="C11" t="inlineStr">
        <is>
          <t>Microsoft</t>
        </is>
      </c>
      <c r="D11" t="inlineStr">
        <is>
          <t>linkedin</t>
        </is>
      </c>
      <c r="E11" t="inlineStr"/>
      <c r="F11" t="inlineStr"/>
      <c r="G11" t="inlineStr">
        <is>
          <t>Seattle, WA</t>
        </is>
      </c>
      <c r="H11" t="inlineStr"/>
      <c r="I11" t="inlineStr">
        <is>
          <t>**Overview**
 The Microsoft Applied Sciences Group incubates disruptive technologies for Microsoft’s next\-gen hardware products and is working on several exciting projects that will shape how computers and other devices perceive the user and the user’s environment. Operating as a startup within the company, this team works closely with several research and product teams to bring compelling new experiences to the market. A lot of these experiences are powered by machine learning – and as part of this team, you will have the unique opportunity to work on almost every aspect of a machine learning project \- from ideation to shipping. You will have the opportunity to turn ideas into reality with real\-world impact at Microsoft scale.
 As an
 **Senior Applied Scientist** 
 you will have the opportunity to design and lead the implementation of state\-of\-the\-art language and multimodal models to transform the Windows experience. You will have the opportunity to collaborate with people at the forefront of their field from across the organization and see your ideas turn ideas into reality with real\-world impact at Microsoft scale. This is a hands\-on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Research focusing on foundation models \- Designing and training language and multimodal models (and finetunes) with supervised finetuning, distillation, reinforcement learning, low\-rank adaptation.
* Research focusing on environment interaction, policy specification and verification and human intent alignment.
* Implementation: Train, distill, and finetune language and vision models in PyTorch, DeepSpeed, AzureML stack.
* Machine learning engineering \- Build pipelines to test designs, algorithms and models.
* Data science \- Research and develop synthetic data generation strategies.
* Proactively follow state of the art research and share latest work, write papers, attend conferences and share knowledge in the wider team.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3\+ years experience conducting research as part of a research program in academic or industry settings.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experience training and/or finetuning large language models, model compression, distillation to small language models.
* 3\+ years' experience with Python and deep learning libraries
* Experience in large language/multimodal model training, finetuning and distillation.
* Demonstrated record of publications in top\-tier conferences or journals (ICLR, ACL, EMLP, ICML, CVPR, ICCV, ECCV, NeurIPS, TPAMI, etc.).
* Experience in creating reusable software libraries and packages.
* Experience using dataset curation, data generation using prompting state of art LLMs and/or model alignment.
* Experience with reinforcement learning libraries or formal methods and verification is a plus.
* Demonstrated ability and passion for incubating new ideas, solving problems, and building working systems.
 \#ASG
 \#\#W\+DJOBS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
      <c r="A12" t="inlineStr">
        <is>
          <t>li-4363829531</t>
        </is>
      </c>
      <c r="B12" t="inlineStr">
        <is>
          <t>Machine Learning Engineer</t>
        </is>
      </c>
      <c r="C12" t="inlineStr">
        <is>
          <t>Upstart</t>
        </is>
      </c>
      <c r="D12" t="inlineStr">
        <is>
          <t>linkedin</t>
        </is>
      </c>
      <c r="E12" t="inlineStr"/>
      <c r="F12" t="inlineStr"/>
      <c r="G12" t="inlineStr"/>
      <c r="H12" t="inlineStr"/>
      <c r="I12" t="inlineStr">
        <is>
          <t>**About Upstart**
 Upstart is the leading AI lending marketplace partnering with banks and credit unions to expand access to affordable credit. By leveraging Upstart's AI marketplace, Upstart\-powered banks and credit unions can achieve higher approval rates and lower loss rates across diverse demographics, including race, age, and gender, while delivering a seamless digital\-first lending experience. Over 80% of borrowers receive instant approval without the need to upload documentation, reflecting Upstart's commitment to innovation and customer convenience. As a digital\-first company, most Upstarters work remotely across the United States, with offices located in San Mateo, California; Columbus, Ohio; Austin, Texas; and New York City, NY (opening Summer 2026\). Upstart’s mission is centered on enabling access to effortless credit based on true risk, inspiring employees who are passionate about making a meaningful impact in financial inclusion and technology.
**About The Role**
 We are seeking a highly skilled and innovative Software Engineer to join our Applied Large Language Models (LLM) team. This team is dedicated to building foundational infrastructure that democratizes access to generative AI across all product and engineering teams at Upstart. As a key member of this cross\-functional group, you will work at the intersection of machine learning, product development, and engineering to bring the power of large language models and generative AI to life within our core products.
 Your primary responsibilities will include designing and building user\-facing ML features that leverage LLMs, partnering with product, design, and research teams to prototype and deploy impactful ML\-powered experiences, and owning the technical architecture for scalable, trustworthy, and high\-performance ML systems. You will collaborate closely with platform, infrastructure, and legal teams to ensure compliance with safety, fairness, and performance standards, while establishing best practices for prompt design, model evaluation, and experimentation. This role offers a unique opportunity to influence the future of AI\-driven financial products and to work in a dynamic, innovative environment that values collaboration and technological excellence.
**Qualifications**
* Minimum of 6\+ years of software engineering experience, with at least 2\+ years working on ML\-driven products or intelligent systems.
* Proven ability to lead complex projects involving cross\-functional teams including engineering, product, and research stakeholders.
* Strong backend development skills, particularly in Python using frameworks such as FastAPI or Flask.
* Experience with cloud\-native tooling such as Kubernetes, Docker, and Terraform.
* Hands\-on experience integrating large language models or ML models into production systems, including API development and user\-facing applications.
* Excellent communication skills and a collaborative, product\-oriented mindset.
* Ability to rigorously analyze system design, latency considerations, and user impact when deploying ML features.
* Preferred qualifications include experience with GenAI or LLM\-powered features using frameworks like LangChain, LlamaIndex, or OpenAI APIs.
* Familiarity with retrieval\-augmented generation (RAG), vector search technologies such as FAISS or Pinecone, and real\-time inference patterns.
* Proficiency in full\-stack development, including front\-end frameworks like React.
* Strong intuition for prompt engineering, model testing, and evaluation methodologies.
* Experience navigating complex requirements related to explainability, user trust, and compliance in ML applications.
* Track record of influencing architecture or product strategy at team or organizational levels.
**Responsibilities**
* Design and develop user\-facing machine learning features that utilize LLMs and generative AI to unlock new product capabilities.
* Collaborate with product managers, designers, and ML research teams to prototype and deliver innovative ML\-powered experiences.
* Own the technical architecture and implementation strategy for applied ML systems, balancing factors such as latency, observability, and iteration speed.
* Build scalable services and APIs that deliver model outputs to users in a trustworthy and intuitive manner.
* Work with platform, infrastructure, and legal teams to ensure ML deployments meet safety, fairness, and compliance standards.
* Establish and promote best practices for prompt design, model evaluation, and experimentation across the organization.
* Stay current with advancements in generative AI and incorporate new techniques to enhance product offerings.
**Benefits**
* Competitive compensation package including base salary, bonus, and equity options.
* Comprehensive medical, dental, and vision insurance coverage, with Health Savings Account contributions.
* 401(k) retirement plan with a 100% company match up to $4,500, immediate vesting, and options for after\-tax savings.
* Employee Stock Purchase Plan (ESPP) allowing employees to purchase company stock at favorable rates.
* Life and disability insurance coverage.
* Generous paid time off including holidays, vacation, sick leave, and safety leave.
* Supportive parental, family care, and military leave programs.
* Annual wellness, technology, and ergonomic reimbursement programs.
* Engagement in social activities such as team events, all\-company updates, employee resource groups, and special interest groups including book clubs, fitness, investing, and volunteering.
* Access to catered lunches, snacks, and beverages when working from office locations.
 Equal Opportunity
 Upstart is proud to be an equal opportunity workplace and is committed to equal employment opportunity regardless of race, color, ancestry, religion, sex, national origin, sexual orientation, age, citizenship, marital status, disability, gender identity, veteran status, or any other basis protected by federal, state, or local law.</t>
        </is>
      </c>
    </row>
    <row r="13">
      <c r="A13" t="inlineStr">
        <is>
          <t>li-4299470604</t>
        </is>
      </c>
      <c r="B13" t="inlineStr">
        <is>
          <t>Machine Learning Engineer - Infra</t>
        </is>
      </c>
      <c r="C13" t="inlineStr">
        <is>
          <t>Genentech</t>
        </is>
      </c>
      <c r="D13" t="inlineStr">
        <is>
          <t>linkedin</t>
        </is>
      </c>
      <c r="E13" t="inlineStr"/>
      <c r="F13" t="inlineStr"/>
      <c r="G13" t="inlineStr">
        <is>
          <t>New York, NY</t>
        </is>
      </c>
      <c r="H13" t="inlineStr"/>
      <c r="I13"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Roche's AI for Drug Discovery (AIDD) group (Prescient Design), we are revolutionizing drug discovery with cutting\-edge machine learning techniques. We are seeking a highly motivated and skilled ML Engineer to join our growing team within Genentech Research and Early Development AI Drug Development (gRED AIDD). This role is crucial for enhancing the core features that power our machine learning initiatives. The ideal candidate will have deep experience building scalable software and infrastructure, while consistently adhering to corporate standards and best practices.
**What You'll Do**
* Design, implement, and maintain scalable and reliable ML infrastructure, leading the architecture and delivery of significant technical solutions.
* Proactively identify and solve complex, often cross\-functional, technical problems within the ML infrastructure domain.
* Collaborate closely with ML engineers and data scientists to understand and address their infrastructure needs.
* Document infrastructure designs, processes, and operational procedures.
* Mentor junior engineers and drive technical alignment and influence across teams.
**Who You Are**
* Proven experience designing, deploying, and managing infrastructure on AWS (EC2, S3, RDS, etc.).
* Proficiency in scripting languages (e.g., Python) and compiled languages (e.g., C\+\+, Go, Rust).
* Strong experience with Git and repository management.
* Demonstrated ability to lead technical projects from conception to completion and deliver high\-quality, scalable, and reliable software.
* Excellent problem\-solving skills and a proactive attitude, with the ability to anticipate needs and drive projects to completion.
* Strong communication and interpersonal skills to effectively collaborate with cross\-functional teams and influence technical decisions.
* Ability to thrive in a fast\-paced environment and adapt to evolving requirements while adhering to corporate guidelines.
**Preferred**
* Extensive experience with large\-scale ML model platforms and tools.
* Deep understanding and experience with PyTorch implementation, especially regarding scaling inference performance.
* A history of significant contributions to open\-source projects or industry standards.
 Relocation benefits are available for this job posting
 The expected salary range for this position, based on the primary location of California, is $147,600 \- 274,000\.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4">
      <c r="A14" t="inlineStr">
        <is>
          <t>li-4360115336</t>
        </is>
      </c>
      <c r="B14" t="inlineStr">
        <is>
          <t>AI Engineer</t>
        </is>
      </c>
      <c r="C14" t="inlineStr">
        <is>
          <t>Glocap Tech</t>
        </is>
      </c>
      <c r="D14" t="inlineStr">
        <is>
          <t>linkedin</t>
        </is>
      </c>
      <c r="E14" t="inlineStr"/>
      <c r="F14" t="inlineStr"/>
      <c r="G14" t="inlineStr"/>
      <c r="H14" t="inlineStr"/>
      <c r="I14" t="inlineStr">
        <is>
          <t>AI Engineer (Founding Team)
 📍 San Francisco, CA \| In\-Person, 5 Days/Week
 This startup is looking for highly motivated, extremely brilliant engineers.
 Ideal Background
* Strong in
 **next.js, supabase, RAG, Python, C\+\+, PyTorch, and OpenCV**
* Hands\-on builder who thrives in fast\-moving environments
* Previous experience at a startup (any stage)
* Great communicator and problem\-solver with strong ownership mentality
* Winner
 💰 Compensation \&amp; Details
* **Base Salary:** 
 $125K–$150K
* **Equity:** 
 0\.75–1\.0%
* **Start Date:** 
 Part\-time work trial → Full\-time by
 **Jan 1**
* **Location:** 
 San Francisco, CA (In\-Person)</t>
        </is>
      </c>
    </row>
    <row r="15">
      <c r="A15" t="inlineStr">
        <is>
          <t>li-4299465847</t>
        </is>
      </c>
      <c r="B15" t="inlineStr">
        <is>
          <t>Machine Learning Engineer - Devops</t>
        </is>
      </c>
      <c r="C15" t="inlineStr">
        <is>
          <t>Genentech</t>
        </is>
      </c>
      <c r="D15" t="inlineStr">
        <is>
          <t>linkedin</t>
        </is>
      </c>
      <c r="E15" t="inlineStr"/>
      <c r="F15" t="inlineStr"/>
      <c r="G15" t="inlineStr">
        <is>
          <t>South San Francisco, CA</t>
        </is>
      </c>
      <c r="H15" t="inlineStr"/>
      <c r="I15"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Roche's AI for Drug Discovery (AIDD) group (Prescient Design), we are revolutionizing drug discovery with cutting\-edge machine learning techniques. We are seeking a highly motivated and skilled ML Infrastructure DevOps Engineer to join our growing team within Genentech Research and Early Development AI Drug Development (gRED AIDD). This role is crucial for building and maintaining the scalable and robust infrastructure that powers our machine learning initiatives. The ideal candidate will be proactive, user\-facing, and possess a "get\-it\-done" attitude, while consistently adhering to corporate standards and best practices.
**What You'll Do**
* Design, implement, and maintain scalable and reliable ML infrastructure on AWS.
* Automate deployment, monitoring, alerting, and operational tasks using tools like Terraform and Helm.
* Manage and optimize CI/CD pipelines and Git repositories for ML projects, ensuring efficient version control to support collaboration and deployment.
* Collaborate closely with ML engineers and data scientists to understand their infrastructure needs and provide solutions.
* Troubleshoot and resolve infrastructure\-related issues in a timely manner.
* Implement and enforce security best practices for ML infrastructure.
* Document infrastructure designs, processes, and operational procedures.
* Contribute to initiatives independently as part of a team, delivering assigned outputs.
* Proactively identify issues and gaps, proposing ideas and suggestions for improvements.
**Who You Are**
* Proven experience in designing, deploying, and managing infrastructure on Amazon Web Services (AWS), including services such as EC2, S3, RDS, EKS, SageMaker, etc.
* Strong proficiency with Git and Git repository management.
* Hands\-on experience with Terraform for infrastructure provisioning and management.
* Experience with Helm for deploying and managing applications on Kubernetes.
* Proficiency in scripting languages (e.g., Python, Bash) for automation.
* Excellent problem\-solving skills and a strong ability to debug complex issues.
* Strong communication and interpersonal skills to effectively collaborate with cross\-functional teams and user\-facing interactions.
* Demonstrated ability to take initiative, anticipate needs, and drive projects to completion.
* Ability to thrive in a fast\-paced environment and adapt to evolving requirements while adhering to corporate guidelines.
* Ability to write clean code with little syntax/convention feedback.
* Applies software engineering best practices (linting automation, unit testing, documentation, CI/CD).
* Familiarity with modern machine learning methods.
* Knowledge of and experience with high\-performance computing, distributed systems, and cloud computing.
**Preferred**
* Experience with MLOps platforms and tools.
* Familiarity with CI/CD pipelines for ML workflows.
* Knowledge of monitoring and logging tools (e.g., Prometheus, Grafana, ELK stack)
 Relocation benefits are available for this job posting
 The expected salary range for this position based on the primary location of California is $147,600, \- $274,000\.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6">
      <c r="A16" t="inlineStr">
        <is>
          <t>li-4298939932</t>
        </is>
      </c>
      <c r="B16" t="inlineStr">
        <is>
          <t>AI/ML Engineer II</t>
        </is>
      </c>
      <c r="C16" t="inlineStr">
        <is>
          <t>Honeywell</t>
        </is>
      </c>
      <c r="D16" t="inlineStr">
        <is>
          <t>linkedin</t>
        </is>
      </c>
      <c r="E16" t="inlineStr"/>
      <c r="F16" t="inlineStr"/>
      <c r="G16" t="inlineStr">
        <is>
          <t>Atlanta, GA</t>
        </is>
      </c>
      <c r="H16" t="inlineStr"/>
      <c r="I16" t="inlineStr">
        <is>
          <t>**Responsibilities**
**JOB DESCRIPTION**
* Collaborate with colleagues across multiple teams (Data Science and Data Engineering) on unique machine learning system challenges at scale.
* Leverage distributed training systems to build scalable machine learning pipelines for model training and deployments in IT/OT Products space.
* Design and implement solutions to optimize distributed training execution in terms of model hyperparameter optimization, model training/inference latency and system\-level bottlenecks.
* Research and implement state of the art LLM models for different business use cases including finetuning and serving the LLMs.
* Ensure ML Model performance, uptime, and scale, maintaining high standards of code quality and thoughtful design quality and monitoring.
* Optimize integration between popular machine learning libraries and cloud ML and data processing frameworks.
* Build Deep Learning models and algorithms with optimal parallelism and performance on CPUs/ GPUs.
 As an AI Engr II here at Honeywell, you will be responsible for developing and implementing AI algorithms, models, and systems to solve complex business problems. You will collaborate with cross\-functional teams to integrate AI solutions into existing systems and processes, ensuring scalability, efficiency, and robustness.
 In this role, you will impact the development and deployment of advanced AI solutions, contributing to Honeywell's commitment to innovation and cutting\-edge technology. This position will play a key role in driving technical excellence within the organization and shaping the future of AI technology at Honeywell.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**Qualifications**
 YOU MUST HAVE
* MS or Ph.D. in Computer Science, Software Engineering, Electrical Engineering, or related fields.
* 3\+ years of industry experience with Python in a programming intensive role.
* 2\+ years of experience with one or more of the following machine learning topics: classification, clustering, optimization, recommendation system, graph mining, deep learning.
* 3\+ years of industry experience with distributed computing frameworks such as Spark, Kubernetes ecosystem, etc.
* 3\+ years of industry experience with popular ml frameworks such as Spark MLlib, Keras, Tensorflow, PyTorch, HuggingFace Transformers and libraries (like scikit\-learn, spacy, gensim, CoreNLP etc.).
* 3\+ years of industry experience with major cloud computing services.
* Background or experience in building and scaling Generative AI Applications, specifically around frameworks like Langchain, PGVector, Pinecone, AzureML.
* Experience with Prompt Engineering in Agent orchestration framework.
* Prior experience in building data products and established a track record of innovation would be a big plus.
* An effective communicator – you shall be an ambassador of Honeywell’s Machine Learning engineering at external forums and have the ability to explain technical concepts to a non\-technical audience.
 WE VALUE
* Proficient Python/PySpark coding experience
* Proficient in containerization services
* Proficient in Azure ML to deploy the models
* Experience with working in CICD framework
* Motivation to make downstream modelers’ work smoother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Honeywell Benefits information visit: https://benefits.honeywell.com/
 The application period for the job is estimated to be 40 days from the job posting date; however, this may be shortened or extended depending on business needs and the availability of qualified candidates.
 Due to compliance with U.S. export control laws and regulations, candidate must be a U.S. Person, which is defined as, a U.S. citizen, a U.S. permanent resident, or have protected status in the U.S. under asylum or refugee status or have the ability to obtain an export authorization.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7">
      <c r="A17" t="inlineStr">
        <is>
          <t>li-4360124891</t>
        </is>
      </c>
      <c r="B17" t="inlineStr">
        <is>
          <t>Machine Learning Engineer | Python | Pytorch | Distributed Training | Optimisation | GPU | Hybrid, San Jose, CA</t>
        </is>
      </c>
      <c r="C17" t="inlineStr">
        <is>
          <t>Enigma</t>
        </is>
      </c>
      <c r="D17" t="inlineStr">
        <is>
          <t>linkedin</t>
        </is>
      </c>
      <c r="E17" t="inlineStr"/>
      <c r="F17" t="inlineStr"/>
      <c r="G17" t="inlineStr">
        <is>
          <t>San Jose, CA</t>
        </is>
      </c>
      <c r="H17" t="inlineStr"/>
      <c r="I17" t="inlineStr">
        <is>
          <t>**Machine Learning Engineer \| Python \| Pytorch \| Distributed Training \| Optimisation \| GPU \| Hybrid, San Jose, CA** 
**Title:** 
 Machine Learning Engineer
**Location: San Jose, CA** 
**Responsibilities:** 
* Productize and optimize models from Research into reliable, performant, and cost\-efficient services with clear SLOs (latency, availability, cost).
* Scale training across nodes/GPUs (DDP/FSDP/ZeRO, pipeline/tensor parallelism) and own throughput/time\-to\-train using profiling and optimization.
* Implement model\-efficiency techniques (quantization, distillation, pruning, KV\-cache, Flash Attention) for training and inference without materially degrading quality.
* Build and maintain model\-serving systems (vLLM/Triton/TGI/ONNX/TensorRT/AITemplate) with batching, streaming, caching, and memory management.
* Integrate with vector/feature stores and data pipelines (FAISS/Milvus/Pinecone/pgvector; Parquet/Delta) as needed for production.
* Define and track performance and cost KPIs; run continuous improvement loops and capacity planning.
* Partner with ML Ops on CI/CD, telemetry/observability, model registries; partner with Scientists on reproducible handoffs and evaluations.
**Educational Qualifications:** 
* Bachelors in computer science, Electrical/Computer Engineering, or a related field required; Master’s preferred (or equivalent industry experience).
* Strong systems/ML engineering with exposure to distributed training and inference optimization.
**Industry Experience:** 
* 3–5 years in ML/AI engineering roles owning training and/or serving in production at scale.
* Demonstrated success delivering high\-throughput, low\-latency ML services with reliability and cost improvements.
* Experience collaborating across Research, Platform/Infra, Data, and Product functions.
**Technical Skills:** 
* Familiarity with deep learning frameworks: PyTorch (primary), TensorFlow.
* Exposure to large model training techniques (DDP, FSDP, ZeRO, pipeline/tensor parallelism); distributed training experience a plus
* Optimization: experience profiling and optimizing code execution and model inference: (PTQ/QAT/AWQ/GPTQ), pruning, distillation, KV\-cache optimization, Flash Attention
* Scalable serving: autoscaling, load balancing, streaming, batching, caching; collaboration with platform engineers.
* Data \&amp; storage: SQL/NoSQL, vector stores (FAISS/Milvus/Pinecone/pgvector), Parquet/Delta, object stores.
* Write performant, maintainable code
* Understanding of the full ML lifecycle: data collection, model training, deployment, inference, optimization, and evaluation.
**Machine Learning Engineer \| Python \| Pytorch \| Distributed Training \| Optimisation \| GPU \| Hybrid, San Jose, CA**</t>
        </is>
      </c>
    </row>
    <row r="18">
      <c r="A18" t="inlineStr">
        <is>
          <t>li-4234372409</t>
        </is>
      </c>
      <c r="B18" t="inlineStr">
        <is>
          <t>Senior Machine Learning Engineer - Applied AI</t>
        </is>
      </c>
      <c r="C18" t="inlineStr">
        <is>
          <t>Horizon3.ai</t>
        </is>
      </c>
      <c r="D18" t="inlineStr">
        <is>
          <t>linkedin</t>
        </is>
      </c>
      <c r="E18" t="inlineStr"/>
      <c r="F18" t="inlineStr"/>
      <c r="G18" t="inlineStr"/>
      <c r="H18" t="inlineStr"/>
      <c r="I18" t="inlineStr">
        <is>
          <t>**Get to Know Us**
 Horizon3\.ai is a fast\-growing, remote cybersecurity company dedicated to the mission of enabling organizations to proactively find and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ITOps/SecOps teams, consulting pentesters, and MSSPs and MSPs.
 We are a fusion of former U.S. Special Operations cyber operators, startup engineers, and formerly frustrated cybersecurity practitioners. We're committed to helping solve our common security problems: ineffective security tools,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**What We're Looking For**
 We're looking for a Senior Machine Learning Engineer with deep experience
 **deploying emerging AI technology in production** 
 and a
 **demonstrated interest in security** 
 . You will have a major impact in how we add value to our customers by using emerging AI technologies and exposing their vulnerabilities. You will lead the creation of innovative AI solutions from specifically designing systems for offensive security operations to building and enhancing our autonomous offensive testing capabilities that identify vulnerabilities across the entire AI application stack and output. This position requires practical expertise in creating, implementing, launching, machine learning systems and an interest in attacking them.
**Essential Functions**
* Build sophisticated AI systems capable of discovering vulnerabilities and streamlining penetration testing methodologies
* Research and implement AI\-driven vulnerability detection and exploitation methods
* Automate exploitation workflows using AI technologies
* Lead complete development lifecycles for AI features from concept through deployment
* Design and implement advanced testing capabilities that detect vulnerabilities in AI\-native applications
* Research and target emerging attack vectors specific to applications developed with AI and implement detection methods
* Implement scalable solutions that can use AI to exploit traditional CVEs, credential\-based attack paths, and data pilfering vectors
* Guide technical conversations, assess code quality, and facilitate design meetings while sharing knowledge to enhance team capabilities
* Support and guide less experienced team members, fostering their professional development
**Competencies/Requirements**
* 8\+ years in software development with strong mathematical or statistical background
* 3\+ years proven track record building and deploying AI/ML solutions in live environments
* Expert\-level Python programming abilities
* You’ve shipped and maintained AI/ML systems, not just built prototypes, and ideally in multiple domains
* Demonstrated interest in cybersecurity and penetration testing
* Knowledge of AI frameworks and machine learning libraries (such as TensorFlow, PyTorch, Hugging Face, OpenAI APIs, and LangChain)
* Experience with ML data preprocessing techniques including normalization, feature engineering, and dataset preparation for model training and fine tuning
* Experience with cloud AI platforms such as AWS Bedrock, AWS SageMaker, and Azure AI, with ability to implement and optimize solutions across environments
* Strong analytical skills and ability to clearly communicate complex security concepts
* Comprehensive understanding of various database technologies, including relational and non\-relational systems
**Desired/Nice to Have**
 We don’t expect these, but they elevate your application to “unicorn” status.
* Background in training specialized machine learning models for security purposes
* Experience with and understanding of AI\-specific vulnerabilities
* Background in AI security offense, testing AI system vulnerabilities, or creating automated security solutions powered by artificial intelligence
* Previous experience analyzing security using large language models, conducting penetration testing
* Experience with AI red teaming or learning model vulnerabilities
* Demonstrated examples of exploiting AI\-specific vulnerabilities
* Background in AI security offense, testing AI system vulnerabilities, or creating automated security solutions powered by artificial intelligence
* Previous experience analyzing security using large language models, conducting penetration testing enhanced by AI technologies, and researching machine learning weaknesses and countermeasures
**Expectations**
* Outstanding problem\-solving aptitude, a “hacker mindset”.
* Be self\-motivated and highly energetic to have the ability to operate effectively with limited supervision and guidance.
* Strong technical documentation and communication skills.
* Ability to manage concurrent initiatives and use effective judgment in prioritization and time management.
* Excellent analytical/problem solving ability.
**What Makes You Stand Out**
 Elevate your application to “unicorn” status:
* Experience identifying attack paths across full\-stack environments
* Background in application security testing, penetration testing, or offensive security
* Understanding of web application security fundamentals
* Certification(s) demonstrating cybersecurity expertise such as OSCP, CISSP, GPEN, Security\+, LPT, or CEH.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convenience and work\-life balance that comes with remote work.
* Competitive Compensation: We offer competitive salary, equity and benefits. Our benefits include health, vision \&amp; dental insurance for you and your family, a flexible vacation policy, and generous parental leave.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t>
        </is>
      </c>
    </row>
    <row r="19">
      <c r="A19" t="inlineStr">
        <is>
          <t>li-4335966912</t>
        </is>
      </c>
      <c r="B19" t="inlineStr">
        <is>
          <t>Lead AI/ML Engineer</t>
        </is>
      </c>
      <c r="C19" t="inlineStr">
        <is>
          <t>CyberCoders</t>
        </is>
      </c>
      <c r="D19" t="inlineStr">
        <is>
          <t>linkedin</t>
        </is>
      </c>
      <c r="E19" t="inlineStr"/>
      <c r="F19" t="inlineStr"/>
      <c r="G19" t="inlineStr">
        <is>
          <t>New York, NY</t>
        </is>
      </c>
      <c r="H19" t="inlineStr"/>
      <c r="I19" t="inlineStr">
        <is>
          <t>Remote, US Only \| $170K to $200K base plus bonus and equity
 We are partnering with a next\-generation fintech infrastructure company to hire a Lead AI Engineer. This is a founding leadership role where you will guide the technical direction for AI and machine learning across the company while remaining hands\-on with architecture and implementation. You will lead and mentor two existing machine learning engineers and work closely with product, engineering, and risk teams to deliver production\-grade AI systems.
 This role is ideal for a senior or staff\-level engineer who wants to own strategy, architecture, and delivery while continuing to write code and build systems directly.
**What You Will Do**
* Lead the design and development of production machine learning and generative AI systems for fraud detection, risk scoring, onboarding, and internal automation
* Provide technical leadership and day\-to\-day guidance for two machine learning engineers including architecture reviews, code reviews, and technical direction
* Architect LLM powered workflows, retrieval augmented generation pipelines, vector search components, and risk modeling services
* Work with structured and unstructured data across onboarding, identity, document verification, and payments systems
* Own the complete machine learning lifecycle including prototyping, data pipelines, training, evaluation, deployment, monitoring, and continuous improvement
* Establish best practices for model governance, observability, drift detection, and performance measurement
* Evaluate and integrate third party AI and identity solutions including document verification and anomaly detection technologies
* Collaborate with engineering, product, and risk leadership to identify and prioritize high impact AI opportunities
* Influence long term platform architecture as the foundational AI leader
**What You Bring**
* 5 to 10 or more years building and deploying AI and machine learning systems in production environments
* Strong Python skills and deep experience with frameworks such as PyTorch, TensorFlow, or scikit learn
* Experience with financial, transactional, risk scoring, or other complex structured datasets
* Experience shipping models with CI/CD pipelines, model versioning, monitoring, and observability tools
* Strong architectural skills and the ability to drive technical decisions at both strategic and implementation levels
* Experience mentoring or guiding other engineers in a technical leadership capacity
* Ability to work cross functionally and influence direction without formal authority
* Comfortable operating in a fast moving startup environment
**Nice to Have**
* Experience in fintech, payments, fraud, underwriting, or other risk focused modeling
* Familiarity with LangChain, Hugging Face, LlamaIndex, or vector databases
* Experience building retrieval augmented generation systems, LLM APIs, prompt based workflows, or embedding pipelines
* Knowledge of identity verification workflows, onboarding systems, or KYC and KYB processes
* Experience with document intelligence, OCR, or entity extraction pipelines
**Compensation And Benefits**
* $170K to $200K base salary plus performance bonus
* Meaningful equity package
* Fully remote within the United States
* Medical, dental, and vision coverage
* 401(k) eligibility after 3 months
* Unlimited PTO
**Why This Role Is Unique**
* You will be the founding Lead AI Engineer with ownership of both strategy and execution
* You will guide and mentor two machine learning engineers without taking on a full people management role
* You will remain hands\-on while shaping the long\-term AI architecture for the company
* You will work across fraud, risk, identity, onboarding, and generative AI
* Your work will directly influence revenue, underwriting speed, automation, and risk mitigation
**Email Your Resume In Word To**
 Looking forward to receiving your resume through our website and going over the position with you. Clicking apply is the best way to apply, but you may also:
 taylor.mcalister@cybercoders.com
* Please do NOT change the email subject line in any way. You must keep the JobID: linkedin : TM4\-1883898L458 \-\- in the email subject line for your application to be considered.\*\*\*
 Taylor McAlister \- Sr. Executive Recruiter
 For this position, you must be currently authorized to work in the United States without the need for sponsorship for a non\-immigrant visa.
 This job was first posted by CyberCoders on 11/13/2025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20">
      <c r="A20" t="inlineStr">
        <is>
          <t>li-4336256237</t>
        </is>
      </c>
      <c r="B20" t="inlineStr">
        <is>
          <t>Lead AI/ML Engineer</t>
        </is>
      </c>
      <c r="C20" t="inlineStr">
        <is>
          <t>CyberCoders</t>
        </is>
      </c>
      <c r="D20" t="inlineStr">
        <is>
          <t>linkedin</t>
        </is>
      </c>
      <c r="E20" t="inlineStr"/>
      <c r="F20" t="inlineStr"/>
      <c r="G20" t="inlineStr">
        <is>
          <t>Los Angeles, CA</t>
        </is>
      </c>
      <c r="H20" t="inlineStr"/>
      <c r="I20" t="inlineStr">
        <is>
          <t>Remote, US Only \| $170K to $200K base plus bonus and equity
 We are partnering with a next\-generation fintech infrastructure company to hire a Lead AI Engineer. This is a founding leadership role where you will guide the technical direction for AI and machine learning across the company while remaining hands\-on with architecture and implementation. You will lead and mentor two existing machine learning engineers and work closely with product, engineering, and risk teams to deliver production\-grade AI systems.
 This role is ideal for a senior or staff\-level engineer who wants to own strategy, architecture, and delivery while continuing to write code and build systems directly.
**What You Will Do**
* Lead the design and development of production machine learning and generative AI systems for fraud detection, risk scoring, onboarding, and internal automation
* Provide technical leadership and day\-to\-day guidance for two machine learning engineers including architecture reviews, code reviews, and technical direction
* Architect LLM powered workflows, retrieval augmented generation pipelines, vector search components, and risk modeling services
* Work with structured and unstructured data across onboarding, identity, document verification, and payments systems
* Own the complete machine learning lifecycle including prototyping, data pipelines, training, evaluation, deployment, monitoring, and continuous improvement
* Establish best practices for model governance, observability, drift detection, and performance measurement
* Evaluate and integrate third party AI and identity solutions including document verification and anomaly detection technologies
* Collaborate with engineering, product, and risk leadership to identify and prioritize high impact AI opportunities
* Influence long term platform architecture as the foundational AI leader
**What You Bring**
* 5 to 10 or more years building and deploying AI and machine learning systems in production environments
* Strong Python skills and deep experience with frameworks such as PyTorch, TensorFlow, or scikit learn
* Experience with financial, transactional, risk scoring, or other complex structured datasets
* Experience shipping models with CI/CD pipelines, model versioning, monitoring, and observability tools
* Strong architectural skills and the ability to drive technical decisions at both strategic and implementation levels
* Experience mentoring or guiding other engineers in a technical leadership capacity
* Ability to work cross functionally and influence direction without formal authority
* Comfortable operating in a fast moving startup environment
**Nice to Have**
* Experience in fintech, payments, fraud, underwriting, or other risk focused modeling
* Familiarity with LangChain, Hugging Face, LlamaIndex, or vector databases
* Experience building retrieval augmented generation systems, LLM APIs, prompt based workflows, or embedding pipelines
* Knowledge of identity verification workflows, onboarding systems, or KYC and KYB processes
* Experience with document intelligence, OCR, or entity extraction pipelines
**Compensation And Benefits**
* $170K to $200K base salary plus performance bonus
* Meaningful equity package
* Fully remote within the United States
* Medical, dental, and vision coverage
* 401(k) eligibility after 3 months
* Unlimited PTO
**Why This Role Is Unique**
* You will be the founding Lead AI Engineer with ownership of both strategy and execution
* You will guide and mentor two machine learning engineers without taking on a full people management role
* You will remain hands\-on while shaping the long\-term AI architecture for the company
* You will work across fraud, risk, identity, onboarding, and generative AI
* Your work will directly influence revenue, underwriting speed, automation, and risk mitigation
**Email Your Resume In Word To**
 Looking forward to receiving your resume through our website and going over the position with you. Clicking apply is the best way to apply, but you may also:
 taylor.mcalister@cybercoders.com
* Please do NOT change the email subject line in any way. You must keep the JobID: linkedin : TM4\-1883898L460 \-\- in the email subject line for your application to be considered.\*\*\*
 Taylor McAlister \- Sr. Executive Recruiter
 For this position, you must be currently authorized to work in the United States without the need for sponsorship for a non\-immigrant visa.
 CyberCoders will consider for Employment in the City of Los Angeles qualified Applicants with Criminal Histories in a manner consistent with the requirements of the Los Angeles Fair Chance Initiative for Hiring (Ban the Box) Ordinance.
 This job was first posted by CyberCoders on 11/13/2025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21">
      <c r="A21" t="inlineStr">
        <is>
          <t>li-4335937110</t>
        </is>
      </c>
      <c r="B21" t="inlineStr">
        <is>
          <t>Lead AI/ML Engineer</t>
        </is>
      </c>
      <c r="C21" t="inlineStr">
        <is>
          <t>CyberCoders</t>
        </is>
      </c>
      <c r="D21" t="inlineStr">
        <is>
          <t>linkedin</t>
        </is>
      </c>
      <c r="E21" t="inlineStr"/>
      <c r="F21" t="inlineStr"/>
      <c r="G21" t="inlineStr">
        <is>
          <t>Jersey City, NJ</t>
        </is>
      </c>
      <c r="H21" t="inlineStr"/>
      <c r="I21" t="inlineStr">
        <is>
          <t>Remote, US Only \| $170K to $200K base plus bonus and equity
 We are partnering with a next\-generation fintech infrastructure company to hire a Lead AI Engineer. This is a founding leadership role where you will guide the technical direction for AI and machine learning across the company while remaining hands\-on with architecture and implementation. You will lead and mentor two existing machine learning engineers and work closely with product, engineering, and risk teams to deliver production\-grade AI systems.
 This role is ideal for a senior or staff\-level engineer who wants to own strategy, architecture, and delivery while continuing to write code and build systems directly.
**What You Will Do**
* Lead the design and development of production machine learning and generative AI systems for fraud detection, risk scoring, onboarding, and internal automation
* Provide technical leadership and day\-to\-day guidance for two machine learning engineers including architecture reviews, code reviews, and technical direction
* Architect LLM powered workflows, retrieval augmented generation pipelines, vector search components, and risk modeling services
* Work with structured and unstructured data across onboarding, identity, document verification, and payments systems
* Own the complete machine learning lifecycle including prototyping, data pipelines, training, evaluation, deployment, monitoring, and continuous improvement
* Establish best practices for model governance, observability, drift detection, and performance measurement
* Evaluate and integrate third party AI and identity solutions including document verification and anomaly detection technologies
* Collaborate with engineering, product, and risk leadership to identify and prioritize high impact AI opportunities
* Influence long term platform architecture as the foundational AI leader
**What You Bring**
* 5 to 10 or more years building and deploying AI and machine learning systems in production environments
* Strong Python skills and deep experience with frameworks such as PyTorch, TensorFlow, or scikit learn
* Experience with financial, transactional, risk scoring, or other complex structured datasets
* Experience shipping models with CI/CD pipelines, model versioning, monitoring, and observability tools
* Strong architectural skills and the ability to drive technical decisions at both strategic and implementation levels
* Experience mentoring or guiding other engineers in a technical leadership capacity
* Ability to work cross functionally and influence direction without formal authority
* Comfortable operating in a fast moving startup environment
**Nice to Have**
* Experience in fintech, payments, fraud, underwriting, or other risk focused modeling
* Familiarity with LangChain, Hugging Face, LlamaIndex, or vector databases
* Experience building retrieval augmented generation systems, LLM APIs, prompt based workflows, or embedding pipelines
* Knowledge of identity verification workflows, onboarding systems, or KYC and KYB processes
* Experience with document intelligence, OCR, or entity extraction pipelines
**Compensation And Benefits**
* $170K to $200K base salary plus performance bonus
* Meaningful equity package
* Fully remote within the United States
* Medical, dental, and vision coverage
* 401(k) eligibility after 3 months
* Unlimited PTO
**Why This Role Is Unique**
* You will be the founding Lead AI Engineer with ownership of both strategy and execution
* You will guide and mentor two machine learning engineers without taking on a full people management role
* You will remain hands\-on while shaping the long\-term AI architecture for the company
* You will work across fraud, risk, identity, onboarding, and generative AI
* Your work will directly influence revenue, underwriting speed, automation, and risk mitigation
**Email Your Resume In Word To**
 Looking forward to receiving your resume through our website and going over the position with you. Clicking apply is the best way to apply, but you may also:
 taylor.mcalister@cybercoders.com
* Please do NOT change the email subject line in any way. You must keep the JobID: linkedin : TM4\-1883898L459 \-\- in the email subject line for your application to be considered.\*\*\*
 Taylor McAlister \- Sr. Executive Recruiter
 For this position, you must be currently authorized to work in the United States without the need for sponsorship for a non\-immigrant visa.
 This job was first posted by CyberCoders on 11/13/2025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22">
      <c r="A22" t="inlineStr">
        <is>
          <t>li-4335927035</t>
        </is>
      </c>
      <c r="B22" t="inlineStr">
        <is>
          <t>Lead AI/ML Engineer</t>
        </is>
      </c>
      <c r="C22" t="inlineStr">
        <is>
          <t>CyberCoders</t>
        </is>
      </c>
      <c r="D22" t="inlineStr">
        <is>
          <t>linkedin</t>
        </is>
      </c>
      <c r="E22" t="inlineStr"/>
      <c r="F22" t="inlineStr"/>
      <c r="G22" t="inlineStr">
        <is>
          <t>Phoenix, AZ</t>
        </is>
      </c>
      <c r="H22" t="inlineStr"/>
      <c r="I22" t="inlineStr">
        <is>
          <t>Remote, US Only \| $170K to $200K base plus bonus and equity
 We are partnering with a next\-generation fintech infrastructure company to hire a Lead AI Engineer. This is a founding leadership role where you will guide the technical direction for AI and machine learning across the company while remaining hands\-on with architecture and implementation. You will lead and mentor two existing machine learning engineers and work closely with product, engineering, and risk teams to deliver production\-grade AI systems.
 This role is ideal for a senior or staff\-level engineer who wants to own strategy, architecture, and delivery while continuing to write code and build systems directly.
**What You Will Do**
* Lead the design and development of production machine learning and generative AI systems for fraud detection, risk scoring, onboarding, and internal automation
* Provide technical leadership and day\-to\-day guidance for two machine learning engineers including architecture reviews, code reviews, and technical direction
* Architect LLM powered workflows, retrieval augmented generation pipelines, vector search components, and risk modeling services
* Work with structured and unstructured data across onboarding, identity, document verification, and payments systems
* Own the complete machine learning lifecycle including prototyping, data pipelines, training, evaluation, deployment, monitoring, and continuous improvement
* Establish best practices for model governance, observability, drift detection, and performance measurement
* Evaluate and integrate third party AI and identity solutions including document verification and anomaly detection technologies
* Collaborate with engineering, product, and risk leadership to identify and prioritize high impact AI opportunities
* Influence long term platform architecture as the foundational AI leader
**What You Bring**
* 5 to 10 or more years building and deploying AI and machine learning systems in production environments
* Strong Python skills and deep experience with frameworks such as PyTorch, TensorFlow, or scikit learn
* Experience with financial, transactional, risk scoring, or other complex structured datasets
* Experience shipping models with CI/CD pipelines, model versioning, monitoring, and observability tools
* Strong architectural skills and the ability to drive technical decisions at both strategic and implementation levels
* Experience mentoring or guiding other engineers in a technical leadership capacity
* Ability to work cross functionally and influence direction without formal authority
* Comfortable operating in a fast moving startup environment
**Nice to Have**
* Experience in fintech, payments, fraud, underwriting, or other risk focused modeling
* Familiarity with LangChain, Hugging Face, LlamaIndex, or vector databases
* Experience building retrieval augmented generation systems, LLM APIs, prompt based workflows, or embedding pipelines
* Knowledge of identity verification workflows, onboarding systems, or KYC and KYB processes
* Experience with document intelligence, OCR, or entity extraction pipelines
**Compensation And Benefits**
* $170K to $200K base salary plus performance bonus
* Meaningful equity package
* Fully remote within the United States
* Medical, dental, and vision coverage
* 401(k) eligibility after 3 months
* Unlimited PTO
**Why This Role Is Unique**
* You will be the founding Lead AI Engineer with ownership of both strategy and execution
* You will guide and mentor two machine learning engineers without taking on a full people management role
* You will remain hands\-on while shaping the long\-term AI architecture for the company
* You will work across fraud, risk, identity, onboarding, and generative AI
* Your work will directly influence revenue, underwriting speed, automation, and risk mitigation
**Email Your Resume In Word To**
 Looking forward to receiving your resume through our website and going over the position with you. Clicking apply is the best way to apply, but you may also:
 taylor.mcalister@cybercoders.com
* Please do NOT change the email subject line in any way. You must keep the JobID: linkedin : TM4\-1883898L461 \-\- in the email subject line for your application to be considered.\*\*\*
 Taylor McAlister \- Sr. Executive Recruiter
 For this position, you must be currently authorized to work in the United States without the need for sponsorship for a non\-immigrant visa.
 This job was first posted by CyberCoders on 11/13/2025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23">
      <c r="A23" t="inlineStr">
        <is>
          <t>li-4360320843</t>
        </is>
      </c>
      <c r="B23" t="inlineStr">
        <is>
          <t>Senior AI Engineer (Natural Language Systems)</t>
        </is>
      </c>
      <c r="C23" t="inlineStr">
        <is>
          <t>RemoteHunter</t>
        </is>
      </c>
      <c r="D23" t="inlineStr">
        <is>
          <t>linkedin</t>
        </is>
      </c>
      <c r="E23" t="inlineStr"/>
      <c r="F23" t="inlineStr"/>
      <c r="G23" t="inlineStr"/>
      <c r="H23" t="inlineStr"/>
      <c r="I23" t="inlineStr">
        <is>
          <t>About the Opportunity:
 A mission\-driven startup is seeking an experienced Senior AI Engineer to advance AI initiatives in healthcare, focusing on speech and language processing. The organization provides highly automated B2B enterprise software to rehab therapy businesses, supporting their teams and patients. The role involves applying generative AI and ML methods to build reliable, production\-grade systems used daily by clinics, staff, and patients.
 Responsibilities:
 • Drive the mission to improve healthcare through modern AI technology
 • Lead AI projects from ideation through production and iteration until widely adopted
 • Develop and deploy real\-time AI systems for speech and natural language understanding (transcription, summarization, classification)
 • Build robust model and prompt pipelines for LLM\-powered workflows with high accuracy and monitoring
 • Partner with Product and Engineering to identify AI opportunities and deliver measurable outcomes
 • Help develop the strategic AI roadmap across speech, NLP, and automation workflows
 • Apply AI to improve client and internal operations including clinical documentation, customer support, and billing
 • Develop deep understanding of the product, customers, and rehab therapy business
 • Help grow and lead the AI team, including training junior members
 Requirements:
 • 4\+ years building AI/ML systems with production ownership in industry or academia
 • Strong experience with NLP and/or LLM systems (retrieval, summarization, classification, extraction, agent workflows)
 • Experience with speech\-related pipelines in production or near\-real\-time settings (speech\-to\-text, spoken intent classification, conversational AI)
 • Proven track record of benchmarking and improving accuracy, cost, and latency
 • Strong problem\-solving skills
 • Excellent communication skills for explaining AI concepts to non\-technical stakeholders
 • Proficiency in Python (\&gt;3\.9\)
 • Basic Docker knowledge
 • AWS familiarity (S3, RDS, EC2\) preferred
 • Willingness to learn healthcare domain, specifically physical, occupational, and speech therapy
 • Interest in a heavy code contribution role; not an engineering management position
 Benefits \&amp; Perks:
 • Competitive salaries
 • Remote/hybrid work environment
 • Potential equity compensation for outstanding performance
 • Flexible PTO
 • Company\-sponsored lunches
 • Company\-paid disability and life insurance
 • Company\-paid family and medical leave
 • Medical, dental, and vision insurance
 • Discounted pet insurance
 • FSA/DCA and commuter benefits
 • 401k plan
 • Credits for online fitness classes/gym memberships
 • Recovery suite at headquarters, including cold plunge, sauna, and shower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
      <c r="A24" t="inlineStr">
        <is>
          <t>li-4322270256</t>
        </is>
      </c>
      <c r="B24" t="inlineStr">
        <is>
          <t>AI Engineer - LLMs, Agents &amp; RAG H/F</t>
        </is>
      </c>
      <c r="C24" t="inlineStr">
        <is>
          <t>EY</t>
        </is>
      </c>
      <c r="D24" t="inlineStr">
        <is>
          <t>linkedin</t>
        </is>
      </c>
      <c r="E24" t="inlineStr"/>
      <c r="F24" t="inlineStr"/>
      <c r="G24" t="inlineStr">
        <is>
          <t>Nashville, TN</t>
        </is>
      </c>
      <c r="H24" t="inlineStr"/>
      <c r="I24" t="inlineStr">
        <is>
          <t>**About EY**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strategy, tax and transactions, EY teams ask better questions to find new answers for the complex issues facing our world today.
**Role Summary**
 As an AI Engineer within our internal development team, you will design and implement the intelligence layer of our multi\-agent systems. You’ll collaborate with the team members to build, integrate, and deploy secure, performant AI agents powered by LLMs and Retrieval\-Augmented Generation (RAG) architectures on Azure.
 Environment: Azure (OpenAI, ML, Cognitive Search)
**Key Responsibilities**
* Develop and maintain LLM\- and RAG\-based AI agents using Azure OpenAI, LangChain/Semantic Kernel, and Azure ML.
* Collaborate with the Full Stack Developer to integrate agent endpoints into web and backend applications.
* Work with DevSecOps to ensure secure deployment, monitoring, and version control of AI components.
* Implement vector search pipelines (Azure Cognitive Search, FAISS, or Pinecone).
* Optimize model inference for latency, accuracy, and scalability.
* Participate in daily standups, sprint reviews, and code reviews as part of the dev team.
**Required Skills**
* 1–2 years’ experience developing AI or NLP applications in Python.
* Hands\-on experience with LLMs, prompt engineering (Crafting and optimizing), and RAG design.
* Experience designing RAG pipelines for enterprise search or document intelligence.
* Knowledge of vector databases (e.g., Qdrant, Chroma).
* Knowledge of document chunking, embedding models, and context window optimization.
* Familiarity with metadata\-based retrieval and re\-ranking strategies.
* Understanding of agent architectures.
* Ability to orchestrate multiple agents for collaborative or role\-based tasks
* Strong understanding of transformer architectures (GPT, LLaMA, Mistral, Claude, etc).
* Experience with LLM fine\-tuning and prompt engineering.
* Familiarity with inference optimization, quantization (e.g., bitsandbytes), and deployment techniques.
* Hands\-on experience using OpenAI, Hugging Face Transformers, or LangChain.
* Knowledge of model evaluation metrics (e.g., perplexity, hallucination rate, factual consistency).
* Prior experience deploying LLM\-based agents or RAG systems in production is a major plus.
* Familiarity with Azure AI Services, Azure ML, Azure Functions, and APIs.
* Understanding of data security, versioning, and MLOps principles.
* Strong collaboration skills within cross\-functional agile teams.
**What Working At EY Offers**
* We offer support and coaching, opportunities to develop new skills and progress your career, and the freedom and flexibility to handle your role in a way that’s right for you.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 Shape the future with confidence**
 At EY, we're committed to providing recruitment and career opportunities to all, regardless of gender, sexual orientation, social background or disability.</t>
        </is>
      </c>
    </row>
    <row r="25">
      <c r="A25" t="inlineStr">
        <is>
          <t>li-4360142523</t>
        </is>
      </c>
      <c r="B25" t="inlineStr">
        <is>
          <t>Applied AI Engineer-Vice President</t>
        </is>
      </c>
      <c r="C25" t="inlineStr">
        <is>
          <t>hackajob</t>
        </is>
      </c>
      <c r="D25" t="inlineStr">
        <is>
          <t>linkedin</t>
        </is>
      </c>
      <c r="E25" t="inlineStr"/>
      <c r="F25" t="inlineStr"/>
      <c r="G25" t="inlineStr">
        <is>
          <t>Columbus, OH</t>
        </is>
      </c>
      <c r="H25" t="inlineStr"/>
      <c r="I25" t="inlineStr">
        <is>
          <t>***hackajob** 
 is collaborating with
 **J.P. Morgan** 
 to connect them with exceptional tech professionals for this role.*
**Job Description**
 As a Senior Lead Applied AI Engineer at JPMorganChase within the Consumer \&amp; Community Banking Machine Learning,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Drive innovation in machine learning solutions, ensuring scalability, flexibility, and future\-proof architecture
* Act as a thought leader and trusted advisor to executive leadership, providing strategic recommendations on machine learning initiatives and solutions
* Architect and oversee the development of next\-generation machine learning models and systems leveraging cutting\-edge technologies
* Ensure the platform supports complex use cases, including real\-time predictions, big data processing, and advanced analytics
* Promote software and model quality, integrity, and security across the organization
**Required Qualifications, Capabilities, And Skills**
* Formal training or certification on software engineering concepts and 5\+ years applied AI experience
* Proven track record of building and scaling software and or machine learning platforms in high\-growth or enterprise environments
* 10 plus years of hands\-on experience and expertise in software development frameworks and tools such as Java, Python and JavaScript
* Deep understanding of distributed systems, cloud\-native architectures, and modern machine learning technologies
* Experience in cloud platforms such as AWS, GCP, or Azure
* Knowledgeable in machine learning frameworks, ML Ops tools and practices
* Strong proficiency in engineering programming languages (e.g., Python, Java) and infrastructure as code (e.g., Terraform, CloudFormation)
* Proficient in building AI Agents (e.g., LangChain, LangGraph, AutoGen), integration of tools (e.g., API) and RAG based solutions (e.g., open search)
* Hands\-on experience with software development pipeline and orchestration tools (e.g., Jenkins, GitLab CI/CD)
* Exceptional ability to communicate complex technical concepts to both technical and non\-technical audiences
* Hands\-on experience with big data, pipeline, orchestration tools and real\-time processing frameworks
**Preferred Qualifications, Capabilities, And Skills**
* Certified as AWS Solutions Architect, Certified Developer, or similar certification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26">
      <c r="A26" t="inlineStr">
        <is>
          <t>li-4322515038</t>
        </is>
      </c>
      <c r="B26" t="inlineStr">
        <is>
          <t>Forward Deployed AI Engineer-Palantir Foundry-Senior Associate</t>
        </is>
      </c>
      <c r="C26" t="inlineStr">
        <is>
          <t>PwC</t>
        </is>
      </c>
      <c r="D26" t="inlineStr">
        <is>
          <t>linkedin</t>
        </is>
      </c>
      <c r="E26" t="inlineStr"/>
      <c r="F26" t="inlineStr"/>
      <c r="G26" t="inlineStr">
        <is>
          <t>Miami, FL</t>
        </is>
      </c>
      <c r="H26" t="inlineStr"/>
      <c r="I2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
      <c r="A27" t="inlineStr">
        <is>
          <t>li-4322714728</t>
        </is>
      </c>
      <c r="B27" t="inlineStr">
        <is>
          <t>Forward Deployed AI Engineer-Palantir Foundry-Senior Associate</t>
        </is>
      </c>
      <c r="C27" t="inlineStr">
        <is>
          <t>PwC</t>
        </is>
      </c>
      <c r="D27" t="inlineStr">
        <is>
          <t>linkedin</t>
        </is>
      </c>
      <c r="E27" t="inlineStr"/>
      <c r="F27" t="inlineStr"/>
      <c r="G27" t="inlineStr">
        <is>
          <t>Los Angeles, CA</t>
        </is>
      </c>
      <c r="H27" t="inlineStr"/>
      <c r="I2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8">
      <c r="A28" t="inlineStr">
        <is>
          <t>li-4317453187</t>
        </is>
      </c>
      <c r="B28" t="inlineStr">
        <is>
          <t>Forward Deployed AI Engineer-Palantir Foundry-Senior Associate</t>
        </is>
      </c>
      <c r="C28" t="inlineStr">
        <is>
          <t>PwC</t>
        </is>
      </c>
      <c r="D28" t="inlineStr">
        <is>
          <t>linkedin</t>
        </is>
      </c>
      <c r="E28" t="inlineStr"/>
      <c r="F28" t="inlineStr"/>
      <c r="G28" t="inlineStr">
        <is>
          <t>Florham Park, NJ</t>
        </is>
      </c>
      <c r="H28" t="inlineStr"/>
      <c r="I2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9">
      <c r="A29" t="inlineStr">
        <is>
          <t>li-4322624756</t>
        </is>
      </c>
      <c r="B29" t="inlineStr">
        <is>
          <t>Forward Deployed AI Engineer-Palantir Foundry-Senior Associate</t>
        </is>
      </c>
      <c r="C29" t="inlineStr">
        <is>
          <t>PwC</t>
        </is>
      </c>
      <c r="D29" t="inlineStr">
        <is>
          <t>linkedin</t>
        </is>
      </c>
      <c r="E29" t="inlineStr"/>
      <c r="F29" t="inlineStr"/>
      <c r="G29" t="inlineStr">
        <is>
          <t>Albany, NY</t>
        </is>
      </c>
      <c r="H29" t="inlineStr"/>
      <c r="I2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0">
      <c r="A30" t="inlineStr">
        <is>
          <t>li-4322564920</t>
        </is>
      </c>
      <c r="B30" t="inlineStr">
        <is>
          <t>Forward Deployed AI Engineer-Palantir Foundry-Senior Associate</t>
        </is>
      </c>
      <c r="C30" t="inlineStr">
        <is>
          <t>PwC</t>
        </is>
      </c>
      <c r="D30" t="inlineStr">
        <is>
          <t>linkedin</t>
        </is>
      </c>
      <c r="E30" t="inlineStr"/>
      <c r="F30" t="inlineStr"/>
      <c r="G30" t="inlineStr">
        <is>
          <t>Pittsburgh, PA</t>
        </is>
      </c>
      <c r="H30" t="inlineStr"/>
      <c r="I3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
      <c r="A31" t="inlineStr">
        <is>
          <t>li-4317450387</t>
        </is>
      </c>
      <c r="B31" t="inlineStr">
        <is>
          <t>Forward Deployed AI Engineer-Palantir Foundry-Senior Associate</t>
        </is>
      </c>
      <c r="C31" t="inlineStr">
        <is>
          <t>PwC</t>
        </is>
      </c>
      <c r="D31" t="inlineStr">
        <is>
          <t>linkedin</t>
        </is>
      </c>
      <c r="E31" t="inlineStr"/>
      <c r="F31" t="inlineStr"/>
      <c r="G31" t="inlineStr">
        <is>
          <t>Nashville, TN</t>
        </is>
      </c>
      <c r="H31" t="inlineStr"/>
      <c r="I31"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2">
      <c r="A32" t="inlineStr">
        <is>
          <t>li-4317434915</t>
        </is>
      </c>
      <c r="B32" t="inlineStr">
        <is>
          <t>Forward Deployed AI Engineer-Palantir Foundry-Senior Associate</t>
        </is>
      </c>
      <c r="C32" t="inlineStr">
        <is>
          <t>PwC</t>
        </is>
      </c>
      <c r="D32" t="inlineStr">
        <is>
          <t>linkedin</t>
        </is>
      </c>
      <c r="E32" t="inlineStr"/>
      <c r="F32" t="inlineStr"/>
      <c r="G32" t="inlineStr">
        <is>
          <t>Portland, OR</t>
        </is>
      </c>
      <c r="H32" t="inlineStr"/>
      <c r="I3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3">
      <c r="A33" t="inlineStr">
        <is>
          <t>li-4322664945</t>
        </is>
      </c>
      <c r="B33" t="inlineStr">
        <is>
          <t>Forward Deployed AI Engineer-Palantir Foundry-Senior Associate</t>
        </is>
      </c>
      <c r="C33" t="inlineStr">
        <is>
          <t>PwC</t>
        </is>
      </c>
      <c r="D33" t="inlineStr">
        <is>
          <t>linkedin</t>
        </is>
      </c>
      <c r="E33" t="inlineStr"/>
      <c r="F33" t="inlineStr"/>
      <c r="G33" t="inlineStr">
        <is>
          <t>Salt Lake City, UT</t>
        </is>
      </c>
      <c r="H33" t="inlineStr"/>
      <c r="I3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4">
      <c r="A34" t="inlineStr">
        <is>
          <t>li-4322505511</t>
        </is>
      </c>
      <c r="B34" t="inlineStr">
        <is>
          <t>Forward Deployed AI Engineer-Palantir Foundry-Senior Associate</t>
        </is>
      </c>
      <c r="C34" t="inlineStr">
        <is>
          <t>PwC</t>
        </is>
      </c>
      <c r="D34" t="inlineStr">
        <is>
          <t>linkedin</t>
        </is>
      </c>
      <c r="E34" t="inlineStr"/>
      <c r="F34" t="inlineStr"/>
      <c r="G34" t="inlineStr">
        <is>
          <t>Tulsa, OK</t>
        </is>
      </c>
      <c r="H34" t="inlineStr"/>
      <c r="I3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5">
      <c r="A35" t="inlineStr">
        <is>
          <t>li-4317443451</t>
        </is>
      </c>
      <c r="B35" t="inlineStr">
        <is>
          <t>Forward Deployed AI Engineer-Palantir Foundry-Senior Associate</t>
        </is>
      </c>
      <c r="C35" t="inlineStr">
        <is>
          <t>PwC</t>
        </is>
      </c>
      <c r="D35" t="inlineStr">
        <is>
          <t>linkedin</t>
        </is>
      </c>
      <c r="E35" t="inlineStr"/>
      <c r="F35" t="inlineStr"/>
      <c r="G35" t="inlineStr">
        <is>
          <t>Stamford, CT</t>
        </is>
      </c>
      <c r="H35" t="inlineStr"/>
      <c r="I3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6">
      <c r="A36" t="inlineStr">
        <is>
          <t>li-4364260539</t>
        </is>
      </c>
      <c r="B36" t="inlineStr">
        <is>
          <t>Machine Learning Engineering Manager</t>
        </is>
      </c>
      <c r="C36" t="inlineStr">
        <is>
          <t>Lensa</t>
        </is>
      </c>
      <c r="D36" t="inlineStr">
        <is>
          <t>linkedin</t>
        </is>
      </c>
      <c r="E36">
        <f>HYPERLINK("https://www.linkedin.com/jobs/view/4364260539", "https://www.linkedin.com/jobs/view/4364260539")</f>
        <v/>
      </c>
      <c r="F36" t="inlineStr"/>
      <c r="G36" t="inlineStr">
        <is>
          <t>Chicago, IL</t>
        </is>
      </c>
      <c r="H36" t="inlineStr"/>
      <c r="I3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United Airlines. Clicking "Apply Now" or "Read more" on Lensa redirects you to the job board/employer site. Any information collected there is subject to their terms and privacy notice.
 Achieving our goals starts with supporting yours. Grow your career, access top\-tier health and wellness benefits, build lasting connections with your team and our customers, and travel the world using our extensive route network.
 Come join us to create what’s next. Let’s define tomorrow, together.
**Description**
 United's Digital Technology team is comprised of many talented individuals all working together with cutting\-edge technology to build the best airline in the history of aviation. Our team designs, develops and maintains massively scaling technology solutions brought to life with innovative architectures, data analytics, and digital solutions.
**Job Overview And Responsibilities**
 Develops and programs integrated software algorithms to structure, analyze and leverage data in systems applications. Develops and communicates statistical modeling techniques to develop and evaluate algorithms to improve product/system performance, quality, data management and accuracy. Completes programming and implements efficiencies, performs testing and debugging. Completes documentation and procedures for installation and maintenance. Applies deep learning technologies to give computers the capability to visualize, learn and respond to complex situations. Can work with large scale computing frameworks, data analysis systems and modeling environments.
* Design and implement key components of the Machine Learning Platform infrastructure and establish processes and best practices
* Work cross\-functionally with data scientists, data engineers, and IT teams to design, develop, deploy, and integrate high\-performance, production\-grade machine learning solutions and data intensive workflow
* Partner with data scientists and data engineers to create and refine features from underlying data and build reproducible feature pipelines to train models and serve features in production
* Partner with data platform and operations teams to solve complex data ingestion, pipeline and governance problems for machine learning solutions
* Take ownership of production systems with a focus on delivery, continuous integration, and automation of machine learning workloads
* Provide technical mentorship, guidance, and quality\-focused code review to data scientists and ML engineers
**Qualifications**
**What’s needed to succeed (Minimum Qualifications):**
* Bachelor’s degree in computer science, Engineering, or a related technical discipline
* 4\-8 years of experience in managing technical teams and projects
* 4\+ years of experience in full software lifecycle development using Python
* 4\+ years of experience leading an ML Ops team familiar with large cloud environments, Big Data technologies
* 4\+ years in software development in Python, Java, PySpark
* 4\+ Years of Experience with Machine Learning and Machine Learning workflows
* 3\+ years of experience designing an developing using technologies as Docker, Kubernetes
* Strong software engineering experience with Python and at least one additional language such as Java, Go, Rust, or C/C\+\+ Understanding of machine learning principles and techniques
* Experience with data science tools and frameworks (e.g. PyTorch, Tensorflow, Keras, Pandas, Numpy, Spark)
* Experience designing and developing scalable cloud native solutions using technologies such as Docker and Kubernetes and serverless services such as AWS Lambda, EKS, ECS, Fargate
* Experience building infrastructure\-as\-code templates (e.g. AWS CloudFormation) and cloud\-native CI/CD pipelines using tools such as AWS CodePipeline
* Experience building ETL pipelines and working with big data technologies (e.g. Hadoop, Spark, and serverless technologies such as EMR, Redshift, S3, AWS Glue, and Kinesis)
* Knowledge of distributed systems as it pertains to compute and data storage
* Strong desire to experiment with and learn new technologies and stay aligned with the latest community developments in ML Ops/Engineering and cloud native
* Excellent oral and written communication skills
* Ability to prepare high\-quality presentation materials and explain complex concepts and technical materials to less\-technical audiences
* Must be legally authorized to work in the United States for any employer without sponsorship
* Successful completion of interview required to meet job qualification
* Reliable, punctual attendance is an essential function of the position
**What will help you propel from the pack (Preferred Qualifications):**
* AWS Certified Solution Architect (Associate or Professional)
* Experience working as a Machine Learning Engineer or Data Scientist building and productionalizing machine learning solutions
* Experience building real\-time event\-driven stream processing solutions with technologies such as Kafka, Flink, and Spark
* Experience with GPU acceleration (e.g. CUDA and CuDNN)
* Experience with Kubernetes
 The base pay range for this role is $114,665\.00 to $149,376\.00\.
 The base salary range/hourly rate listed is dependent on job\-related, factors such as experience, education, and skills. This position is also eligible for bonus and/or long\-term incentive compensation awards.
 You may be eligible for the following competitive benefits: medical, dental, vision, life, accident \&amp; disability, parental leave, employee assistance program, commuter, paid holidays, paid time off, 401(k) and flight privileges.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Equal Opportunity Employer \- Minorities/Women/Veterans/Disabled/LGBT.
 We will ensure that individuals with disabilities are provided reasonable accommodation to participate in the job application or interview process, to perform crucial job functions. Please contact JobAccommodations@united.com to request accommodation.
 If you have questions about this posting, please contact support@lensa.com</t>
        </is>
      </c>
    </row>
    <row r="37">
      <c r="A37" t="inlineStr">
        <is>
          <t>li-4360840139</t>
        </is>
      </c>
      <c r="B37" t="inlineStr">
        <is>
          <t>Machine Learning Engineer</t>
        </is>
      </c>
      <c r="C37" t="inlineStr">
        <is>
          <t>Scowtt</t>
        </is>
      </c>
      <c r="D37" t="inlineStr">
        <is>
          <t>linkedin</t>
        </is>
      </c>
      <c r="E37">
        <f>HYPERLINK("https://www.linkedin.com/jobs/view/4360840139", "https://www.linkedin.com/jobs/view/4360840139")</f>
        <v/>
      </c>
      <c r="F37" t="inlineStr"/>
      <c r="G37" t="inlineStr"/>
      <c r="H37" t="inlineStr"/>
      <c r="I37" t="inlineStr">
        <is>
          <t>**About the Company** 
 Scowtt is an early\-stage startup transforming the way businesses convert leads into customers through AI/ML marketing optimization and fully autonomous sales experiences. By integrating CRM, web signals, and product interaction data into a real\-time conversion model, we help businesses turn interest into action—immediately. We’re growing fast, and onboarding new customers quickly and cleanly is core to our success.
**About the Role** 
 We are looking for a motivated and self\-driven Machine Learning Engineer to join our diverse team. In this role, you will contribute to the development, training and deployment of high\-quality ML models to power our Marketing AI and AI Sales Agent. This is an excellent opportunity for someone eager to grow in a collaborative, fast\-paced environment where your unique background and ideas are valued.
**Responsibilities** 
* Train and Deploy ML Models
* Automate data pipelines.
* Collaborate with the team to integrate AI agents
* Contribute to the development of scalable ML pipelines on GCP and AWS.
* Debug, optimize, and enhance application performance.
* Stay up to date with emerging technologies and best practices in ML development.
**Qualifications** 
* Bachelor's degree in Computer Science or equivalent
* 1 to 5 years of experience in Machine Learning with a solid foundation in computer science, including data structures and algorithms.
* Experience with ML concepts
* Living in Pacific time zone with ability to move to Seattle or Bay Area in future for a hybrid role
**Preferred** 
* Hands\-on experience with GCP ML technologies (e.g., BigQuery, Notebook).
* A quick learner with a self\-driven attitude who enjoys working in a collaborative and inclusive environment.
* Must be located in the United States.
**Pay range and compensation package** 
 Based on the level hired at, the cash compensation for this role ranges between $100,000 to $150,000\. Selected candidate/s will be eligible for standard benefits and startup equity.
**Equal Opportunity Statement** 
 Scowtt is an Equal Opportunity Employer. All qualified applicants will receive consideration for employment without regard to race, color, religion, sex, sexual orientation, gender identity, national origin, age, disability, or veteran status. We are committed to providing a workplace free of discrimination and harassment. Scowtt Inc participates in E\-Verify program and will provide the federal government with your Form I\-9 information to confirm that you are authorized to work in the U.S. For more information, please visit www.e\-verify.gov.</t>
        </is>
      </c>
    </row>
    <row r="38">
      <c r="A38" t="inlineStr">
        <is>
          <t>li-4363829531</t>
        </is>
      </c>
      <c r="B38" t="inlineStr">
        <is>
          <t>Machine Learning Engineer</t>
        </is>
      </c>
      <c r="C38" t="inlineStr">
        <is>
          <t>Upstart</t>
        </is>
      </c>
      <c r="D38" t="inlineStr">
        <is>
          <t>linkedin</t>
        </is>
      </c>
      <c r="E38">
        <f>HYPERLINK("https://www.linkedin.com/jobs/view/4363829531", "https://www.linkedin.com/jobs/view/4363829531")</f>
        <v/>
      </c>
      <c r="F38">
        <f>HYPERLINK("https://www.wiraa.com/job-description/us01B8C8306125516F3F923A2932C01D5B?source=Linkedin&amp;urlHash=mvG2", "https://www.wiraa.com/job-description/us01B8C8306125516F3F923A2932C01D5B?source=Linkedin&amp;urlHash=mvG2")</f>
        <v/>
      </c>
      <c r="G38" t="inlineStr"/>
      <c r="H38" t="inlineStr"/>
      <c r="I38" t="inlineStr">
        <is>
          <t>**About Upstart**
 Upstart is the leading AI lending marketplace partnering with banks and credit unions to expand access to affordable credit. By leveraging Upstart's AI marketplace, Upstart\-powered banks and credit unions can achieve higher approval rates and lower loss rates across diverse demographics, including race, age, and gender, while delivering a seamless digital\-first lending experience. Over 80% of borrowers receive instant approval without the need to upload documentation, reflecting Upstart's commitment to innovation and customer convenience. As a digital\-first company, most Upstarters work remotely across the United States, with offices located in San Mateo, California; Columbus, Ohio; Austin, Texas; and New York City, NY (opening Summer 2026\). Upstart’s mission is centered on enabling access to effortless credit based on true risk, inspiring employees who are passionate about making a meaningful impact in financial inclusion and technology.
**About The Role**
 We are seeking a highly skilled and innovative Software Engineer to join our Applied Large Language Models (LLM) team. This team is dedicated to building foundational infrastructure that democratizes access to generative AI across all product and engineering teams at Upstart. As a key member of this cross\-functional group, you will work at the intersection of machine learning, product development, and engineering to bring the power of large language models and generative AI to life within our core products.
 Your primary responsibilities will include designing and building user\-facing ML features that leverage LLMs, partnering with product, design, and research teams to prototype and deploy impactful ML\-powered experiences, and owning the technical architecture for scalable, trustworthy, and high\-performance ML systems. You will collaborate closely with platform, infrastructure, and legal teams to ensure compliance with safety, fairness, and performance standards, while establishing best practices for prompt design, model evaluation, and experimentation. This role offers a unique opportunity to influence the future of AI\-driven financial products and to work in a dynamic, innovative environment that values collaboration and technological excellence.
**Qualifications**
* Minimum of 6\+ years of software engineering experience, with at least 2\+ years working on ML\-driven products or intelligent systems.
* Proven ability to lead complex projects involving cross\-functional teams including engineering, product, and research stakeholders.
* Strong backend development skills, particularly in Python using frameworks such as FastAPI or Flask.
* Experience with cloud\-native tooling such as Kubernetes, Docker, and Terraform.
* Hands\-on experience integrating large language models or ML models into production systems, including API development and user\-facing applications.
* Excellent communication skills and a collaborative, product\-oriented mindset.
* Ability to rigorously analyze system design, latency considerations, and user impact when deploying ML features.
* Preferred qualifications include experience with GenAI or LLM\-powered features using frameworks like LangChain, LlamaIndex, or OpenAI APIs.
* Familiarity with retrieval\-augmented generation (RAG), vector search technologies such as FAISS or Pinecone, and real\-time inference patterns.
* Proficiency in full\-stack development, including front\-end frameworks like React.
* Strong intuition for prompt engineering, model testing, and evaluation methodologies.
* Experience navigating complex requirements related to explainability, user trust, and compliance in ML applications.
* Track record of influencing architecture or product strategy at team or organizational levels.
**Responsibilities**
* Design and develop user\-facing machine learning features that utilize LLMs and generative AI to unlock new product capabilities.
* Collaborate with product managers, designers, and ML research teams to prototype and deliver innovative ML\-powered experiences.
* Own the technical architecture and implementation strategy for applied ML systems, balancing factors such as latency, observability, and iteration speed.
* Build scalable services and APIs that deliver model outputs to users in a trustworthy and intuitive manner.
* Work with platform, infrastructure, and legal teams to ensure ML deployments meet safety, fairness, and compliance standards.
* Establish and promote best practices for prompt design, model evaluation, and experimentation across the organization.
* Stay current with advancements in generative AI and incorporate new techniques to enhance product offerings.
**Benefits**
* Competitive compensation package including base salary, bonus, and equity options.
* Comprehensive medical, dental, and vision insurance coverage, with Health Savings Account contributions.
* 401(k) retirement plan with a 100% company match up to $4,500, immediate vesting, and options for after\-tax savings.
* Employee Stock Purchase Plan (ESPP) allowing employees to purchase company stock at favorable rates.
* Life and disability insurance coverage.
* Generous paid time off including holidays, vacation, sick leave, and safety leave.
* Supportive parental, family care, and military leave programs.
* Annual wellness, technology, and ergonomic reimbursement programs.
* Engagement in social activities such as team events, all\-company updates, employee resource groups, and special interest groups including book clubs, fitness, investing, and volunteering.
* Access to catered lunches, snacks, and beverages when working from office locations.
 Equal Opportunity
 Upstart is proud to be an equal opportunity workplace and is committed to equal employment opportunity regardless of race, color, ancestry, religion, sex, national origin, sexual orientation, age, citizenship, marital status, disability, gender identity, veteran status, or any other basis protected by federal, state, or local law.</t>
        </is>
      </c>
    </row>
    <row r="39">
      <c r="A39" t="inlineStr">
        <is>
          <t>li-4364220576</t>
        </is>
      </c>
      <c r="B39" t="inlineStr">
        <is>
          <t>AI/Machine Learning Engineer</t>
        </is>
      </c>
      <c r="C39" t="inlineStr">
        <is>
          <t>Lensa</t>
        </is>
      </c>
      <c r="D39" t="inlineStr">
        <is>
          <t>linkedin</t>
        </is>
      </c>
      <c r="E39">
        <f>HYPERLINK("https://www.linkedin.com/jobs/view/4364220576", "https://www.linkedin.com/jobs/view/4364220576")</f>
        <v/>
      </c>
      <c r="F39">
        <f>HYPERLINK("https://lensa.com/cgw/203a8f6337fd46cdb0b6c9524be7cfeatjo1?jpsi=directemployers_no_redirect&amp;publisher_preference=easier_apply&amp;utm_campaign=Computer%20Occupations&amp;utm_medium=slot&amp;utm_source=linkedin&amp;utm_term=jse&amp;urlHash=k17C", "https://lensa.com/cgw/203a8f6337fd46cdb0b6c9524be7cfeatjo1?jpsi=directemployers_no_redirect&amp;publisher_preference=easier_apply&amp;utm_campaign=Computer%20Occupations&amp;utm_medium=slot&amp;utm_source=linkedin&amp;utm_term=jse&amp;urlHash=k17C")</f>
        <v/>
      </c>
      <c r="G39" t="inlineStr">
        <is>
          <t>Mountain View, CA</t>
        </is>
      </c>
      <c r="H39" t="inlineStr"/>
      <c r="I3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US Tech Solutions. Clicking "Apply Now" or "Read more" on Lensa redirects you to the job board/employer site. Any information collected there is subject to their terms and privacy notice.
**About The Role**
 We are looking for an
 **Evaluation Scientist** 
 who can work across both
 **hands\-on experimentation** 
 and
 **automation infrastructure** 
 . This role begins with running
 **manual evaluations** 
 (e.g., executing and monitoring individual experiments) and progresses toward building
 **scripts, tools, and infrastructure** 
 that streamline and automate these processes, with the long\-term goal of reducing manual work as much as possible.
 The ideal candidate will also bring expertise in
 **coding agents** 
 and
 **quality evaluation** 
 , enabling them to design robust experiments and improve workflows. While the role will receive high\-level guidance, candidates should be able to
 **independently define and implement the lower\-level details** 
 of experiment setup after ramping up. For example, given a high\-level requirement for a new type of evaluation, the candidate should be able to
 **propose and execute an implementation plan** 
 with detailed steps, metrics, and automation in place.
**Key Responsibilities**
* Run and manage manual evaluation experiments across AI/ML systems.
* Develop and maintain automation infrastructure (scripts, pipelines, tools) to reduce manual evaluation work.
* Design and execute new types of evaluations , translating broad research questions into structured experiment setups.
* Work with coding agents and applied ML workflows to define and measure quality.
* Define metrics, benchmarks, and evaluation criteria to assess performance and identify gaps.
* Collaborate with research leads to align evaluation design with project goals while owning implementation details .
* Ensure reproducibility, consistency, and scalability of evaluation processes.
**Qualifications**
* Strong coding skills in Python (or equivalent) for scripting, automation, and experiment design.
* Experience with running and analyzing experiments , including quality evaluation methodologies.
* Knowledge of coding agents, ML models, or applied automation frameworks .
* Ability to work independently : take high\-level requirements and define detailed steps for execution.
* 2\-4 years of hands\-on experience in evaluation, scripting, or applied data science/ML (academic or industry).
* Strong analytical skills with experience in data handling, reporting, and experiment analysis .
**Preferred Skills**
* Familiarity with evaluation frameworks and automation tools in AI/ML research.
* Experience in building scalable infrastructure for experiments or evaluations.
* Knowledge of experimental design, statistical testing, or quality benchmarking .
 If you have questions about this posting, please contact support@lensa.com</t>
        </is>
      </c>
    </row>
    <row r="40">
      <c r="A40" t="inlineStr">
        <is>
          <t>li-4360460008</t>
        </is>
      </c>
      <c r="B40" t="inlineStr">
        <is>
          <t>Machine Learning Engineer</t>
        </is>
      </c>
      <c r="C40" t="inlineStr">
        <is>
          <t>hackajob</t>
        </is>
      </c>
      <c r="D40" t="inlineStr">
        <is>
          <t>linkedin</t>
        </is>
      </c>
      <c r="E40">
        <f>HYPERLINK("https://www.linkedin.com/jobs/view/4360460008", "https://www.linkedin.com/jobs/view/4360460008")</f>
        <v/>
      </c>
      <c r="F40" t="inlineStr"/>
      <c r="G40" t="inlineStr">
        <is>
          <t>Palo Alto, CA</t>
        </is>
      </c>
      <c r="H40" t="inlineStr"/>
      <c r="I40" t="inlineStr">
        <is>
          <t>***hackajob** 
 is collaborating with
 **J.P. Morgan** 
 to connect them with exceptional tech professionals for this role.*
* Base Pay/SalaryPalo Alto,CA $128,250\.00\-$195,000\.00; New York,NY $128,250\.00\-$195,000\.00
**Job Description**
 The mission of the Digital Intelligence team is to leverage large\-scale computation, substantial datasets, and machine learning to enhance our most crucial customer products across a broad spectrum. We manage a wide array of impactful products and services, reaching countless customers and households. We place high value on our customers' direct feedback and employ a truly agile methodology to incorporate improvements that enhance user experiences.
 As a Machine Learning Engineer in the Digital Intelligence team, you will leverage large\-scale computation, substantial datasets, and machine learning to enhance our most crucial customer products across a broad spectrum. Your expertise will promote the team to solve complex relevance and ranking problems, develop scalable features, and manage ML Ops for building innovative systems that benefit our customers across all lines of business.
**Job Responsibilities**
* Oversee the analysis of complex datasets to inform decisions on real\-world applications.
* Lead the development and implementation of models and algorithms to enhance existing systems, processes, and products.
* Supervise data analysis activities and ensure effective visualizations are provided.
* Ensure the writing and deployment of software code in production systems is efficient and meets standards.
* Anticipate risks associated with machine learning solutions and prediction/classification systems and strategize mitigation.
* Communicate complex issues clearly and credibly to senior management and stakeholders.
* Foster a transparent cross\-functional work environment and influence peers and team members to uphold these standards.
**Required Qualifications, Capabilities And Skills**
* Master's degree in computer Science, Machine Learning or related field with 3 years of relevant experience Ph.D in computer Science, Machine Learning, or a related field with 1 year of experience.
* Expertise in one or more of the following areas: machine learning, Graph learning, recommendation systems, network analysis, natural language processing, Reinforcement learning, MLOps.
* Solid understanding of core CS concepts, including common data structures and algorithms.
**Preferred Qualifications, Capabilities And Skills**
* Experienced in conducting design and code reviews.
* Proficient in cloud environments such as AWS, GCP, or Azure.
* Experienced in managing and deriving insights from large, both unstructured and structured datasets.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1">
      <c r="A41" t="inlineStr">
        <is>
          <t>li-4360440065</t>
        </is>
      </c>
      <c r="B41" t="inlineStr">
        <is>
          <t>AIML - Senior Machine Learning Engineer - ML Hub Core, Machine Learning Platform Technologies (MLPT)</t>
        </is>
      </c>
      <c r="C41" t="inlineStr">
        <is>
          <t>Apple</t>
        </is>
      </c>
      <c r="D41" t="inlineStr">
        <is>
          <t>linkedin</t>
        </is>
      </c>
      <c r="E41">
        <f>HYPERLINK("https://www.linkedin.com/jobs/view/4360440065", "https://www.linkedin.com/jobs/view/4360440065")</f>
        <v/>
      </c>
      <c r="F41" t="inlineStr"/>
      <c r="G41" t="inlineStr">
        <is>
          <t>Cupertino, CA</t>
        </is>
      </c>
      <c r="H41" t="inlineStr"/>
      <c r="I41" t="inlineStr">
        <is>
          <t>**Summary**
 Imagine what you could do here. At Apple, great ideas have a way of becoming great products, services, and customer experiences very quickly. Join us in enabling the next generation of intelligent customer experiences in Apple’s products and services with the latest advancements in Generative AI and Large Language Models! We are seeking a Senior ML Engineer to join our dynamic team. The ideal candidate has extensive experience with ML frameworks, GenAI lifecycle, TPU/GPU/CPU workflows, and is knowledgeable of the Python ML ecosystem. This is a hands\-on individual contributor role ideal for an engineer who thrives in ambiguity, moves seamlessly between prototyping and production, and is excited to push the frontier of applied AI through practical, elegant engineering.
**Description**
 As a Senior Machine Learning Engineer, you will:
* Design and build infrastructure to support AI features that empowers billions of Apple customers
* Develop tools used internally at Apple to build AI experiences through the entire lifecycle \- from experimentation to production inference emphasizing observability, reproducibility, and modularity
* Work cross functionally with MLE, DS, Infra and others, staying on the cutting edge of tooling that supercharges ML/AI innovation at Apple
* Contribute to architectural direction for Apple’s broader AI ecosystem designing for flexibility across future projects
**Minimum Qualifications**
* 8\+ years of experience in ML engineering, software engineering or applied AI roles
* Solid understanding of machine learning fundamentals, especially around large models, embeddings, and retrieval systems
* Proven experience building production\-grade ML systems or intelligent data\-driven products
* Proficiency in Python and advanced knowledge of the Python ML ecosystem
* Extensive experience building tools for ML lifecycle and launching ML\-powered experiences to production
* Strong background in distributed systems, APIs, and scalable data/compute infrastructure
* Solid understanding of software engineering principles and design patterns
* Excellent communication skills and ability to work in a collaborative environment
* Experience with building on top of AWS or GCP cloud services
**Preferred Qualifications**
* Experience working with notebook ecosystems and web\-based IDEs. Experience with building and deploy ML software in production to a wide range of infrastructure (CPU/GPU/TPU).
* Big data experience such as Apache Spark, Apache Ray
* Familiarity with MLOps tools (e.g., MLflow, Weights \&amp; Biases, Ray, Airflow)
* Some frontend development experience with Javascript / React
* Prior experience building an Notebook solution in a large organization
* Experience with building customer facing SDKs in Python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42">
      <c r="A42" t="inlineStr">
        <is>
          <t>li-4330071785</t>
        </is>
      </c>
      <c r="B42" t="inlineStr">
        <is>
          <t>Founding Machine Learning Engineer</t>
        </is>
      </c>
      <c r="C42" t="inlineStr">
        <is>
          <t>Shields Group Search</t>
        </is>
      </c>
      <c r="D42" t="inlineStr">
        <is>
          <t>linkedin</t>
        </is>
      </c>
      <c r="E42">
        <f>HYPERLINK("https://www.linkedin.com/jobs/view/4330071785", "https://www.linkedin.com/jobs/view/4330071785")</f>
        <v/>
      </c>
      <c r="F42" t="inlineStr"/>
      <c r="G42" t="inlineStr">
        <is>
          <t>San Francisco, CA</t>
        </is>
      </c>
      <c r="H42" t="inlineStr"/>
      <c r="I42"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43">
      <c r="A43" t="inlineStr">
        <is>
          <t>li-4360450112</t>
        </is>
      </c>
      <c r="B43" t="inlineStr">
        <is>
          <t>Machine Learning Engineer</t>
        </is>
      </c>
      <c r="C43" t="inlineStr">
        <is>
          <t>Tata Consultancy Services</t>
        </is>
      </c>
      <c r="D43" t="inlineStr">
        <is>
          <t>linkedin</t>
        </is>
      </c>
      <c r="E43">
        <f>HYPERLINK("https://www.linkedin.com/jobs/view/4360450112", "https://www.linkedin.com/jobs/view/4360450112")</f>
        <v/>
      </c>
      <c r="F43" t="inlineStr"/>
      <c r="G43" t="inlineStr">
        <is>
          <t>Warren, MI</t>
        </is>
      </c>
      <c r="H43" t="inlineStr"/>
      <c r="I43" t="inlineStr">
        <is>
          <t>**Job Description**
 Must Have Technical/Functional Skills
* Assist in fine\-tuning VLA (Vision\-Language Alignment) models for robotic perception and interaction tasks
* Curate and preprocess multi\-modal datasets (images, text, sensor data) from simulation and real\-world sources
* Evaluate model performance for tasks such as semantic understanding, object recognition, and scene interpretation
* Collaborate with simulation engineers to validate models in Isaac Sim and Omniverse environments
* Support real\-world deployment and testing of VLA models on robotic platforms
* Work with AWS teams to optimize training pipelines and model integration workflows
* Analyze model outputs and provide insights for iterative improvements
 Roles \&amp; Responsibilities
* Hands\-on experience with PyTorch, TensorFlow, OpenCV, and vision\-language models
* Familiarity with synthetic data generation, auto\-annotation, and simulation tools (Isaac Sim, Omniverse)
* Experience with model evaluation metrics and performance tuning
* Knowledge of ROS/ROS2, Python, and C\+\+ for robotics integration
* Exposure to cloud\-based ML workflows (AWS SageMaker, EC2, S3\) is a plus
* Prior work in multi\-modal AI systems, VLMs, or robotics perception is highly desirable
 Generic Managerial Skills, If any
 The engineers will play a critical role in bridging simulation and deployment pipelines for advanced perception systems.
 Base Salary Range: $130,000 \- $170,000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44">
      <c r="A44" t="inlineStr">
        <is>
          <t>li-4363799743</t>
        </is>
      </c>
      <c r="B44" t="inlineStr">
        <is>
          <t>Prompt Engineer / AI Engineer</t>
        </is>
      </c>
      <c r="C44" t="inlineStr">
        <is>
          <t>HyperFi</t>
        </is>
      </c>
      <c r="D44" t="inlineStr">
        <is>
          <t>linkedin</t>
        </is>
      </c>
      <c r="E44">
        <f>HYPERLINK("https://www.linkedin.com/jobs/view/4363799743", "https://www.linkedin.com/jobs/view/4363799743")</f>
        <v/>
      </c>
      <c r="F44" t="inlineStr"/>
      <c r="G44" t="inlineStr">
        <is>
          <t>San Francisco, CA</t>
        </is>
      </c>
      <c r="H44" t="inlineStr"/>
      <c r="I44" t="inlineStr">
        <is>
          <t>**About HyperFi**
 We're building the kind of platform we always wanted to use: fast, flexible, and built for making sense of real\-world complexity. Behind the scenes is a robust, event\-driven architecture that connects systems, abstracts messy workflows, and leaves room for smart automation. The surface is clean and simple. The interactions are seamless and intuitive. The machinery underneath is anything but. That’s where you come in.
 We’re a well\-networked founding team with strong execution roots and a clear roadmap. We’re backed, focused, and delivering fast.
 We're looking for a
 ****Prompt Engineer / AI Engineer****
 to join early. Someone who knows how to move from prototype to production, who can design prompts, evaluate them, and wrap them in real workflows that run reliably. You’ll work closely with the CTO and Tech Lead to build intelligent systems that plug into a larger product — not just toy demos. If you’re fluent in RAG, LangChain, and PySpark, and care about real\-world agent behavior, this is your kind of role.
 💥 What You’ll Do
* Build agentic LLM pipelines using LangChain, LangGraph, and LangSmith
* Design and iterate on prompt strategies, with a focus on consistency and context
* Construct retrieval\-augmented generation (RAG) systems from scratch
* Own orchestration of PySpark and Databricks workflows to prepare inputs and track outputs
* Instrument evaluation metrics and telemetry to guide prompt evolution
* Work alongside product, frontend, and backend engineers to tightly integrate AI into user\-facing flows
 🧰 Tech Stack (So Far)
* Python (primary language for all LLM \+ orchestration work)
* LangChain \+ LangGraph \+ LangSmith
* Databricks \+ PySpark for processing, labeling, and training context
* Gemini \+ model routing logic
* Postgres, and custom orchestration via MCP
* GitHub Actions, GCP
 There’s enough here to move fast, but still plenty of room for your fingerprints.
 💻 How We Build
* Engineers come first: your time, focus, and judgment are respected
* Deep work \&gt; chaos: fixed cycles \&amp; cooldowns protect focus and keep context switching low
* Autonomy is the default: trusted builders who own outcomes, no babysitters
* Ship daily, safely: merge early, integrate vertically, ship often, use feature flags, and keep momentum
* Outcomes over optics: solve real problems, not ticket soup
* Voice matters: from week one, contribute, improve something, and shape how we build
* Senior peers, no ego: collaborate in a high\-trust, async\-friendly environment
* Bold problems, cool tech: work on complex challenges that actually move the needle
* Fun is part of it: we move fast, but we also celebrate wins and laugh together
 ✅ What We’re Looking For
* 5–7 years building production\-grade ML, data, or AI systems
* Strong grasp of prompt engineering, context construction, and retrieval design
* Comfortable working in LangChain and building agents, not just chains
* Experience with PySpark and Databricks to handle real\-world data scale
* Ability to write testable, maintainable Python with clear structure
* Understanding of model evaluation, observability, and feedback loops
* Excited to push from prototype → production → iteration
* Confident English skills to collaborate clearly and effectively with teammates
**🔥 Bonus If You**
* Have built agent\-like workflows with LangGraph or similar
* Have worked on semantic chunking, vector search, or hybrid retrieval strategies
* Can walk us through a real\-world prompt failure — and how you fixed it
* Have contributed to OSS tools or internal AI platforms
* Think of yourself as both an engineer and a systems designer
 📍 Location \&amp; Compensation
* Must be based in San Francisco, Las Vegas, or Tel Aviv
* Full\-time role with competitive comp
* Flexible hours, async\-friendly culture, engineering\-led environment</t>
        </is>
      </c>
    </row>
    <row r="45">
      <c r="A45" t="inlineStr">
        <is>
          <t>li-4363829738</t>
        </is>
      </c>
      <c r="B45" t="inlineStr">
        <is>
          <t>Prompt Engineer / AI Engineer</t>
        </is>
      </c>
      <c r="C45" t="inlineStr">
        <is>
          <t>HyperFi</t>
        </is>
      </c>
      <c r="D45" t="inlineStr">
        <is>
          <t>linkedin</t>
        </is>
      </c>
      <c r="E45">
        <f>HYPERLINK("https://www.linkedin.com/jobs/view/4363829738", "https://www.linkedin.com/jobs/view/4363829738")</f>
        <v/>
      </c>
      <c r="F45" t="inlineStr"/>
      <c r="G45" t="inlineStr">
        <is>
          <t>San Francisco, CA</t>
        </is>
      </c>
      <c r="H45" t="inlineStr"/>
      <c r="I45" t="inlineStr">
        <is>
          <t>**About HyperFi**
 We're building the kind of platform we always wanted to use: fast, flexible, and built for making sense of real\-world complexity. Behind the scenes is a robust, event\-driven architecture that connects systems, abstracts messy workflows, and leaves room for smart automation. The surface is clean and simple. The interactions are seamless and intuitive. The machinery underneath is anything but. That’s where you come in.
 We’re a well\-networked founding team with strong execution roots and a clear roadmap. We’re backed, focused, and delivering fast.
 We're looking for a
 ****Prompt Engineer / AI Engineer****
 to join early. Someone who knows how to move from prototype to production, who can design prompts, evaluate them, and wrap them in real workflows that run reliably. You’ll work closely with the CTO and Tech Lead to build intelligent systems that plug into a larger product — not just toy demos. If you’re fluent in RAG, LangChain, and PySpark, and care about real\-world agent behavior, this is your kind of role.
 💥 What You’ll Do
* Build agentic LLM pipelines using LangChain, LangGraph, and LangSmith
* Design and iterate on prompt strategies, with a focus on consistency and context
* Construct retrieval\-augmented generation (RAG) systems from scratch
* Own orchestration of PySpark and Databricks workflows to prepare inputs and track outputs
* Instrument evaluation metrics and telemetry to guide prompt evolution
* Work alongside product, frontend, and backend engineers to tightly integrate AI into user\-facing flows
 🧰 Tech Stack (So Far)
* Python (primary language for all LLM \+ orchestration work)
* LangChain \+ LangGraph \+ LangSmith
* Databricks \+ PySpark for processing, labeling, and training context
* Gemini \+ model routing logic
* Postgres, and custom orchestration via MCP
* GitHub Actions, GCP
 There’s enough here to move fast, but still plenty of room for your fingerprints.
 💻 How We Build
* Engineers come first: your time, focus, and judgment are respected
* Deep work \&gt; chaos: fixed cycles \&amp; cooldowns protect focus and keep context switching low
* Autonomy is the default: trusted builders who own outcomes, no babysitters
* Ship daily, safely: merge early, integrate vertically, ship often, use feature flags, and keep momentum
* Outcomes over optics: solve real problems, not ticket soup
* Voice matters: from week one, contribute, improve something, and shape how we build
* Senior peers, no ego: collaborate in a high\-trust, async\-friendly environment
* Bold problems, cool tech: work on complex challenges that actually move the needle
* Fun is part of it: we move fast, but we also celebrate wins and laugh together
 ✅ What We’re Looking For
* 5–7 years building production\-grade ML, data, or AI systems
* Strong grasp of prompt engineering, context construction, and retrieval design
* Comfortable working in LangChain and building agents, not just chains
* Experience with PySpark and Databricks to handle real\-world data scale
* Ability to write testable, maintainable Python with clear structure
* Understanding of model evaluation, observability, and feedback loops
* Excited to push from prototype → production → iteration
* Confident English skills to collaborate clearly and effectively with teammates
**🔥 Bonus If You**
* Have built agent\-like workflows with LangGraph or similar
* Have worked on semantic chunking, vector search, or hybrid retrieval strategies
* Can walk us through a real\-world prompt failure — and how you fixed it
* Have contributed to OSS tools or internal AI platforms
* Think of yourself as both an engineer and a systems designer
 📍 Location \&amp; Compensation
* Must be based in San Francisco, Las Vegas, or Tel Aviv
* Full\-time role with competitive comp
* Flexible hours, async\-friendly culture, engineering\-led environment</t>
        </is>
      </c>
    </row>
    <row r="46">
      <c r="A46" t="inlineStr">
        <is>
          <t>li-4364240124</t>
        </is>
      </c>
      <c r="B46" t="inlineStr">
        <is>
          <t>AI Engineer</t>
        </is>
      </c>
      <c r="C46" t="inlineStr">
        <is>
          <t>Hyra</t>
        </is>
      </c>
      <c r="D46" t="inlineStr">
        <is>
          <t>linkedin</t>
        </is>
      </c>
      <c r="E46">
        <f>HYPERLINK("https://www.linkedin.com/jobs/view/4364240124", "https://www.linkedin.com/jobs/view/4364240124")</f>
        <v/>
      </c>
      <c r="F46" t="inlineStr"/>
      <c r="G46" t="inlineStr"/>
      <c r="H46" t="inlineStr"/>
      <c r="I46" t="inlineStr">
        <is>
          <t>AI/ML Engineer \| Type: Remote \| Salary: $150,000 \- $300,000 annual
 Hyra is working on behalf of micro1 to hire for the position of AI/ML Engineer. This role focuses on architecting and deploying advanced machine learning systems within a production environment. You will collaborate with a technical team to integrate large language models and retrieval systems into core product offerings.
 What you'll be doing
 • Architecting and deploying production\-grade AI solutions
 • Developing systems utilizing Retrieval\-Augmented Generation (RAG)
 • Implementing machine learning models using Python and AWS
 • Scaling AI infrastructure to support high\-performance applications
 • Monitoring and optimizing model performance in live environments
 What we're looking for
 • Professional experience in machine learning and software engineering
 • Technical proficiency with Python and AWS cloud services
 • Proven expertise working with Large Language Models (LLMs)
 • Practical experience implementing RAG architectures
 • Ability to deliver reliable code within a technical environment
 What micro1 offers
 • Competitive annual compensation package
 • Opportunity to work on cutting\-edge AI technologies
 • Professional growth within a technical team
 • Modern infrastructure and work flexibility
 Apply via Hyra to be considered for this opportunity.</t>
        </is>
      </c>
    </row>
    <row r="47">
      <c r="A47" t="inlineStr">
        <is>
          <t>li-4364220477</t>
        </is>
      </c>
      <c r="B47" t="inlineStr">
        <is>
          <t>AI Engineer (Remote)</t>
        </is>
      </c>
      <c r="C47" t="inlineStr">
        <is>
          <t>Lumenalta</t>
        </is>
      </c>
      <c r="D47" t="inlineStr">
        <is>
          <t>linkedin</t>
        </is>
      </c>
      <c r="E47">
        <f>HYPERLINK("https://www.linkedin.com/jobs/view/4364220477", "https://www.linkedin.com/jobs/view/4364220477")</f>
        <v/>
      </c>
      <c r="F47" t="inlineStr"/>
      <c r="G47" t="inlineStr">
        <is>
          <t>Raleigh, NC</t>
        </is>
      </c>
      <c r="H47" t="inlineStr"/>
      <c r="I47" t="inlineStr">
        <is>
          <t>At Lumenalta, we partner with forward\-thinking organizations to build technology solutions that scale, delight users, and accelerate business growth. Our global teams bring curiosity, commitment, and technical excellence to every project. We value transparency, autonomy, and impact—empowering every team member to do their best work.
 We’re seeking experienced AI Engineers to join a high\-growth fintech prospect focused on back\-office workflow automation. This role is an opportunity to design and deploy production\-grade AI systems for community banks, mortgage, and insurance institutions while shaping a flexible, modern architecture alongside an accomplished executive team.
**What You’ll Be Doing** 
* Design, build, and deploy AI models into production (not just prototypes or wrappers).
* Develop and maintain backend Python services that power intelligent automation workflows.
* Implement enterprise\-scale data pipelines for ingesting and processing financial and regulatory documents, with automated data quality checks and monitoring.
* Train and optimize models on banking rules, compliance standards, and regulatory datasets.
* Build intelligent routing systems (e.g., auto\-approval for simple loans/accounts, escalation to humans for complex cases).
* Collaborate with engineering leadership to shape architecture, delivery models, and stack decisions.
* Ensure compliance\-first design, embedding regulatory considerations into every product feature.
**What We’re Looking For** 
* Experience: 3–5\+ years in AI/ML engineering with a track record of deploying AI into production at scale.
* Technical Skills: Strong backend Python; expertise with ML frameworks (TensorFlow, PyTorch, Scikit\-Learn, etc.); familiarity with modern data pipeline tools (Airflow, Spark, Kafka) and workflow orchestration frameworks such as n8n or LangGraph.
* Applied AI: Background in enterprise applications such as chatbots, workflow automation, RAG pipelines, or intelligent document processing.
* Domain Awareness: Understanding of regulated industries (financial services, insurance, or similar) with the ability to design compliance\-aligned models.
* Collaboration: Comfortable working with a lean, high\-performing team and influencing technical direction.
* Adaptability: Excels in startup\-like environments with flexible, evolving tech stacks.
**Why Lumenalta is an amazing place to work at** 
 At Lumenalta, you can expect that you will:
* Be 100% dedicated to one project at a time so that you can innovate and grow.
* Be a part of a team of talented and friendly senior\-level developers.
* Work on projects that allow you to use leading tech.
 The job is 100% Remote; please ensure you have a comfortable office set at your desired work location.
**Salary** 
 Salary range: $50,000 \- $120,000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48">
      <c r="A48" t="inlineStr">
        <is>
          <t>li-4364330304</t>
        </is>
      </c>
      <c r="B48" t="inlineStr">
        <is>
          <t>AI Engineer (Remote)</t>
        </is>
      </c>
      <c r="C48" t="inlineStr">
        <is>
          <t>Lumenalta</t>
        </is>
      </c>
      <c r="D48" t="inlineStr">
        <is>
          <t>linkedin</t>
        </is>
      </c>
      <c r="E48">
        <f>HYPERLINK("https://www.linkedin.com/jobs/view/4364330304", "https://www.linkedin.com/jobs/view/4364330304")</f>
        <v/>
      </c>
      <c r="F48" t="inlineStr"/>
      <c r="G48" t="inlineStr"/>
      <c r="H48" t="inlineStr"/>
      <c r="I48" t="inlineStr">
        <is>
          <t>At Lumenalta, we partner with forward\-thinking organizations to build technology solutions that scale, delight users, and accelerate business growth. Our global teams bring curiosity, commitment, and technical excellence to every project. We value transparency, autonomy, and impact—empowering every team member to do their best work.
 We’re seeking experienced AI Engineers to join a high\-growth fintech prospect focused on back\-office workflow automation. This role is an opportunity to design and deploy production\-grade AI systems for community banks, mortgage, and insurance institutions while shaping a flexible, modern architecture alongside an accomplished executive team.
**What You’ll Be Doing** 
* Design, build, and deploy AI models into production (not just prototypes or wrappers).
* Develop and maintain backend Python services that power intelligent automation workflows.
* Implement enterprise\-scale data pipelines for ingesting and processing financial and regulatory documents, with automated data quality checks and monitoring.
* Train and optimize models on banking rules, compliance standards, and regulatory datasets.
* Build intelligent routing systems (e.g., auto\-approval for simple loans/accounts, escalation to humans for complex cases).
* Collaborate with engineering leadership to shape architecture, delivery models, and stack decisions.
* Ensure compliance\-first design, embedding regulatory considerations into every product feature.
**What We’re Looking For** 
* Experience: 3–5\+ years in AI/ML engineering with a track record of deploying AI into production at scale.
* Technical Skills: Strong backend Python; expertise with ML frameworks (TensorFlow, PyTorch, Scikit\-Learn, etc.); familiarity with modern data pipeline tools (Airflow, Spark, Kafka) and workflow orchestration frameworks such as n8n or LangGraph.
* Applied AI: Background in enterprise applications such as chatbots, workflow automation, RAG pipelines, or intelligent document processing.
* Domain Awareness: Understanding of regulated industries (financial services, insurance, or similar) with the ability to design compliance\-aligned models.
* Collaboration: Comfortable working with a lean, high\-performing team and influencing technical direction.
* Adaptability: Excels in startup\-like environments with flexible, evolving tech stacks.
**Why Lumenalta is an amazing place to work at** 
 At Lumenalta, you can expect that you will:
* Be 100% dedicated to one project at a time so that you can innovate and grow.
* Be a part of a team of talented and friendly senior\-level developers.
* Work on projects that allow you to use leading tech.
 The job is 100% Remote; please ensure you have a comfortable office set at your desired work location.
**Salary** 
 Salary range: $50,000 \- $120,000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49">
      <c r="A49" t="inlineStr">
        <is>
          <t>li-4360810069</t>
        </is>
      </c>
      <c r="B49" t="inlineStr">
        <is>
          <t>Machine Learning Engineer, Recommendations- USDS</t>
        </is>
      </c>
      <c r="C49" t="inlineStr">
        <is>
          <t>TikTok</t>
        </is>
      </c>
      <c r="D49" t="inlineStr">
        <is>
          <t>linkedin</t>
        </is>
      </c>
      <c r="E49">
        <f>HYPERLINK("https://www.linkedin.com/jobs/view/4360810069", "https://www.linkedin.com/jobs/view/4360810069")</f>
        <v/>
      </c>
      <c r="F49" t="inlineStr"/>
      <c r="G49" t="inlineStr">
        <is>
          <t>Seattle, WA</t>
        </is>
      </c>
      <c r="H49" t="inlineStr"/>
      <c r="I49" t="inlineStr">
        <is>
          <t>**Responsibilities**
 We are a group of applied machine learning engineers and data scientists that focus on general feed recommendations and E\-commerce recommendations. We are developing innovative algorithms and techniques to improve user engagement and satisfaction, converting creative ideas into business\-impacting solutions. We are interested and excited in applying large scale machine learning to solve various real\-world problems.
 What you will do:
 • Participate in building large\-scale (10 million to 100 million) recommendation algorithms and systems, including commodity recommendations, live stream recommendations, short video recommendations etc in TikTok.
 • Build long and short term user interest models, analyze and extract relevant information from large amounts of various data and design algorithms to explore users' latent interests efficiently.
 • Design, develop, evaluate and iterate on predictive models for candidate generation and ranking(eg. Click Through Rate and Conversion Rate prediction) , including, but not limited to building real\-time data pipelines, feature engineering, model optimization and innovation.
 • Design and build supporting/debugging tools as needed.
**Qualifications**
 Minimum Qualifications
 • Bachelor's degree or higher in Computer Science or related fields.
 • Strong programming and problem\-solving ability.
 • Experience in applied machine learning, familiar with one or more of the algorithms such as Collaborative Filtering, Matrix Factorization, Factorization Machines, Word2vec, Logistic Regression, Gradient Boosting Trees, Deep Neural Networks, Wide and Deep etc.
 • Experience in Deep Learning Tools such as tensorflow/pytorch.
 • Experience with at least one programming language like C\+\+/Python or equivalent.
 Preferred Qualifications:
 • Experience in recommendation system, online advertising, information retrieval, natural language processing, machine learning, large\-scale data mining, or related fields.
 • Publications at KDD, NeurlPS, WWW, SIGIR, WSDM, ICML, IJCAI, AAAI, RECSYS and related conferences/journals, or experience in data mining/machine learning competitions such as Kaggle/KDD\-cup etc.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$177688 \- $341734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50">
      <c r="A50" t="inlineStr">
        <is>
          <t>li-4360460072</t>
        </is>
      </c>
      <c r="B50" t="inlineStr">
        <is>
          <t>Machine Learning Engineer, Recommendations - USDS</t>
        </is>
      </c>
      <c r="C50" t="inlineStr">
        <is>
          <t>TikTok</t>
        </is>
      </c>
      <c r="D50" t="inlineStr">
        <is>
          <t>linkedin</t>
        </is>
      </c>
      <c r="E50">
        <f>HYPERLINK("https://www.linkedin.com/jobs/view/4360460072", "https://www.linkedin.com/jobs/view/4360460072")</f>
        <v/>
      </c>
      <c r="F50" t="inlineStr"/>
      <c r="G50" t="inlineStr">
        <is>
          <t>Seattle, WA</t>
        </is>
      </c>
      <c r="H50" t="inlineStr"/>
      <c r="I50" t="inlineStr">
        <is>
          <t>**Responsibilities**
 We are a group of applied machine learning engineers and data scientists that focus on general feed recommendations and E\-commerce recommendations. We are developing innovative algorithms and techniques to improve user engagement and satisfaction, converting creative ideas into business\-impacting solutions. We are interested and excited in applying large scale machine learning to solve various real\-world problems.
 What you will do:
 • Participate in building large\-scale (10 million to 100 million) recommendation algorithms and systems, including commodity recommendations, live stream recommendations, short video recommendations etc in TikTok.
 • Build long and short term user interest models, analyze and extract relevant information from large amounts of various data and design algorithms to explore users' latent interests efficiently.
 • Design, develop, evaluate and iterate on predictive models for candidate generation and ranking(eg. Click Through Rate and Conversion Rate prediction) , including, but not limited to building real\-time data pipelines, feature engineering, model optimization and innovation.
 • Design and build supporting/debugging tools as needed.
**Qualifications**
 Minimum Qualifications
 • Bachelor's degree or higher in Computer Science or related fields.
 • Strong programming and problem\-solving ability.
 • Experience in applied machine learning, familiar with one or more of the algorithms such as Collaborative Filtering, Matrix Factorization, Factorization Machines, Word2vec, Logistic Regression, Gradient Boosting Trees, Deep Neural Networks, Wide and Deep etc.
 • Experience in Deep Learning Tools such as tensorflow/pytorch.
 • Experience with at least one programming language like C\+\+/Python or equivalent.
 Preferred Qualifications:
 • Experience in recommendation system, online advertising, information retrieval, natural language processing, machine learning, large\-scale data mining, or related fields.
 • Publications at KDD, NeurlPS, WWW, SIGIR, WSDM, ICML, IJCAI, AAAI, RECSYS and related conferences/journals, or experience in data mining/machine learning competitions such as Kaggle/KDD\-cup etc.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$112725 \- $177840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51">
      <c r="A51" t="inlineStr">
        <is>
          <t>li-4360840066</t>
        </is>
      </c>
      <c r="B51" t="inlineStr">
        <is>
          <t>Machine Learning Engineer, Recommendations - USDS</t>
        </is>
      </c>
      <c r="C51" t="inlineStr">
        <is>
          <t>TikTok</t>
        </is>
      </c>
      <c r="D51" t="inlineStr">
        <is>
          <t>linkedin</t>
        </is>
      </c>
      <c r="E51">
        <f>HYPERLINK("https://www.linkedin.com/jobs/view/4360840066", "https://www.linkedin.com/jobs/view/4360840066")</f>
        <v/>
      </c>
      <c r="F51" t="inlineStr"/>
      <c r="G51" t="inlineStr">
        <is>
          <t>Seattle, WA</t>
        </is>
      </c>
      <c r="H51" t="inlineStr"/>
      <c r="I51" t="inlineStr">
        <is>
          <t>**Responsibilities**
 We are a group of applied machine learning engineers and data scientists that focus on general feed recommendations and E\-commerce recommendations. We are developing innovative algorithms and techniques to improve user engagement and satisfaction, converting creative ideas into business\-impacting solutions. We are interested and excited in applying large scale machine learning to solve various real\-world problems.
 What you will do:
 • Participate in building large\-scale (10 million to 100 million) recommendation algorithms and systems, including commodity recommendations, live stream recommendations, short video recommendations etc in TikTok.
 • Build long and short term user interest models, analyze and extract relevant information from large amounts of various data and design algorithms to explore users' latent interests efficiently.
 • Design, develop, evaluate and iterate on predictive models for candidate generation and ranking(eg. Click Through Rate and Conversion Rate prediction) , including, but not limited to building real\-time data pipelines, feature engineering, model optimization and innovation.
 • Design and build supporting/debugging tools as needed.
**Qualifications**
 Minimum Qualifications:
 • Bachelor's degree or higher in Computer Science or related fields.
 • Strong programming and problem\-solving ability.
 • This role requires a PhD or Master’s degree with relevant experience in applied machine learning, familiar with one or more of the algorithms such as Collaborative Filtering, Matrix Factorization, Factorization Machines, Word2vec, Logistic Regression, Gradient Boosting Trees, Deep Neural Networks, Wide and Deep etc.
 • Experience in Deep Learning Tools such as tensorflow/pytorch.
 • Experience with at least one programming language like C\+\+/Python or equivalent.
 Preferred Qualifications:
 • Experience in recommendation system, online advertising, information retrieval, natural language processing, machine learning, large\-scale data mining, or related fields.
 • Publications at KDD, NeurlPS, WWW, SIGIR, WSDM, ICML, IJCAI, AAAI, RECSYS and related conferences/journals, or experience in data mining/machine learning competitions such as Kaggle/KDD\-cup etc.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52">
      <c r="A52" t="inlineStr">
        <is>
          <t>li-4360890366</t>
        </is>
      </c>
      <c r="B52" t="inlineStr">
        <is>
          <t>Machine Learning Engineer</t>
        </is>
      </c>
      <c r="C52" t="inlineStr">
        <is>
          <t>Jobs via Dice</t>
        </is>
      </c>
      <c r="D52" t="inlineStr">
        <is>
          <t>linkedin</t>
        </is>
      </c>
      <c r="E52">
        <f>HYPERLINK("https://www.linkedin.com/jobs/view/4360890366", "https://www.linkedin.com/jobs/view/4360890366")</f>
        <v/>
      </c>
      <c r="F52" t="inlineStr"/>
      <c r="G52" t="inlineStr">
        <is>
          <t>Beavercreek, OH</t>
        </is>
      </c>
      <c r="H52" t="inlineStr"/>
      <c r="I52" t="inlineStr">
        <is>
          <t>Radiance is seeking a Machine Learning Engineer who will advance the artificial intelligence capabilities of the National Air and Space Intelligence Center at Wright Patterson Air Force Base. This engineer will provide expertise in data analytics and algorithm development supporting the integration and analysis of diverse data sources and develop machine learning, data mining and statistical algorithms for pattern recognition and anomaly detection. Additionally, this position will improve upon current methods for the automated processing and exploitation of large data sets. This will include R\&amp;D on projects involving the exploitation of data from sensors including investigation of state\-of\-the\-art machine learning classification methods to detect, track, and characterize targets of interest.
 Radiance Technologies is an employee\-owned company with benefits that are unmatched by most companies in the Dayton OH area. Employee ownership, generous 401K, full health/dental/life/vision insurance benefits, interesting assignments, educational reimbursement, competitive salaries and a pleasant work environment combine to make Radiance Technologies a great place to work and succeed.
**Required Experience:**
* A working knowledge of Artificial Neural Networks (ANNs), Convolutional Neural Networks (CNNs) and Recurrent Neural Networks (RNNs)
* Experience in applying core Machine Learning methodologies: Regression, Classification, Clustering, Decision Trees, Dimensional Reduction, Neural Networks \&amp; Deep Learning, Feature Engineering
**Required Skills \&amp; Qualifications:**
* Bachelor's Degree in a quantitative field such as Physics, Engineering, Computer Science, Statistics, or a related field
* Strong programming skills in at least one of the following languages Python, Matlab, C\+\+
* Experience with Machine Learning APIs, such as TensorFlow, PyTorch, or Keras
* Active Secret Clearance with ability to obtain and maintain a TS/SCI
**Desired Skills:**
* ML for either natural language processing, computer vision, reinforcement learning, generative modeling, or equivalent experience
* PhD in data science, mathematics, statistics, computer science, a physical science or engineering is strongly desired
* A mathematical background (Probability and Statistics)
* An experienced grasp of version control using Git for nonlinear workflows
* Thorough understanding of working in research, development and production environments
* Background in image science, imagery exploitation, spatial analysis, and computer vision are a plus
* R\&amp;D on remotely sensed data to include modeling and development of algorithms.
* Ability to work independently or in a team environment
* Strong technical writing and oral communication skills
* Active Top Secret/SCI clearance
 EOE/Minorities/Females/Vet/Disabled</t>
        </is>
      </c>
    </row>
    <row r="53">
      <c r="A53" t="inlineStr">
        <is>
          <t>li-4364029719</t>
        </is>
      </c>
      <c r="B53" t="inlineStr">
        <is>
          <t>Senior AI Engineer (HQ or Miami)</t>
        </is>
      </c>
      <c r="C53" t="inlineStr">
        <is>
          <t>Faropoint</t>
        </is>
      </c>
      <c r="D53" t="inlineStr">
        <is>
          <t>linkedin</t>
        </is>
      </c>
      <c r="E53">
        <f>HYPERLINK("https://www.linkedin.com/jobs/view/4364029719", "https://www.linkedin.com/jobs/view/4364029719")</f>
        <v/>
      </c>
      <c r="F53" t="inlineStr"/>
      <c r="G53" t="inlineStr">
        <is>
          <t>Miami Beach, NJ</t>
        </is>
      </c>
      <c r="H53" t="inlineStr"/>
      <c r="I53" t="inlineStr">
        <is>
          <t>Senior AI Engineer
 Agentic Systems \&amp; Intelligence Platform
**Team:** 
 Data \&amp; Intelligence \| Faropoint
**Location:** 
 Miami or New York (Hoboken) \| Hybrid
**The Opportunity**
 Faropoint is a vertically integrated real estate investment manager focused on last\-mile industrial assets. We are moving beyond standard automation to build an Enterprise Agentic Platform—a system where AI agents reason over our data to underwrite deals, manage assets, and optimize portfolios autonomously.
 We are seeking a Senior AI Engineer to
 **build and deploy** 
 the semantic foundation and agentic workflows that power this platform. This is a hands\-on implementation role—you will be writing production code, deploying AI systems, and establishing the technical patterns that make AI work at institutional scale. While you may help inform architectural direction, your primary focus is
 **building working systems** 
 .
 What You Will Build Phase 1 Priorities (First 6 Months)
* Agentic Workflows: Build and deploy multi\-agent systems using (e.g., LangChain/LangGraph) that handle complex, stateful processes (e.g., "Read this 50\-page lease, extract clauses, compare against market data, and flag risks").
* Production Infrastructure: Deploy AI solutions using AWS serverless patterns (Step Functions, Lambda, EventBridge, Bedrock) with proper error handling and retry logic.
* RAG Systems: Implement retrieval\-augmented generation systems that combine vector search with structured data queries for accurate, grounded responses.
* Observability: Build monitoring and evaluation systems using tools like LangFuse to trace agent behavior, track costs, and measure output quality.
 Future Scope (As Platform Matures)
* Semantic Layer: Design the ontology and semantic interface that bridges our raw data sources and AI agents, ensuring LLMs understand complex real estate concepts (Cap Rates, NOI, Lease Spreads) without hallucinating.
* Knowledge Graphs: Build and maintain knowledge graphs that provide agents with structured, context\-aware access to proprietary data and market intelligence.
* Advanced RAG: Implement GraphRAG and hybrid search approaches that perform complex reasoning over both structured and unstructured data.
* Governance \&amp; Security: Implement strict guardrails, PII masking, and role\-based access control (RBAC) to ensure agents operate safely within financial regulations.
 The Ideal Candidate
 You are a
 **software engineer first** 
 , who has specialized in AI/LLM application development. You understand that the hard part of AI isn't the model—it's the data engineering, state management, and reliability patterns surrounding it. You focus on
 **building and shipping working systems** 
 , not theoretical architecture.
**Required Experience**
* Engineering Background: 4\+ years in software or data engineering, with 1\+ years focused on LLM production systems.
* Agentic Frameworks: Deep hands\-on experience with frameworks like LangChain, LangGraph, or LlamaIndex.
* AWS Native: Comfortable building serverless solutions on AWS.
* Python Mastery: Expert\-level Python skills, ideally with Pydantic for structured data validation and async programming patterns.
* Production Mindset: You care about observability, reliability, and cost optimization. You don't ship "black boxes"; you ship systems where every step is traced, logged, and evaluated.
 Bonus Points
* Data \&amp; Semantics: Experience with knowledge graphs (Neo4j, Neptune), vector databases (Pinecone, pgvector), or semantic layers (Cube, dbt, or custom implementations). Knowledge of Snowflake data platforms is valuable for future work.
* GraphRAG Experience: Combining knowledge graphs with LLMs or implementing advanced hybrid retrieval approaches.
* Domain Experience: Background in FinTech, PropTech, or quantitative investment firms.
* AI Tooling: Experience with AI\-assisted development tools (Claude Code, Cursor, Copilot) and observability platforms (LangFuse, Arize, LangSmith).
* Infrastructure as Code: Experience with Terraform, CDK, or SAM for managing cloud infrastructure.
* Open Source: Contributions to open\-source AI libraries or frameworks.
 Why Join Faropoint Data \&amp; Intelligence?
* High Impact: Build production\-grade AI systems that directly influence multi\-million dollar investment decisions. Your agents will be the "Analyst of the Future."
* Existing Foundation: We've already automated high\-impact workflows and saved hundreds of hours per week. You'll be building on proven use cases, not starting from zero.
* Modern Stack: Work with modern data infrastructure (Postgres, dbt, AWS) and the latest AI tooling (Bedrock, LangFuse, Claude Code).
* Autonomy \&amp; Ownership: This is a high\-trust role with meaningful technical autonomy. You'll have executive visibility and direct ownership over how AI is implemented across the firm.
* Define the Future: Help establish what enterprise agentic AI looks like in practice. Your work will set patterns and standards for how institutional investors use AI.
*Faropoint is committed to building a diverse and inclusive workplace. We encourage applications from candidates of all backgrounds and experiences.*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2026-01-19T01:31:34Z</dcterms:created>
  <dcterms:modified xsi:type="dcterms:W3CDTF">2026-01-19T01:31:34Z</dcterms:modified>
</cp:coreProperties>
</file>